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u" sheetId="2" r:id="rId5"/>
    <sheet state="visible" name="pakojan" sheetId="3" r:id="rId6"/>
    <sheet state="visible" name="cempaka " sheetId="4" r:id="rId7"/>
    <sheet state="visible" name="Anyer RT 1" sheetId="5" r:id="rId8"/>
  </sheets>
  <definedNames/>
  <calcPr/>
  <extLst>
    <ext uri="GoogleSheetsCustomDataVersion2">
      <go:sheetsCustomData xmlns:go="http://customooxmlschemas.google.com/" r:id="rId9" roundtripDataChecksum="xxPkr16eWmsHEmVkCGmvnMO9FWsRVRfdDYscfMW6P3E="/>
    </ext>
  </extLst>
</workbook>
</file>

<file path=xl/sharedStrings.xml><?xml version="1.0" encoding="utf-8"?>
<sst xmlns="http://schemas.openxmlformats.org/spreadsheetml/2006/main" count="622" uniqueCount="71">
  <si>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</si>
  <si>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</si>
  <si>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</si>
  <si>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</si>
  <si>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</si>
  <si>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</si>
  <si>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</si>
  <si>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Pakojan</t>
  </si>
  <si>
    <t>Cempaka</t>
  </si>
  <si>
    <t>Paku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</si>
  <si>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</si>
  <si>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</si>
  <si>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</si>
  <si>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</si>
  <si>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</si>
  <si>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</si>
  <si>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</si>
  <si>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</si>
  <si>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</si>
  <si>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</si>
  <si>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</si>
  <si>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</si>
  <si>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</si>
  <si>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</si>
  <si>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</si>
  <si>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</si>
  <si>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</si>
  <si>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</si>
  <si>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</si>
  <si>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</si>
  <si>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</si>
  <si>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</si>
  <si>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</si>
  <si>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Plastik Kresek</t>
  </si>
  <si>
    <t>Update Harga JANUARI 2024</t>
  </si>
  <si>
    <t>DAFTAR HARGA</t>
  </si>
  <si>
    <t>Data Penimbangan Bulan  2024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</si>
  <si>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</si>
  <si>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</si>
  <si>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</si>
  <si>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</si>
  <si>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</si>
  <si>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</si>
  <si>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</si>
  <si>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</si>
  <si>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</si>
  <si>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</si>
  <si>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</si>
  <si>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 xml:space="preserve">hamsatang </t>
  </si>
  <si>
    <t>Botol warna</t>
  </si>
  <si>
    <t>Emberan/Atum</t>
  </si>
  <si>
    <t>Buku</t>
  </si>
  <si>
    <t>Buku/LKS</t>
  </si>
  <si>
    <t>Plastik Keresek</t>
  </si>
  <si>
    <t>Lainnya</t>
  </si>
  <si>
    <t>Sanati</t>
  </si>
  <si>
    <t xml:space="preserve">Nuraeni </t>
  </si>
  <si>
    <t xml:space="preserve">centang </t>
  </si>
  <si>
    <t xml:space="preserve">Fatimah </t>
  </si>
  <si>
    <t>hajanah</t>
  </si>
  <si>
    <t>Total Transaksi</t>
  </si>
  <si>
    <t>suhartini</t>
  </si>
  <si>
    <t>ratu ulfi</t>
  </si>
  <si>
    <t xml:space="preserve">adawiyah </t>
  </si>
  <si>
    <t>sarah</t>
  </si>
  <si>
    <t>dede</t>
  </si>
  <si>
    <t>ayi</t>
  </si>
  <si>
    <t>iin</t>
  </si>
  <si>
    <t xml:space="preserve">Aminah </t>
  </si>
  <si>
    <t>wety</t>
  </si>
  <si>
    <t xml:space="preserve">Siti Aliyah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</si>
</sst>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vertical="bottom" wrapText="1"/>
    </xf>
    <xf borderId="6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7" fillId="0" fontId="3" numFmtId="0" xfId="0" applyBorder="1" applyFont="1"/>
    <xf borderId="6" fillId="0" fontId="1" numFmtId="0" xfId="0" applyAlignment="1" applyBorder="1" applyFont="1">
      <alignment vertical="bottom"/>
    </xf>
    <xf borderId="8" fillId="0" fontId="3" numFmtId="0" xfId="0" applyBorder="1" applyFont="1"/>
    <xf borderId="7" fillId="2" fontId="4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3" fontId="4" numFmtId="0" xfId="0" applyAlignment="1" applyBorder="1" applyFill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7" fillId="0" fontId="6" numFmtId="0" xfId="0" applyAlignment="1" applyBorder="1" applyFont="1">
      <alignment horizontal="center" vertical="bottom"/>
    </xf>
    <xf borderId="9" fillId="4" fontId="7" numFmtId="0" xfId="0" applyAlignment="1" applyBorder="1" applyFill="1" applyFont="1">
      <alignment vertical="center"/>
    </xf>
    <xf borderId="9" fillId="4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10" fillId="5" fontId="9" numFmtId="0" xfId="0" applyAlignment="1" applyBorder="1" applyFill="1" applyFont="1">
      <alignment horizontal="center"/>
    </xf>
    <xf borderId="11" fillId="0" fontId="3" numFmtId="0" xfId="0" applyBorder="1" applyFont="1"/>
    <xf borderId="0" fillId="0" fontId="9" numFmtId="0" xfId="0" applyAlignment="1" applyFont="1">
      <alignment horizontal="center" vertical="center"/>
    </xf>
    <xf borderId="12" fillId="4" fontId="10" numFmtId="0" xfId="0" applyAlignment="1" applyBorder="1" applyFont="1">
      <alignment horizontal="center" vertical="center"/>
    </xf>
    <xf borderId="13" fillId="0" fontId="3" numFmtId="0" xfId="0" applyBorder="1" applyFont="1"/>
    <xf borderId="1" fillId="5" fontId="9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0" fillId="0" fontId="8" numFmtId="3" xfId="0" applyAlignment="1" applyFont="1" applyNumberFormat="1">
      <alignment vertical="center"/>
    </xf>
    <xf borderId="14" fillId="0" fontId="3" numFmtId="0" xfId="0" applyBorder="1" applyFont="1"/>
    <xf borderId="1" fillId="6" fontId="11" numFmtId="0" xfId="0" applyBorder="1" applyFill="1" applyFont="1"/>
    <xf borderId="1" fillId="7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15" fillId="0" fontId="14" numFmtId="0" xfId="0" applyAlignment="1" applyBorder="1" applyFont="1">
      <alignment horizontal="center"/>
    </xf>
    <xf borderId="16" fillId="0" fontId="15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5" fillId="0" fontId="3" numFmtId="0" xfId="0" applyBorder="1" applyFont="1"/>
    <xf borderId="1" fillId="0" fontId="8" numFmtId="3" xfId="0" applyAlignment="1" applyBorder="1" applyFont="1" applyNumberFormat="1">
      <alignment horizontal="center"/>
    </xf>
    <xf borderId="1" fillId="7" fontId="16" numFmtId="3" xfId="0" applyAlignment="1" applyBorder="1" applyFont="1" applyNumberFormat="1">
      <alignment horizontal="center"/>
    </xf>
    <xf borderId="9" fillId="3" fontId="10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/>
    </xf>
    <xf borderId="9" fillId="3" fontId="11" numFmtId="0" xfId="0" applyBorder="1" applyFont="1"/>
    <xf borderId="16" fillId="3" fontId="8" numFmtId="0" xfId="0" applyAlignment="1" applyBorder="1" applyFont="1">
      <alignment horizontal="center" vertical="center"/>
    </xf>
    <xf borderId="9" fillId="3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2" max="2" width="8.75"/>
    <col customWidth="1" min="3" max="3" width="18.13"/>
  </cols>
  <sheetData>
    <row r="2">
      <c r="B2" s="1"/>
      <c r="C2" s="2"/>
      <c r="D2" s="3" t="s">
        <v>0</v>
      </c>
      <c r="E2" s="4"/>
      <c r="F2" s="4"/>
      <c r="G2" s="5"/>
      <c r="H2" s="2"/>
      <c r="I2" s="6"/>
      <c r="J2" s="7"/>
      <c r="K2" s="7"/>
      <c r="L2" s="7"/>
      <c r="M2" s="7"/>
      <c r="N2" s="7"/>
      <c r="O2" s="7"/>
    </row>
    <row r="3">
      <c r="B3" s="8" t="s">
        <v>1</v>
      </c>
      <c r="C3" s="9" t="s">
        <v>2</v>
      </c>
      <c r="D3" s="10" t="s">
        <v>3</v>
      </c>
      <c r="E3" s="11"/>
      <c r="F3" s="11"/>
      <c r="G3" s="12"/>
      <c r="H3" s="9" t="s">
        <v>4</v>
      </c>
      <c r="I3" s="13"/>
      <c r="J3" s="10" t="s">
        <v>5</v>
      </c>
      <c r="K3" s="11"/>
      <c r="L3" s="11"/>
      <c r="M3" s="11"/>
      <c r="N3" s="11"/>
      <c r="O3" s="12"/>
    </row>
    <row r="4">
      <c r="B4" s="14"/>
      <c r="C4" s="12"/>
      <c r="D4" s="15" t="s">
        <v>6</v>
      </c>
      <c r="E4" s="15" t="s">
        <v>7</v>
      </c>
      <c r="F4" s="15" t="s">
        <v>8</v>
      </c>
      <c r="G4" s="15" t="s">
        <v>9</v>
      </c>
      <c r="H4" s="12"/>
      <c r="I4" s="13"/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</row>
    <row r="5">
      <c r="B5" s="17">
        <v>1.0</v>
      </c>
      <c r="C5" s="18" t="s">
        <v>16</v>
      </c>
      <c r="D5" s="19">
        <v>1.5</v>
      </c>
      <c r="E5" s="19">
        <v>1.0</v>
      </c>
      <c r="F5" s="19">
        <v>0.0</v>
      </c>
      <c r="G5" s="19">
        <v>0.0</v>
      </c>
      <c r="H5" s="20">
        <f t="shared" ref="H5:H26" si="1">sum(D5:G5)</f>
        <v>2.5</v>
      </c>
      <c r="I5" s="13"/>
      <c r="J5" s="21">
        <f>H5+H6+H7+H8+H9+H10+H22</f>
        <v>57</v>
      </c>
      <c r="K5" s="21">
        <f>H11+H12+H13+H14</f>
        <v>65.5</v>
      </c>
      <c r="L5" s="21">
        <f>H23</f>
        <v>11</v>
      </c>
      <c r="M5" s="21">
        <f>H17+H18+H19+H20+H24</f>
        <v>3.5</v>
      </c>
      <c r="N5" s="21">
        <f>H25</f>
        <v>22.5</v>
      </c>
      <c r="O5" s="21">
        <f>H26</f>
        <v>18.5</v>
      </c>
    </row>
    <row r="6">
      <c r="B6" s="17">
        <v>2.0</v>
      </c>
      <c r="C6" s="18" t="s">
        <v>17</v>
      </c>
      <c r="D6" s="19">
        <v>4.0</v>
      </c>
      <c r="E6" s="19">
        <v>2.5</v>
      </c>
      <c r="F6" s="19">
        <v>0.0</v>
      </c>
      <c r="G6" s="19">
        <v>3.0</v>
      </c>
      <c r="H6" s="20">
        <f t="shared" si="1"/>
        <v>9.5</v>
      </c>
      <c r="I6" s="6"/>
      <c r="J6" s="6"/>
      <c r="K6" s="6"/>
      <c r="L6" s="6"/>
      <c r="M6" s="6"/>
      <c r="N6" s="6"/>
      <c r="O6" s="6"/>
    </row>
    <row r="7">
      <c r="B7" s="17">
        <v>3.0</v>
      </c>
      <c r="C7" s="18" t="s">
        <v>18</v>
      </c>
      <c r="D7" s="19">
        <v>1.5</v>
      </c>
      <c r="E7" s="22">
        <v>0.0</v>
      </c>
      <c r="F7" s="19">
        <v>1.5</v>
      </c>
      <c r="G7" s="19">
        <v>7.5</v>
      </c>
      <c r="H7" s="20">
        <f t="shared" si="1"/>
        <v>10.5</v>
      </c>
      <c r="I7" s="6"/>
      <c r="J7" s="6"/>
      <c r="K7" s="6"/>
      <c r="L7" s="6"/>
      <c r="M7" s="6"/>
      <c r="N7" s="6"/>
      <c r="O7" s="6"/>
    </row>
    <row r="8">
      <c r="B8" s="17">
        <v>4.0</v>
      </c>
      <c r="C8" s="18" t="s">
        <v>19</v>
      </c>
      <c r="D8" s="19">
        <v>0.0</v>
      </c>
      <c r="E8" s="19">
        <v>0.0</v>
      </c>
      <c r="F8" s="19">
        <v>0.0</v>
      </c>
      <c r="G8" s="19">
        <v>2.5</v>
      </c>
      <c r="H8" s="20">
        <f t="shared" si="1"/>
        <v>2.5</v>
      </c>
      <c r="I8" s="6"/>
      <c r="J8" s="6"/>
      <c r="K8" s="6"/>
      <c r="L8" s="6"/>
      <c r="M8" s="6"/>
      <c r="N8" s="6"/>
      <c r="O8" s="6"/>
    </row>
    <row r="9">
      <c r="B9" s="17">
        <v>5.0</v>
      </c>
      <c r="C9" s="18" t="s">
        <v>20</v>
      </c>
      <c r="D9" s="19">
        <v>0.0</v>
      </c>
      <c r="E9" s="19">
        <v>1.0</v>
      </c>
      <c r="F9" s="19">
        <v>0.0</v>
      </c>
      <c r="G9" s="22">
        <v>0.0</v>
      </c>
      <c r="H9" s="20">
        <f t="shared" si="1"/>
        <v>1</v>
      </c>
      <c r="I9" s="6"/>
      <c r="J9" s="6"/>
      <c r="K9" s="6"/>
      <c r="L9" s="6"/>
      <c r="M9" s="6"/>
      <c r="N9" s="6"/>
      <c r="O9" s="23"/>
    </row>
    <row r="10">
      <c r="B10" s="17">
        <v>6.0</v>
      </c>
      <c r="C10" s="18" t="s">
        <v>21</v>
      </c>
      <c r="D10" s="19">
        <v>16.5</v>
      </c>
      <c r="E10" s="19">
        <v>1.0</v>
      </c>
      <c r="F10" s="19">
        <v>7.0</v>
      </c>
      <c r="G10" s="19">
        <v>3.0</v>
      </c>
      <c r="H10" s="20">
        <f t="shared" si="1"/>
        <v>27.5</v>
      </c>
      <c r="I10" s="6"/>
      <c r="J10" s="6"/>
      <c r="K10" s="6"/>
      <c r="L10" s="6"/>
      <c r="M10" s="6"/>
      <c r="N10" s="6"/>
      <c r="O10" s="6"/>
    </row>
    <row r="11">
      <c r="B11" s="17">
        <v>7.0</v>
      </c>
      <c r="C11" s="18" t="s">
        <v>22</v>
      </c>
      <c r="D11" s="19">
        <v>19.0</v>
      </c>
      <c r="E11" s="19">
        <v>7.0</v>
      </c>
      <c r="F11" s="19">
        <v>0.5</v>
      </c>
      <c r="G11" s="19">
        <v>21.0</v>
      </c>
      <c r="H11" s="20">
        <f t="shared" si="1"/>
        <v>47.5</v>
      </c>
      <c r="I11" s="6"/>
      <c r="J11" s="6"/>
      <c r="K11" s="6"/>
      <c r="L11" s="6"/>
      <c r="M11" s="6"/>
      <c r="N11" s="6"/>
      <c r="O11" s="6"/>
    </row>
    <row r="12">
      <c r="B12" s="17">
        <v>8.0</v>
      </c>
      <c r="C12" s="18" t="s">
        <v>23</v>
      </c>
      <c r="D12" s="22">
        <v>0.0</v>
      </c>
      <c r="E12" s="22">
        <v>0.0</v>
      </c>
      <c r="F12" s="22">
        <v>0.0</v>
      </c>
      <c r="G12" s="19">
        <v>0.0</v>
      </c>
      <c r="H12" s="20">
        <f t="shared" si="1"/>
        <v>0</v>
      </c>
      <c r="I12" s="6"/>
      <c r="J12" s="6"/>
      <c r="K12" s="6"/>
      <c r="L12" s="6"/>
      <c r="M12" s="6"/>
      <c r="N12" s="6"/>
      <c r="O12" s="6"/>
    </row>
    <row r="13">
      <c r="B13" s="17">
        <v>9.0</v>
      </c>
      <c r="C13" s="18" t="s">
        <v>24</v>
      </c>
      <c r="D13" s="19">
        <v>8.0</v>
      </c>
      <c r="E13" s="22">
        <v>0.0</v>
      </c>
      <c r="F13" s="22">
        <v>0.0</v>
      </c>
      <c r="G13" s="22">
        <v>0.0</v>
      </c>
      <c r="H13" s="20">
        <f t="shared" si="1"/>
        <v>8</v>
      </c>
      <c r="I13" s="6"/>
      <c r="J13" s="6"/>
      <c r="K13" s="6"/>
      <c r="L13" s="6"/>
      <c r="M13" s="6"/>
      <c r="N13" s="6"/>
      <c r="O13" s="6"/>
    </row>
    <row r="14">
      <c r="B14" s="17">
        <v>10.0</v>
      </c>
      <c r="C14" s="18" t="s">
        <v>25</v>
      </c>
      <c r="D14" s="19">
        <v>3.0</v>
      </c>
      <c r="E14" s="19">
        <v>5.0</v>
      </c>
      <c r="F14" s="19">
        <v>2.0</v>
      </c>
      <c r="G14" s="19">
        <v>0.0</v>
      </c>
      <c r="H14" s="20">
        <f t="shared" si="1"/>
        <v>10</v>
      </c>
      <c r="I14" s="6"/>
      <c r="J14" s="6"/>
      <c r="K14" s="6"/>
      <c r="L14" s="6"/>
      <c r="M14" s="6"/>
      <c r="N14" s="6"/>
      <c r="O14" s="6"/>
    </row>
    <row r="15">
      <c r="B15" s="17">
        <v>11.0</v>
      </c>
      <c r="C15" s="18" t="s">
        <v>26</v>
      </c>
      <c r="D15" s="22">
        <v>0.0</v>
      </c>
      <c r="E15" s="22">
        <v>0.0</v>
      </c>
      <c r="F15" s="24">
        <v>0.0</v>
      </c>
      <c r="G15" s="22">
        <v>0.0</v>
      </c>
      <c r="H15" s="20">
        <f t="shared" si="1"/>
        <v>0</v>
      </c>
      <c r="I15" s="6"/>
      <c r="J15" s="6"/>
      <c r="K15" s="6"/>
      <c r="L15" s="6"/>
      <c r="M15" s="6"/>
      <c r="N15" s="6"/>
      <c r="O15" s="6"/>
    </row>
    <row r="16">
      <c r="B16" s="17">
        <v>12.0</v>
      </c>
      <c r="C16" s="18" t="s">
        <v>27</v>
      </c>
      <c r="D16" s="19">
        <v>1.0</v>
      </c>
      <c r="E16" s="19">
        <v>0.0</v>
      </c>
      <c r="F16" s="19">
        <v>0.0</v>
      </c>
      <c r="G16" s="19">
        <v>0.0</v>
      </c>
      <c r="H16" s="20">
        <f t="shared" si="1"/>
        <v>1</v>
      </c>
      <c r="I16" s="6"/>
      <c r="J16" s="6"/>
      <c r="K16" s="6"/>
      <c r="L16" s="6"/>
      <c r="M16" s="6"/>
      <c r="N16" s="6"/>
      <c r="O16" s="6"/>
    </row>
    <row r="17">
      <c r="B17" s="17">
        <v>13.0</v>
      </c>
      <c r="C17" s="18" t="s">
        <v>28</v>
      </c>
      <c r="D17" s="19">
        <v>1.0</v>
      </c>
      <c r="E17" s="19">
        <v>1.0</v>
      </c>
      <c r="F17" s="19">
        <v>0.5</v>
      </c>
      <c r="G17" s="22">
        <v>0.0</v>
      </c>
      <c r="H17" s="20">
        <f t="shared" si="1"/>
        <v>2.5</v>
      </c>
      <c r="I17" s="6"/>
      <c r="J17" s="6"/>
      <c r="K17" s="6"/>
      <c r="L17" s="6"/>
      <c r="M17" s="6"/>
      <c r="N17" s="6"/>
      <c r="O17" s="6"/>
    </row>
    <row r="18">
      <c r="B18" s="17">
        <v>14.0</v>
      </c>
      <c r="C18" s="18" t="s">
        <v>29</v>
      </c>
      <c r="D18" s="19">
        <v>0.5</v>
      </c>
      <c r="E18" s="22">
        <v>0.0</v>
      </c>
      <c r="F18" s="19">
        <v>0.5</v>
      </c>
      <c r="G18" s="19">
        <v>0.0</v>
      </c>
      <c r="H18" s="20">
        <f t="shared" si="1"/>
        <v>1</v>
      </c>
      <c r="I18" s="6"/>
      <c r="J18" s="6"/>
      <c r="K18" s="6"/>
      <c r="L18" s="6"/>
      <c r="M18" s="6"/>
      <c r="N18" s="6"/>
      <c r="O18" s="6"/>
    </row>
    <row r="19">
      <c r="B19" s="17">
        <v>15.0</v>
      </c>
      <c r="C19" s="18" t="s">
        <v>30</v>
      </c>
      <c r="D19" s="22">
        <v>0.0</v>
      </c>
      <c r="E19" s="22">
        <v>0.0</v>
      </c>
      <c r="F19" s="22">
        <v>0.0</v>
      </c>
      <c r="G19" s="22">
        <v>0.0</v>
      </c>
      <c r="H19" s="20">
        <f t="shared" si="1"/>
        <v>0</v>
      </c>
      <c r="I19" s="6"/>
      <c r="J19" s="6"/>
      <c r="K19" s="6"/>
      <c r="L19" s="6"/>
      <c r="M19" s="6"/>
      <c r="N19" s="6"/>
      <c r="O19" s="6"/>
    </row>
    <row r="20">
      <c r="B20" s="17">
        <v>16.0</v>
      </c>
      <c r="C20" s="18" t="s">
        <v>31</v>
      </c>
      <c r="D20" s="22">
        <v>0.0</v>
      </c>
      <c r="E20" s="22">
        <v>0.0</v>
      </c>
      <c r="F20" s="22">
        <v>0.0</v>
      </c>
      <c r="G20" s="22">
        <v>0.0</v>
      </c>
      <c r="H20" s="20">
        <f t="shared" si="1"/>
        <v>0</v>
      </c>
      <c r="I20" s="6"/>
      <c r="J20" s="6"/>
      <c r="K20" s="6"/>
      <c r="L20" s="6"/>
      <c r="M20" s="6"/>
      <c r="N20" s="6"/>
      <c r="O20" s="6"/>
    </row>
    <row r="21">
      <c r="B21" s="17">
        <v>17.0</v>
      </c>
      <c r="C21" s="18" t="s">
        <v>32</v>
      </c>
      <c r="D21" s="22">
        <v>0.0</v>
      </c>
      <c r="E21" s="22">
        <v>0.0</v>
      </c>
      <c r="F21" s="22">
        <v>0.0</v>
      </c>
      <c r="G21" s="22">
        <v>0.0</v>
      </c>
      <c r="H21" s="20">
        <f t="shared" si="1"/>
        <v>0</v>
      </c>
      <c r="I21" s="6"/>
      <c r="J21" s="6"/>
      <c r="K21" s="6"/>
      <c r="L21" s="6"/>
      <c r="M21" s="6"/>
      <c r="N21" s="6"/>
      <c r="O21" s="6"/>
    </row>
    <row r="22">
      <c r="B22" s="17">
        <v>18.0</v>
      </c>
      <c r="C22" s="18" t="s">
        <v>33</v>
      </c>
      <c r="D22" s="19">
        <v>3.5</v>
      </c>
      <c r="E22" s="19">
        <v>0.0</v>
      </c>
      <c r="F22" s="19">
        <v>0.0</v>
      </c>
      <c r="G22" s="19">
        <v>0.0</v>
      </c>
      <c r="H22" s="20">
        <f t="shared" si="1"/>
        <v>3.5</v>
      </c>
      <c r="I22" s="6"/>
      <c r="J22" s="6"/>
      <c r="K22" s="6"/>
      <c r="L22" s="6"/>
      <c r="M22" s="6"/>
      <c r="N22" s="6"/>
      <c r="O22" s="6"/>
    </row>
    <row r="23">
      <c r="B23" s="17">
        <v>19.0</v>
      </c>
      <c r="C23" s="18" t="s">
        <v>12</v>
      </c>
      <c r="D23" s="19">
        <v>0.0</v>
      </c>
      <c r="E23" s="22">
        <v>3.5</v>
      </c>
      <c r="F23" s="19">
        <v>4.0</v>
      </c>
      <c r="G23" s="19">
        <v>3.5</v>
      </c>
      <c r="H23" s="20">
        <f t="shared" si="1"/>
        <v>11</v>
      </c>
      <c r="I23" s="6"/>
      <c r="J23" s="6"/>
      <c r="K23" s="6"/>
      <c r="L23" s="6"/>
      <c r="M23" s="6"/>
      <c r="N23" s="6"/>
      <c r="O23" s="6"/>
    </row>
    <row r="24">
      <c r="B24" s="17">
        <v>20.0</v>
      </c>
      <c r="C24" s="18" t="s">
        <v>9</v>
      </c>
      <c r="D24" s="19">
        <v>0.0</v>
      </c>
      <c r="E24" s="22">
        <v>0.0</v>
      </c>
      <c r="F24" s="22">
        <v>0.0</v>
      </c>
      <c r="G24" s="22">
        <v>0.0</v>
      </c>
      <c r="H24" s="20">
        <f t="shared" si="1"/>
        <v>0</v>
      </c>
      <c r="I24" s="6"/>
      <c r="J24" s="6"/>
      <c r="K24" s="6"/>
      <c r="L24" s="6"/>
      <c r="M24" s="6"/>
      <c r="N24" s="6"/>
      <c r="O24" s="6"/>
    </row>
    <row r="25">
      <c r="B25" s="17">
        <v>21.0</v>
      </c>
      <c r="C25" s="18" t="s">
        <v>14</v>
      </c>
      <c r="D25" s="19">
        <v>7.5</v>
      </c>
      <c r="E25" s="19">
        <v>3.5</v>
      </c>
      <c r="F25" s="19">
        <v>1.5</v>
      </c>
      <c r="G25" s="19">
        <v>10.0</v>
      </c>
      <c r="H25" s="20">
        <f t="shared" si="1"/>
        <v>22.5</v>
      </c>
      <c r="I25" s="6"/>
      <c r="J25" s="6"/>
      <c r="K25" s="6"/>
      <c r="L25" s="6"/>
      <c r="M25" s="6"/>
      <c r="N25" s="6"/>
      <c r="O25" s="6"/>
    </row>
    <row r="26">
      <c r="B26" s="17">
        <v>22.0</v>
      </c>
      <c r="C26" s="18" t="s">
        <v>15</v>
      </c>
      <c r="D26" s="19">
        <v>8.5</v>
      </c>
      <c r="E26" s="19">
        <v>0.0</v>
      </c>
      <c r="F26" s="19">
        <v>9.0</v>
      </c>
      <c r="G26" s="19">
        <v>1.0</v>
      </c>
      <c r="H26" s="20">
        <f t="shared" si="1"/>
        <v>18.5</v>
      </c>
      <c r="I26" s="6"/>
      <c r="J26" s="6"/>
      <c r="K26" s="6"/>
      <c r="L26" s="6"/>
      <c r="M26" s="6"/>
      <c r="N26" s="6"/>
      <c r="O26" s="6"/>
    </row>
  </sheetData>
  <mergeCells count="6">
    <mergeCell ref="B3:B4"/>
    <mergeCell ref="C3:C4"/>
    <mergeCell ref="H3:H4"/>
    <mergeCell ref="J3:O3"/>
    <mergeCell ref="D2:G2"/>
    <mergeCell ref="D3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32.13"/>
  </cols>
  <sheetData>
    <row r="1" ht="15.75" customHeight="1">
      <c r="A1" s="25" t="s">
        <v>34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35</v>
      </c>
      <c r="B2" s="31"/>
      <c r="C2" s="32"/>
      <c r="D2" s="32" t="s">
        <v>36</v>
      </c>
      <c r="K2" s="28"/>
      <c r="L2" s="33" t="s">
        <v>37</v>
      </c>
      <c r="M2" s="34"/>
      <c r="N2" s="28"/>
    </row>
    <row r="3" ht="15.75" customHeight="1">
      <c r="A3" s="35" t="s">
        <v>38</v>
      </c>
      <c r="B3" s="36" t="s">
        <v>39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16</v>
      </c>
      <c r="B4" s="40">
        <v>3100.0</v>
      </c>
      <c r="C4" s="41"/>
      <c r="D4" s="42" t="s">
        <v>1</v>
      </c>
      <c r="E4" s="42" t="s">
        <v>40</v>
      </c>
      <c r="F4" s="43" t="s">
        <v>41</v>
      </c>
      <c r="G4" s="44" t="s">
        <v>42</v>
      </c>
      <c r="H4" s="44" t="s">
        <v>43</v>
      </c>
      <c r="I4" s="45" t="s">
        <v>44</v>
      </c>
      <c r="J4" s="46" t="s">
        <v>45</v>
      </c>
      <c r="K4" s="28"/>
      <c r="L4" s="47" t="s">
        <v>46</v>
      </c>
      <c r="M4" s="47" t="s">
        <v>42</v>
      </c>
      <c r="N4" s="28"/>
    </row>
    <row r="5" ht="15.75" customHeight="1">
      <c r="A5" s="39" t="s">
        <v>47</v>
      </c>
      <c r="B5" s="40">
        <v>3000.0</v>
      </c>
      <c r="C5" s="48"/>
      <c r="D5" s="49">
        <v>1.0</v>
      </c>
      <c r="E5" s="50" t="s">
        <v>48</v>
      </c>
      <c r="F5" s="39" t="s">
        <v>16</v>
      </c>
      <c r="G5" s="51"/>
      <c r="H5" s="52">
        <f>VLOOKUP(F5,$A$4:$B$4,2,TRUE)</f>
        <v>3100</v>
      </c>
      <c r="I5" s="53">
        <f t="shared" ref="I5:I130" si="1">G5*H5</f>
        <v>0</v>
      </c>
      <c r="J5" s="54">
        <f>SUM(I5:I25)</f>
        <v>20800</v>
      </c>
      <c r="K5" s="28"/>
      <c r="L5" s="39" t="s">
        <v>16</v>
      </c>
      <c r="M5" s="55">
        <f>SUMIF(F5:F130,"Gelas bersih",G5:G130)</f>
        <v>0</v>
      </c>
      <c r="N5" s="28"/>
    </row>
    <row r="6" ht="15.75" customHeight="1">
      <c r="A6" s="39" t="s">
        <v>49</v>
      </c>
      <c r="B6" s="40">
        <v>800.0</v>
      </c>
      <c r="C6" s="48"/>
      <c r="D6" s="56"/>
      <c r="E6" s="56"/>
      <c r="F6" s="39" t="s">
        <v>47</v>
      </c>
      <c r="G6" s="51"/>
      <c r="H6" s="57">
        <f>VLOOKUP(F6,$A$5:$B$5,2,TRUE)</f>
        <v>3000</v>
      </c>
      <c r="I6" s="53">
        <f t="shared" si="1"/>
        <v>0</v>
      </c>
      <c r="J6" s="56"/>
      <c r="K6" s="28"/>
      <c r="L6" s="39" t="s">
        <v>47</v>
      </c>
      <c r="M6" s="55">
        <f>SUMIF(F6:F131,"Botol bersih",G6:G131)</f>
        <v>3</v>
      </c>
      <c r="N6" s="28"/>
    </row>
    <row r="7" ht="15.75" customHeight="1">
      <c r="A7" s="39" t="s">
        <v>19</v>
      </c>
      <c r="B7" s="40">
        <v>2000.0</v>
      </c>
      <c r="C7" s="48"/>
      <c r="D7" s="56"/>
      <c r="E7" s="56"/>
      <c r="F7" s="39" t="s">
        <v>49</v>
      </c>
      <c r="G7" s="51">
        <v>3.5</v>
      </c>
      <c r="H7" s="57">
        <f>VLOOKUP(F7,$A$6:$B$6,2,TRUE)</f>
        <v>800</v>
      </c>
      <c r="I7" s="53">
        <f t="shared" si="1"/>
        <v>2800</v>
      </c>
      <c r="J7" s="56"/>
      <c r="K7" s="28"/>
      <c r="L7" s="39" t="s">
        <v>49</v>
      </c>
      <c r="M7" s="55">
        <f>SUMIF(F7:F131,"Botol Warna",G7:G131)</f>
        <v>7.5</v>
      </c>
      <c r="N7" s="28"/>
    </row>
    <row r="8" ht="15.75" customHeight="1">
      <c r="A8" s="39" t="s">
        <v>20</v>
      </c>
      <c r="B8" s="40">
        <v>2800.0</v>
      </c>
      <c r="C8" s="48"/>
      <c r="D8" s="56"/>
      <c r="E8" s="56"/>
      <c r="F8" s="39" t="s">
        <v>19</v>
      </c>
      <c r="G8" s="51"/>
      <c r="H8" s="57">
        <f>VLOOKUP(F8,$A$7:$B$7,2,TRUE)</f>
        <v>2000</v>
      </c>
      <c r="I8" s="53">
        <f t="shared" si="1"/>
        <v>0</v>
      </c>
      <c r="J8" s="56"/>
      <c r="K8" s="28"/>
      <c r="L8" s="39" t="s">
        <v>19</v>
      </c>
      <c r="M8" s="55">
        <f>SUMIF(F8:F132,"Tutup botol",G8:G132)</f>
        <v>2.5</v>
      </c>
      <c r="N8" s="28"/>
    </row>
    <row r="9" ht="15.75" customHeight="1">
      <c r="A9" s="39" t="s">
        <v>50</v>
      </c>
      <c r="B9" s="40">
        <v>800.0</v>
      </c>
      <c r="C9" s="48"/>
      <c r="D9" s="56"/>
      <c r="E9" s="56"/>
      <c r="F9" s="39" t="s">
        <v>20</v>
      </c>
      <c r="G9" s="51"/>
      <c r="H9" s="57">
        <f>VLOOKUP(F9, $A$8:$B$8, 2, FALSE)</f>
        <v>2800</v>
      </c>
      <c r="I9" s="53">
        <f t="shared" si="1"/>
        <v>0</v>
      </c>
      <c r="J9" s="56"/>
      <c r="K9" s="28"/>
      <c r="L9" s="39" t="s">
        <v>20</v>
      </c>
      <c r="M9" s="55">
        <f>SUMIF(F9:F133,"Tutup galon",G9:G133)</f>
        <v>0</v>
      </c>
      <c r="N9" s="28"/>
    </row>
    <row r="10" ht="15.75" customHeight="1">
      <c r="A10" s="39" t="s">
        <v>22</v>
      </c>
      <c r="B10" s="40">
        <v>1500.0</v>
      </c>
      <c r="C10" s="48"/>
      <c r="D10" s="56"/>
      <c r="E10" s="56"/>
      <c r="F10" s="39" t="s">
        <v>50</v>
      </c>
      <c r="G10" s="51"/>
      <c r="H10" s="57">
        <f>VLOOKUP(F10, $A$9:$B$9, 2, FALSE)</f>
        <v>800</v>
      </c>
      <c r="I10" s="53">
        <f t="shared" si="1"/>
        <v>0</v>
      </c>
      <c r="J10" s="56"/>
      <c r="K10" s="28"/>
      <c r="L10" s="39" t="s">
        <v>50</v>
      </c>
      <c r="M10" s="55">
        <f>SUMIF(F10:F135,"Emberan/Atum",G10:G135)</f>
        <v>3</v>
      </c>
      <c r="N10" s="28"/>
    </row>
    <row r="11" ht="15.75" customHeight="1">
      <c r="A11" s="39" t="s">
        <v>23</v>
      </c>
      <c r="B11" s="40">
        <v>1200.0</v>
      </c>
      <c r="C11" s="48"/>
      <c r="D11" s="56"/>
      <c r="E11" s="56"/>
      <c r="F11" s="39" t="s">
        <v>22</v>
      </c>
      <c r="G11" s="51">
        <v>12.0</v>
      </c>
      <c r="H11" s="57">
        <f>VLOOKUP(F11,$A$10:$B$10,2,TRUE)</f>
        <v>1500</v>
      </c>
      <c r="I11" s="53">
        <f t="shared" si="1"/>
        <v>18000</v>
      </c>
      <c r="J11" s="56"/>
      <c r="K11" s="28"/>
      <c r="L11" s="39" t="s">
        <v>22</v>
      </c>
      <c r="M11" s="55">
        <f>SUMIF(F11:F136,"Kardus",G11:G136)</f>
        <v>21</v>
      </c>
      <c r="N11" s="28"/>
    </row>
    <row r="12" ht="15.75" customHeight="1">
      <c r="A12" s="39" t="s">
        <v>51</v>
      </c>
      <c r="B12" s="40">
        <v>1000.0</v>
      </c>
      <c r="C12" s="48"/>
      <c r="D12" s="56"/>
      <c r="E12" s="56"/>
      <c r="F12" s="39" t="s">
        <v>23</v>
      </c>
      <c r="G12" s="51"/>
      <c r="H12" s="57">
        <f>VLOOKUP(F12,$A$11:$B$11,2,TRUE)</f>
        <v>1200</v>
      </c>
      <c r="I12" s="53">
        <f t="shared" si="1"/>
        <v>0</v>
      </c>
      <c r="J12" s="56"/>
      <c r="K12" s="28"/>
      <c r="L12" s="39" t="s">
        <v>23</v>
      </c>
      <c r="M12" s="55">
        <f>SUMIF(F12:F137,"Kertas Putihan/ HVS",G12:G137)</f>
        <v>0</v>
      </c>
      <c r="N12" s="28"/>
    </row>
    <row r="13" ht="15.75" customHeight="1">
      <c r="A13" s="39" t="s">
        <v>25</v>
      </c>
      <c r="B13" s="40">
        <v>500.0</v>
      </c>
      <c r="C13" s="48"/>
      <c r="D13" s="56"/>
      <c r="E13" s="56"/>
      <c r="F13" s="39" t="s">
        <v>52</v>
      </c>
      <c r="G13" s="51"/>
      <c r="H13" s="57">
        <f>VLOOKUP(F13,$A$12:$B$12,2,TRUE)</f>
        <v>1000</v>
      </c>
      <c r="I13" s="53">
        <f t="shared" si="1"/>
        <v>0</v>
      </c>
      <c r="J13" s="56"/>
      <c r="K13" s="28"/>
      <c r="L13" s="39" t="s">
        <v>52</v>
      </c>
      <c r="M13" s="55">
        <f>SUMIF(F13:F139,"Buku/LKS",G13:G139)</f>
        <v>0</v>
      </c>
      <c r="N13" s="28"/>
    </row>
    <row r="14" ht="15.75" customHeight="1">
      <c r="A14" s="39" t="s">
        <v>26</v>
      </c>
      <c r="B14" s="40">
        <v>6500.0</v>
      </c>
      <c r="C14" s="48"/>
      <c r="D14" s="56"/>
      <c r="E14" s="56"/>
      <c r="F14" s="39" t="s">
        <v>25</v>
      </c>
      <c r="G14" s="51"/>
      <c r="H14" s="57">
        <f>VLOOKUP(F14,$A$13:$B$13,2,TRUE)</f>
        <v>500</v>
      </c>
      <c r="I14" s="53">
        <f t="shared" si="1"/>
        <v>0</v>
      </c>
      <c r="J14" s="56"/>
      <c r="K14" s="28"/>
      <c r="L14" s="39" t="s">
        <v>25</v>
      </c>
      <c r="M14" s="55">
        <f>SUMIF(F14:F140,"Duplex",G14:G140)</f>
        <v>0</v>
      </c>
      <c r="N14" s="28"/>
    </row>
    <row r="15" ht="15.75" customHeight="1">
      <c r="A15" s="39" t="s">
        <v>27</v>
      </c>
      <c r="B15" s="40">
        <v>2000.0</v>
      </c>
      <c r="C15" s="48"/>
      <c r="D15" s="56"/>
      <c r="E15" s="56"/>
      <c r="F15" s="39" t="s">
        <v>26</v>
      </c>
      <c r="G15" s="51"/>
      <c r="H15" s="57">
        <f>VLOOKUP(F15,$A$14:$B$14,2,TRUE)</f>
        <v>6500</v>
      </c>
      <c r="I15" s="53">
        <f t="shared" si="1"/>
        <v>0</v>
      </c>
      <c r="J15" s="56"/>
      <c r="K15" s="28"/>
      <c r="L15" s="39" t="s">
        <v>26</v>
      </c>
      <c r="M15" s="55">
        <f>SUMIF(F15:F141,"Alumunium",G15:G141)</f>
        <v>0</v>
      </c>
      <c r="N15" s="28"/>
    </row>
    <row r="16" ht="15.75" customHeight="1">
      <c r="A16" s="39" t="s">
        <v>28</v>
      </c>
      <c r="B16" s="40">
        <v>1300.0</v>
      </c>
      <c r="C16" s="48"/>
      <c r="D16" s="56"/>
      <c r="E16" s="56"/>
      <c r="F16" s="39" t="s">
        <v>27</v>
      </c>
      <c r="G16" s="51"/>
      <c r="H16" s="57">
        <f>VLOOKUP(F16,$A$15:$B$15,2,TRUE)</f>
        <v>2000</v>
      </c>
      <c r="I16" s="53">
        <f t="shared" si="1"/>
        <v>0</v>
      </c>
      <c r="J16" s="56"/>
      <c r="K16" s="28"/>
      <c r="L16" s="39" t="s">
        <v>27</v>
      </c>
      <c r="M16" s="55">
        <f>SUMIF(F16:F142,"Besi",G16:G142)</f>
        <v>0</v>
      </c>
      <c r="N16" s="28"/>
    </row>
    <row r="17" ht="15.75" customHeight="1">
      <c r="A17" s="39" t="s">
        <v>29</v>
      </c>
      <c r="B17" s="40">
        <v>5000.0</v>
      </c>
      <c r="C17" s="48"/>
      <c r="D17" s="56"/>
      <c r="E17" s="56"/>
      <c r="F17" s="39" t="s">
        <v>28</v>
      </c>
      <c r="G17" s="51"/>
      <c r="H17" s="57">
        <f>VLOOKUP(F17,$A$16:$B$16,2,TRUE)</f>
        <v>1300</v>
      </c>
      <c r="I17" s="53">
        <f t="shared" si="1"/>
        <v>0</v>
      </c>
      <c r="J17" s="56"/>
      <c r="K17" s="28"/>
      <c r="L17" s="39" t="s">
        <v>28</v>
      </c>
      <c r="M17" s="55">
        <f>SUMIF(F17:F143,"Kaleng kue/susu",G17:G143)</f>
        <v>0</v>
      </c>
      <c r="N17" s="28"/>
    </row>
    <row r="18" ht="15.75" customHeight="1">
      <c r="A18" s="39" t="s">
        <v>30</v>
      </c>
      <c r="B18" s="40">
        <v>2300.0</v>
      </c>
      <c r="C18" s="48"/>
      <c r="D18" s="56"/>
      <c r="E18" s="56"/>
      <c r="F18" s="39" t="s">
        <v>29</v>
      </c>
      <c r="G18" s="51"/>
      <c r="H18" s="57">
        <f>VLOOKUP(F18,$A$17:$B$17,2,TRUE)</f>
        <v>5000</v>
      </c>
      <c r="I18" s="53">
        <f t="shared" si="1"/>
        <v>0</v>
      </c>
      <c r="J18" s="56"/>
      <c r="K18" s="28"/>
      <c r="L18" s="39" t="s">
        <v>29</v>
      </c>
      <c r="M18" s="55">
        <f>SUMIF(F18:F144,"Kaleng Minuman",G18:G144)</f>
        <v>0</v>
      </c>
      <c r="N18" s="28"/>
    </row>
    <row r="19" ht="15.75" customHeight="1">
      <c r="A19" s="39" t="s">
        <v>32</v>
      </c>
      <c r="B19" s="40">
        <v>10000.0</v>
      </c>
      <c r="C19" s="48"/>
      <c r="D19" s="56"/>
      <c r="E19" s="56"/>
      <c r="F19" s="39" t="s">
        <v>30</v>
      </c>
      <c r="G19" s="51"/>
      <c r="H19" s="57">
        <f>VLOOKUP(F19,$A$18:$B$18,2,TRUE)</f>
        <v>2300</v>
      </c>
      <c r="I19" s="53">
        <f t="shared" si="1"/>
        <v>0</v>
      </c>
      <c r="J19" s="56"/>
      <c r="K19" s="28"/>
      <c r="L19" s="39" t="s">
        <v>30</v>
      </c>
      <c r="M19" s="55">
        <f>SUMIF(F19:F146,"Stanless",G19:G146)</f>
        <v>0</v>
      </c>
      <c r="N19" s="28"/>
    </row>
    <row r="20" ht="15.75" customHeight="1">
      <c r="A20" s="39" t="s">
        <v>53</v>
      </c>
      <c r="B20" s="40">
        <v>300.0</v>
      </c>
      <c r="C20" s="48"/>
      <c r="D20" s="56"/>
      <c r="E20" s="56"/>
      <c r="F20" s="39" t="s">
        <v>32</v>
      </c>
      <c r="G20" s="51"/>
      <c r="H20" s="57">
        <f>VLOOKUP(F20,$A$19:$B$19,2,TRUE)</f>
        <v>10000</v>
      </c>
      <c r="I20" s="53">
        <f t="shared" si="1"/>
        <v>0</v>
      </c>
      <c r="J20" s="56"/>
      <c r="K20" s="28"/>
      <c r="L20" s="39" t="s">
        <v>32</v>
      </c>
      <c r="M20" s="55">
        <f>SUMIF(F20:F147,"Aki Motor",G20:G147)</f>
        <v>0</v>
      </c>
      <c r="N20" s="28"/>
    </row>
    <row r="21" ht="15.75" customHeight="1">
      <c r="A21" s="39" t="s">
        <v>12</v>
      </c>
      <c r="B21" s="40">
        <v>300.0</v>
      </c>
      <c r="C21" s="48"/>
      <c r="D21" s="56"/>
      <c r="E21" s="56"/>
      <c r="F21" s="39" t="s">
        <v>53</v>
      </c>
      <c r="G21" s="51"/>
      <c r="H21" s="57">
        <f>VLOOKUP(F21,$A$20:$B$20,2,TRUE)</f>
        <v>300</v>
      </c>
      <c r="I21" s="53">
        <f t="shared" si="1"/>
        <v>0</v>
      </c>
      <c r="J21" s="56"/>
      <c r="K21" s="28"/>
      <c r="L21" s="39" t="s">
        <v>53</v>
      </c>
      <c r="M21" s="55">
        <f>SUMIF(F21:F150,"Plastik Keresek",G21:G150)</f>
        <v>0</v>
      </c>
      <c r="N21" s="28"/>
    </row>
    <row r="22" ht="15.75" customHeight="1">
      <c r="A22" s="39" t="s">
        <v>9</v>
      </c>
      <c r="B22" s="40">
        <v>1700.0</v>
      </c>
      <c r="C22" s="48"/>
      <c r="D22" s="56"/>
      <c r="E22" s="56"/>
      <c r="F22" s="39" t="s">
        <v>12</v>
      </c>
      <c r="G22" s="51"/>
      <c r="H22" s="57">
        <f>VLOOKUP(F22,$A$21:$B$21,2,TRUE)</f>
        <v>300</v>
      </c>
      <c r="I22" s="53">
        <f t="shared" si="1"/>
        <v>0</v>
      </c>
      <c r="J22" s="56"/>
      <c r="K22" s="28"/>
      <c r="L22" s="39" t="s">
        <v>12</v>
      </c>
      <c r="M22" s="55">
        <f>SUMIF(F22:F152,"Beling",G22:G152)</f>
        <v>3.5</v>
      </c>
      <c r="N22" s="28"/>
    </row>
    <row r="23" ht="15.75" customHeight="1">
      <c r="A23" s="39" t="s">
        <v>14</v>
      </c>
      <c r="B23" s="58">
        <v>4000.0</v>
      </c>
      <c r="C23" s="48"/>
      <c r="D23" s="56"/>
      <c r="E23" s="56"/>
      <c r="F23" s="39" t="s">
        <v>9</v>
      </c>
      <c r="G23" s="51"/>
      <c r="H23" s="57">
        <f>VLOOKUP(F23,$A$22:$B$22,2,TRUE)</f>
        <v>1700</v>
      </c>
      <c r="I23" s="53">
        <f t="shared" si="1"/>
        <v>0</v>
      </c>
      <c r="J23" s="56"/>
      <c r="K23" s="28"/>
      <c r="L23" s="39" t="s">
        <v>9</v>
      </c>
      <c r="M23" s="55">
        <f>SUMIF(F23:F154,"Paku",G23:G154)</f>
        <v>0</v>
      </c>
      <c r="N23" s="28"/>
    </row>
    <row r="24" ht="15.75" customHeight="1">
      <c r="A24" s="39" t="s">
        <v>54</v>
      </c>
      <c r="B24" s="40">
        <v>500.0</v>
      </c>
      <c r="C24" s="48"/>
      <c r="D24" s="56"/>
      <c r="E24" s="56"/>
      <c r="F24" s="39" t="s">
        <v>14</v>
      </c>
      <c r="G24" s="51"/>
      <c r="H24" s="57">
        <f>VLOOKUP(F23,$A$23:$B$23,2,TRUE)</f>
        <v>4000</v>
      </c>
      <c r="I24" s="53">
        <f t="shared" si="1"/>
        <v>0</v>
      </c>
      <c r="J24" s="56"/>
      <c r="K24" s="28"/>
      <c r="L24" s="39" t="s">
        <v>14</v>
      </c>
      <c r="M24" s="55">
        <f>SUMIF(F24:F155,"Minyak Jelantah",G24:G155)</f>
        <v>10</v>
      </c>
      <c r="N24" s="28"/>
    </row>
    <row r="25" ht="15.75" customHeight="1">
      <c r="A25" s="48"/>
      <c r="B25" s="48"/>
      <c r="C25" s="48"/>
      <c r="D25" s="14"/>
      <c r="E25" s="14"/>
      <c r="F25" s="39" t="s">
        <v>54</v>
      </c>
      <c r="G25" s="51"/>
      <c r="H25" s="57">
        <f>VLOOKUP(F24,$A$24:$B$24,2,TRUE)</f>
        <v>500</v>
      </c>
      <c r="I25" s="53">
        <f t="shared" si="1"/>
        <v>0</v>
      </c>
      <c r="J25" s="14"/>
      <c r="K25" s="28"/>
      <c r="L25" s="39" t="s">
        <v>54</v>
      </c>
      <c r="M25" s="55">
        <f>SUMIF(F25:F156,"Lainnya",G25:G156)</f>
        <v>1</v>
      </c>
      <c r="N25" s="28"/>
    </row>
    <row r="26" ht="15.75" customHeight="1">
      <c r="A26" s="48"/>
      <c r="B26" s="48"/>
      <c r="C26" s="48"/>
      <c r="D26" s="49">
        <v>2.0</v>
      </c>
      <c r="E26" s="50" t="s">
        <v>55</v>
      </c>
      <c r="F26" s="39" t="s">
        <v>16</v>
      </c>
      <c r="G26" s="51"/>
      <c r="H26" s="52">
        <v>3100.0</v>
      </c>
      <c r="I26" s="53">
        <f t="shared" si="1"/>
        <v>0</v>
      </c>
      <c r="J26" s="54">
        <f>SUM(I26:I46)</f>
        <v>11000</v>
      </c>
      <c r="K26" s="28"/>
      <c r="L26" s="28"/>
      <c r="M26" s="28"/>
      <c r="N26" s="28"/>
    </row>
    <row r="27" ht="15.75" customHeight="1">
      <c r="A27" s="59"/>
      <c r="B27" s="59"/>
      <c r="C27" s="48"/>
      <c r="D27" s="56"/>
      <c r="E27" s="56"/>
      <c r="F27" s="39" t="s">
        <v>47</v>
      </c>
      <c r="G27" s="51"/>
      <c r="H27" s="57">
        <v>3000.0</v>
      </c>
      <c r="I27" s="53">
        <f t="shared" si="1"/>
        <v>0</v>
      </c>
      <c r="J27" s="56"/>
      <c r="K27" s="28"/>
      <c r="L27" s="28"/>
      <c r="M27" s="28"/>
      <c r="N27" s="28"/>
    </row>
    <row r="28" ht="15.75" customHeight="1">
      <c r="A28" s="59"/>
      <c r="B28" s="59"/>
      <c r="C28" s="48"/>
      <c r="D28" s="56"/>
      <c r="E28" s="56"/>
      <c r="F28" s="39" t="s">
        <v>49</v>
      </c>
      <c r="G28" s="51">
        <f>1.5+1</f>
        <v>2.5</v>
      </c>
      <c r="H28" s="57">
        <v>800.0</v>
      </c>
      <c r="I28" s="53">
        <f t="shared" si="1"/>
        <v>2000</v>
      </c>
      <c r="J28" s="56"/>
      <c r="K28" s="28"/>
      <c r="L28" s="28"/>
      <c r="M28" s="28"/>
      <c r="N28" s="28"/>
    </row>
    <row r="29" ht="15.75" customHeight="1">
      <c r="A29" s="60"/>
      <c r="B29" s="60"/>
      <c r="C29" s="48"/>
      <c r="D29" s="56"/>
      <c r="E29" s="56"/>
      <c r="F29" s="39" t="s">
        <v>19</v>
      </c>
      <c r="G29" s="51"/>
      <c r="H29" s="57">
        <v>2000.0</v>
      </c>
      <c r="I29" s="53">
        <f t="shared" si="1"/>
        <v>0</v>
      </c>
      <c r="J29" s="56"/>
      <c r="K29" s="28"/>
      <c r="L29" s="28"/>
      <c r="M29" s="28"/>
      <c r="N29" s="28"/>
    </row>
    <row r="30" ht="15.75" customHeight="1">
      <c r="A30" s="61"/>
      <c r="B30" s="60"/>
      <c r="C30" s="48"/>
      <c r="D30" s="56"/>
      <c r="E30" s="56"/>
      <c r="F30" s="39" t="s">
        <v>20</v>
      </c>
      <c r="G30" s="51"/>
      <c r="H30" s="57">
        <v>2800.0</v>
      </c>
      <c r="I30" s="53">
        <f t="shared" si="1"/>
        <v>0</v>
      </c>
      <c r="J30" s="56"/>
      <c r="K30" s="28"/>
      <c r="L30" s="28"/>
      <c r="M30" s="28"/>
      <c r="N30" s="28"/>
    </row>
    <row r="31" ht="15.75" customHeight="1">
      <c r="A31" s="61"/>
      <c r="B31" s="60"/>
      <c r="C31" s="48"/>
      <c r="D31" s="56"/>
      <c r="E31" s="56"/>
      <c r="F31" s="39" t="s">
        <v>50</v>
      </c>
      <c r="G31" s="51"/>
      <c r="H31" s="57">
        <v>800.0</v>
      </c>
      <c r="I31" s="53">
        <f t="shared" si="1"/>
        <v>0</v>
      </c>
      <c r="J31" s="56"/>
      <c r="K31" s="28"/>
      <c r="L31" s="28"/>
      <c r="M31" s="28"/>
      <c r="N31" s="28"/>
    </row>
    <row r="32" ht="15.75" customHeight="1">
      <c r="A32" s="61"/>
      <c r="B32" s="60"/>
      <c r="C32" s="48"/>
      <c r="D32" s="56"/>
      <c r="E32" s="56"/>
      <c r="F32" s="39" t="s">
        <v>22</v>
      </c>
      <c r="G32" s="51">
        <v>6.0</v>
      </c>
      <c r="H32" s="57">
        <v>1500.0</v>
      </c>
      <c r="I32" s="53">
        <f t="shared" si="1"/>
        <v>9000</v>
      </c>
      <c r="J32" s="56"/>
      <c r="K32" s="28"/>
      <c r="L32" s="28"/>
      <c r="M32" s="28"/>
      <c r="N32" s="28"/>
    </row>
    <row r="33" ht="15.75" customHeight="1">
      <c r="A33" s="61"/>
      <c r="B33" s="60"/>
      <c r="C33" s="48"/>
      <c r="D33" s="56"/>
      <c r="E33" s="56"/>
      <c r="F33" s="39" t="s">
        <v>23</v>
      </c>
      <c r="G33" s="51"/>
      <c r="H33" s="57">
        <v>1200.0</v>
      </c>
      <c r="I33" s="53">
        <f t="shared" si="1"/>
        <v>0</v>
      </c>
      <c r="J33" s="56"/>
      <c r="K33" s="28"/>
      <c r="L33" s="28"/>
      <c r="M33" s="28"/>
      <c r="N33" s="28"/>
    </row>
    <row r="34" ht="15.75" customHeight="1">
      <c r="A34" s="61"/>
      <c r="B34" s="60"/>
      <c r="C34" s="48"/>
      <c r="D34" s="56"/>
      <c r="E34" s="56"/>
      <c r="F34" s="39" t="s">
        <v>52</v>
      </c>
      <c r="G34" s="51"/>
      <c r="H34" s="57">
        <v>1000.0</v>
      </c>
      <c r="I34" s="53">
        <f t="shared" si="1"/>
        <v>0</v>
      </c>
      <c r="J34" s="56"/>
      <c r="K34" s="28"/>
      <c r="L34" s="28"/>
      <c r="M34" s="28"/>
      <c r="N34" s="28"/>
    </row>
    <row r="35" ht="15.75" customHeight="1">
      <c r="A35" s="61"/>
      <c r="B35" s="60"/>
      <c r="C35" s="48"/>
      <c r="D35" s="56"/>
      <c r="E35" s="56"/>
      <c r="F35" s="39" t="s">
        <v>25</v>
      </c>
      <c r="G35" s="51"/>
      <c r="H35" s="57">
        <v>500.0</v>
      </c>
      <c r="I35" s="53">
        <f t="shared" si="1"/>
        <v>0</v>
      </c>
      <c r="J35" s="56"/>
      <c r="K35" s="28"/>
      <c r="L35" s="28"/>
      <c r="M35" s="28"/>
      <c r="N35" s="28"/>
    </row>
    <row r="36" ht="15.75" customHeight="1">
      <c r="A36" s="61"/>
      <c r="B36" s="60"/>
      <c r="C36" s="48"/>
      <c r="D36" s="56"/>
      <c r="E36" s="56"/>
      <c r="F36" s="39" t="s">
        <v>26</v>
      </c>
      <c r="G36" s="51"/>
      <c r="H36" s="57">
        <v>6500.0</v>
      </c>
      <c r="I36" s="53">
        <f t="shared" si="1"/>
        <v>0</v>
      </c>
      <c r="J36" s="56"/>
      <c r="K36" s="28"/>
      <c r="L36" s="28"/>
      <c r="M36" s="28"/>
      <c r="N36" s="28"/>
    </row>
    <row r="37" ht="15.75" customHeight="1">
      <c r="A37" s="61"/>
      <c r="B37" s="60"/>
      <c r="C37" s="48"/>
      <c r="D37" s="56"/>
      <c r="E37" s="56"/>
      <c r="F37" s="39" t="s">
        <v>27</v>
      </c>
      <c r="G37" s="51"/>
      <c r="H37" s="57">
        <v>2000.0</v>
      </c>
      <c r="I37" s="53">
        <f t="shared" si="1"/>
        <v>0</v>
      </c>
      <c r="J37" s="56"/>
      <c r="K37" s="28"/>
      <c r="L37" s="28"/>
      <c r="M37" s="28"/>
      <c r="N37" s="28"/>
    </row>
    <row r="38" ht="15.75" customHeight="1">
      <c r="A38" s="61"/>
      <c r="B38" s="60"/>
      <c r="C38" s="48"/>
      <c r="D38" s="56"/>
      <c r="E38" s="56"/>
      <c r="F38" s="39" t="s">
        <v>28</v>
      </c>
      <c r="G38" s="51"/>
      <c r="H38" s="57">
        <v>1300.0</v>
      </c>
      <c r="I38" s="53">
        <f t="shared" si="1"/>
        <v>0</v>
      </c>
      <c r="J38" s="56"/>
      <c r="K38" s="28"/>
      <c r="L38" s="28"/>
      <c r="M38" s="28"/>
      <c r="N38" s="28"/>
    </row>
    <row r="39" ht="15.75" customHeight="1">
      <c r="A39" s="61"/>
      <c r="B39" s="60"/>
      <c r="C39" s="48"/>
      <c r="D39" s="56"/>
      <c r="E39" s="56"/>
      <c r="F39" s="39" t="s">
        <v>29</v>
      </c>
      <c r="G39" s="51"/>
      <c r="H39" s="57">
        <v>5000.0</v>
      </c>
      <c r="I39" s="53">
        <f t="shared" si="1"/>
        <v>0</v>
      </c>
      <c r="J39" s="56"/>
      <c r="K39" s="28"/>
      <c r="L39" s="28"/>
      <c r="M39" s="28"/>
      <c r="N39" s="28"/>
    </row>
    <row r="40" ht="15.75" customHeight="1">
      <c r="A40" s="61"/>
      <c r="B40" s="60"/>
      <c r="C40" s="48"/>
      <c r="D40" s="56"/>
      <c r="E40" s="56"/>
      <c r="F40" s="39" t="s">
        <v>30</v>
      </c>
      <c r="G40" s="51"/>
      <c r="H40" s="57">
        <v>2300.0</v>
      </c>
      <c r="I40" s="53">
        <f t="shared" si="1"/>
        <v>0</v>
      </c>
      <c r="J40" s="56"/>
      <c r="K40" s="28"/>
      <c r="L40" s="28"/>
      <c r="M40" s="28"/>
      <c r="N40" s="28"/>
    </row>
    <row r="41" ht="15.75" customHeight="1">
      <c r="A41" s="61"/>
      <c r="B41" s="60"/>
      <c r="C41" s="48"/>
      <c r="D41" s="56"/>
      <c r="E41" s="56"/>
      <c r="F41" s="39" t="s">
        <v>32</v>
      </c>
      <c r="G41" s="51"/>
      <c r="H41" s="57">
        <v>10000.0</v>
      </c>
      <c r="I41" s="53">
        <f t="shared" si="1"/>
        <v>0</v>
      </c>
      <c r="J41" s="56"/>
      <c r="K41" s="28"/>
      <c r="L41" s="28"/>
      <c r="M41" s="28"/>
      <c r="N41" s="28"/>
    </row>
    <row r="42" ht="15.75" customHeight="1">
      <c r="A42" s="61"/>
      <c r="B42" s="60"/>
      <c r="C42" s="48"/>
      <c r="D42" s="56"/>
      <c r="E42" s="56"/>
      <c r="F42" s="39" t="s">
        <v>53</v>
      </c>
      <c r="G42" s="51"/>
      <c r="H42" s="57">
        <v>300.0</v>
      </c>
      <c r="I42" s="53">
        <f t="shared" si="1"/>
        <v>0</v>
      </c>
      <c r="J42" s="56"/>
      <c r="K42" s="28"/>
      <c r="L42" s="28"/>
      <c r="M42" s="28"/>
      <c r="N42" s="28"/>
    </row>
    <row r="43" ht="15.75" customHeight="1">
      <c r="A43" s="61"/>
      <c r="B43" s="60"/>
      <c r="C43" s="48"/>
      <c r="D43" s="56"/>
      <c r="E43" s="56"/>
      <c r="F43" s="39" t="s">
        <v>12</v>
      </c>
      <c r="G43" s="51"/>
      <c r="H43" s="57">
        <v>300.0</v>
      </c>
      <c r="I43" s="53">
        <f t="shared" si="1"/>
        <v>0</v>
      </c>
      <c r="J43" s="56"/>
      <c r="K43" s="28"/>
      <c r="L43" s="28"/>
      <c r="M43" s="28"/>
      <c r="N43" s="28"/>
    </row>
    <row r="44" ht="15.75" customHeight="1">
      <c r="A44" s="61"/>
      <c r="B44" s="60"/>
      <c r="C44" s="48"/>
      <c r="D44" s="56"/>
      <c r="E44" s="56"/>
      <c r="F44" s="39" t="s">
        <v>9</v>
      </c>
      <c r="G44" s="51"/>
      <c r="H44" s="57">
        <v>1700.0</v>
      </c>
      <c r="I44" s="53">
        <f t="shared" si="1"/>
        <v>0</v>
      </c>
      <c r="J44" s="56"/>
      <c r="K44" s="28"/>
      <c r="L44" s="28"/>
      <c r="M44" s="28"/>
      <c r="N44" s="28"/>
    </row>
    <row r="45" ht="15.75" customHeight="1">
      <c r="A45" s="61"/>
      <c r="B45" s="60"/>
      <c r="C45" s="48"/>
      <c r="D45" s="56"/>
      <c r="E45" s="56"/>
      <c r="F45" s="39" t="s">
        <v>14</v>
      </c>
      <c r="G45" s="51"/>
      <c r="H45" s="57">
        <v>4000.0</v>
      </c>
      <c r="I45" s="53">
        <f t="shared" si="1"/>
        <v>0</v>
      </c>
      <c r="J45" s="56"/>
      <c r="K45" s="28"/>
      <c r="L45" s="28"/>
      <c r="M45" s="28"/>
      <c r="N45" s="28"/>
    </row>
    <row r="46" ht="15.75" customHeight="1">
      <c r="A46" s="61"/>
      <c r="B46" s="60"/>
      <c r="C46" s="48"/>
      <c r="D46" s="14"/>
      <c r="E46" s="14"/>
      <c r="F46" s="39" t="s">
        <v>54</v>
      </c>
      <c r="G46" s="51"/>
      <c r="H46" s="57">
        <v>500.0</v>
      </c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61"/>
      <c r="B47" s="60"/>
      <c r="C47" s="48"/>
      <c r="D47" s="49">
        <v>3.0</v>
      </c>
      <c r="E47" s="62" t="s">
        <v>56</v>
      </c>
      <c r="F47" s="39" t="s">
        <v>16</v>
      </c>
      <c r="G47" s="51"/>
      <c r="H47" s="52">
        <v>3100.0</v>
      </c>
      <c r="I47" s="53">
        <f t="shared" si="1"/>
        <v>0</v>
      </c>
      <c r="J47" s="54">
        <f>SUM(I47:I67)</f>
        <v>39300</v>
      </c>
      <c r="K47" s="28"/>
      <c r="L47" s="28"/>
      <c r="M47" s="28"/>
      <c r="N47" s="28"/>
    </row>
    <row r="48" ht="15.75" customHeight="1">
      <c r="A48" s="61"/>
      <c r="B48" s="60"/>
      <c r="C48" s="48"/>
      <c r="D48" s="56"/>
      <c r="E48" s="56"/>
      <c r="F48" s="39" t="s">
        <v>47</v>
      </c>
      <c r="G48" s="51">
        <v>3.0</v>
      </c>
      <c r="H48" s="57">
        <v>3000.0</v>
      </c>
      <c r="I48" s="53">
        <f t="shared" si="1"/>
        <v>9000</v>
      </c>
      <c r="J48" s="56"/>
      <c r="K48" s="28"/>
      <c r="L48" s="28"/>
      <c r="M48" s="28"/>
      <c r="N48" s="28"/>
    </row>
    <row r="49" ht="15.75" customHeight="1">
      <c r="A49" s="61"/>
      <c r="B49" s="60"/>
      <c r="C49" s="48"/>
      <c r="D49" s="56"/>
      <c r="E49" s="56"/>
      <c r="F49" s="39" t="s">
        <v>49</v>
      </c>
      <c r="G49" s="51">
        <v>1.0</v>
      </c>
      <c r="H49" s="57">
        <v>800.0</v>
      </c>
      <c r="I49" s="53">
        <f t="shared" si="1"/>
        <v>800</v>
      </c>
      <c r="J49" s="56"/>
      <c r="K49" s="28"/>
      <c r="L49" s="28"/>
      <c r="M49" s="28"/>
      <c r="N49" s="28"/>
    </row>
    <row r="50" ht="15.75" customHeight="1">
      <c r="A50" s="61"/>
      <c r="B50" s="60"/>
      <c r="C50" s="48"/>
      <c r="D50" s="56"/>
      <c r="E50" s="56"/>
      <c r="F50" s="39" t="s">
        <v>19</v>
      </c>
      <c r="G50" s="51">
        <v>2.5</v>
      </c>
      <c r="H50" s="57">
        <v>2000.0</v>
      </c>
      <c r="I50" s="53">
        <f t="shared" si="1"/>
        <v>5000</v>
      </c>
      <c r="J50" s="56"/>
      <c r="K50" s="28"/>
      <c r="L50" s="28"/>
      <c r="M50" s="28"/>
      <c r="N50" s="28"/>
    </row>
    <row r="51" ht="15.75" customHeight="1">
      <c r="A51" s="63"/>
      <c r="B51" s="63"/>
      <c r="C51" s="48"/>
      <c r="D51" s="56"/>
      <c r="E51" s="56"/>
      <c r="F51" s="39" t="s">
        <v>20</v>
      </c>
      <c r="G51" s="51"/>
      <c r="H51" s="57">
        <v>2800.0</v>
      </c>
      <c r="I51" s="53">
        <f t="shared" si="1"/>
        <v>0</v>
      </c>
      <c r="J51" s="56"/>
      <c r="K51" s="28"/>
      <c r="L51" s="28"/>
      <c r="M51" s="28"/>
      <c r="N51" s="28"/>
    </row>
    <row r="52" ht="15.75" customHeight="1">
      <c r="A52" s="63"/>
      <c r="B52" s="63"/>
      <c r="C52" s="48"/>
      <c r="D52" s="56"/>
      <c r="E52" s="56"/>
      <c r="F52" s="39" t="s">
        <v>50</v>
      </c>
      <c r="G52" s="51"/>
      <c r="H52" s="57">
        <v>800.0</v>
      </c>
      <c r="I52" s="53">
        <f t="shared" si="1"/>
        <v>0</v>
      </c>
      <c r="J52" s="56"/>
      <c r="K52" s="28"/>
      <c r="L52" s="28"/>
      <c r="M52" s="28"/>
      <c r="N52" s="28"/>
    </row>
    <row r="53" ht="15.75" customHeight="1">
      <c r="A53" s="63"/>
      <c r="B53" s="63"/>
      <c r="C53" s="48"/>
      <c r="D53" s="56"/>
      <c r="E53" s="56"/>
      <c r="F53" s="39" t="s">
        <v>22</v>
      </c>
      <c r="G53" s="51">
        <v>3.0</v>
      </c>
      <c r="H53" s="57">
        <v>1500.0</v>
      </c>
      <c r="I53" s="53">
        <f t="shared" si="1"/>
        <v>4500</v>
      </c>
      <c r="J53" s="56"/>
      <c r="K53" s="28"/>
      <c r="L53" s="28"/>
      <c r="M53" s="28"/>
      <c r="N53" s="28"/>
    </row>
    <row r="54" ht="15.75" customHeight="1">
      <c r="A54" s="63"/>
      <c r="B54" s="63"/>
      <c r="C54" s="48"/>
      <c r="D54" s="56"/>
      <c r="E54" s="56"/>
      <c r="F54" s="39" t="s">
        <v>23</v>
      </c>
      <c r="G54" s="51"/>
      <c r="H54" s="57">
        <v>1200.0</v>
      </c>
      <c r="I54" s="53">
        <f t="shared" si="1"/>
        <v>0</v>
      </c>
      <c r="J54" s="56"/>
      <c r="K54" s="28"/>
      <c r="L54" s="28"/>
      <c r="M54" s="28"/>
      <c r="N54" s="28"/>
    </row>
    <row r="55" ht="15.75" customHeight="1">
      <c r="A55" s="63"/>
      <c r="B55" s="63"/>
      <c r="C55" s="48"/>
      <c r="D55" s="56"/>
      <c r="E55" s="56"/>
      <c r="F55" s="39" t="s">
        <v>52</v>
      </c>
      <c r="G55" s="51"/>
      <c r="H55" s="57">
        <v>1000.0</v>
      </c>
      <c r="I55" s="53">
        <f t="shared" si="1"/>
        <v>0</v>
      </c>
      <c r="J55" s="56"/>
      <c r="K55" s="28"/>
      <c r="L55" s="28"/>
      <c r="M55" s="28"/>
      <c r="N55" s="28"/>
    </row>
    <row r="56" ht="15.75" customHeight="1">
      <c r="A56" s="63"/>
      <c r="B56" s="63"/>
      <c r="C56" s="48"/>
      <c r="D56" s="56"/>
      <c r="E56" s="56"/>
      <c r="F56" s="39" t="s">
        <v>25</v>
      </c>
      <c r="G56" s="51"/>
      <c r="H56" s="57">
        <v>500.0</v>
      </c>
      <c r="I56" s="53">
        <f t="shared" si="1"/>
        <v>0</v>
      </c>
      <c r="J56" s="56"/>
      <c r="K56" s="28"/>
      <c r="L56" s="28"/>
      <c r="M56" s="28"/>
      <c r="N56" s="28"/>
    </row>
    <row r="57" ht="15.75" customHeight="1">
      <c r="A57" s="63"/>
      <c r="B57" s="63"/>
      <c r="C57" s="48"/>
      <c r="D57" s="56"/>
      <c r="E57" s="56"/>
      <c r="F57" s="39" t="s">
        <v>26</v>
      </c>
      <c r="G57" s="51"/>
      <c r="H57" s="57">
        <v>6500.0</v>
      </c>
      <c r="I57" s="53">
        <f t="shared" si="1"/>
        <v>0</v>
      </c>
      <c r="J57" s="56"/>
      <c r="K57" s="28"/>
      <c r="L57" s="28"/>
      <c r="M57" s="28"/>
      <c r="N57" s="28"/>
    </row>
    <row r="58" ht="15.75" customHeight="1">
      <c r="A58" s="48"/>
      <c r="B58" s="48"/>
      <c r="C58" s="48"/>
      <c r="D58" s="56"/>
      <c r="E58" s="56"/>
      <c r="F58" s="39" t="s">
        <v>27</v>
      </c>
      <c r="G58" s="51"/>
      <c r="H58" s="57">
        <v>2000.0</v>
      </c>
      <c r="I58" s="53">
        <f t="shared" si="1"/>
        <v>0</v>
      </c>
      <c r="J58" s="56"/>
      <c r="K58" s="28"/>
      <c r="L58" s="28"/>
      <c r="M58" s="28"/>
      <c r="N58" s="28"/>
    </row>
    <row r="59" ht="15.75" customHeight="1">
      <c r="A59" s="48"/>
      <c r="B59" s="48"/>
      <c r="C59" s="48"/>
      <c r="D59" s="56"/>
      <c r="E59" s="56"/>
      <c r="F59" s="39" t="s">
        <v>28</v>
      </c>
      <c r="G59" s="51"/>
      <c r="H59" s="57">
        <v>1300.0</v>
      </c>
      <c r="I59" s="53">
        <f t="shared" si="1"/>
        <v>0</v>
      </c>
      <c r="J59" s="56"/>
      <c r="K59" s="28"/>
      <c r="L59" s="28"/>
      <c r="M59" s="28"/>
      <c r="N59" s="28"/>
    </row>
    <row r="60" ht="15.75" customHeight="1">
      <c r="A60" s="48"/>
      <c r="B60" s="48"/>
      <c r="C60" s="48"/>
      <c r="D60" s="56"/>
      <c r="E60" s="56"/>
      <c r="F60" s="39" t="s">
        <v>29</v>
      </c>
      <c r="G60" s="51"/>
      <c r="H60" s="57">
        <v>5000.0</v>
      </c>
      <c r="I60" s="53">
        <f t="shared" si="1"/>
        <v>0</v>
      </c>
      <c r="J60" s="56"/>
      <c r="K60" s="28"/>
      <c r="L60" s="28"/>
      <c r="M60" s="28"/>
      <c r="N60" s="28"/>
    </row>
    <row r="61" ht="15.75" customHeight="1">
      <c r="A61" s="48"/>
      <c r="B61" s="48"/>
      <c r="C61" s="48"/>
      <c r="D61" s="56"/>
      <c r="E61" s="56"/>
      <c r="F61" s="39" t="s">
        <v>30</v>
      </c>
      <c r="G61" s="51"/>
      <c r="H61" s="57">
        <v>2300.0</v>
      </c>
      <c r="I61" s="53">
        <f t="shared" si="1"/>
        <v>0</v>
      </c>
      <c r="J61" s="56"/>
      <c r="K61" s="28"/>
      <c r="L61" s="28"/>
      <c r="M61" s="28"/>
      <c r="N61" s="28"/>
    </row>
    <row r="62" ht="15.75" customHeight="1">
      <c r="A62" s="48"/>
      <c r="B62" s="48"/>
      <c r="C62" s="48"/>
      <c r="D62" s="56"/>
      <c r="E62" s="56"/>
      <c r="F62" s="39" t="s">
        <v>32</v>
      </c>
      <c r="G62" s="51"/>
      <c r="H62" s="57">
        <v>10000.0</v>
      </c>
      <c r="I62" s="53">
        <f t="shared" si="1"/>
        <v>0</v>
      </c>
      <c r="J62" s="56"/>
      <c r="K62" s="28"/>
      <c r="L62" s="28"/>
      <c r="M62" s="28"/>
      <c r="N62" s="28"/>
    </row>
    <row r="63" ht="15.75" customHeight="1">
      <c r="A63" s="48"/>
      <c r="B63" s="48"/>
      <c r="C63" s="48"/>
      <c r="D63" s="56"/>
      <c r="E63" s="56"/>
      <c r="F63" s="39" t="s">
        <v>53</v>
      </c>
      <c r="G63" s="51"/>
      <c r="H63" s="57">
        <v>300.0</v>
      </c>
      <c r="I63" s="53">
        <f t="shared" si="1"/>
        <v>0</v>
      </c>
      <c r="J63" s="56"/>
      <c r="K63" s="28"/>
      <c r="L63" s="28"/>
      <c r="M63" s="28"/>
      <c r="N63" s="28"/>
    </row>
    <row r="64" ht="15.75" customHeight="1">
      <c r="A64" s="48"/>
      <c r="B64" s="48"/>
      <c r="C64" s="48"/>
      <c r="D64" s="56"/>
      <c r="E64" s="56"/>
      <c r="F64" s="39" t="s">
        <v>12</v>
      </c>
      <c r="G64" s="51"/>
      <c r="H64" s="57">
        <v>300.0</v>
      </c>
      <c r="I64" s="53">
        <f t="shared" si="1"/>
        <v>0</v>
      </c>
      <c r="J64" s="56"/>
      <c r="K64" s="28"/>
      <c r="L64" s="28"/>
      <c r="M64" s="28"/>
      <c r="N64" s="28"/>
    </row>
    <row r="65" ht="15.75" customHeight="1">
      <c r="A65" s="48"/>
      <c r="B65" s="48"/>
      <c r="C65" s="48"/>
      <c r="D65" s="56"/>
      <c r="E65" s="56"/>
      <c r="F65" s="39" t="s">
        <v>9</v>
      </c>
      <c r="G65" s="51"/>
      <c r="H65" s="57">
        <v>1700.0</v>
      </c>
      <c r="I65" s="53">
        <f t="shared" si="1"/>
        <v>0</v>
      </c>
      <c r="J65" s="56"/>
      <c r="K65" s="28"/>
      <c r="L65" s="28"/>
      <c r="M65" s="28"/>
      <c r="N65" s="28"/>
    </row>
    <row r="66" ht="15.75" customHeight="1">
      <c r="A66" s="48"/>
      <c r="B66" s="48"/>
      <c r="C66" s="48"/>
      <c r="D66" s="56"/>
      <c r="E66" s="56"/>
      <c r="F66" s="39" t="s">
        <v>14</v>
      </c>
      <c r="G66" s="51">
        <v>5.0</v>
      </c>
      <c r="H66" s="57">
        <v>4000.0</v>
      </c>
      <c r="I66" s="53">
        <f t="shared" si="1"/>
        <v>20000</v>
      </c>
      <c r="J66" s="56"/>
      <c r="K66" s="28"/>
      <c r="L66" s="28"/>
      <c r="M66" s="28"/>
      <c r="N66" s="28"/>
    </row>
    <row r="67" ht="15.75" customHeight="1">
      <c r="A67" s="48"/>
      <c r="B67" s="48"/>
      <c r="C67" s="48"/>
      <c r="D67" s="14"/>
      <c r="E67" s="14"/>
      <c r="F67" s="39" t="s">
        <v>54</v>
      </c>
      <c r="G67" s="51">
        <v>1.0</v>
      </c>
      <c r="H67" s="57">
        <v>0.0</v>
      </c>
      <c r="I67" s="53">
        <f t="shared" si="1"/>
        <v>0</v>
      </c>
      <c r="J67" s="14"/>
      <c r="K67" s="28"/>
      <c r="L67" s="28"/>
      <c r="M67" s="28"/>
      <c r="N67" s="28"/>
    </row>
    <row r="68" ht="15.75" customHeight="1">
      <c r="A68" s="48"/>
      <c r="B68" s="48"/>
      <c r="C68" s="48"/>
      <c r="D68" s="49">
        <v>4.0</v>
      </c>
      <c r="E68" s="50" t="s">
        <v>57</v>
      </c>
      <c r="F68" s="39" t="s">
        <v>16</v>
      </c>
      <c r="G68" s="51"/>
      <c r="H68" s="52">
        <v>3100.0</v>
      </c>
      <c r="I68" s="53">
        <f t="shared" si="1"/>
        <v>0</v>
      </c>
      <c r="J68" s="54">
        <f>SUM(I68:I88)</f>
        <v>3850</v>
      </c>
      <c r="K68" s="28"/>
      <c r="L68" s="28"/>
      <c r="M68" s="28"/>
      <c r="N68" s="28"/>
    </row>
    <row r="69" ht="15.75" customHeight="1">
      <c r="A69" s="48"/>
      <c r="B69" s="48"/>
      <c r="C69" s="48"/>
      <c r="D69" s="56"/>
      <c r="E69" s="56"/>
      <c r="F69" s="39" t="s">
        <v>47</v>
      </c>
      <c r="G69" s="51"/>
      <c r="H69" s="57">
        <v>3000.0</v>
      </c>
      <c r="I69" s="53">
        <f t="shared" si="1"/>
        <v>0</v>
      </c>
      <c r="J69" s="56"/>
      <c r="K69" s="28"/>
      <c r="L69" s="28"/>
      <c r="M69" s="28"/>
      <c r="N69" s="28"/>
    </row>
    <row r="70" ht="15.75" customHeight="1">
      <c r="A70" s="48"/>
      <c r="B70" s="48"/>
      <c r="C70" s="48"/>
      <c r="D70" s="56"/>
      <c r="E70" s="56"/>
      <c r="F70" s="39" t="s">
        <v>49</v>
      </c>
      <c r="G70" s="51">
        <v>0.5</v>
      </c>
      <c r="H70" s="57">
        <v>800.0</v>
      </c>
      <c r="I70" s="53">
        <f t="shared" si="1"/>
        <v>400</v>
      </c>
      <c r="J70" s="56"/>
      <c r="K70" s="28"/>
      <c r="L70" s="28"/>
      <c r="M70" s="28"/>
      <c r="N70" s="28"/>
    </row>
    <row r="71" ht="15.75" customHeight="1">
      <c r="A71" s="48"/>
      <c r="B71" s="48"/>
      <c r="C71" s="48"/>
      <c r="D71" s="56"/>
      <c r="E71" s="56"/>
      <c r="F71" s="39" t="s">
        <v>19</v>
      </c>
      <c r="G71" s="51"/>
      <c r="H71" s="57">
        <v>2000.0</v>
      </c>
      <c r="I71" s="53">
        <f t="shared" si="1"/>
        <v>0</v>
      </c>
      <c r="J71" s="56"/>
      <c r="K71" s="28"/>
      <c r="L71" s="28"/>
      <c r="M71" s="28"/>
      <c r="N71" s="28"/>
    </row>
    <row r="72" ht="15.75" customHeight="1">
      <c r="A72" s="48"/>
      <c r="B72" s="48"/>
      <c r="C72" s="48"/>
      <c r="D72" s="56"/>
      <c r="E72" s="56"/>
      <c r="F72" s="39" t="s">
        <v>20</v>
      </c>
      <c r="G72" s="51"/>
      <c r="H72" s="57">
        <v>2800.0</v>
      </c>
      <c r="I72" s="53">
        <f t="shared" si="1"/>
        <v>0</v>
      </c>
      <c r="J72" s="56"/>
      <c r="K72" s="28"/>
      <c r="L72" s="28"/>
      <c r="M72" s="28"/>
      <c r="N72" s="28"/>
    </row>
    <row r="73" ht="15.75" customHeight="1">
      <c r="A73" s="48"/>
      <c r="B73" s="48"/>
      <c r="C73" s="48"/>
      <c r="D73" s="56"/>
      <c r="E73" s="56"/>
      <c r="F73" s="39" t="s">
        <v>50</v>
      </c>
      <c r="G73" s="51">
        <v>3.0</v>
      </c>
      <c r="H73" s="57">
        <v>800.0</v>
      </c>
      <c r="I73" s="53">
        <f t="shared" si="1"/>
        <v>2400</v>
      </c>
      <c r="J73" s="56"/>
      <c r="K73" s="28"/>
      <c r="L73" s="28"/>
      <c r="M73" s="28"/>
      <c r="N73" s="28"/>
    </row>
    <row r="74" ht="15.75" customHeight="1">
      <c r="A74" s="48"/>
      <c r="B74" s="48"/>
      <c r="C74" s="48"/>
      <c r="D74" s="56"/>
      <c r="E74" s="56"/>
      <c r="F74" s="39" t="s">
        <v>22</v>
      </c>
      <c r="G74" s="51"/>
      <c r="H74" s="57">
        <v>1500.0</v>
      </c>
      <c r="I74" s="53">
        <f t="shared" si="1"/>
        <v>0</v>
      </c>
      <c r="J74" s="56"/>
      <c r="K74" s="28"/>
      <c r="L74" s="28"/>
      <c r="M74" s="28"/>
      <c r="N74" s="28"/>
    </row>
    <row r="75" ht="15.75" customHeight="1">
      <c r="A75" s="48"/>
      <c r="B75" s="48"/>
      <c r="C75" s="48"/>
      <c r="D75" s="56"/>
      <c r="E75" s="56"/>
      <c r="F75" s="39" t="s">
        <v>23</v>
      </c>
      <c r="G75" s="51"/>
      <c r="H75" s="57">
        <v>1200.0</v>
      </c>
      <c r="I75" s="53">
        <f t="shared" si="1"/>
        <v>0</v>
      </c>
      <c r="J75" s="56"/>
      <c r="K75" s="28"/>
      <c r="L75" s="28"/>
      <c r="M75" s="28"/>
      <c r="N75" s="28"/>
    </row>
    <row r="76" ht="15.75" customHeight="1">
      <c r="A76" s="48"/>
      <c r="B76" s="48"/>
      <c r="C76" s="48"/>
      <c r="D76" s="56"/>
      <c r="E76" s="56"/>
      <c r="F76" s="39" t="s">
        <v>52</v>
      </c>
      <c r="G76" s="51"/>
      <c r="H76" s="57">
        <v>1000.0</v>
      </c>
      <c r="I76" s="53">
        <f t="shared" si="1"/>
        <v>0</v>
      </c>
      <c r="J76" s="56"/>
      <c r="K76" s="28"/>
      <c r="L76" s="28"/>
      <c r="M76" s="28"/>
      <c r="N76" s="28"/>
    </row>
    <row r="77" ht="15.75" customHeight="1">
      <c r="A77" s="48"/>
      <c r="B77" s="48"/>
      <c r="C77" s="48"/>
      <c r="D77" s="56"/>
      <c r="E77" s="56"/>
      <c r="F77" s="39" t="s">
        <v>25</v>
      </c>
      <c r="G77" s="51"/>
      <c r="H77" s="57">
        <v>500.0</v>
      </c>
      <c r="I77" s="53">
        <f t="shared" si="1"/>
        <v>0</v>
      </c>
      <c r="J77" s="56"/>
      <c r="K77" s="28"/>
      <c r="L77" s="28"/>
      <c r="M77" s="28"/>
      <c r="N77" s="28"/>
    </row>
    <row r="78" ht="15.75" customHeight="1">
      <c r="A78" s="48"/>
      <c r="B78" s="48"/>
      <c r="C78" s="48"/>
      <c r="D78" s="56"/>
      <c r="E78" s="56"/>
      <c r="F78" s="39" t="s">
        <v>26</v>
      </c>
      <c r="G78" s="51"/>
      <c r="H78" s="57">
        <v>6500.0</v>
      </c>
      <c r="I78" s="53">
        <f t="shared" si="1"/>
        <v>0</v>
      </c>
      <c r="J78" s="56"/>
      <c r="K78" s="28"/>
      <c r="L78" s="28"/>
      <c r="M78" s="28"/>
      <c r="N78" s="28"/>
    </row>
    <row r="79" ht="15.75" customHeight="1">
      <c r="A79" s="48"/>
      <c r="B79" s="48"/>
      <c r="C79" s="48"/>
      <c r="D79" s="56"/>
      <c r="E79" s="56"/>
      <c r="F79" s="39" t="s">
        <v>27</v>
      </c>
      <c r="G79" s="51"/>
      <c r="H79" s="57">
        <v>2000.0</v>
      </c>
      <c r="I79" s="53">
        <f t="shared" si="1"/>
        <v>0</v>
      </c>
      <c r="J79" s="56"/>
      <c r="K79" s="28"/>
      <c r="L79" s="28"/>
      <c r="M79" s="28"/>
      <c r="N79" s="28"/>
    </row>
    <row r="80" ht="15.75" customHeight="1">
      <c r="A80" s="48"/>
      <c r="B80" s="48"/>
      <c r="C80" s="48"/>
      <c r="D80" s="56"/>
      <c r="E80" s="56"/>
      <c r="F80" s="39" t="s">
        <v>28</v>
      </c>
      <c r="G80" s="51"/>
      <c r="H80" s="57">
        <v>1300.0</v>
      </c>
      <c r="I80" s="53">
        <f t="shared" si="1"/>
        <v>0</v>
      </c>
      <c r="J80" s="56"/>
      <c r="K80" s="28"/>
      <c r="L80" s="28"/>
      <c r="M80" s="28"/>
      <c r="N80" s="28"/>
    </row>
    <row r="81" ht="15.75" customHeight="1">
      <c r="A81" s="48"/>
      <c r="B81" s="48"/>
      <c r="C81" s="48"/>
      <c r="D81" s="56"/>
      <c r="E81" s="56"/>
      <c r="F81" s="39" t="s">
        <v>29</v>
      </c>
      <c r="G81" s="51"/>
      <c r="H81" s="57">
        <v>5000.0</v>
      </c>
      <c r="I81" s="53">
        <f t="shared" si="1"/>
        <v>0</v>
      </c>
      <c r="J81" s="56"/>
      <c r="K81" s="28"/>
      <c r="L81" s="28"/>
      <c r="M81" s="28"/>
      <c r="N81" s="28"/>
    </row>
    <row r="82" ht="15.75" customHeight="1">
      <c r="A82" s="48"/>
      <c r="B82" s="48"/>
      <c r="C82" s="48"/>
      <c r="D82" s="56"/>
      <c r="E82" s="56"/>
      <c r="F82" s="39" t="s">
        <v>30</v>
      </c>
      <c r="G82" s="51"/>
      <c r="H82" s="57">
        <v>2300.0</v>
      </c>
      <c r="I82" s="53">
        <f t="shared" si="1"/>
        <v>0</v>
      </c>
      <c r="J82" s="56"/>
      <c r="K82" s="28"/>
      <c r="L82" s="28"/>
      <c r="M82" s="28"/>
      <c r="N82" s="28"/>
    </row>
    <row r="83" ht="15.75" customHeight="1">
      <c r="A83" s="48"/>
      <c r="B83" s="48"/>
      <c r="C83" s="48"/>
      <c r="D83" s="56"/>
      <c r="E83" s="56"/>
      <c r="F83" s="39" t="s">
        <v>32</v>
      </c>
      <c r="G83" s="51"/>
      <c r="H83" s="57">
        <v>10000.0</v>
      </c>
      <c r="I83" s="53">
        <f t="shared" si="1"/>
        <v>0</v>
      </c>
      <c r="J83" s="56"/>
      <c r="K83" s="28"/>
      <c r="L83" s="28"/>
      <c r="M83" s="28"/>
      <c r="N83" s="28"/>
    </row>
    <row r="84" ht="15.75" customHeight="1">
      <c r="A84" s="48"/>
      <c r="B84" s="48"/>
      <c r="C84" s="48"/>
      <c r="D84" s="56"/>
      <c r="E84" s="56"/>
      <c r="F84" s="39" t="s">
        <v>53</v>
      </c>
      <c r="G84" s="51"/>
      <c r="H84" s="57">
        <v>300.0</v>
      </c>
      <c r="I84" s="53">
        <f t="shared" si="1"/>
        <v>0</v>
      </c>
      <c r="J84" s="56"/>
      <c r="K84" s="28"/>
      <c r="L84" s="28"/>
      <c r="M84" s="28"/>
      <c r="N84" s="28"/>
    </row>
    <row r="85" ht="15.75" customHeight="1">
      <c r="A85" s="48"/>
      <c r="B85" s="48"/>
      <c r="C85" s="48"/>
      <c r="D85" s="56"/>
      <c r="E85" s="56"/>
      <c r="F85" s="39" t="s">
        <v>12</v>
      </c>
      <c r="G85" s="51">
        <v>3.5</v>
      </c>
      <c r="H85" s="57">
        <v>300.0</v>
      </c>
      <c r="I85" s="53">
        <f t="shared" si="1"/>
        <v>1050</v>
      </c>
      <c r="J85" s="56"/>
      <c r="K85" s="28"/>
      <c r="L85" s="28"/>
      <c r="M85" s="28"/>
      <c r="N85" s="28"/>
    </row>
    <row r="86" ht="15.75" customHeight="1">
      <c r="A86" s="48"/>
      <c r="B86" s="48"/>
      <c r="C86" s="48"/>
      <c r="D86" s="56"/>
      <c r="E86" s="56"/>
      <c r="F86" s="39" t="s">
        <v>9</v>
      </c>
      <c r="G86" s="51"/>
      <c r="H86" s="57">
        <v>1700.0</v>
      </c>
      <c r="I86" s="53">
        <f t="shared" si="1"/>
        <v>0</v>
      </c>
      <c r="J86" s="56"/>
      <c r="K86" s="28"/>
      <c r="L86" s="28"/>
      <c r="M86" s="28"/>
      <c r="N86" s="28"/>
    </row>
    <row r="87" ht="15.75" customHeight="1">
      <c r="A87" s="48"/>
      <c r="B87" s="48"/>
      <c r="C87" s="48"/>
      <c r="D87" s="56"/>
      <c r="E87" s="56"/>
      <c r="F87" s="39" t="s">
        <v>14</v>
      </c>
      <c r="G87" s="51"/>
      <c r="H87" s="57">
        <v>4000.0</v>
      </c>
      <c r="I87" s="53">
        <f t="shared" si="1"/>
        <v>0</v>
      </c>
      <c r="J87" s="56"/>
      <c r="K87" s="28"/>
      <c r="L87" s="28"/>
      <c r="M87" s="28"/>
      <c r="N87" s="28"/>
    </row>
    <row r="88" ht="15.75" customHeight="1">
      <c r="A88" s="48"/>
      <c r="B88" s="48"/>
      <c r="C88" s="48"/>
      <c r="D88" s="14"/>
      <c r="E88" s="14"/>
      <c r="F88" s="39" t="s">
        <v>54</v>
      </c>
      <c r="G88" s="51"/>
      <c r="H88" s="57">
        <v>500.0</v>
      </c>
      <c r="I88" s="53">
        <f t="shared" si="1"/>
        <v>0</v>
      </c>
      <c r="J88" s="14"/>
      <c r="K88" s="28"/>
      <c r="L88" s="28"/>
      <c r="M88" s="28"/>
      <c r="N88" s="28"/>
    </row>
    <row r="89" ht="15.75" customHeight="1">
      <c r="A89" s="48"/>
      <c r="B89" s="48"/>
      <c r="C89" s="48"/>
      <c r="D89" s="49">
        <v>5.0</v>
      </c>
      <c r="E89" s="50" t="s">
        <v>58</v>
      </c>
      <c r="F89" s="39" t="s">
        <v>16</v>
      </c>
      <c r="G89" s="51"/>
      <c r="H89" s="52">
        <v>3100.0</v>
      </c>
      <c r="I89" s="53">
        <f t="shared" si="1"/>
        <v>0</v>
      </c>
      <c r="J89" s="54">
        <f>SUM(I89:I109)</f>
        <v>12000</v>
      </c>
      <c r="K89" s="28"/>
      <c r="L89" s="28"/>
      <c r="M89" s="28"/>
      <c r="N89" s="28"/>
    </row>
    <row r="90" ht="15.75" customHeight="1">
      <c r="A90" s="48"/>
      <c r="B90" s="48"/>
      <c r="C90" s="48"/>
      <c r="D90" s="56"/>
      <c r="E90" s="56"/>
      <c r="F90" s="39" t="s">
        <v>47</v>
      </c>
      <c r="G90" s="51"/>
      <c r="H90" s="57">
        <v>3000.0</v>
      </c>
      <c r="I90" s="53">
        <f t="shared" si="1"/>
        <v>0</v>
      </c>
      <c r="J90" s="56"/>
      <c r="K90" s="28"/>
      <c r="L90" s="28"/>
      <c r="M90" s="28"/>
      <c r="N90" s="28"/>
    </row>
    <row r="91" ht="15.75" customHeight="1">
      <c r="A91" s="48"/>
      <c r="B91" s="48"/>
      <c r="C91" s="48"/>
      <c r="D91" s="56"/>
      <c r="E91" s="56"/>
      <c r="F91" s="39" t="s">
        <v>49</v>
      </c>
      <c r="G91" s="51"/>
      <c r="H91" s="57">
        <v>800.0</v>
      </c>
      <c r="I91" s="53">
        <f t="shared" si="1"/>
        <v>0</v>
      </c>
      <c r="J91" s="56"/>
      <c r="K91" s="28"/>
      <c r="L91" s="28"/>
      <c r="M91" s="28"/>
      <c r="N91" s="28"/>
    </row>
    <row r="92" ht="15.75" customHeight="1">
      <c r="A92" s="48"/>
      <c r="B92" s="48"/>
      <c r="C92" s="48"/>
      <c r="D92" s="56"/>
      <c r="E92" s="56"/>
      <c r="F92" s="39" t="s">
        <v>19</v>
      </c>
      <c r="G92" s="51"/>
      <c r="H92" s="57">
        <v>2000.0</v>
      </c>
      <c r="I92" s="53">
        <f t="shared" si="1"/>
        <v>0</v>
      </c>
      <c r="J92" s="56"/>
      <c r="K92" s="28"/>
      <c r="L92" s="28"/>
      <c r="M92" s="28"/>
      <c r="N92" s="28"/>
    </row>
    <row r="93" ht="15.75" customHeight="1">
      <c r="A93" s="48"/>
      <c r="B93" s="48"/>
      <c r="C93" s="48"/>
      <c r="D93" s="56"/>
      <c r="E93" s="56"/>
      <c r="F93" s="39" t="s">
        <v>20</v>
      </c>
      <c r="G93" s="51"/>
      <c r="H93" s="57">
        <v>2800.0</v>
      </c>
      <c r="I93" s="53">
        <f t="shared" si="1"/>
        <v>0</v>
      </c>
      <c r="J93" s="56"/>
      <c r="K93" s="28"/>
      <c r="L93" s="28"/>
      <c r="M93" s="28"/>
      <c r="N93" s="28"/>
    </row>
    <row r="94" ht="15.75" customHeight="1">
      <c r="A94" s="48"/>
      <c r="B94" s="48"/>
      <c r="C94" s="48"/>
      <c r="D94" s="56"/>
      <c r="E94" s="56"/>
      <c r="F94" s="39" t="s">
        <v>50</v>
      </c>
      <c r="G94" s="51"/>
      <c r="H94" s="57">
        <v>800.0</v>
      </c>
      <c r="I94" s="53">
        <f t="shared" si="1"/>
        <v>0</v>
      </c>
      <c r="J94" s="56"/>
      <c r="K94" s="28"/>
      <c r="L94" s="28"/>
      <c r="M94" s="28"/>
      <c r="N94" s="28"/>
    </row>
    <row r="95" ht="15.75" customHeight="1">
      <c r="A95" s="48"/>
      <c r="B95" s="48"/>
      <c r="C95" s="48"/>
      <c r="D95" s="56"/>
      <c r="E95" s="56"/>
      <c r="F95" s="39" t="s">
        <v>22</v>
      </c>
      <c r="G95" s="51"/>
      <c r="H95" s="57">
        <v>1500.0</v>
      </c>
      <c r="I95" s="53">
        <f t="shared" si="1"/>
        <v>0</v>
      </c>
      <c r="J95" s="56"/>
      <c r="K95" s="28"/>
      <c r="L95" s="28"/>
      <c r="M95" s="28"/>
      <c r="N95" s="28"/>
    </row>
    <row r="96" ht="15.75" customHeight="1">
      <c r="A96" s="48"/>
      <c r="B96" s="48"/>
      <c r="C96" s="48"/>
      <c r="D96" s="56"/>
      <c r="E96" s="56"/>
      <c r="F96" s="39" t="s">
        <v>23</v>
      </c>
      <c r="G96" s="51"/>
      <c r="H96" s="57">
        <v>1200.0</v>
      </c>
      <c r="I96" s="53">
        <f t="shared" si="1"/>
        <v>0</v>
      </c>
      <c r="J96" s="56"/>
      <c r="K96" s="28"/>
      <c r="L96" s="28"/>
      <c r="M96" s="28"/>
      <c r="N96" s="28"/>
    </row>
    <row r="97" ht="15.75" customHeight="1">
      <c r="A97" s="48"/>
      <c r="B97" s="48"/>
      <c r="C97" s="48"/>
      <c r="D97" s="56"/>
      <c r="E97" s="56"/>
      <c r="F97" s="39" t="s">
        <v>52</v>
      </c>
      <c r="G97" s="51"/>
      <c r="H97" s="57">
        <v>1000.0</v>
      </c>
      <c r="I97" s="53">
        <f t="shared" si="1"/>
        <v>0</v>
      </c>
      <c r="J97" s="56"/>
      <c r="K97" s="28"/>
      <c r="L97" s="28"/>
      <c r="M97" s="28"/>
      <c r="N97" s="28"/>
    </row>
    <row r="98" ht="15.75" customHeight="1">
      <c r="A98" s="48"/>
      <c r="B98" s="48"/>
      <c r="C98" s="48"/>
      <c r="D98" s="56"/>
      <c r="E98" s="56"/>
      <c r="F98" s="39" t="s">
        <v>25</v>
      </c>
      <c r="G98" s="51"/>
      <c r="H98" s="57">
        <v>500.0</v>
      </c>
      <c r="I98" s="53">
        <f t="shared" si="1"/>
        <v>0</v>
      </c>
      <c r="J98" s="56"/>
      <c r="K98" s="28"/>
      <c r="L98" s="28"/>
      <c r="M98" s="28"/>
      <c r="N98" s="28"/>
    </row>
    <row r="99" ht="15.75" customHeight="1">
      <c r="A99" s="48"/>
      <c r="B99" s="48"/>
      <c r="C99" s="48"/>
      <c r="D99" s="56"/>
      <c r="E99" s="56"/>
      <c r="F99" s="39" t="s">
        <v>26</v>
      </c>
      <c r="G99" s="51"/>
      <c r="H99" s="57">
        <v>6500.0</v>
      </c>
      <c r="I99" s="53">
        <f t="shared" si="1"/>
        <v>0</v>
      </c>
      <c r="J99" s="56"/>
      <c r="K99" s="28"/>
      <c r="L99" s="28"/>
      <c r="M99" s="28"/>
      <c r="N99" s="28"/>
    </row>
    <row r="100" ht="15.75" customHeight="1">
      <c r="A100" s="48"/>
      <c r="B100" s="48"/>
      <c r="C100" s="48"/>
      <c r="D100" s="56"/>
      <c r="E100" s="56"/>
      <c r="F100" s="39" t="s">
        <v>27</v>
      </c>
      <c r="G100" s="51"/>
      <c r="H100" s="57">
        <v>2000.0</v>
      </c>
      <c r="I100" s="53">
        <f t="shared" si="1"/>
        <v>0</v>
      </c>
      <c r="J100" s="56"/>
      <c r="K100" s="28"/>
      <c r="L100" s="28"/>
      <c r="M100" s="28"/>
      <c r="N100" s="28"/>
    </row>
    <row r="101" ht="15.75" customHeight="1">
      <c r="A101" s="48"/>
      <c r="B101" s="48"/>
      <c r="C101" s="48"/>
      <c r="D101" s="56"/>
      <c r="E101" s="56"/>
      <c r="F101" s="39" t="s">
        <v>28</v>
      </c>
      <c r="G101" s="51"/>
      <c r="H101" s="57">
        <v>1300.0</v>
      </c>
      <c r="I101" s="53">
        <f t="shared" si="1"/>
        <v>0</v>
      </c>
      <c r="J101" s="56"/>
      <c r="K101" s="28"/>
      <c r="L101" s="28"/>
      <c r="M101" s="28"/>
      <c r="N101" s="28"/>
    </row>
    <row r="102" ht="15.75" customHeight="1">
      <c r="A102" s="48"/>
      <c r="B102" s="48"/>
      <c r="C102" s="48"/>
      <c r="D102" s="56"/>
      <c r="E102" s="56"/>
      <c r="F102" s="39" t="s">
        <v>29</v>
      </c>
      <c r="G102" s="51"/>
      <c r="H102" s="57">
        <v>5000.0</v>
      </c>
      <c r="I102" s="53">
        <f t="shared" si="1"/>
        <v>0</v>
      </c>
      <c r="J102" s="56"/>
      <c r="K102" s="28"/>
      <c r="L102" s="28"/>
      <c r="M102" s="28"/>
      <c r="N102" s="28"/>
    </row>
    <row r="103" ht="15.75" customHeight="1">
      <c r="A103" s="48"/>
      <c r="B103" s="48"/>
      <c r="C103" s="48"/>
      <c r="D103" s="56"/>
      <c r="E103" s="56"/>
      <c r="F103" s="39" t="s">
        <v>30</v>
      </c>
      <c r="G103" s="51"/>
      <c r="H103" s="57">
        <v>2300.0</v>
      </c>
      <c r="I103" s="53">
        <f t="shared" si="1"/>
        <v>0</v>
      </c>
      <c r="J103" s="56"/>
      <c r="K103" s="28"/>
      <c r="L103" s="28"/>
      <c r="M103" s="28"/>
      <c r="N103" s="28"/>
    </row>
    <row r="104" ht="15.75" customHeight="1">
      <c r="A104" s="48"/>
      <c r="B104" s="48"/>
      <c r="C104" s="48"/>
      <c r="D104" s="56"/>
      <c r="E104" s="56"/>
      <c r="F104" s="39" t="s">
        <v>32</v>
      </c>
      <c r="G104" s="51"/>
      <c r="H104" s="57">
        <v>10000.0</v>
      </c>
      <c r="I104" s="53">
        <f t="shared" si="1"/>
        <v>0</v>
      </c>
      <c r="J104" s="56"/>
      <c r="K104" s="28"/>
      <c r="L104" s="28"/>
      <c r="M104" s="28"/>
      <c r="N104" s="28"/>
    </row>
    <row r="105" ht="15.75" customHeight="1">
      <c r="A105" s="48"/>
      <c r="B105" s="48"/>
      <c r="C105" s="48"/>
      <c r="D105" s="56"/>
      <c r="E105" s="56"/>
      <c r="F105" s="39" t="s">
        <v>53</v>
      </c>
      <c r="G105" s="51"/>
      <c r="H105" s="57">
        <v>300.0</v>
      </c>
      <c r="I105" s="53">
        <f t="shared" si="1"/>
        <v>0</v>
      </c>
      <c r="J105" s="56"/>
      <c r="K105" s="28"/>
      <c r="L105" s="28"/>
      <c r="M105" s="28"/>
      <c r="N105" s="28"/>
    </row>
    <row r="106" ht="15.75" customHeight="1">
      <c r="A106" s="48"/>
      <c r="B106" s="48"/>
      <c r="C106" s="48"/>
      <c r="D106" s="56"/>
      <c r="E106" s="56"/>
      <c r="F106" s="39" t="s">
        <v>12</v>
      </c>
      <c r="G106" s="51"/>
      <c r="H106" s="57">
        <v>300.0</v>
      </c>
      <c r="I106" s="53">
        <f t="shared" si="1"/>
        <v>0</v>
      </c>
      <c r="J106" s="56"/>
      <c r="K106" s="28"/>
      <c r="L106" s="28"/>
      <c r="M106" s="28"/>
      <c r="N106" s="28"/>
    </row>
    <row r="107" ht="15.75" customHeight="1">
      <c r="A107" s="48"/>
      <c r="B107" s="48"/>
      <c r="C107" s="48"/>
      <c r="D107" s="56"/>
      <c r="E107" s="56"/>
      <c r="F107" s="39" t="s">
        <v>9</v>
      </c>
      <c r="G107" s="51"/>
      <c r="H107" s="57">
        <v>1700.0</v>
      </c>
      <c r="I107" s="53">
        <f t="shared" si="1"/>
        <v>0</v>
      </c>
      <c r="J107" s="56"/>
      <c r="K107" s="28"/>
      <c r="L107" s="28"/>
      <c r="M107" s="28"/>
      <c r="N107" s="28"/>
    </row>
    <row r="108" ht="15.75" customHeight="1">
      <c r="A108" s="48"/>
      <c r="B108" s="48"/>
      <c r="C108" s="48"/>
      <c r="D108" s="56"/>
      <c r="E108" s="56"/>
      <c r="F108" s="39" t="s">
        <v>14</v>
      </c>
      <c r="G108" s="51">
        <v>3.0</v>
      </c>
      <c r="H108" s="57">
        <v>4000.0</v>
      </c>
      <c r="I108" s="53">
        <f t="shared" si="1"/>
        <v>12000</v>
      </c>
      <c r="J108" s="56"/>
      <c r="K108" s="28"/>
      <c r="L108" s="28"/>
      <c r="M108" s="28"/>
      <c r="N108" s="28"/>
    </row>
    <row r="109" ht="15.75" customHeight="1">
      <c r="A109" s="48"/>
      <c r="B109" s="48"/>
      <c r="C109" s="48"/>
      <c r="D109" s="14"/>
      <c r="E109" s="14"/>
      <c r="F109" s="39" t="s">
        <v>54</v>
      </c>
      <c r="G109" s="51"/>
      <c r="H109" s="57">
        <v>500.0</v>
      </c>
      <c r="I109" s="53">
        <f t="shared" si="1"/>
        <v>0</v>
      </c>
      <c r="J109" s="14"/>
      <c r="K109" s="28"/>
      <c r="L109" s="28"/>
      <c r="M109" s="28"/>
      <c r="N109" s="28"/>
    </row>
    <row r="110" ht="15.75" customHeight="1">
      <c r="A110" s="48"/>
      <c r="B110" s="48"/>
      <c r="C110" s="48"/>
      <c r="D110" s="49">
        <v>6.0</v>
      </c>
      <c r="E110" s="50" t="s">
        <v>59</v>
      </c>
      <c r="F110" s="39" t="s">
        <v>16</v>
      </c>
      <c r="G110" s="51"/>
      <c r="H110" s="52">
        <v>3100.0</v>
      </c>
      <c r="I110" s="53">
        <f t="shared" si="1"/>
        <v>0</v>
      </c>
      <c r="J110" s="54">
        <f>SUM(I110:I130)</f>
        <v>8000</v>
      </c>
      <c r="K110" s="28"/>
      <c r="L110" s="28"/>
      <c r="M110" s="28"/>
      <c r="N110" s="28"/>
    </row>
    <row r="111" ht="15.75" customHeight="1">
      <c r="A111" s="48"/>
      <c r="B111" s="48"/>
      <c r="C111" s="48"/>
      <c r="D111" s="56"/>
      <c r="E111" s="56"/>
      <c r="F111" s="39" t="s">
        <v>47</v>
      </c>
      <c r="G111" s="51"/>
      <c r="H111" s="57">
        <v>3000.0</v>
      </c>
      <c r="I111" s="53">
        <f t="shared" si="1"/>
        <v>0</v>
      </c>
      <c r="J111" s="56"/>
      <c r="K111" s="28"/>
      <c r="L111" s="28"/>
      <c r="M111" s="28"/>
      <c r="N111" s="28"/>
    </row>
    <row r="112" ht="15.75" customHeight="1">
      <c r="A112" s="48"/>
      <c r="B112" s="48"/>
      <c r="C112" s="48"/>
      <c r="D112" s="56"/>
      <c r="E112" s="56"/>
      <c r="F112" s="39" t="s">
        <v>49</v>
      </c>
      <c r="G112" s="51"/>
      <c r="H112" s="57">
        <v>800.0</v>
      </c>
      <c r="I112" s="53">
        <f t="shared" si="1"/>
        <v>0</v>
      </c>
      <c r="J112" s="56"/>
      <c r="K112" s="28"/>
      <c r="L112" s="28"/>
      <c r="M112" s="28"/>
      <c r="N112" s="28"/>
    </row>
    <row r="113" ht="15.75" customHeight="1">
      <c r="A113" s="48"/>
      <c r="B113" s="48"/>
      <c r="C113" s="48"/>
      <c r="D113" s="56"/>
      <c r="E113" s="56"/>
      <c r="F113" s="39" t="s">
        <v>19</v>
      </c>
      <c r="G113" s="51"/>
      <c r="H113" s="57">
        <v>2000.0</v>
      </c>
      <c r="I113" s="53">
        <f t="shared" si="1"/>
        <v>0</v>
      </c>
      <c r="J113" s="56"/>
      <c r="K113" s="28"/>
      <c r="L113" s="28"/>
      <c r="M113" s="28"/>
      <c r="N113" s="28"/>
    </row>
    <row r="114" ht="15.75" customHeight="1">
      <c r="A114" s="48"/>
      <c r="B114" s="48"/>
      <c r="C114" s="48"/>
      <c r="D114" s="56"/>
      <c r="E114" s="56"/>
      <c r="F114" s="39" t="s">
        <v>20</v>
      </c>
      <c r="G114" s="51"/>
      <c r="H114" s="57">
        <v>2800.0</v>
      </c>
      <c r="I114" s="53">
        <f t="shared" si="1"/>
        <v>0</v>
      </c>
      <c r="J114" s="56"/>
      <c r="K114" s="28"/>
      <c r="L114" s="28"/>
      <c r="M114" s="28"/>
      <c r="N114" s="28"/>
    </row>
    <row r="115" ht="15.75" customHeight="1">
      <c r="A115" s="48"/>
      <c r="B115" s="48"/>
      <c r="C115" s="48"/>
      <c r="D115" s="56"/>
      <c r="E115" s="56"/>
      <c r="F115" s="39" t="s">
        <v>50</v>
      </c>
      <c r="G115" s="51"/>
      <c r="H115" s="57">
        <v>800.0</v>
      </c>
      <c r="I115" s="53">
        <f t="shared" si="1"/>
        <v>0</v>
      </c>
      <c r="J115" s="56"/>
      <c r="K115" s="28"/>
      <c r="L115" s="28"/>
      <c r="M115" s="28"/>
      <c r="N115" s="28"/>
    </row>
    <row r="116" ht="15.75" customHeight="1">
      <c r="A116" s="48"/>
      <c r="B116" s="48"/>
      <c r="C116" s="48"/>
      <c r="D116" s="56"/>
      <c r="E116" s="56"/>
      <c r="F116" s="39" t="s">
        <v>22</v>
      </c>
      <c r="G116" s="51"/>
      <c r="H116" s="57">
        <v>1500.0</v>
      </c>
      <c r="I116" s="53">
        <f t="shared" si="1"/>
        <v>0</v>
      </c>
      <c r="J116" s="56"/>
      <c r="K116" s="28"/>
      <c r="L116" s="28"/>
      <c r="M116" s="28"/>
      <c r="N116" s="28"/>
    </row>
    <row r="117" ht="15.75" customHeight="1">
      <c r="A117" s="48"/>
      <c r="B117" s="48"/>
      <c r="C117" s="48"/>
      <c r="D117" s="56"/>
      <c r="E117" s="56"/>
      <c r="F117" s="39" t="s">
        <v>23</v>
      </c>
      <c r="G117" s="51"/>
      <c r="H117" s="57">
        <v>1200.0</v>
      </c>
      <c r="I117" s="53">
        <f t="shared" si="1"/>
        <v>0</v>
      </c>
      <c r="J117" s="56"/>
      <c r="K117" s="28"/>
      <c r="L117" s="28"/>
      <c r="M117" s="28"/>
      <c r="N117" s="28"/>
    </row>
    <row r="118" ht="15.75" customHeight="1">
      <c r="A118" s="48"/>
      <c r="B118" s="48"/>
      <c r="C118" s="48"/>
      <c r="D118" s="56"/>
      <c r="E118" s="56"/>
      <c r="F118" s="39" t="s">
        <v>52</v>
      </c>
      <c r="G118" s="51"/>
      <c r="H118" s="57">
        <v>1000.0</v>
      </c>
      <c r="I118" s="53">
        <f t="shared" si="1"/>
        <v>0</v>
      </c>
      <c r="J118" s="56"/>
      <c r="K118" s="28"/>
      <c r="L118" s="28"/>
      <c r="M118" s="28"/>
      <c r="N118" s="28"/>
    </row>
    <row r="119" ht="15.75" customHeight="1">
      <c r="A119" s="48"/>
      <c r="B119" s="48"/>
      <c r="C119" s="48"/>
      <c r="D119" s="56"/>
      <c r="E119" s="56"/>
      <c r="F119" s="39" t="s">
        <v>25</v>
      </c>
      <c r="G119" s="51"/>
      <c r="H119" s="57">
        <v>500.0</v>
      </c>
      <c r="I119" s="53">
        <f t="shared" si="1"/>
        <v>0</v>
      </c>
      <c r="J119" s="56"/>
      <c r="K119" s="28"/>
      <c r="L119" s="28"/>
      <c r="M119" s="28"/>
      <c r="N119" s="28"/>
    </row>
    <row r="120" ht="15.75" customHeight="1">
      <c r="A120" s="48"/>
      <c r="B120" s="48"/>
      <c r="C120" s="48"/>
      <c r="D120" s="56"/>
      <c r="E120" s="56"/>
      <c r="F120" s="39" t="s">
        <v>26</v>
      </c>
      <c r="G120" s="51"/>
      <c r="H120" s="57">
        <v>6500.0</v>
      </c>
      <c r="I120" s="53">
        <f t="shared" si="1"/>
        <v>0</v>
      </c>
      <c r="J120" s="56"/>
      <c r="K120" s="28"/>
      <c r="L120" s="28"/>
      <c r="M120" s="28"/>
      <c r="N120" s="28"/>
    </row>
    <row r="121" ht="15.75" customHeight="1">
      <c r="A121" s="48"/>
      <c r="B121" s="48"/>
      <c r="C121" s="48"/>
      <c r="D121" s="56"/>
      <c r="E121" s="56"/>
      <c r="F121" s="39" t="s">
        <v>27</v>
      </c>
      <c r="G121" s="51"/>
      <c r="H121" s="57">
        <v>2000.0</v>
      </c>
      <c r="I121" s="53">
        <f t="shared" si="1"/>
        <v>0</v>
      </c>
      <c r="J121" s="56"/>
      <c r="K121" s="28"/>
      <c r="L121" s="28"/>
      <c r="M121" s="28"/>
      <c r="N121" s="28"/>
    </row>
    <row r="122" ht="15.75" customHeight="1">
      <c r="A122" s="48"/>
      <c r="B122" s="48"/>
      <c r="C122" s="48"/>
      <c r="D122" s="56"/>
      <c r="E122" s="56"/>
      <c r="F122" s="39" t="s">
        <v>28</v>
      </c>
      <c r="G122" s="51"/>
      <c r="H122" s="57">
        <v>1300.0</v>
      </c>
      <c r="I122" s="53">
        <f t="shared" si="1"/>
        <v>0</v>
      </c>
      <c r="J122" s="56"/>
      <c r="K122" s="28"/>
      <c r="L122" s="28"/>
      <c r="M122" s="28"/>
      <c r="N122" s="28"/>
    </row>
    <row r="123" ht="15.75" customHeight="1">
      <c r="A123" s="48"/>
      <c r="B123" s="48"/>
      <c r="C123" s="48"/>
      <c r="D123" s="56"/>
      <c r="E123" s="56"/>
      <c r="F123" s="39" t="s">
        <v>29</v>
      </c>
      <c r="G123" s="51"/>
      <c r="H123" s="57">
        <v>5000.0</v>
      </c>
      <c r="I123" s="53">
        <f t="shared" si="1"/>
        <v>0</v>
      </c>
      <c r="J123" s="56"/>
      <c r="K123" s="28"/>
      <c r="L123" s="28"/>
      <c r="M123" s="28"/>
      <c r="N123" s="28"/>
    </row>
    <row r="124" ht="15.75" customHeight="1">
      <c r="A124" s="48"/>
      <c r="B124" s="48"/>
      <c r="C124" s="48"/>
      <c r="D124" s="56"/>
      <c r="E124" s="56"/>
      <c r="F124" s="39" t="s">
        <v>30</v>
      </c>
      <c r="G124" s="51"/>
      <c r="H124" s="57">
        <v>2300.0</v>
      </c>
      <c r="I124" s="53">
        <f t="shared" si="1"/>
        <v>0</v>
      </c>
      <c r="J124" s="56"/>
      <c r="K124" s="28"/>
      <c r="L124" s="28"/>
      <c r="M124" s="28"/>
      <c r="N124" s="28"/>
    </row>
    <row r="125" ht="15.75" customHeight="1">
      <c r="A125" s="48"/>
      <c r="B125" s="48"/>
      <c r="C125" s="48"/>
      <c r="D125" s="56"/>
      <c r="E125" s="56"/>
      <c r="F125" s="39" t="s">
        <v>32</v>
      </c>
      <c r="G125" s="51"/>
      <c r="H125" s="57">
        <v>10000.0</v>
      </c>
      <c r="I125" s="53">
        <f t="shared" si="1"/>
        <v>0</v>
      </c>
      <c r="J125" s="56"/>
      <c r="K125" s="28"/>
      <c r="L125" s="28"/>
      <c r="M125" s="28"/>
      <c r="N125" s="28"/>
    </row>
    <row r="126" ht="15.75" customHeight="1">
      <c r="A126" s="48"/>
      <c r="B126" s="48"/>
      <c r="C126" s="48"/>
      <c r="D126" s="56"/>
      <c r="E126" s="56"/>
      <c r="F126" s="39" t="s">
        <v>53</v>
      </c>
      <c r="G126" s="51"/>
      <c r="H126" s="57">
        <v>300.0</v>
      </c>
      <c r="I126" s="53">
        <f t="shared" si="1"/>
        <v>0</v>
      </c>
      <c r="J126" s="56"/>
      <c r="K126" s="28"/>
      <c r="L126" s="28"/>
      <c r="M126" s="28"/>
      <c r="N126" s="28"/>
    </row>
    <row r="127" ht="15.75" customHeight="1">
      <c r="A127" s="48"/>
      <c r="B127" s="48"/>
      <c r="C127" s="48"/>
      <c r="D127" s="56"/>
      <c r="E127" s="56"/>
      <c r="F127" s="39" t="s">
        <v>12</v>
      </c>
      <c r="G127" s="51"/>
      <c r="H127" s="57">
        <v>300.0</v>
      </c>
      <c r="I127" s="53">
        <f t="shared" si="1"/>
        <v>0</v>
      </c>
      <c r="J127" s="56"/>
      <c r="K127" s="28"/>
      <c r="L127" s="28"/>
      <c r="M127" s="28"/>
      <c r="N127" s="28"/>
    </row>
    <row r="128" ht="15.75" customHeight="1">
      <c r="A128" s="48"/>
      <c r="B128" s="48"/>
      <c r="C128" s="48"/>
      <c r="D128" s="56"/>
      <c r="E128" s="56"/>
      <c r="F128" s="39" t="s">
        <v>9</v>
      </c>
      <c r="G128" s="51"/>
      <c r="H128" s="57">
        <v>1700.0</v>
      </c>
      <c r="I128" s="53">
        <f t="shared" si="1"/>
        <v>0</v>
      </c>
      <c r="J128" s="56"/>
      <c r="K128" s="28"/>
      <c r="L128" s="28"/>
      <c r="M128" s="28"/>
      <c r="N128" s="28"/>
    </row>
    <row r="129" ht="15.75" customHeight="1">
      <c r="A129" s="48"/>
      <c r="B129" s="48"/>
      <c r="C129" s="48"/>
      <c r="D129" s="56"/>
      <c r="E129" s="56"/>
      <c r="F129" s="39" t="s">
        <v>14</v>
      </c>
      <c r="G129" s="51">
        <v>2.0</v>
      </c>
      <c r="H129" s="57">
        <v>4000.0</v>
      </c>
      <c r="I129" s="53">
        <f t="shared" si="1"/>
        <v>8000</v>
      </c>
      <c r="J129" s="56"/>
      <c r="K129" s="28"/>
      <c r="L129" s="28"/>
      <c r="M129" s="28"/>
      <c r="N129" s="28"/>
    </row>
    <row r="130" ht="15.75" customHeight="1">
      <c r="A130" s="48"/>
      <c r="B130" s="48"/>
      <c r="C130" s="48"/>
      <c r="D130" s="14"/>
      <c r="E130" s="14"/>
      <c r="F130" s="39" t="s">
        <v>54</v>
      </c>
      <c r="G130" s="51"/>
      <c r="H130" s="57">
        <v>500.0</v>
      </c>
      <c r="I130" s="53">
        <f t="shared" si="1"/>
        <v>0</v>
      </c>
      <c r="J130" s="14"/>
      <c r="K130" s="28"/>
      <c r="L130" s="28"/>
      <c r="M130" s="28"/>
      <c r="N130" s="28"/>
    </row>
    <row r="131" ht="15.75" customHeight="1">
      <c r="A131" s="48"/>
      <c r="B131" s="48"/>
      <c r="C131" s="48"/>
      <c r="D131" s="64" t="s">
        <v>60</v>
      </c>
      <c r="E131" s="4"/>
      <c r="F131" s="4"/>
      <c r="G131" s="4"/>
      <c r="H131" s="4"/>
      <c r="I131" s="5"/>
      <c r="J131" s="65">
        <f>SUM(J5:J130)</f>
        <v>94950</v>
      </c>
      <c r="K131" s="28"/>
      <c r="L131" s="28"/>
      <c r="M131" s="28"/>
      <c r="N131" s="28"/>
    </row>
    <row r="132" ht="15.75" customHeight="1">
      <c r="A132" s="27"/>
      <c r="B132" s="27"/>
      <c r="C132" s="27"/>
      <c r="D132" s="27"/>
      <c r="E132" s="27"/>
      <c r="F132" s="28"/>
      <c r="G132" s="28"/>
      <c r="H132" s="28"/>
      <c r="I132" s="28"/>
      <c r="J132" s="29"/>
      <c r="K132" s="28"/>
      <c r="L132" s="28"/>
      <c r="M132" s="28"/>
      <c r="N132" s="28"/>
    </row>
    <row r="133" ht="15.75" customHeight="1">
      <c r="A133" s="27"/>
      <c r="B133" s="27"/>
      <c r="C133" s="27"/>
      <c r="D133" s="27"/>
      <c r="E133" s="27"/>
      <c r="F133" s="28"/>
      <c r="G133" s="28"/>
      <c r="H133" s="28"/>
      <c r="I133" s="28"/>
      <c r="J133" s="29"/>
      <c r="K133" s="28"/>
      <c r="L133" s="28"/>
      <c r="M133" s="28"/>
      <c r="N133" s="28"/>
    </row>
    <row r="134" ht="15.75" customHeight="1">
      <c r="A134" s="27"/>
      <c r="B134" s="27"/>
      <c r="C134" s="27"/>
      <c r="D134" s="27"/>
      <c r="E134" s="27"/>
      <c r="F134" s="28"/>
      <c r="G134" s="28"/>
      <c r="H134" s="28"/>
      <c r="I134" s="28"/>
      <c r="J134" s="29"/>
      <c r="K134" s="28"/>
      <c r="L134" s="28"/>
      <c r="M134" s="28"/>
      <c r="N134" s="28"/>
    </row>
    <row r="135" ht="15.75" customHeight="1">
      <c r="A135" s="27"/>
      <c r="B135" s="27"/>
      <c r="C135" s="27"/>
      <c r="D135" s="27"/>
      <c r="E135" s="27"/>
      <c r="F135" s="28"/>
      <c r="G135" s="28"/>
      <c r="H135" s="28"/>
      <c r="I135" s="28"/>
      <c r="J135" s="29"/>
      <c r="K135" s="28"/>
      <c r="L135" s="28"/>
      <c r="M135" s="28"/>
      <c r="N135" s="28"/>
    </row>
    <row r="136" ht="15.75" customHeight="1">
      <c r="A136" s="27"/>
      <c r="B136" s="27"/>
      <c r="C136" s="27"/>
      <c r="D136" s="27"/>
      <c r="E136" s="27"/>
      <c r="F136" s="28"/>
      <c r="G136" s="28"/>
      <c r="H136" s="28"/>
      <c r="I136" s="28"/>
      <c r="J136" s="29"/>
      <c r="K136" s="28"/>
      <c r="L136" s="28"/>
      <c r="M136" s="28"/>
      <c r="N136" s="28"/>
    </row>
    <row r="137" ht="15.75" customHeight="1">
      <c r="A137" s="27"/>
      <c r="B137" s="27"/>
      <c r="C137" s="27"/>
      <c r="D137" s="27"/>
      <c r="E137" s="27"/>
      <c r="F137" s="28"/>
      <c r="G137" s="28"/>
      <c r="H137" s="28"/>
      <c r="I137" s="28"/>
      <c r="J137" s="29"/>
      <c r="K137" s="28"/>
      <c r="L137" s="28"/>
      <c r="M137" s="28"/>
      <c r="N137" s="28"/>
    </row>
    <row r="138" ht="15.75" customHeight="1">
      <c r="A138" s="27"/>
      <c r="B138" s="27"/>
      <c r="C138" s="27"/>
      <c r="D138" s="27"/>
      <c r="E138" s="27"/>
      <c r="F138" s="28"/>
      <c r="G138" s="28"/>
      <c r="H138" s="28"/>
      <c r="I138" s="28"/>
      <c r="J138" s="29"/>
      <c r="K138" s="28"/>
      <c r="L138" s="28"/>
      <c r="M138" s="28"/>
      <c r="N138" s="28"/>
    </row>
    <row r="139" ht="15.75" customHeight="1">
      <c r="A139" s="27"/>
      <c r="B139" s="27"/>
      <c r="C139" s="27"/>
      <c r="D139" s="27"/>
      <c r="E139" s="27"/>
      <c r="F139" s="28"/>
      <c r="G139" s="28"/>
      <c r="H139" s="28"/>
      <c r="I139" s="28"/>
      <c r="J139" s="29"/>
      <c r="K139" s="28"/>
      <c r="L139" s="28"/>
      <c r="M139" s="28"/>
      <c r="N139" s="28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A265" s="27"/>
      <c r="B265" s="27"/>
      <c r="C265" s="27"/>
      <c r="D265" s="27"/>
      <c r="E265" s="27"/>
      <c r="J265" s="29"/>
    </row>
    <row r="266" ht="15.75" customHeight="1">
      <c r="A266" s="27"/>
      <c r="B266" s="27"/>
      <c r="C266" s="27"/>
      <c r="D266" s="27"/>
      <c r="E266" s="27"/>
      <c r="J266" s="29"/>
    </row>
    <row r="267" ht="15.75" customHeight="1">
      <c r="A267" s="27"/>
      <c r="B267" s="27"/>
      <c r="C267" s="27"/>
      <c r="D267" s="27"/>
      <c r="E267" s="27"/>
      <c r="J267" s="29"/>
    </row>
    <row r="268" ht="15.75" customHeight="1">
      <c r="A268" s="27"/>
      <c r="B268" s="27"/>
      <c r="C268" s="27"/>
      <c r="D268" s="27"/>
      <c r="E268" s="27"/>
      <c r="J268" s="29"/>
    </row>
    <row r="269" ht="15.75" customHeight="1">
      <c r="A269" s="27"/>
      <c r="B269" s="27"/>
      <c r="C269" s="27"/>
      <c r="D269" s="27"/>
      <c r="E269" s="27"/>
      <c r="J269" s="29"/>
    </row>
    <row r="270" ht="15.75" customHeight="1">
      <c r="A270" s="27"/>
      <c r="B270" s="27"/>
      <c r="C270" s="27"/>
      <c r="D270" s="27"/>
      <c r="E270" s="27"/>
      <c r="J270" s="29"/>
    </row>
    <row r="271" ht="15.75" customHeight="1">
      <c r="A271" s="27"/>
      <c r="B271" s="27"/>
      <c r="C271" s="27"/>
      <c r="D271" s="27"/>
      <c r="E271" s="27"/>
      <c r="J271" s="29"/>
    </row>
    <row r="272" ht="15.75" customHeight="1">
      <c r="A272" s="27"/>
      <c r="B272" s="27"/>
      <c r="C272" s="27"/>
      <c r="D272" s="27"/>
      <c r="E272" s="27"/>
      <c r="J272" s="29"/>
    </row>
    <row r="273" ht="15.75" customHeight="1">
      <c r="A273" s="27"/>
      <c r="B273" s="27"/>
      <c r="C273" s="27"/>
      <c r="D273" s="27"/>
      <c r="E273" s="27"/>
      <c r="J273" s="29"/>
    </row>
    <row r="274" ht="15.75" customHeight="1">
      <c r="A274" s="27"/>
      <c r="B274" s="27"/>
      <c r="C274" s="27"/>
      <c r="D274" s="27"/>
      <c r="E274" s="27"/>
      <c r="J274" s="29"/>
    </row>
    <row r="275" ht="15.75" customHeight="1">
      <c r="A275" s="27"/>
      <c r="B275" s="27"/>
      <c r="C275" s="27"/>
      <c r="D275" s="27"/>
      <c r="E275" s="27"/>
      <c r="J275" s="29"/>
    </row>
    <row r="276" ht="15.75" customHeight="1">
      <c r="A276" s="27"/>
      <c r="B276" s="27"/>
      <c r="C276" s="27"/>
      <c r="D276" s="27"/>
      <c r="E276" s="27"/>
      <c r="J276" s="29"/>
    </row>
    <row r="277" ht="15.75" customHeight="1">
      <c r="A277" s="27"/>
      <c r="B277" s="27"/>
      <c r="C277" s="27"/>
      <c r="D277" s="27"/>
      <c r="E277" s="27"/>
      <c r="J277" s="29"/>
    </row>
    <row r="278" ht="15.75" customHeight="1">
      <c r="A278" s="27"/>
      <c r="B278" s="27"/>
      <c r="C278" s="27"/>
      <c r="D278" s="27"/>
      <c r="E278" s="27"/>
      <c r="J278" s="29"/>
    </row>
    <row r="279" ht="15.75" customHeight="1">
      <c r="A279" s="27"/>
      <c r="B279" s="27"/>
      <c r="C279" s="27"/>
      <c r="D279" s="27"/>
      <c r="E279" s="27"/>
      <c r="J279" s="29"/>
    </row>
    <row r="280" ht="15.75" customHeight="1">
      <c r="A280" s="27"/>
      <c r="B280" s="27"/>
      <c r="C280" s="27"/>
      <c r="D280" s="27"/>
      <c r="E280" s="27"/>
      <c r="J280" s="29"/>
    </row>
    <row r="281" ht="15.75" customHeight="1">
      <c r="A281" s="27"/>
      <c r="B281" s="27"/>
      <c r="C281" s="27"/>
      <c r="D281" s="27"/>
      <c r="E281" s="27"/>
      <c r="J281" s="29"/>
    </row>
    <row r="282" ht="15.75" customHeight="1">
      <c r="A282" s="27"/>
      <c r="B282" s="27"/>
      <c r="C282" s="27"/>
      <c r="D282" s="27"/>
      <c r="E282" s="27"/>
      <c r="J282" s="29"/>
    </row>
    <row r="283" ht="15.75" customHeight="1">
      <c r="J283" s="29"/>
    </row>
    <row r="284" ht="15.75" customHeight="1">
      <c r="J284" s="29"/>
    </row>
    <row r="285" ht="15.75" customHeight="1">
      <c r="J285" s="2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</sheetData>
  <mergeCells count="22">
    <mergeCell ref="J5:J25"/>
    <mergeCell ref="J26:J46"/>
    <mergeCell ref="J47:J67"/>
    <mergeCell ref="J68:J88"/>
    <mergeCell ref="J89:J109"/>
    <mergeCell ref="J110:J130"/>
    <mergeCell ref="A2:B2"/>
    <mergeCell ref="D2:J2"/>
    <mergeCell ref="L2:M3"/>
    <mergeCell ref="D5:D25"/>
    <mergeCell ref="E5:E25"/>
    <mergeCell ref="D26:D46"/>
    <mergeCell ref="E26:E46"/>
    <mergeCell ref="E110:E130"/>
    <mergeCell ref="D131:I131"/>
    <mergeCell ref="D47:D67"/>
    <mergeCell ref="E47:E67"/>
    <mergeCell ref="D68:D88"/>
    <mergeCell ref="E68:E88"/>
    <mergeCell ref="D89:D109"/>
    <mergeCell ref="E89:E109"/>
    <mergeCell ref="D110:D1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32.13"/>
  </cols>
  <sheetData>
    <row r="1" ht="15.75" customHeight="1">
      <c r="A1" s="25" t="s">
        <v>34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35</v>
      </c>
      <c r="B2" s="31"/>
      <c r="C2" s="32"/>
      <c r="D2" s="32" t="s">
        <v>36</v>
      </c>
      <c r="K2" s="28"/>
      <c r="L2" s="33" t="s">
        <v>37</v>
      </c>
      <c r="M2" s="34"/>
      <c r="N2" s="28"/>
    </row>
    <row r="3" ht="15.75" customHeight="1">
      <c r="A3" s="35" t="s">
        <v>38</v>
      </c>
      <c r="B3" s="36" t="s">
        <v>39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16</v>
      </c>
      <c r="B4" s="40">
        <v>3100.0</v>
      </c>
      <c r="C4" s="41"/>
      <c r="D4" s="42" t="s">
        <v>1</v>
      </c>
      <c r="E4" s="42" t="s">
        <v>40</v>
      </c>
      <c r="F4" s="43" t="s">
        <v>41</v>
      </c>
      <c r="G4" s="44" t="s">
        <v>42</v>
      </c>
      <c r="H4" s="44" t="s">
        <v>43</v>
      </c>
      <c r="I4" s="45" t="s">
        <v>44</v>
      </c>
      <c r="J4" s="46" t="s">
        <v>45</v>
      </c>
      <c r="K4" s="28"/>
      <c r="L4" s="47" t="s">
        <v>46</v>
      </c>
      <c r="M4" s="47" t="s">
        <v>42</v>
      </c>
      <c r="N4" s="28"/>
    </row>
    <row r="5" ht="15.75" customHeight="1">
      <c r="A5" s="39" t="s">
        <v>47</v>
      </c>
      <c r="B5" s="40">
        <v>3000.0</v>
      </c>
      <c r="C5" s="48"/>
      <c r="D5" s="49">
        <v>1.0</v>
      </c>
      <c r="E5" s="50" t="s">
        <v>61</v>
      </c>
      <c r="F5" s="39" t="s">
        <v>16</v>
      </c>
      <c r="G5" s="51">
        <v>1.0</v>
      </c>
      <c r="H5" s="52">
        <f>VLOOKUP(F5,$A$4:$B$4,2,TRUE)</f>
        <v>3100</v>
      </c>
      <c r="I5" s="53">
        <f t="shared" ref="I5:I46" si="1">G5*H5</f>
        <v>3100</v>
      </c>
      <c r="J5" s="54">
        <f>SUM(I5:I25)</f>
        <v>35000</v>
      </c>
      <c r="K5" s="28"/>
      <c r="L5" s="39" t="s">
        <v>16</v>
      </c>
      <c r="M5" s="55">
        <f>SUMIF(F5:F46,"Gelas bersih",G5:G46)</f>
        <v>1</v>
      </c>
      <c r="N5" s="28"/>
    </row>
    <row r="6" ht="15.75" customHeight="1">
      <c r="A6" s="39" t="s">
        <v>49</v>
      </c>
      <c r="B6" s="40">
        <v>800.0</v>
      </c>
      <c r="C6" s="48"/>
      <c r="D6" s="56"/>
      <c r="E6" s="56"/>
      <c r="F6" s="39" t="s">
        <v>47</v>
      </c>
      <c r="G6" s="51">
        <v>2.5</v>
      </c>
      <c r="H6" s="57">
        <f>VLOOKUP(F6,$A$5:$B$5,2,TRUE)</f>
        <v>3000</v>
      </c>
      <c r="I6" s="53">
        <f t="shared" si="1"/>
        <v>7500</v>
      </c>
      <c r="J6" s="56"/>
      <c r="K6" s="28"/>
      <c r="L6" s="39" t="s">
        <v>47</v>
      </c>
      <c r="M6" s="55">
        <f>SUMIF(F6:F47,"Botol bersih",G6:G47)</f>
        <v>2.5</v>
      </c>
      <c r="N6" s="28"/>
    </row>
    <row r="7" ht="15.75" customHeight="1">
      <c r="A7" s="39" t="s">
        <v>19</v>
      </c>
      <c r="B7" s="40">
        <v>2000.0</v>
      </c>
      <c r="C7" s="48"/>
      <c r="D7" s="56"/>
      <c r="E7" s="56"/>
      <c r="F7" s="39" t="s">
        <v>49</v>
      </c>
      <c r="G7" s="51"/>
      <c r="H7" s="57">
        <f>VLOOKUP(F7,$A$6:$B$6,2,TRUE)</f>
        <v>800</v>
      </c>
      <c r="I7" s="53">
        <f t="shared" si="1"/>
        <v>0</v>
      </c>
      <c r="J7" s="56"/>
      <c r="K7" s="28"/>
      <c r="L7" s="39" t="s">
        <v>49</v>
      </c>
      <c r="M7" s="55">
        <f>SUMIF(F7:F47,"Botol Warna",G7:G47)</f>
        <v>0</v>
      </c>
      <c r="N7" s="28"/>
    </row>
    <row r="8" ht="15.75" customHeight="1">
      <c r="A8" s="39" t="s">
        <v>20</v>
      </c>
      <c r="B8" s="40">
        <v>2800.0</v>
      </c>
      <c r="C8" s="48"/>
      <c r="D8" s="56"/>
      <c r="E8" s="56"/>
      <c r="F8" s="39" t="s">
        <v>19</v>
      </c>
      <c r="G8" s="51"/>
      <c r="H8" s="57">
        <f>VLOOKUP(F8,$A$7:$B$7,2,TRUE)</f>
        <v>2000</v>
      </c>
      <c r="I8" s="53">
        <f t="shared" si="1"/>
        <v>0</v>
      </c>
      <c r="J8" s="56"/>
      <c r="K8" s="28"/>
      <c r="L8" s="39" t="s">
        <v>19</v>
      </c>
      <c r="M8" s="55">
        <f>SUMIF(F8:F48,"Tutup botol",G8:G48)</f>
        <v>0</v>
      </c>
      <c r="N8" s="28"/>
    </row>
    <row r="9" ht="15.75" customHeight="1">
      <c r="A9" s="39" t="s">
        <v>50</v>
      </c>
      <c r="B9" s="40">
        <v>800.0</v>
      </c>
      <c r="C9" s="48"/>
      <c r="D9" s="56"/>
      <c r="E9" s="56"/>
      <c r="F9" s="39" t="s">
        <v>20</v>
      </c>
      <c r="G9" s="51">
        <v>1.0</v>
      </c>
      <c r="H9" s="57">
        <f>VLOOKUP(F9, $A$8:$B$8, 2, FALSE)</f>
        <v>2800</v>
      </c>
      <c r="I9" s="53">
        <f t="shared" si="1"/>
        <v>2800</v>
      </c>
      <c r="J9" s="56"/>
      <c r="K9" s="28"/>
      <c r="L9" s="39" t="s">
        <v>20</v>
      </c>
      <c r="M9" s="55">
        <f>SUMIF(F9:F49,"Tutup galon",G9:G49)</f>
        <v>1</v>
      </c>
      <c r="N9" s="28"/>
    </row>
    <row r="10" ht="15.75" customHeight="1">
      <c r="A10" s="39" t="s">
        <v>22</v>
      </c>
      <c r="B10" s="40">
        <v>1500.0</v>
      </c>
      <c r="C10" s="48"/>
      <c r="D10" s="56"/>
      <c r="E10" s="56"/>
      <c r="F10" s="39" t="s">
        <v>50</v>
      </c>
      <c r="G10" s="51">
        <v>1.0</v>
      </c>
      <c r="H10" s="57">
        <f>VLOOKUP(F10, $A$9:$B$9, 2, FALSE)</f>
        <v>800</v>
      </c>
      <c r="I10" s="53">
        <f t="shared" si="1"/>
        <v>800</v>
      </c>
      <c r="J10" s="56"/>
      <c r="K10" s="28"/>
      <c r="L10" s="39" t="s">
        <v>50</v>
      </c>
      <c r="M10" s="55">
        <f>SUMIF(F10:F51,"Emberan/Atum",G10:G51)</f>
        <v>1</v>
      </c>
      <c r="N10" s="28"/>
    </row>
    <row r="11" ht="15.75" customHeight="1">
      <c r="A11" s="39" t="s">
        <v>23</v>
      </c>
      <c r="B11" s="40">
        <v>1200.0</v>
      </c>
      <c r="C11" s="48"/>
      <c r="D11" s="56"/>
      <c r="E11" s="56"/>
      <c r="F11" s="39" t="s">
        <v>22</v>
      </c>
      <c r="G11" s="51">
        <v>2.0</v>
      </c>
      <c r="H11" s="57">
        <f>VLOOKUP(F11,$A$10:$B$10,2,TRUE)</f>
        <v>1500</v>
      </c>
      <c r="I11" s="53">
        <f t="shared" si="1"/>
        <v>3000</v>
      </c>
      <c r="J11" s="56"/>
      <c r="K11" s="28"/>
      <c r="L11" s="39" t="s">
        <v>22</v>
      </c>
      <c r="M11" s="55">
        <f>SUMIF(F11:F52,"Kardus",G11:G52)</f>
        <v>7</v>
      </c>
      <c r="N11" s="28"/>
    </row>
    <row r="12" ht="15.75" customHeight="1">
      <c r="A12" s="39" t="s">
        <v>51</v>
      </c>
      <c r="B12" s="40">
        <v>1000.0</v>
      </c>
      <c r="C12" s="48"/>
      <c r="D12" s="56"/>
      <c r="E12" s="56"/>
      <c r="F12" s="39" t="s">
        <v>23</v>
      </c>
      <c r="G12" s="51"/>
      <c r="H12" s="57">
        <f>VLOOKUP(F12,$A$11:$B$11,2,TRUE)</f>
        <v>1200</v>
      </c>
      <c r="I12" s="53">
        <f t="shared" si="1"/>
        <v>0</v>
      </c>
      <c r="J12" s="56"/>
      <c r="K12" s="28"/>
      <c r="L12" s="39" t="s">
        <v>23</v>
      </c>
      <c r="M12" s="55">
        <f>SUMIF(F12:F53,"Kertas Putihan/ HVS",G12:G53)</f>
        <v>0</v>
      </c>
      <c r="N12" s="28"/>
    </row>
    <row r="13" ht="15.75" customHeight="1">
      <c r="A13" s="39" t="s">
        <v>25</v>
      </c>
      <c r="B13" s="40">
        <v>500.0</v>
      </c>
      <c r="C13" s="48"/>
      <c r="D13" s="56"/>
      <c r="E13" s="56"/>
      <c r="F13" s="39" t="s">
        <v>52</v>
      </c>
      <c r="G13" s="51"/>
      <c r="H13" s="57">
        <f>VLOOKUP(F13,$A$12:$B$12,2,TRUE)</f>
        <v>1000</v>
      </c>
      <c r="I13" s="53">
        <f t="shared" si="1"/>
        <v>0</v>
      </c>
      <c r="J13" s="56"/>
      <c r="K13" s="28"/>
      <c r="L13" s="39" t="s">
        <v>52</v>
      </c>
      <c r="M13" s="55">
        <f>SUMIF(F13:F55,"Buku/LKS",G13:G55)</f>
        <v>0</v>
      </c>
      <c r="N13" s="28"/>
    </row>
    <row r="14" ht="15.75" customHeight="1">
      <c r="A14" s="39" t="s">
        <v>26</v>
      </c>
      <c r="B14" s="40">
        <v>6500.0</v>
      </c>
      <c r="C14" s="48"/>
      <c r="D14" s="56"/>
      <c r="E14" s="56"/>
      <c r="F14" s="39" t="s">
        <v>25</v>
      </c>
      <c r="G14" s="51">
        <v>5.0</v>
      </c>
      <c r="H14" s="57">
        <f>VLOOKUP(F14,$A$13:$B$13,2,TRUE)</f>
        <v>500</v>
      </c>
      <c r="I14" s="53">
        <f t="shared" si="1"/>
        <v>2500</v>
      </c>
      <c r="J14" s="56"/>
      <c r="K14" s="28"/>
      <c r="L14" s="39" t="s">
        <v>25</v>
      </c>
      <c r="M14" s="55">
        <f>SUMIF(F14:F56,"Duplex",G14:G56)</f>
        <v>5</v>
      </c>
      <c r="N14" s="28"/>
    </row>
    <row r="15" ht="15.75" customHeight="1">
      <c r="A15" s="39" t="s">
        <v>27</v>
      </c>
      <c r="B15" s="40">
        <v>2000.0</v>
      </c>
      <c r="C15" s="48"/>
      <c r="D15" s="56"/>
      <c r="E15" s="56"/>
      <c r="F15" s="39" t="s">
        <v>26</v>
      </c>
      <c r="G15" s="51"/>
      <c r="H15" s="57">
        <f>VLOOKUP(F15,$A$14:$B$14,2,TRUE)</f>
        <v>6500</v>
      </c>
      <c r="I15" s="53">
        <f t="shared" si="1"/>
        <v>0</v>
      </c>
      <c r="J15" s="56"/>
      <c r="K15" s="28"/>
      <c r="L15" s="39" t="s">
        <v>26</v>
      </c>
      <c r="M15" s="55">
        <f>SUMIF(F15:F57,"Alumunium",G15:G57)</f>
        <v>0</v>
      </c>
      <c r="N15" s="28"/>
    </row>
    <row r="16" ht="15.75" customHeight="1">
      <c r="A16" s="39" t="s">
        <v>28</v>
      </c>
      <c r="B16" s="40">
        <v>1300.0</v>
      </c>
      <c r="C16" s="48"/>
      <c r="D16" s="56"/>
      <c r="E16" s="56"/>
      <c r="F16" s="39" t="s">
        <v>27</v>
      </c>
      <c r="G16" s="51"/>
      <c r="H16" s="57">
        <f>VLOOKUP(F16,$A$15:$B$15,2,TRUE)</f>
        <v>2000</v>
      </c>
      <c r="I16" s="53">
        <f t="shared" si="1"/>
        <v>0</v>
      </c>
      <c r="J16" s="56"/>
      <c r="K16" s="28"/>
      <c r="L16" s="39" t="s">
        <v>27</v>
      </c>
      <c r="M16" s="55">
        <f>SUMIF(F16:F58,"Besi",G16:G58)</f>
        <v>0</v>
      </c>
      <c r="N16" s="28"/>
    </row>
    <row r="17" ht="15.75" customHeight="1">
      <c r="A17" s="39" t="s">
        <v>29</v>
      </c>
      <c r="B17" s="40">
        <v>5000.0</v>
      </c>
      <c r="C17" s="48"/>
      <c r="D17" s="56"/>
      <c r="E17" s="56"/>
      <c r="F17" s="39" t="s">
        <v>28</v>
      </c>
      <c r="G17" s="51">
        <v>1.0</v>
      </c>
      <c r="H17" s="57">
        <f>VLOOKUP(F17,$A$16:$B$16,2,TRUE)</f>
        <v>1300</v>
      </c>
      <c r="I17" s="53">
        <f t="shared" si="1"/>
        <v>1300</v>
      </c>
      <c r="J17" s="56"/>
      <c r="K17" s="28"/>
      <c r="L17" s="39" t="s">
        <v>28</v>
      </c>
      <c r="M17" s="55">
        <f>SUMIF(F17:F59,"Kaleng kue/susu",G17:G59)</f>
        <v>1</v>
      </c>
      <c r="N17" s="28"/>
    </row>
    <row r="18" ht="15.75" customHeight="1">
      <c r="A18" s="39" t="s">
        <v>30</v>
      </c>
      <c r="B18" s="40">
        <v>2300.0</v>
      </c>
      <c r="C18" s="48"/>
      <c r="D18" s="56"/>
      <c r="E18" s="56"/>
      <c r="F18" s="39" t="s">
        <v>29</v>
      </c>
      <c r="G18" s="51"/>
      <c r="H18" s="57">
        <f>VLOOKUP(F18,$A$17:$B$17,2,TRUE)</f>
        <v>5000</v>
      </c>
      <c r="I18" s="53">
        <f t="shared" si="1"/>
        <v>0</v>
      </c>
      <c r="J18" s="56"/>
      <c r="K18" s="28"/>
      <c r="L18" s="39" t="s">
        <v>29</v>
      </c>
      <c r="M18" s="55">
        <f>SUMIF(F18:F60,"Kaleng Minuman",G18:G60)</f>
        <v>0</v>
      </c>
      <c r="N18" s="28"/>
    </row>
    <row r="19" ht="15.75" customHeight="1">
      <c r="A19" s="39" t="s">
        <v>32</v>
      </c>
      <c r="B19" s="40">
        <v>10000.0</v>
      </c>
      <c r="C19" s="48"/>
      <c r="D19" s="56"/>
      <c r="E19" s="56"/>
      <c r="F19" s="39" t="s">
        <v>30</v>
      </c>
      <c r="G19" s="51"/>
      <c r="H19" s="57">
        <f>VLOOKUP(F19,$A$18:$B$18,2,TRUE)</f>
        <v>2300</v>
      </c>
      <c r="I19" s="53">
        <f t="shared" si="1"/>
        <v>0</v>
      </c>
      <c r="J19" s="56"/>
      <c r="K19" s="28"/>
      <c r="L19" s="39" t="s">
        <v>30</v>
      </c>
      <c r="M19" s="55">
        <f>SUMIF(F19:F62,"Stanless",G19:G62)</f>
        <v>0</v>
      </c>
      <c r="N19" s="28"/>
    </row>
    <row r="20" ht="15.75" customHeight="1">
      <c r="A20" s="39" t="s">
        <v>53</v>
      </c>
      <c r="B20" s="40">
        <v>300.0</v>
      </c>
      <c r="C20" s="48"/>
      <c r="D20" s="56"/>
      <c r="E20" s="56"/>
      <c r="F20" s="39" t="s">
        <v>32</v>
      </c>
      <c r="G20" s="51"/>
      <c r="H20" s="57">
        <f>VLOOKUP(F20,$A$19:$B$19,2,TRUE)</f>
        <v>10000</v>
      </c>
      <c r="I20" s="53">
        <f t="shared" si="1"/>
        <v>0</v>
      </c>
      <c r="J20" s="56"/>
      <c r="K20" s="28"/>
      <c r="L20" s="39" t="s">
        <v>32</v>
      </c>
      <c r="M20" s="55">
        <f>SUMIF(F20:F63,"Aki Motor",G20:G63)</f>
        <v>0</v>
      </c>
      <c r="N20" s="28"/>
    </row>
    <row r="21" ht="15.75" customHeight="1">
      <c r="A21" s="39" t="s">
        <v>12</v>
      </c>
      <c r="B21" s="40">
        <v>300.0</v>
      </c>
      <c r="C21" s="48"/>
      <c r="D21" s="56"/>
      <c r="E21" s="56"/>
      <c r="F21" s="39" t="s">
        <v>53</v>
      </c>
      <c r="G21" s="51"/>
      <c r="H21" s="57">
        <f>VLOOKUP(F21,$A$20:$B$20,2,TRUE)</f>
        <v>300</v>
      </c>
      <c r="I21" s="53">
        <f t="shared" si="1"/>
        <v>0</v>
      </c>
      <c r="J21" s="56"/>
      <c r="K21" s="28"/>
      <c r="L21" s="39" t="s">
        <v>53</v>
      </c>
      <c r="M21" s="55">
        <f>SUMIF(F21:F66,"Plastik Keresek",G21:G66)</f>
        <v>0</v>
      </c>
      <c r="N21" s="28"/>
    </row>
    <row r="22" ht="15.75" customHeight="1">
      <c r="A22" s="39" t="s">
        <v>9</v>
      </c>
      <c r="B22" s="40">
        <v>1700.0</v>
      </c>
      <c r="C22" s="48"/>
      <c r="D22" s="56"/>
      <c r="E22" s="56"/>
      <c r="F22" s="39" t="s">
        <v>12</v>
      </c>
      <c r="G22" s="51"/>
      <c r="H22" s="57">
        <f>VLOOKUP(F22,$A$21:$B$21,2,TRUE)</f>
        <v>300</v>
      </c>
      <c r="I22" s="53">
        <f t="shared" si="1"/>
        <v>0</v>
      </c>
      <c r="J22" s="56"/>
      <c r="K22" s="28"/>
      <c r="L22" s="39" t="s">
        <v>12</v>
      </c>
      <c r="M22" s="55">
        <f>SUMIF(F22:F68,"Beling",G22:G68)</f>
        <v>0</v>
      </c>
      <c r="N22" s="28"/>
    </row>
    <row r="23" ht="15.75" customHeight="1">
      <c r="A23" s="39" t="s">
        <v>14</v>
      </c>
      <c r="B23" s="58">
        <v>4000.0</v>
      </c>
      <c r="C23" s="48"/>
      <c r="D23" s="56"/>
      <c r="E23" s="56"/>
      <c r="F23" s="39" t="s">
        <v>9</v>
      </c>
      <c r="G23" s="51"/>
      <c r="H23" s="57">
        <f>VLOOKUP(F23,$A$22:$B$22,2,TRUE)</f>
        <v>1700</v>
      </c>
      <c r="I23" s="53">
        <f t="shared" si="1"/>
        <v>0</v>
      </c>
      <c r="J23" s="56"/>
      <c r="K23" s="28"/>
      <c r="L23" s="39" t="s">
        <v>9</v>
      </c>
      <c r="M23" s="55">
        <f>SUMIF(F23:F70,"Paku",G23:G70)</f>
        <v>0</v>
      </c>
      <c r="N23" s="28"/>
    </row>
    <row r="24" ht="15.75" customHeight="1">
      <c r="A24" s="39" t="s">
        <v>54</v>
      </c>
      <c r="B24" s="40">
        <v>500.0</v>
      </c>
      <c r="C24" s="48"/>
      <c r="D24" s="56"/>
      <c r="E24" s="56"/>
      <c r="F24" s="39" t="s">
        <v>14</v>
      </c>
      <c r="G24" s="51">
        <v>3.5</v>
      </c>
      <c r="H24" s="57">
        <f>VLOOKUP(F23,$A$23:$B$23,2,TRUE)</f>
        <v>4000</v>
      </c>
      <c r="I24" s="53">
        <f t="shared" si="1"/>
        <v>14000</v>
      </c>
      <c r="J24" s="56"/>
      <c r="K24" s="28"/>
      <c r="L24" s="39" t="s">
        <v>14</v>
      </c>
      <c r="M24" s="55">
        <f>SUMIF(F24:F71,"Minyak Jelantah",G24:G71)</f>
        <v>3.5</v>
      </c>
      <c r="N24" s="28"/>
    </row>
    <row r="25" ht="15.75" customHeight="1">
      <c r="A25" s="48"/>
      <c r="B25" s="48"/>
      <c r="C25" s="48"/>
      <c r="D25" s="14"/>
      <c r="E25" s="14"/>
      <c r="F25" s="39" t="s">
        <v>54</v>
      </c>
      <c r="G25" s="51"/>
      <c r="H25" s="57">
        <f>VLOOKUP(F24,$A$24:$B$24,2,TRUE)</f>
        <v>500</v>
      </c>
      <c r="I25" s="53">
        <f t="shared" si="1"/>
        <v>0</v>
      </c>
      <c r="J25" s="14"/>
      <c r="K25" s="28"/>
      <c r="L25" s="39" t="s">
        <v>54</v>
      </c>
      <c r="M25" s="55">
        <f>SUMIF(F25:F72,"Lainnya",G25:G72)</f>
        <v>0</v>
      </c>
      <c r="N25" s="28"/>
    </row>
    <row r="26" ht="15.75" customHeight="1">
      <c r="A26" s="48"/>
      <c r="B26" s="48"/>
      <c r="C26" s="48"/>
      <c r="D26" s="49">
        <v>2.0</v>
      </c>
      <c r="E26" s="50" t="s">
        <v>62</v>
      </c>
      <c r="F26" s="39" t="s">
        <v>16</v>
      </c>
      <c r="G26" s="51"/>
      <c r="H26" s="52">
        <v>3100.0</v>
      </c>
      <c r="I26" s="53">
        <f t="shared" si="1"/>
        <v>0</v>
      </c>
      <c r="J26" s="54">
        <f>SUM(I26:I46)</f>
        <v>7500</v>
      </c>
      <c r="K26" s="28"/>
      <c r="L26" s="28"/>
      <c r="M26" s="28"/>
      <c r="N26" s="28"/>
    </row>
    <row r="27" ht="15.75" customHeight="1">
      <c r="A27" s="59"/>
      <c r="B27" s="59"/>
      <c r="C27" s="48"/>
      <c r="D27" s="56"/>
      <c r="E27" s="56"/>
      <c r="F27" s="39" t="s">
        <v>47</v>
      </c>
      <c r="G27" s="51"/>
      <c r="H27" s="57">
        <v>3000.0</v>
      </c>
      <c r="I27" s="53">
        <f t="shared" si="1"/>
        <v>0</v>
      </c>
      <c r="J27" s="56"/>
      <c r="K27" s="28"/>
      <c r="L27" s="28"/>
      <c r="M27" s="28"/>
      <c r="N27" s="28"/>
    </row>
    <row r="28" ht="15.75" customHeight="1">
      <c r="A28" s="59"/>
      <c r="B28" s="59"/>
      <c r="C28" s="48"/>
      <c r="D28" s="56"/>
      <c r="E28" s="56"/>
      <c r="F28" s="39" t="s">
        <v>49</v>
      </c>
      <c r="G28" s="51"/>
      <c r="H28" s="57">
        <v>800.0</v>
      </c>
      <c r="I28" s="53">
        <f t="shared" si="1"/>
        <v>0</v>
      </c>
      <c r="J28" s="56"/>
      <c r="K28" s="28"/>
      <c r="L28" s="28"/>
      <c r="M28" s="28"/>
      <c r="N28" s="28"/>
    </row>
    <row r="29" ht="15.75" customHeight="1">
      <c r="A29" s="60"/>
      <c r="B29" s="60"/>
      <c r="C29" s="48"/>
      <c r="D29" s="56"/>
      <c r="E29" s="56"/>
      <c r="F29" s="39" t="s">
        <v>19</v>
      </c>
      <c r="G29" s="51"/>
      <c r="H29" s="57">
        <v>2000.0</v>
      </c>
      <c r="I29" s="53">
        <f t="shared" si="1"/>
        <v>0</v>
      </c>
      <c r="J29" s="56"/>
      <c r="K29" s="28"/>
      <c r="L29" s="28"/>
      <c r="M29" s="28"/>
      <c r="N29" s="28"/>
    </row>
    <row r="30" ht="15.75" customHeight="1">
      <c r="A30" s="61"/>
      <c r="B30" s="60"/>
      <c r="C30" s="48"/>
      <c r="D30" s="56"/>
      <c r="E30" s="56"/>
      <c r="F30" s="39" t="s">
        <v>20</v>
      </c>
      <c r="G30" s="51"/>
      <c r="H30" s="57">
        <v>2800.0</v>
      </c>
      <c r="I30" s="53">
        <f t="shared" si="1"/>
        <v>0</v>
      </c>
      <c r="J30" s="56"/>
      <c r="K30" s="28"/>
      <c r="L30" s="28"/>
      <c r="M30" s="28"/>
      <c r="N30" s="28"/>
    </row>
    <row r="31" ht="15.75" customHeight="1">
      <c r="A31" s="61"/>
      <c r="B31" s="60"/>
      <c r="C31" s="48"/>
      <c r="D31" s="56"/>
      <c r="E31" s="56"/>
      <c r="F31" s="39" t="s">
        <v>50</v>
      </c>
      <c r="G31" s="51"/>
      <c r="H31" s="57">
        <v>800.0</v>
      </c>
      <c r="I31" s="53">
        <f t="shared" si="1"/>
        <v>0</v>
      </c>
      <c r="J31" s="56"/>
      <c r="K31" s="28"/>
      <c r="L31" s="28"/>
      <c r="M31" s="28"/>
      <c r="N31" s="28"/>
    </row>
    <row r="32" ht="15.75" customHeight="1">
      <c r="A32" s="61"/>
      <c r="B32" s="60"/>
      <c r="C32" s="48"/>
      <c r="D32" s="56"/>
      <c r="E32" s="56"/>
      <c r="F32" s="39" t="s">
        <v>22</v>
      </c>
      <c r="G32" s="51">
        <v>5.0</v>
      </c>
      <c r="H32" s="57">
        <v>1500.0</v>
      </c>
      <c r="I32" s="53">
        <f t="shared" si="1"/>
        <v>7500</v>
      </c>
      <c r="J32" s="56"/>
      <c r="K32" s="28"/>
      <c r="L32" s="28"/>
      <c r="M32" s="28"/>
      <c r="N32" s="28"/>
    </row>
    <row r="33" ht="15.75" customHeight="1">
      <c r="A33" s="61"/>
      <c r="B33" s="60"/>
      <c r="C33" s="48"/>
      <c r="D33" s="56"/>
      <c r="E33" s="56"/>
      <c r="F33" s="39" t="s">
        <v>23</v>
      </c>
      <c r="G33" s="51"/>
      <c r="H33" s="57">
        <v>1200.0</v>
      </c>
      <c r="I33" s="53">
        <f t="shared" si="1"/>
        <v>0</v>
      </c>
      <c r="J33" s="56"/>
      <c r="K33" s="28"/>
      <c r="L33" s="28"/>
      <c r="M33" s="28"/>
      <c r="N33" s="28"/>
    </row>
    <row r="34" ht="15.75" customHeight="1">
      <c r="A34" s="61"/>
      <c r="B34" s="60"/>
      <c r="C34" s="48"/>
      <c r="D34" s="56"/>
      <c r="E34" s="56"/>
      <c r="F34" s="39" t="s">
        <v>52</v>
      </c>
      <c r="G34" s="51"/>
      <c r="H34" s="57">
        <v>1000.0</v>
      </c>
      <c r="I34" s="53">
        <f t="shared" si="1"/>
        <v>0</v>
      </c>
      <c r="J34" s="56"/>
      <c r="K34" s="28"/>
      <c r="L34" s="28"/>
      <c r="M34" s="28"/>
      <c r="N34" s="28"/>
    </row>
    <row r="35" ht="15.75" customHeight="1">
      <c r="A35" s="61"/>
      <c r="B35" s="60"/>
      <c r="C35" s="48"/>
      <c r="D35" s="56"/>
      <c r="E35" s="56"/>
      <c r="F35" s="39" t="s">
        <v>25</v>
      </c>
      <c r="G35" s="51"/>
      <c r="H35" s="57">
        <v>500.0</v>
      </c>
      <c r="I35" s="53">
        <f t="shared" si="1"/>
        <v>0</v>
      </c>
      <c r="J35" s="56"/>
      <c r="K35" s="28"/>
      <c r="L35" s="28"/>
      <c r="M35" s="28"/>
      <c r="N35" s="28"/>
    </row>
    <row r="36" ht="15.75" customHeight="1">
      <c r="A36" s="61"/>
      <c r="B36" s="60"/>
      <c r="C36" s="48"/>
      <c r="D36" s="56"/>
      <c r="E36" s="56"/>
      <c r="F36" s="39" t="s">
        <v>26</v>
      </c>
      <c r="G36" s="51"/>
      <c r="H36" s="57">
        <v>6500.0</v>
      </c>
      <c r="I36" s="53">
        <f t="shared" si="1"/>
        <v>0</v>
      </c>
      <c r="J36" s="56"/>
      <c r="K36" s="28"/>
      <c r="L36" s="28"/>
      <c r="M36" s="28"/>
      <c r="N36" s="28"/>
    </row>
    <row r="37" ht="15.75" customHeight="1">
      <c r="A37" s="61"/>
      <c r="B37" s="60"/>
      <c r="C37" s="48"/>
      <c r="D37" s="56"/>
      <c r="E37" s="56"/>
      <c r="F37" s="39" t="s">
        <v>27</v>
      </c>
      <c r="G37" s="51"/>
      <c r="H37" s="57">
        <v>2000.0</v>
      </c>
      <c r="I37" s="53">
        <f t="shared" si="1"/>
        <v>0</v>
      </c>
      <c r="J37" s="56"/>
      <c r="K37" s="28"/>
      <c r="L37" s="28"/>
      <c r="M37" s="28"/>
      <c r="N37" s="28"/>
    </row>
    <row r="38" ht="15.75" customHeight="1">
      <c r="A38" s="61"/>
      <c r="B38" s="60"/>
      <c r="C38" s="48"/>
      <c r="D38" s="56"/>
      <c r="E38" s="56"/>
      <c r="F38" s="39" t="s">
        <v>28</v>
      </c>
      <c r="G38" s="51"/>
      <c r="H38" s="57">
        <v>1300.0</v>
      </c>
      <c r="I38" s="53">
        <f t="shared" si="1"/>
        <v>0</v>
      </c>
      <c r="J38" s="56"/>
      <c r="K38" s="28"/>
      <c r="L38" s="28"/>
      <c r="M38" s="28"/>
      <c r="N38" s="28"/>
    </row>
    <row r="39" ht="15.75" customHeight="1">
      <c r="A39" s="61"/>
      <c r="B39" s="60"/>
      <c r="C39" s="48"/>
      <c r="D39" s="56"/>
      <c r="E39" s="56"/>
      <c r="F39" s="39" t="s">
        <v>29</v>
      </c>
      <c r="G39" s="51"/>
      <c r="H39" s="57">
        <v>5000.0</v>
      </c>
      <c r="I39" s="53">
        <f t="shared" si="1"/>
        <v>0</v>
      </c>
      <c r="J39" s="56"/>
      <c r="K39" s="28"/>
      <c r="L39" s="28"/>
      <c r="M39" s="28"/>
      <c r="N39" s="28"/>
    </row>
    <row r="40" ht="15.75" customHeight="1">
      <c r="A40" s="61"/>
      <c r="B40" s="60"/>
      <c r="C40" s="48"/>
      <c r="D40" s="56"/>
      <c r="E40" s="56"/>
      <c r="F40" s="39" t="s">
        <v>30</v>
      </c>
      <c r="G40" s="51"/>
      <c r="H40" s="57">
        <v>2300.0</v>
      </c>
      <c r="I40" s="53">
        <f t="shared" si="1"/>
        <v>0</v>
      </c>
      <c r="J40" s="56"/>
      <c r="K40" s="28"/>
      <c r="L40" s="28"/>
      <c r="M40" s="28"/>
      <c r="N40" s="28"/>
    </row>
    <row r="41" ht="15.75" customHeight="1">
      <c r="A41" s="61"/>
      <c r="B41" s="60"/>
      <c r="C41" s="48"/>
      <c r="D41" s="56"/>
      <c r="E41" s="56"/>
      <c r="F41" s="39" t="s">
        <v>32</v>
      </c>
      <c r="G41" s="51"/>
      <c r="H41" s="57">
        <v>10000.0</v>
      </c>
      <c r="I41" s="53">
        <f t="shared" si="1"/>
        <v>0</v>
      </c>
      <c r="J41" s="56"/>
      <c r="K41" s="28"/>
      <c r="L41" s="28"/>
      <c r="M41" s="28"/>
      <c r="N41" s="28"/>
    </row>
    <row r="42" ht="15.75" customHeight="1">
      <c r="A42" s="61"/>
      <c r="B42" s="60"/>
      <c r="C42" s="48"/>
      <c r="D42" s="56"/>
      <c r="E42" s="56"/>
      <c r="F42" s="39" t="s">
        <v>53</v>
      </c>
      <c r="G42" s="51"/>
      <c r="H42" s="57">
        <v>300.0</v>
      </c>
      <c r="I42" s="53">
        <f t="shared" si="1"/>
        <v>0</v>
      </c>
      <c r="J42" s="56"/>
      <c r="K42" s="28"/>
      <c r="L42" s="28"/>
      <c r="M42" s="28"/>
      <c r="N42" s="28"/>
    </row>
    <row r="43" ht="15.75" customHeight="1">
      <c r="A43" s="61"/>
      <c r="B43" s="60"/>
      <c r="C43" s="48"/>
      <c r="D43" s="56"/>
      <c r="E43" s="56"/>
      <c r="F43" s="39" t="s">
        <v>12</v>
      </c>
      <c r="G43" s="51"/>
      <c r="H43" s="57">
        <v>300.0</v>
      </c>
      <c r="I43" s="53">
        <f t="shared" si="1"/>
        <v>0</v>
      </c>
      <c r="J43" s="56"/>
      <c r="K43" s="28"/>
      <c r="L43" s="28"/>
      <c r="M43" s="28"/>
      <c r="N43" s="28"/>
    </row>
    <row r="44" ht="15.75" customHeight="1">
      <c r="A44" s="61"/>
      <c r="B44" s="60"/>
      <c r="C44" s="48"/>
      <c r="D44" s="56"/>
      <c r="E44" s="56"/>
      <c r="F44" s="39" t="s">
        <v>9</v>
      </c>
      <c r="G44" s="51"/>
      <c r="H44" s="57">
        <v>1700.0</v>
      </c>
      <c r="I44" s="53">
        <f t="shared" si="1"/>
        <v>0</v>
      </c>
      <c r="J44" s="56"/>
      <c r="K44" s="28"/>
      <c r="L44" s="28"/>
      <c r="M44" s="28"/>
      <c r="N44" s="28"/>
    </row>
    <row r="45" ht="15.75" customHeight="1">
      <c r="A45" s="61"/>
      <c r="B45" s="60"/>
      <c r="C45" s="48"/>
      <c r="D45" s="56"/>
      <c r="E45" s="56"/>
      <c r="F45" s="39" t="s">
        <v>14</v>
      </c>
      <c r="G45" s="51"/>
      <c r="H45" s="57">
        <v>4000.0</v>
      </c>
      <c r="I45" s="53">
        <f t="shared" si="1"/>
        <v>0</v>
      </c>
      <c r="J45" s="56"/>
      <c r="K45" s="28"/>
      <c r="L45" s="28"/>
      <c r="M45" s="28"/>
      <c r="N45" s="28"/>
    </row>
    <row r="46" ht="15.75" customHeight="1">
      <c r="A46" s="61"/>
      <c r="B46" s="60"/>
      <c r="C46" s="48"/>
      <c r="D46" s="14"/>
      <c r="E46" s="14"/>
      <c r="F46" s="39" t="s">
        <v>54</v>
      </c>
      <c r="G46" s="51"/>
      <c r="H46" s="57">
        <v>500.0</v>
      </c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48"/>
      <c r="B47" s="48"/>
      <c r="C47" s="48"/>
      <c r="D47" s="64" t="s">
        <v>60</v>
      </c>
      <c r="E47" s="4"/>
      <c r="F47" s="4"/>
      <c r="G47" s="4"/>
      <c r="H47" s="4"/>
      <c r="I47" s="5"/>
      <c r="J47" s="65">
        <f>SUM(J5:J46)</f>
        <v>42500</v>
      </c>
      <c r="K47" s="28"/>
      <c r="L47" s="28"/>
      <c r="M47" s="28"/>
      <c r="N47" s="28"/>
    </row>
    <row r="48" ht="15.75" customHeight="1">
      <c r="A48" s="27"/>
      <c r="B48" s="27"/>
      <c r="C48" s="27"/>
      <c r="D48" s="27"/>
      <c r="E48" s="27"/>
      <c r="F48" s="28"/>
      <c r="G48" s="28"/>
      <c r="H48" s="28"/>
      <c r="I48" s="28"/>
      <c r="J48" s="29"/>
      <c r="K48" s="28"/>
      <c r="L48" s="28"/>
      <c r="M48" s="28"/>
      <c r="N48" s="28"/>
    </row>
    <row r="49" ht="15.75" customHeight="1">
      <c r="A49" s="27"/>
      <c r="B49" s="27"/>
      <c r="C49" s="27"/>
      <c r="D49" s="27"/>
      <c r="E49" s="27"/>
      <c r="F49" s="28"/>
      <c r="G49" s="28"/>
      <c r="H49" s="28"/>
      <c r="I49" s="28"/>
      <c r="J49" s="29"/>
      <c r="K49" s="28"/>
      <c r="L49" s="28"/>
      <c r="M49" s="28"/>
      <c r="N49" s="28"/>
    </row>
    <row r="50" ht="15.75" customHeight="1">
      <c r="A50" s="27"/>
      <c r="B50" s="27"/>
      <c r="C50" s="27"/>
      <c r="D50" s="27"/>
      <c r="E50" s="27"/>
      <c r="F50" s="28"/>
      <c r="G50" s="28"/>
      <c r="H50" s="28"/>
      <c r="I50" s="28"/>
      <c r="J50" s="29"/>
      <c r="K50" s="28"/>
      <c r="L50" s="28"/>
      <c r="M50" s="28"/>
      <c r="N50" s="28"/>
    </row>
    <row r="51" ht="15.75" customHeight="1">
      <c r="A51" s="27"/>
      <c r="B51" s="27"/>
      <c r="C51" s="27"/>
      <c r="D51" s="27"/>
      <c r="E51" s="27"/>
      <c r="F51" s="28"/>
      <c r="G51" s="28"/>
      <c r="H51" s="28"/>
      <c r="I51" s="28"/>
      <c r="J51" s="29"/>
      <c r="K51" s="28"/>
      <c r="L51" s="28"/>
      <c r="M51" s="28"/>
      <c r="N51" s="28"/>
    </row>
    <row r="52" ht="15.75" customHeight="1">
      <c r="A52" s="27"/>
      <c r="B52" s="27"/>
      <c r="C52" s="27"/>
      <c r="D52" s="27"/>
      <c r="E52" s="27"/>
      <c r="F52" s="28"/>
      <c r="G52" s="28"/>
      <c r="H52" s="28"/>
      <c r="I52" s="28"/>
      <c r="J52" s="29"/>
      <c r="K52" s="28"/>
      <c r="L52" s="28"/>
      <c r="M52" s="28"/>
      <c r="N52" s="28"/>
    </row>
    <row r="53" ht="15.75" customHeight="1">
      <c r="A53" s="27"/>
      <c r="B53" s="27"/>
      <c r="C53" s="27"/>
      <c r="D53" s="27"/>
      <c r="E53" s="27"/>
      <c r="F53" s="28"/>
      <c r="G53" s="28"/>
      <c r="H53" s="28"/>
      <c r="I53" s="28"/>
      <c r="J53" s="29"/>
      <c r="K53" s="28"/>
      <c r="L53" s="28"/>
      <c r="M53" s="28"/>
      <c r="N53" s="28"/>
    </row>
    <row r="54" ht="15.75" customHeight="1">
      <c r="A54" s="27"/>
      <c r="B54" s="27"/>
      <c r="C54" s="27"/>
      <c r="D54" s="27"/>
      <c r="E54" s="27"/>
      <c r="F54" s="28"/>
      <c r="G54" s="28"/>
      <c r="H54" s="28"/>
      <c r="I54" s="28"/>
      <c r="J54" s="29"/>
      <c r="K54" s="28"/>
      <c r="L54" s="28"/>
      <c r="M54" s="28"/>
      <c r="N54" s="28"/>
    </row>
    <row r="55" ht="15.75" customHeight="1">
      <c r="A55" s="27"/>
      <c r="B55" s="27"/>
      <c r="C55" s="27"/>
      <c r="D55" s="27"/>
      <c r="E55" s="27"/>
      <c r="F55" s="28"/>
      <c r="G55" s="28"/>
      <c r="H55" s="28"/>
      <c r="I55" s="28"/>
      <c r="J55" s="29"/>
      <c r="K55" s="28"/>
      <c r="L55" s="28"/>
      <c r="M55" s="28"/>
      <c r="N55" s="28"/>
    </row>
    <row r="56" ht="15.75" customHeight="1">
      <c r="A56" s="27"/>
      <c r="B56" s="27"/>
      <c r="C56" s="27"/>
      <c r="D56" s="27"/>
      <c r="E56" s="27"/>
      <c r="J56" s="29"/>
    </row>
    <row r="57" ht="15.75" customHeight="1">
      <c r="A57" s="27"/>
      <c r="B57" s="27"/>
      <c r="C57" s="27"/>
      <c r="D57" s="27"/>
      <c r="E57" s="27"/>
      <c r="J57" s="29"/>
    </row>
    <row r="58" ht="15.75" customHeight="1">
      <c r="A58" s="27"/>
      <c r="B58" s="27"/>
      <c r="C58" s="27"/>
      <c r="D58" s="27"/>
      <c r="E58" s="27"/>
      <c r="J58" s="29"/>
    </row>
    <row r="59" ht="15.75" customHeight="1">
      <c r="A59" s="27"/>
      <c r="B59" s="27"/>
      <c r="C59" s="27"/>
      <c r="D59" s="27"/>
      <c r="E59" s="27"/>
      <c r="J59" s="29"/>
    </row>
    <row r="60" ht="15.75" customHeight="1">
      <c r="A60" s="27"/>
      <c r="B60" s="27"/>
      <c r="C60" s="27"/>
      <c r="D60" s="27"/>
      <c r="E60" s="27"/>
      <c r="J60" s="29"/>
    </row>
    <row r="61" ht="15.75" customHeight="1">
      <c r="A61" s="27"/>
      <c r="B61" s="27"/>
      <c r="C61" s="27"/>
      <c r="D61" s="27"/>
      <c r="E61" s="27"/>
      <c r="J61" s="29"/>
    </row>
    <row r="62" ht="15.75" customHeight="1">
      <c r="A62" s="27"/>
      <c r="B62" s="27"/>
      <c r="C62" s="27"/>
      <c r="D62" s="27"/>
      <c r="E62" s="27"/>
      <c r="J62" s="29"/>
    </row>
    <row r="63" ht="15.75" customHeight="1">
      <c r="A63" s="27"/>
      <c r="B63" s="27"/>
      <c r="C63" s="27"/>
      <c r="D63" s="27"/>
      <c r="E63" s="27"/>
      <c r="J63" s="29"/>
    </row>
    <row r="64" ht="15.75" customHeight="1">
      <c r="A64" s="27"/>
      <c r="B64" s="27"/>
      <c r="C64" s="27"/>
      <c r="D64" s="27"/>
      <c r="E64" s="27"/>
      <c r="J64" s="29"/>
    </row>
    <row r="65" ht="15.75" customHeight="1">
      <c r="A65" s="27"/>
      <c r="B65" s="27"/>
      <c r="C65" s="27"/>
      <c r="D65" s="27"/>
      <c r="E65" s="27"/>
      <c r="J65" s="29"/>
    </row>
    <row r="66" ht="15.75" customHeight="1">
      <c r="A66" s="27"/>
      <c r="B66" s="27"/>
      <c r="C66" s="27"/>
      <c r="D66" s="27"/>
      <c r="E66" s="27"/>
      <c r="J66" s="29"/>
    </row>
    <row r="67" ht="15.75" customHeight="1">
      <c r="A67" s="27"/>
      <c r="B67" s="27"/>
      <c r="C67" s="27"/>
      <c r="D67" s="27"/>
      <c r="E67" s="27"/>
      <c r="J67" s="29"/>
    </row>
    <row r="68" ht="15.75" customHeight="1">
      <c r="A68" s="27"/>
      <c r="B68" s="27"/>
      <c r="C68" s="27"/>
      <c r="D68" s="27"/>
      <c r="E68" s="27"/>
      <c r="J68" s="29"/>
    </row>
    <row r="69" ht="15.75" customHeight="1">
      <c r="A69" s="27"/>
      <c r="B69" s="27"/>
      <c r="C69" s="27"/>
      <c r="D69" s="27"/>
      <c r="E69" s="27"/>
      <c r="J69" s="29"/>
    </row>
    <row r="70" ht="15.75" customHeight="1">
      <c r="A70" s="27"/>
      <c r="B70" s="27"/>
      <c r="C70" s="27"/>
      <c r="D70" s="27"/>
      <c r="E70" s="27"/>
      <c r="J70" s="29"/>
    </row>
    <row r="71" ht="15.75" customHeight="1">
      <c r="A71" s="27"/>
      <c r="B71" s="27"/>
      <c r="C71" s="27"/>
      <c r="D71" s="27"/>
      <c r="E71" s="27"/>
      <c r="J71" s="29"/>
    </row>
    <row r="72" ht="15.75" customHeight="1">
      <c r="A72" s="27"/>
      <c r="B72" s="27"/>
      <c r="C72" s="27"/>
      <c r="D72" s="27"/>
      <c r="E72" s="27"/>
      <c r="J72" s="29"/>
    </row>
    <row r="73" ht="15.75" customHeight="1">
      <c r="A73" s="27"/>
      <c r="B73" s="27"/>
      <c r="C73" s="27"/>
      <c r="D73" s="27"/>
      <c r="E73" s="27"/>
      <c r="J73" s="29"/>
    </row>
    <row r="74" ht="15.75" customHeight="1">
      <c r="A74" s="27"/>
      <c r="B74" s="27"/>
      <c r="C74" s="27"/>
      <c r="D74" s="27"/>
      <c r="E74" s="27"/>
      <c r="J74" s="29"/>
    </row>
    <row r="75" ht="15.75" customHeight="1">
      <c r="A75" s="27"/>
      <c r="B75" s="27"/>
      <c r="C75" s="27"/>
      <c r="D75" s="27"/>
      <c r="E75" s="27"/>
      <c r="J75" s="29"/>
    </row>
    <row r="76" ht="15.75" customHeight="1">
      <c r="A76" s="27"/>
      <c r="B76" s="27"/>
      <c r="C76" s="27"/>
      <c r="D76" s="27"/>
      <c r="E76" s="27"/>
      <c r="J76" s="29"/>
    </row>
    <row r="77" ht="15.75" customHeight="1">
      <c r="A77" s="27"/>
      <c r="B77" s="27"/>
      <c r="C77" s="27"/>
      <c r="D77" s="27"/>
      <c r="E77" s="27"/>
      <c r="J77" s="29"/>
    </row>
    <row r="78" ht="15.75" customHeight="1">
      <c r="A78" s="27"/>
      <c r="B78" s="27"/>
      <c r="C78" s="27"/>
      <c r="D78" s="27"/>
      <c r="E78" s="27"/>
      <c r="J78" s="29"/>
    </row>
    <row r="79" ht="15.75" customHeight="1">
      <c r="A79" s="27"/>
      <c r="B79" s="27"/>
      <c r="C79" s="27"/>
      <c r="D79" s="27"/>
      <c r="E79" s="27"/>
      <c r="J79" s="29"/>
    </row>
    <row r="80" ht="15.75" customHeight="1">
      <c r="A80" s="27"/>
      <c r="B80" s="27"/>
      <c r="C80" s="27"/>
      <c r="D80" s="27"/>
      <c r="E80" s="27"/>
      <c r="J80" s="29"/>
    </row>
    <row r="81" ht="15.75" customHeight="1">
      <c r="A81" s="27"/>
      <c r="B81" s="27"/>
      <c r="C81" s="27"/>
      <c r="D81" s="27"/>
      <c r="E81" s="27"/>
      <c r="J81" s="29"/>
    </row>
    <row r="82" ht="15.75" customHeight="1">
      <c r="A82" s="27"/>
      <c r="B82" s="27"/>
      <c r="C82" s="27"/>
      <c r="D82" s="27"/>
      <c r="E82" s="27"/>
      <c r="J82" s="29"/>
    </row>
    <row r="83" ht="15.75" customHeight="1">
      <c r="A83" s="27"/>
      <c r="B83" s="27"/>
      <c r="C83" s="27"/>
      <c r="D83" s="27"/>
      <c r="E83" s="27"/>
      <c r="J83" s="29"/>
    </row>
    <row r="84" ht="15.75" customHeight="1">
      <c r="A84" s="27"/>
      <c r="B84" s="27"/>
      <c r="C84" s="27"/>
      <c r="D84" s="27"/>
      <c r="E84" s="27"/>
      <c r="J84" s="29"/>
    </row>
    <row r="85" ht="15.75" customHeight="1">
      <c r="A85" s="27"/>
      <c r="B85" s="27"/>
      <c r="C85" s="27"/>
      <c r="D85" s="27"/>
      <c r="E85" s="27"/>
      <c r="J85" s="29"/>
    </row>
    <row r="86" ht="15.75" customHeight="1">
      <c r="A86" s="27"/>
      <c r="B86" s="27"/>
      <c r="C86" s="27"/>
      <c r="D86" s="27"/>
      <c r="E86" s="27"/>
      <c r="J86" s="29"/>
    </row>
    <row r="87" ht="15.75" customHeight="1">
      <c r="A87" s="27"/>
      <c r="B87" s="27"/>
      <c r="C87" s="27"/>
      <c r="D87" s="27"/>
      <c r="E87" s="27"/>
      <c r="J87" s="29"/>
    </row>
    <row r="88" ht="15.75" customHeight="1">
      <c r="A88" s="27"/>
      <c r="B88" s="27"/>
      <c r="C88" s="27"/>
      <c r="D88" s="27"/>
      <c r="E88" s="27"/>
      <c r="J88" s="29"/>
    </row>
    <row r="89" ht="15.75" customHeight="1">
      <c r="A89" s="27"/>
      <c r="B89" s="27"/>
      <c r="C89" s="27"/>
      <c r="D89" s="27"/>
      <c r="E89" s="27"/>
      <c r="J89" s="29"/>
    </row>
    <row r="90" ht="15.75" customHeight="1">
      <c r="A90" s="27"/>
      <c r="B90" s="27"/>
      <c r="C90" s="27"/>
      <c r="D90" s="27"/>
      <c r="E90" s="27"/>
      <c r="J90" s="29"/>
    </row>
    <row r="91" ht="15.75" customHeight="1">
      <c r="A91" s="27"/>
      <c r="B91" s="27"/>
      <c r="C91" s="27"/>
      <c r="D91" s="27"/>
      <c r="E91" s="27"/>
      <c r="J91" s="29"/>
    </row>
    <row r="92" ht="15.75" customHeight="1">
      <c r="A92" s="27"/>
      <c r="B92" s="27"/>
      <c r="C92" s="27"/>
      <c r="D92" s="27"/>
      <c r="E92" s="27"/>
      <c r="J92" s="29"/>
    </row>
    <row r="93" ht="15.75" customHeight="1">
      <c r="A93" s="27"/>
      <c r="B93" s="27"/>
      <c r="C93" s="27"/>
      <c r="D93" s="27"/>
      <c r="E93" s="27"/>
      <c r="J93" s="29"/>
    </row>
    <row r="94" ht="15.75" customHeight="1">
      <c r="A94" s="27"/>
      <c r="B94" s="27"/>
      <c r="C94" s="27"/>
      <c r="D94" s="27"/>
      <c r="E94" s="27"/>
      <c r="J94" s="29"/>
    </row>
    <row r="95" ht="15.75" customHeight="1">
      <c r="A95" s="27"/>
      <c r="B95" s="27"/>
      <c r="C95" s="27"/>
      <c r="D95" s="27"/>
      <c r="E95" s="27"/>
      <c r="J95" s="29"/>
    </row>
    <row r="96" ht="15.75" customHeight="1">
      <c r="A96" s="27"/>
      <c r="B96" s="27"/>
      <c r="C96" s="27"/>
      <c r="D96" s="27"/>
      <c r="E96" s="27"/>
      <c r="J96" s="29"/>
    </row>
    <row r="97" ht="15.75" customHeight="1">
      <c r="A97" s="27"/>
      <c r="B97" s="27"/>
      <c r="C97" s="27"/>
      <c r="D97" s="27"/>
      <c r="E97" s="27"/>
      <c r="J97" s="29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J199" s="29"/>
    </row>
    <row r="200" ht="15.75" customHeight="1">
      <c r="J200" s="29"/>
    </row>
    <row r="201" ht="15.75" customHeight="1">
      <c r="J201" s="29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</sheetData>
  <mergeCells count="10">
    <mergeCell ref="J5:J25"/>
    <mergeCell ref="J26:J46"/>
    <mergeCell ref="A2:B2"/>
    <mergeCell ref="D2:J2"/>
    <mergeCell ref="L2:M3"/>
    <mergeCell ref="D5:D25"/>
    <mergeCell ref="E5:E25"/>
    <mergeCell ref="D26:D46"/>
    <mergeCell ref="E26:E46"/>
    <mergeCell ref="D47:I4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32.13"/>
  </cols>
  <sheetData>
    <row r="1" ht="15.75" customHeight="1">
      <c r="A1" s="25" t="s">
        <v>34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35</v>
      </c>
      <c r="B2" s="31"/>
      <c r="C2" s="32"/>
      <c r="D2" s="32" t="s">
        <v>36</v>
      </c>
      <c r="K2" s="28"/>
      <c r="L2" s="33" t="s">
        <v>37</v>
      </c>
      <c r="M2" s="34"/>
      <c r="N2" s="28"/>
    </row>
    <row r="3" ht="15.75" customHeight="1">
      <c r="A3" s="35" t="s">
        <v>38</v>
      </c>
      <c r="B3" s="36" t="s">
        <v>39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16</v>
      </c>
      <c r="B4" s="40">
        <v>3100.0</v>
      </c>
      <c r="C4" s="41"/>
      <c r="D4" s="42" t="s">
        <v>1</v>
      </c>
      <c r="E4" s="42" t="s">
        <v>40</v>
      </c>
      <c r="F4" s="43" t="s">
        <v>41</v>
      </c>
      <c r="G4" s="44" t="s">
        <v>42</v>
      </c>
      <c r="H4" s="44" t="s">
        <v>43</v>
      </c>
      <c r="I4" s="45" t="s">
        <v>44</v>
      </c>
      <c r="J4" s="46" t="s">
        <v>45</v>
      </c>
      <c r="K4" s="28"/>
      <c r="L4" s="47" t="s">
        <v>46</v>
      </c>
      <c r="M4" s="47" t="s">
        <v>42</v>
      </c>
      <c r="N4" s="28"/>
    </row>
    <row r="5" ht="15.75" customHeight="1">
      <c r="A5" s="39" t="s">
        <v>47</v>
      </c>
      <c r="B5" s="40">
        <v>3000.0</v>
      </c>
      <c r="C5" s="48"/>
      <c r="D5" s="49">
        <v>1.0</v>
      </c>
      <c r="E5" s="50" t="s">
        <v>63</v>
      </c>
      <c r="F5" s="39" t="s">
        <v>16</v>
      </c>
      <c r="G5" s="51"/>
      <c r="H5" s="52">
        <f>VLOOKUP(F5,$A$4:$B$4,2,TRUE)</f>
        <v>3100</v>
      </c>
      <c r="I5" s="53">
        <f t="shared" ref="I5:I46" si="1">G5*H5</f>
        <v>0</v>
      </c>
      <c r="J5" s="54">
        <f>SUM(I5:I25)</f>
        <v>8200</v>
      </c>
      <c r="K5" s="28"/>
      <c r="L5" s="39" t="s">
        <v>16</v>
      </c>
      <c r="M5" s="55">
        <f>SUMIF(F5:F46,"Gelas bersih",G5:G46)</f>
        <v>0</v>
      </c>
      <c r="N5" s="28"/>
    </row>
    <row r="6" ht="15.75" customHeight="1">
      <c r="A6" s="39" t="s">
        <v>49</v>
      </c>
      <c r="B6" s="40">
        <v>800.0</v>
      </c>
      <c r="C6" s="48"/>
      <c r="D6" s="56"/>
      <c r="E6" s="56"/>
      <c r="F6" s="39" t="s">
        <v>47</v>
      </c>
      <c r="G6" s="51"/>
      <c r="H6" s="57">
        <f>VLOOKUP(F6,$A$5:$B$5,2,TRUE)</f>
        <v>3000</v>
      </c>
      <c r="I6" s="53">
        <f t="shared" si="1"/>
        <v>0</v>
      </c>
      <c r="J6" s="56"/>
      <c r="K6" s="28"/>
      <c r="L6" s="39" t="s">
        <v>47</v>
      </c>
      <c r="M6" s="55">
        <f>SUMIF(F6:F47,"Botol bersih",G6:G47)</f>
        <v>0</v>
      </c>
      <c r="N6" s="28"/>
    </row>
    <row r="7" ht="15.75" customHeight="1">
      <c r="A7" s="39" t="s">
        <v>19</v>
      </c>
      <c r="B7" s="40">
        <v>2000.0</v>
      </c>
      <c r="C7" s="48"/>
      <c r="D7" s="56"/>
      <c r="E7" s="56"/>
      <c r="F7" s="39" t="s">
        <v>49</v>
      </c>
      <c r="G7" s="51"/>
      <c r="H7" s="57">
        <f>VLOOKUP(F7,$A$6:$B$6,2,TRUE)</f>
        <v>800</v>
      </c>
      <c r="I7" s="53">
        <f t="shared" si="1"/>
        <v>0</v>
      </c>
      <c r="J7" s="56"/>
      <c r="K7" s="28"/>
      <c r="L7" s="39" t="s">
        <v>49</v>
      </c>
      <c r="M7" s="55">
        <f>SUMIF(F7:F47,"Botol Warna",G7:G47)</f>
        <v>1.5</v>
      </c>
      <c r="N7" s="28"/>
    </row>
    <row r="8" ht="15.75" customHeight="1">
      <c r="A8" s="39" t="s">
        <v>20</v>
      </c>
      <c r="B8" s="40">
        <v>2800.0</v>
      </c>
      <c r="C8" s="48"/>
      <c r="D8" s="56"/>
      <c r="E8" s="56"/>
      <c r="F8" s="39" t="s">
        <v>19</v>
      </c>
      <c r="G8" s="51"/>
      <c r="H8" s="57">
        <f>VLOOKUP(F8,$A$7:$B$7,2,TRUE)</f>
        <v>2000</v>
      </c>
      <c r="I8" s="53">
        <f t="shared" si="1"/>
        <v>0</v>
      </c>
      <c r="J8" s="56"/>
      <c r="K8" s="28"/>
      <c r="L8" s="39" t="s">
        <v>19</v>
      </c>
      <c r="M8" s="55">
        <f>SUMIF(F8:F48,"Tutup botol",G8:G48)</f>
        <v>0</v>
      </c>
      <c r="N8" s="28"/>
    </row>
    <row r="9" ht="15.75" customHeight="1">
      <c r="A9" s="39" t="s">
        <v>50</v>
      </c>
      <c r="B9" s="40">
        <v>800.0</v>
      </c>
      <c r="C9" s="48"/>
      <c r="D9" s="56"/>
      <c r="E9" s="56"/>
      <c r="F9" s="39" t="s">
        <v>20</v>
      </c>
      <c r="G9" s="51"/>
      <c r="H9" s="57">
        <f>VLOOKUP(F9, $A$8:$B$8, 2, FALSE)</f>
        <v>2800</v>
      </c>
      <c r="I9" s="53">
        <f t="shared" si="1"/>
        <v>0</v>
      </c>
      <c r="J9" s="56"/>
      <c r="K9" s="28"/>
      <c r="L9" s="39" t="s">
        <v>20</v>
      </c>
      <c r="M9" s="55">
        <f>SUMIF(F9:F49,"Tutup galon",G9:G49)</f>
        <v>0</v>
      </c>
      <c r="N9" s="28"/>
    </row>
    <row r="10" ht="15.75" customHeight="1">
      <c r="A10" s="39" t="s">
        <v>22</v>
      </c>
      <c r="B10" s="40">
        <v>1500.0</v>
      </c>
      <c r="C10" s="48"/>
      <c r="D10" s="56"/>
      <c r="E10" s="56"/>
      <c r="F10" s="39" t="s">
        <v>50</v>
      </c>
      <c r="G10" s="51">
        <f>2+2+1</f>
        <v>5</v>
      </c>
      <c r="H10" s="57">
        <f>VLOOKUP(F10, $A$9:$B$9, 2, FALSE)</f>
        <v>800</v>
      </c>
      <c r="I10" s="53">
        <f t="shared" si="1"/>
        <v>4000</v>
      </c>
      <c r="J10" s="56"/>
      <c r="K10" s="28"/>
      <c r="L10" s="39" t="s">
        <v>50</v>
      </c>
      <c r="M10" s="55">
        <f>SUMIF(F10:F51,"Emberan/Atum",G10:G51)</f>
        <v>7</v>
      </c>
      <c r="N10" s="28"/>
    </row>
    <row r="11" ht="15.75" customHeight="1">
      <c r="A11" s="39" t="s">
        <v>23</v>
      </c>
      <c r="B11" s="40">
        <v>1200.0</v>
      </c>
      <c r="C11" s="48"/>
      <c r="D11" s="56"/>
      <c r="E11" s="56"/>
      <c r="F11" s="39" t="s">
        <v>22</v>
      </c>
      <c r="G11" s="51"/>
      <c r="H11" s="57">
        <f>VLOOKUP(F11,$A$10:$B$10,2,TRUE)</f>
        <v>1500</v>
      </c>
      <c r="I11" s="53">
        <f t="shared" si="1"/>
        <v>0</v>
      </c>
      <c r="J11" s="56"/>
      <c r="K11" s="28"/>
      <c r="L11" s="39" t="s">
        <v>22</v>
      </c>
      <c r="M11" s="55">
        <f>SUMIF(F11:F52,"Kardus",G11:G52)</f>
        <v>0.5</v>
      </c>
      <c r="N11" s="28"/>
    </row>
    <row r="12" ht="15.75" customHeight="1">
      <c r="A12" s="39" t="s">
        <v>51</v>
      </c>
      <c r="B12" s="40">
        <v>1000.0</v>
      </c>
      <c r="C12" s="48"/>
      <c r="D12" s="56"/>
      <c r="E12" s="56"/>
      <c r="F12" s="39" t="s">
        <v>23</v>
      </c>
      <c r="G12" s="51"/>
      <c r="H12" s="57">
        <f>VLOOKUP(F12,$A$11:$B$11,2,TRUE)</f>
        <v>1200</v>
      </c>
      <c r="I12" s="53">
        <f t="shared" si="1"/>
        <v>0</v>
      </c>
      <c r="J12" s="56"/>
      <c r="K12" s="28"/>
      <c r="L12" s="39" t="s">
        <v>23</v>
      </c>
      <c r="M12" s="55">
        <f>SUMIF(F12:F53,"Kertas Putihan/ HVS",G12:G53)</f>
        <v>0</v>
      </c>
      <c r="N12" s="28"/>
    </row>
    <row r="13" ht="15.75" customHeight="1">
      <c r="A13" s="39" t="s">
        <v>25</v>
      </c>
      <c r="B13" s="40">
        <v>500.0</v>
      </c>
      <c r="C13" s="48"/>
      <c r="D13" s="56"/>
      <c r="E13" s="56"/>
      <c r="F13" s="39" t="s">
        <v>52</v>
      </c>
      <c r="G13" s="51"/>
      <c r="H13" s="57">
        <f>VLOOKUP(F13,$A$12:$B$12,2,TRUE)</f>
        <v>1000</v>
      </c>
      <c r="I13" s="53">
        <f t="shared" si="1"/>
        <v>0</v>
      </c>
      <c r="J13" s="56"/>
      <c r="K13" s="28"/>
      <c r="L13" s="39" t="s">
        <v>52</v>
      </c>
      <c r="M13" s="55">
        <f>SUMIF(F13:F55,"Buku/LKS",G13:G55)</f>
        <v>0</v>
      </c>
      <c r="N13" s="28"/>
    </row>
    <row r="14" ht="15.75" customHeight="1">
      <c r="A14" s="39" t="s">
        <v>26</v>
      </c>
      <c r="B14" s="40">
        <v>6500.0</v>
      </c>
      <c r="C14" s="48"/>
      <c r="D14" s="56"/>
      <c r="E14" s="56"/>
      <c r="F14" s="39" t="s">
        <v>25</v>
      </c>
      <c r="G14" s="51">
        <v>1.0</v>
      </c>
      <c r="H14" s="57">
        <f>VLOOKUP(F14,$A$13:$B$13,2,TRUE)</f>
        <v>500</v>
      </c>
      <c r="I14" s="53">
        <f t="shared" si="1"/>
        <v>500</v>
      </c>
      <c r="J14" s="56"/>
      <c r="K14" s="28"/>
      <c r="L14" s="39" t="s">
        <v>25</v>
      </c>
      <c r="M14" s="55">
        <f>SUMIF(F14:F56,"Duplex",G14:G56)</f>
        <v>2</v>
      </c>
      <c r="N14" s="28"/>
    </row>
    <row r="15" ht="15.75" customHeight="1">
      <c r="A15" s="39" t="s">
        <v>27</v>
      </c>
      <c r="B15" s="40">
        <v>2000.0</v>
      </c>
      <c r="C15" s="48"/>
      <c r="D15" s="56"/>
      <c r="E15" s="56"/>
      <c r="F15" s="39" t="s">
        <v>26</v>
      </c>
      <c r="G15" s="51"/>
      <c r="H15" s="57">
        <f>VLOOKUP(F15,$A$14:$B$14,2,TRUE)</f>
        <v>6500</v>
      </c>
      <c r="I15" s="53">
        <f t="shared" si="1"/>
        <v>0</v>
      </c>
      <c r="J15" s="56"/>
      <c r="K15" s="28"/>
      <c r="L15" s="39" t="s">
        <v>26</v>
      </c>
      <c r="M15" s="55">
        <f>SUMIF(F15:F57,"Alumunium",G15:G57)</f>
        <v>0</v>
      </c>
      <c r="N15" s="28"/>
    </row>
    <row r="16" ht="15.75" customHeight="1">
      <c r="A16" s="39" t="s">
        <v>28</v>
      </c>
      <c r="B16" s="40">
        <v>1300.0</v>
      </c>
      <c r="C16" s="48"/>
      <c r="D16" s="56"/>
      <c r="E16" s="56"/>
      <c r="F16" s="39" t="s">
        <v>27</v>
      </c>
      <c r="G16" s="51"/>
      <c r="H16" s="57">
        <f>VLOOKUP(F16,$A$15:$B$15,2,TRUE)</f>
        <v>2000</v>
      </c>
      <c r="I16" s="53">
        <f t="shared" si="1"/>
        <v>0</v>
      </c>
      <c r="J16" s="56"/>
      <c r="K16" s="28"/>
      <c r="L16" s="39" t="s">
        <v>27</v>
      </c>
      <c r="M16" s="55">
        <f>SUMIF(F16:F58,"Besi",G16:G58)</f>
        <v>0</v>
      </c>
      <c r="N16" s="28"/>
    </row>
    <row r="17" ht="15.75" customHeight="1">
      <c r="A17" s="39" t="s">
        <v>29</v>
      </c>
      <c r="B17" s="40">
        <v>5000.0</v>
      </c>
      <c r="C17" s="48"/>
      <c r="D17" s="56"/>
      <c r="E17" s="56"/>
      <c r="F17" s="39" t="s">
        <v>28</v>
      </c>
      <c r="G17" s="51"/>
      <c r="H17" s="57">
        <f>VLOOKUP(F17,$A$16:$B$16,2,TRUE)</f>
        <v>1300</v>
      </c>
      <c r="I17" s="53">
        <f t="shared" si="1"/>
        <v>0</v>
      </c>
      <c r="J17" s="56"/>
      <c r="K17" s="28"/>
      <c r="L17" s="39" t="s">
        <v>28</v>
      </c>
      <c r="M17" s="55">
        <f>SUMIF(F17:F59,"Kaleng kue/susu",G17:G59)</f>
        <v>0.5</v>
      </c>
      <c r="N17" s="28"/>
    </row>
    <row r="18" ht="15.75" customHeight="1">
      <c r="A18" s="39" t="s">
        <v>30</v>
      </c>
      <c r="B18" s="40">
        <v>2300.0</v>
      </c>
      <c r="C18" s="48"/>
      <c r="D18" s="56"/>
      <c r="E18" s="56"/>
      <c r="F18" s="39" t="s">
        <v>29</v>
      </c>
      <c r="G18" s="51">
        <v>0.5</v>
      </c>
      <c r="H18" s="57">
        <f>VLOOKUP(F18,$A$17:$B$17,2,TRUE)</f>
        <v>5000</v>
      </c>
      <c r="I18" s="53">
        <f t="shared" si="1"/>
        <v>2500</v>
      </c>
      <c r="J18" s="56"/>
      <c r="K18" s="28"/>
      <c r="L18" s="39" t="s">
        <v>29</v>
      </c>
      <c r="M18" s="55">
        <f>SUMIF(F18:F60,"Kaleng Minuman",G18:G60)</f>
        <v>0.5</v>
      </c>
      <c r="N18" s="28"/>
    </row>
    <row r="19" ht="15.75" customHeight="1">
      <c r="A19" s="39" t="s">
        <v>32</v>
      </c>
      <c r="B19" s="40">
        <v>10000.0</v>
      </c>
      <c r="C19" s="48"/>
      <c r="D19" s="56"/>
      <c r="E19" s="56"/>
      <c r="F19" s="39" t="s">
        <v>30</v>
      </c>
      <c r="G19" s="51"/>
      <c r="H19" s="57">
        <f>VLOOKUP(F19,$A$18:$B$18,2,TRUE)</f>
        <v>2300</v>
      </c>
      <c r="I19" s="53">
        <f t="shared" si="1"/>
        <v>0</v>
      </c>
      <c r="J19" s="56"/>
      <c r="K19" s="28"/>
      <c r="L19" s="39" t="s">
        <v>30</v>
      </c>
      <c r="M19" s="55">
        <f>SUMIF(F19:F62,"Stanless",G19:G62)</f>
        <v>0</v>
      </c>
      <c r="N19" s="28"/>
    </row>
    <row r="20" ht="15.75" customHeight="1">
      <c r="A20" s="39" t="s">
        <v>53</v>
      </c>
      <c r="B20" s="40">
        <v>300.0</v>
      </c>
      <c r="C20" s="48"/>
      <c r="D20" s="56"/>
      <c r="E20" s="56"/>
      <c r="F20" s="39" t="s">
        <v>32</v>
      </c>
      <c r="G20" s="51"/>
      <c r="H20" s="57">
        <f>VLOOKUP(F20,$A$19:$B$19,2,TRUE)</f>
        <v>10000</v>
      </c>
      <c r="I20" s="53">
        <f t="shared" si="1"/>
        <v>0</v>
      </c>
      <c r="J20" s="56"/>
      <c r="K20" s="28"/>
      <c r="L20" s="39" t="s">
        <v>32</v>
      </c>
      <c r="M20" s="55">
        <f>SUMIF(F20:F63,"Aki Motor",G20:G63)</f>
        <v>0</v>
      </c>
      <c r="N20" s="28"/>
    </row>
    <row r="21" ht="15.75" customHeight="1">
      <c r="A21" s="39" t="s">
        <v>12</v>
      </c>
      <c r="B21" s="40">
        <v>300.0</v>
      </c>
      <c r="C21" s="48"/>
      <c r="D21" s="56"/>
      <c r="E21" s="56"/>
      <c r="F21" s="39" t="s">
        <v>53</v>
      </c>
      <c r="G21" s="51"/>
      <c r="H21" s="57">
        <f>VLOOKUP(F21,$A$20:$B$20,2,TRUE)</f>
        <v>300</v>
      </c>
      <c r="I21" s="53">
        <f t="shared" si="1"/>
        <v>0</v>
      </c>
      <c r="J21" s="56"/>
      <c r="K21" s="28"/>
      <c r="L21" s="39" t="s">
        <v>53</v>
      </c>
      <c r="M21" s="55">
        <f>SUMIF(F21:F66,"Plastik Keresek",G21:G66)</f>
        <v>0</v>
      </c>
      <c r="N21" s="28"/>
    </row>
    <row r="22" ht="15.75" customHeight="1">
      <c r="A22" s="39" t="s">
        <v>9</v>
      </c>
      <c r="B22" s="40">
        <v>1700.0</v>
      </c>
      <c r="C22" s="48"/>
      <c r="D22" s="56"/>
      <c r="E22" s="56"/>
      <c r="F22" s="39" t="s">
        <v>12</v>
      </c>
      <c r="G22" s="51">
        <v>4.0</v>
      </c>
      <c r="H22" s="57">
        <f>VLOOKUP(F22,$A$21:$B$21,2,TRUE)</f>
        <v>300</v>
      </c>
      <c r="I22" s="53">
        <f t="shared" si="1"/>
        <v>1200</v>
      </c>
      <c r="J22" s="56"/>
      <c r="K22" s="28"/>
      <c r="L22" s="39" t="s">
        <v>12</v>
      </c>
      <c r="M22" s="55">
        <f>SUMIF(F22:F68,"Beling",G22:G68)</f>
        <v>4</v>
      </c>
      <c r="N22" s="28"/>
    </row>
    <row r="23" ht="15.75" customHeight="1">
      <c r="A23" s="39" t="s">
        <v>14</v>
      </c>
      <c r="B23" s="58">
        <v>4000.0</v>
      </c>
      <c r="C23" s="48"/>
      <c r="D23" s="56"/>
      <c r="E23" s="56"/>
      <c r="F23" s="39" t="s">
        <v>9</v>
      </c>
      <c r="G23" s="51"/>
      <c r="H23" s="57">
        <f>VLOOKUP(F23,$A$22:$B$22,2,TRUE)</f>
        <v>1700</v>
      </c>
      <c r="I23" s="53">
        <f t="shared" si="1"/>
        <v>0</v>
      </c>
      <c r="J23" s="56"/>
      <c r="K23" s="28"/>
      <c r="L23" s="39" t="s">
        <v>9</v>
      </c>
      <c r="M23" s="55">
        <f>SUMIF(F23:F70,"Paku",G23:G70)</f>
        <v>0</v>
      </c>
      <c r="N23" s="28"/>
    </row>
    <row r="24" ht="15.75" customHeight="1">
      <c r="A24" s="39" t="s">
        <v>54</v>
      </c>
      <c r="B24" s="40">
        <v>500.0</v>
      </c>
      <c r="C24" s="48"/>
      <c r="D24" s="56"/>
      <c r="E24" s="56"/>
      <c r="F24" s="39" t="s">
        <v>14</v>
      </c>
      <c r="G24" s="51"/>
      <c r="H24" s="57">
        <f>VLOOKUP(F23,$A$23:$B$23,2,TRUE)</f>
        <v>4000</v>
      </c>
      <c r="I24" s="53">
        <f t="shared" si="1"/>
        <v>0</v>
      </c>
      <c r="J24" s="56"/>
      <c r="K24" s="28"/>
      <c r="L24" s="39" t="s">
        <v>14</v>
      </c>
      <c r="M24" s="55">
        <f>SUMIF(F24:F71,"Minyak Jelantah",G24:G71)</f>
        <v>1.5</v>
      </c>
      <c r="N24" s="28"/>
    </row>
    <row r="25" ht="15.75" customHeight="1">
      <c r="A25" s="48"/>
      <c r="B25" s="48"/>
      <c r="C25" s="48"/>
      <c r="D25" s="14"/>
      <c r="E25" s="14"/>
      <c r="F25" s="39" t="s">
        <v>54</v>
      </c>
      <c r="G25" s="51">
        <f>1+1+7</f>
        <v>9</v>
      </c>
      <c r="H25" s="57">
        <v>0.0</v>
      </c>
      <c r="I25" s="53">
        <f t="shared" si="1"/>
        <v>0</v>
      </c>
      <c r="J25" s="14"/>
      <c r="K25" s="28"/>
      <c r="L25" s="39" t="s">
        <v>54</v>
      </c>
      <c r="M25" s="55">
        <f>SUMIF(F25:F72,"Lainnya",G25:G72)</f>
        <v>9</v>
      </c>
      <c r="N25" s="28"/>
    </row>
    <row r="26" ht="15.75" customHeight="1">
      <c r="A26" s="48"/>
      <c r="B26" s="48"/>
      <c r="C26" s="48"/>
      <c r="D26" s="49">
        <v>2.0</v>
      </c>
      <c r="E26" s="50" t="s">
        <v>64</v>
      </c>
      <c r="F26" s="39" t="s">
        <v>16</v>
      </c>
      <c r="G26" s="51"/>
      <c r="H26" s="52">
        <v>3100.0</v>
      </c>
      <c r="I26" s="53">
        <f t="shared" si="1"/>
        <v>0</v>
      </c>
      <c r="J26" s="54">
        <f>SUM(I26:I46)</f>
        <v>10700</v>
      </c>
      <c r="K26" s="28"/>
      <c r="L26" s="28"/>
      <c r="M26" s="28"/>
      <c r="N26" s="28"/>
    </row>
    <row r="27" ht="15.75" customHeight="1">
      <c r="A27" s="59"/>
      <c r="B27" s="59"/>
      <c r="C27" s="48"/>
      <c r="D27" s="56"/>
      <c r="E27" s="56"/>
      <c r="F27" s="39" t="s">
        <v>47</v>
      </c>
      <c r="G27" s="51"/>
      <c r="H27" s="57">
        <v>3000.0</v>
      </c>
      <c r="I27" s="53">
        <f t="shared" si="1"/>
        <v>0</v>
      </c>
      <c r="J27" s="56"/>
      <c r="K27" s="28"/>
      <c r="L27" s="28"/>
      <c r="M27" s="28"/>
      <c r="N27" s="28"/>
    </row>
    <row r="28" ht="15.75" customHeight="1">
      <c r="A28" s="59"/>
      <c r="B28" s="59"/>
      <c r="C28" s="48"/>
      <c r="D28" s="56"/>
      <c r="E28" s="56"/>
      <c r="F28" s="39" t="s">
        <v>49</v>
      </c>
      <c r="G28" s="51">
        <v>1.5</v>
      </c>
      <c r="H28" s="57">
        <v>800.0</v>
      </c>
      <c r="I28" s="53">
        <f t="shared" si="1"/>
        <v>1200</v>
      </c>
      <c r="J28" s="56"/>
      <c r="K28" s="28"/>
      <c r="L28" s="28"/>
      <c r="M28" s="28"/>
      <c r="N28" s="28"/>
    </row>
    <row r="29" ht="15.75" customHeight="1">
      <c r="A29" s="60"/>
      <c r="B29" s="60"/>
      <c r="C29" s="48"/>
      <c r="D29" s="56"/>
      <c r="E29" s="56"/>
      <c r="F29" s="39" t="s">
        <v>19</v>
      </c>
      <c r="G29" s="51"/>
      <c r="H29" s="57">
        <v>2000.0</v>
      </c>
      <c r="I29" s="53">
        <f t="shared" si="1"/>
        <v>0</v>
      </c>
      <c r="J29" s="56"/>
      <c r="K29" s="28"/>
      <c r="L29" s="28"/>
      <c r="M29" s="28"/>
      <c r="N29" s="28"/>
    </row>
    <row r="30" ht="15.75" customHeight="1">
      <c r="A30" s="61"/>
      <c r="B30" s="60"/>
      <c r="C30" s="48"/>
      <c r="D30" s="56"/>
      <c r="E30" s="56"/>
      <c r="F30" s="39" t="s">
        <v>20</v>
      </c>
      <c r="G30" s="51"/>
      <c r="H30" s="57">
        <v>2800.0</v>
      </c>
      <c r="I30" s="53">
        <f t="shared" si="1"/>
        <v>0</v>
      </c>
      <c r="J30" s="56"/>
      <c r="K30" s="28"/>
      <c r="L30" s="28"/>
      <c r="M30" s="28"/>
      <c r="N30" s="28"/>
    </row>
    <row r="31" ht="15.75" customHeight="1">
      <c r="A31" s="61"/>
      <c r="B31" s="60"/>
      <c r="C31" s="48"/>
      <c r="D31" s="56"/>
      <c r="E31" s="56"/>
      <c r="F31" s="39" t="s">
        <v>50</v>
      </c>
      <c r="G31" s="51">
        <v>2.0</v>
      </c>
      <c r="H31" s="57">
        <v>800.0</v>
      </c>
      <c r="I31" s="53">
        <f t="shared" si="1"/>
        <v>1600</v>
      </c>
      <c r="J31" s="56"/>
      <c r="K31" s="28"/>
      <c r="L31" s="28"/>
      <c r="M31" s="28"/>
      <c r="N31" s="28"/>
    </row>
    <row r="32" ht="15.75" customHeight="1">
      <c r="A32" s="61"/>
      <c r="B32" s="60"/>
      <c r="C32" s="48"/>
      <c r="D32" s="56"/>
      <c r="E32" s="56"/>
      <c r="F32" s="39" t="s">
        <v>22</v>
      </c>
      <c r="G32" s="51">
        <v>0.5</v>
      </c>
      <c r="H32" s="57">
        <v>1500.0</v>
      </c>
      <c r="I32" s="53">
        <f t="shared" si="1"/>
        <v>750</v>
      </c>
      <c r="J32" s="56"/>
      <c r="K32" s="28"/>
      <c r="L32" s="28"/>
      <c r="M32" s="28"/>
      <c r="N32" s="28"/>
    </row>
    <row r="33" ht="15.75" customHeight="1">
      <c r="A33" s="61"/>
      <c r="B33" s="60"/>
      <c r="C33" s="48"/>
      <c r="D33" s="56"/>
      <c r="E33" s="56"/>
      <c r="F33" s="39" t="s">
        <v>23</v>
      </c>
      <c r="G33" s="51"/>
      <c r="H33" s="57">
        <v>1200.0</v>
      </c>
      <c r="I33" s="53">
        <f t="shared" si="1"/>
        <v>0</v>
      </c>
      <c r="J33" s="56"/>
      <c r="K33" s="28"/>
      <c r="L33" s="28"/>
      <c r="M33" s="28"/>
      <c r="N33" s="28"/>
    </row>
    <row r="34" ht="15.75" customHeight="1">
      <c r="A34" s="61"/>
      <c r="B34" s="60"/>
      <c r="C34" s="48"/>
      <c r="D34" s="56"/>
      <c r="E34" s="56"/>
      <c r="F34" s="39" t="s">
        <v>52</v>
      </c>
      <c r="G34" s="51"/>
      <c r="H34" s="57">
        <v>1000.0</v>
      </c>
      <c r="I34" s="53">
        <f t="shared" si="1"/>
        <v>0</v>
      </c>
      <c r="J34" s="56"/>
      <c r="K34" s="28"/>
      <c r="L34" s="28"/>
      <c r="M34" s="28"/>
      <c r="N34" s="28"/>
    </row>
    <row r="35" ht="15.75" customHeight="1">
      <c r="A35" s="61"/>
      <c r="B35" s="60"/>
      <c r="C35" s="48"/>
      <c r="D35" s="56"/>
      <c r="E35" s="56"/>
      <c r="F35" s="39" t="s">
        <v>25</v>
      </c>
      <c r="G35" s="51">
        <v>1.0</v>
      </c>
      <c r="H35" s="57">
        <v>500.0</v>
      </c>
      <c r="I35" s="53">
        <f t="shared" si="1"/>
        <v>500</v>
      </c>
      <c r="J35" s="56"/>
      <c r="K35" s="28"/>
      <c r="L35" s="28"/>
      <c r="M35" s="28"/>
      <c r="N35" s="28"/>
    </row>
    <row r="36" ht="15.75" customHeight="1">
      <c r="A36" s="61"/>
      <c r="B36" s="60"/>
      <c r="C36" s="48"/>
      <c r="D36" s="56"/>
      <c r="E36" s="56"/>
      <c r="F36" s="39" t="s">
        <v>26</v>
      </c>
      <c r="G36" s="51"/>
      <c r="H36" s="57">
        <v>6500.0</v>
      </c>
      <c r="I36" s="53">
        <f t="shared" si="1"/>
        <v>0</v>
      </c>
      <c r="J36" s="56"/>
      <c r="K36" s="28"/>
      <c r="L36" s="28"/>
      <c r="M36" s="28"/>
      <c r="N36" s="28"/>
    </row>
    <row r="37" ht="15.75" customHeight="1">
      <c r="A37" s="61"/>
      <c r="B37" s="60"/>
      <c r="C37" s="48"/>
      <c r="D37" s="56"/>
      <c r="E37" s="56"/>
      <c r="F37" s="39" t="s">
        <v>27</v>
      </c>
      <c r="G37" s="51"/>
      <c r="H37" s="57">
        <v>2000.0</v>
      </c>
      <c r="I37" s="53">
        <f t="shared" si="1"/>
        <v>0</v>
      </c>
      <c r="J37" s="56"/>
      <c r="K37" s="28"/>
      <c r="L37" s="28"/>
      <c r="M37" s="28"/>
      <c r="N37" s="28"/>
    </row>
    <row r="38" ht="15.75" customHeight="1">
      <c r="A38" s="61"/>
      <c r="B38" s="60"/>
      <c r="C38" s="48"/>
      <c r="D38" s="56"/>
      <c r="E38" s="56"/>
      <c r="F38" s="39" t="s">
        <v>28</v>
      </c>
      <c r="G38" s="51">
        <v>0.5</v>
      </c>
      <c r="H38" s="57">
        <v>1300.0</v>
      </c>
      <c r="I38" s="53">
        <f t="shared" si="1"/>
        <v>650</v>
      </c>
      <c r="J38" s="56"/>
      <c r="K38" s="28"/>
      <c r="L38" s="28"/>
      <c r="M38" s="28"/>
      <c r="N38" s="28"/>
    </row>
    <row r="39" ht="15.75" customHeight="1">
      <c r="A39" s="61"/>
      <c r="B39" s="60"/>
      <c r="C39" s="48"/>
      <c r="D39" s="56"/>
      <c r="E39" s="56"/>
      <c r="F39" s="39" t="s">
        <v>29</v>
      </c>
      <c r="G39" s="51"/>
      <c r="H39" s="57">
        <v>5000.0</v>
      </c>
      <c r="I39" s="53">
        <f t="shared" si="1"/>
        <v>0</v>
      </c>
      <c r="J39" s="56"/>
      <c r="K39" s="28"/>
      <c r="L39" s="28"/>
      <c r="M39" s="28"/>
      <c r="N39" s="28"/>
    </row>
    <row r="40" ht="15.75" customHeight="1">
      <c r="A40" s="61"/>
      <c r="B40" s="60"/>
      <c r="C40" s="48"/>
      <c r="D40" s="56"/>
      <c r="E40" s="56"/>
      <c r="F40" s="39" t="s">
        <v>30</v>
      </c>
      <c r="G40" s="51"/>
      <c r="H40" s="57">
        <v>2300.0</v>
      </c>
      <c r="I40" s="53">
        <f t="shared" si="1"/>
        <v>0</v>
      </c>
      <c r="J40" s="56"/>
      <c r="K40" s="28"/>
      <c r="L40" s="28"/>
      <c r="M40" s="28"/>
      <c r="N40" s="28"/>
    </row>
    <row r="41" ht="15.75" customHeight="1">
      <c r="A41" s="61"/>
      <c r="B41" s="60"/>
      <c r="C41" s="48"/>
      <c r="D41" s="56"/>
      <c r="E41" s="56"/>
      <c r="F41" s="39" t="s">
        <v>32</v>
      </c>
      <c r="G41" s="51"/>
      <c r="H41" s="57">
        <v>10000.0</v>
      </c>
      <c r="I41" s="53">
        <f t="shared" si="1"/>
        <v>0</v>
      </c>
      <c r="J41" s="56"/>
      <c r="K41" s="28"/>
      <c r="L41" s="28"/>
      <c r="M41" s="28"/>
      <c r="N41" s="28"/>
    </row>
    <row r="42" ht="15.75" customHeight="1">
      <c r="A42" s="61"/>
      <c r="B42" s="60"/>
      <c r="C42" s="48"/>
      <c r="D42" s="56"/>
      <c r="E42" s="56"/>
      <c r="F42" s="39" t="s">
        <v>53</v>
      </c>
      <c r="G42" s="51"/>
      <c r="H42" s="57">
        <v>300.0</v>
      </c>
      <c r="I42" s="53">
        <f t="shared" si="1"/>
        <v>0</v>
      </c>
      <c r="J42" s="56"/>
      <c r="K42" s="28"/>
      <c r="L42" s="28"/>
      <c r="M42" s="28"/>
      <c r="N42" s="28"/>
    </row>
    <row r="43" ht="15.75" customHeight="1">
      <c r="A43" s="61"/>
      <c r="B43" s="60"/>
      <c r="C43" s="48"/>
      <c r="D43" s="56"/>
      <c r="E43" s="56"/>
      <c r="F43" s="39" t="s">
        <v>12</v>
      </c>
      <c r="G43" s="51"/>
      <c r="H43" s="57">
        <v>300.0</v>
      </c>
      <c r="I43" s="53">
        <f t="shared" si="1"/>
        <v>0</v>
      </c>
      <c r="J43" s="56"/>
      <c r="K43" s="28"/>
      <c r="L43" s="28"/>
      <c r="M43" s="28"/>
      <c r="N43" s="28"/>
    </row>
    <row r="44" ht="15.75" customHeight="1">
      <c r="A44" s="61"/>
      <c r="B44" s="60"/>
      <c r="C44" s="48"/>
      <c r="D44" s="56"/>
      <c r="E44" s="56"/>
      <c r="F44" s="39" t="s">
        <v>9</v>
      </c>
      <c r="G44" s="51"/>
      <c r="H44" s="57">
        <v>1700.0</v>
      </c>
      <c r="I44" s="53">
        <f t="shared" si="1"/>
        <v>0</v>
      </c>
      <c r="J44" s="56"/>
      <c r="K44" s="28"/>
      <c r="L44" s="28"/>
      <c r="M44" s="28"/>
      <c r="N44" s="28"/>
    </row>
    <row r="45" ht="15.75" customHeight="1">
      <c r="A45" s="61"/>
      <c r="B45" s="60"/>
      <c r="C45" s="48"/>
      <c r="D45" s="56"/>
      <c r="E45" s="56"/>
      <c r="F45" s="39" t="s">
        <v>14</v>
      </c>
      <c r="G45" s="51">
        <v>1.5</v>
      </c>
      <c r="H45" s="57">
        <v>4000.0</v>
      </c>
      <c r="I45" s="53">
        <f t="shared" si="1"/>
        <v>6000</v>
      </c>
      <c r="J45" s="56"/>
      <c r="K45" s="28"/>
      <c r="L45" s="28"/>
      <c r="M45" s="28"/>
      <c r="N45" s="28"/>
    </row>
    <row r="46" ht="15.75" customHeight="1">
      <c r="A46" s="61"/>
      <c r="B46" s="60"/>
      <c r="C46" s="48"/>
      <c r="D46" s="14"/>
      <c r="E46" s="14"/>
      <c r="F46" s="39" t="s">
        <v>54</v>
      </c>
      <c r="G46" s="51"/>
      <c r="H46" s="57">
        <v>500.0</v>
      </c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48"/>
      <c r="B47" s="48"/>
      <c r="C47" s="48"/>
      <c r="D47" s="64" t="s">
        <v>60</v>
      </c>
      <c r="E47" s="4"/>
      <c r="F47" s="4"/>
      <c r="G47" s="4"/>
      <c r="H47" s="4"/>
      <c r="I47" s="5"/>
      <c r="J47" s="65">
        <f>SUM(J5:J46)</f>
        <v>18900</v>
      </c>
      <c r="K47" s="28"/>
      <c r="L47" s="28"/>
      <c r="M47" s="28"/>
      <c r="N47" s="28"/>
    </row>
    <row r="48" ht="15.75" customHeight="1">
      <c r="A48" s="27"/>
      <c r="B48" s="27"/>
      <c r="C48" s="27"/>
      <c r="D48" s="27"/>
      <c r="E48" s="27"/>
      <c r="F48" s="28"/>
      <c r="G48" s="28"/>
      <c r="H48" s="28"/>
      <c r="I48" s="28"/>
      <c r="J48" s="29"/>
      <c r="K48" s="28"/>
      <c r="L48" s="28"/>
      <c r="M48" s="28"/>
      <c r="N48" s="28"/>
    </row>
    <row r="49" ht="15.75" customHeight="1">
      <c r="A49" s="27"/>
      <c r="B49" s="27"/>
      <c r="C49" s="27"/>
      <c r="D49" s="27"/>
      <c r="E49" s="27"/>
      <c r="F49" s="28"/>
      <c r="G49" s="28"/>
      <c r="H49" s="28"/>
      <c r="I49" s="28"/>
      <c r="J49" s="29"/>
      <c r="K49" s="28"/>
      <c r="L49" s="28"/>
      <c r="M49" s="28"/>
      <c r="N49" s="28"/>
    </row>
    <row r="50" ht="15.75" customHeight="1">
      <c r="A50" s="27"/>
      <c r="B50" s="27"/>
      <c r="C50" s="27"/>
      <c r="D50" s="27"/>
      <c r="E50" s="27"/>
      <c r="F50" s="28"/>
      <c r="G50" s="28"/>
      <c r="H50" s="28"/>
      <c r="I50" s="28"/>
      <c r="J50" s="29"/>
      <c r="K50" s="28"/>
      <c r="L50" s="28"/>
      <c r="M50" s="28"/>
      <c r="N50" s="28"/>
    </row>
    <row r="51" ht="15.75" customHeight="1">
      <c r="A51" s="27"/>
      <c r="B51" s="27"/>
      <c r="C51" s="27"/>
      <c r="D51" s="27"/>
      <c r="E51" s="27"/>
      <c r="F51" s="28"/>
      <c r="G51" s="28"/>
      <c r="H51" s="28"/>
      <c r="I51" s="28"/>
      <c r="J51" s="29"/>
      <c r="K51" s="28"/>
      <c r="L51" s="28"/>
      <c r="M51" s="28"/>
      <c r="N51" s="28"/>
    </row>
    <row r="52" ht="15.75" customHeight="1">
      <c r="A52" s="27"/>
      <c r="B52" s="27"/>
      <c r="C52" s="27"/>
      <c r="D52" s="27"/>
      <c r="E52" s="27"/>
      <c r="F52" s="28"/>
      <c r="G52" s="28"/>
      <c r="H52" s="28"/>
      <c r="I52" s="28"/>
      <c r="J52" s="29"/>
      <c r="K52" s="28"/>
      <c r="L52" s="28"/>
      <c r="M52" s="28"/>
      <c r="N52" s="28"/>
    </row>
    <row r="53" ht="15.75" customHeight="1">
      <c r="A53" s="27"/>
      <c r="B53" s="27"/>
      <c r="C53" s="27"/>
      <c r="D53" s="27"/>
      <c r="E53" s="27"/>
      <c r="F53" s="28"/>
      <c r="G53" s="28"/>
      <c r="H53" s="28"/>
      <c r="I53" s="28"/>
      <c r="J53" s="29"/>
      <c r="K53" s="28"/>
      <c r="L53" s="28"/>
      <c r="M53" s="28"/>
      <c r="N53" s="28"/>
    </row>
    <row r="54" ht="15.75" customHeight="1">
      <c r="A54" s="27"/>
      <c r="B54" s="27"/>
      <c r="C54" s="27"/>
      <c r="D54" s="27"/>
      <c r="E54" s="27"/>
      <c r="F54" s="28"/>
      <c r="G54" s="28"/>
      <c r="H54" s="28"/>
      <c r="I54" s="28"/>
      <c r="J54" s="29"/>
      <c r="K54" s="28"/>
      <c r="L54" s="28"/>
      <c r="M54" s="28"/>
      <c r="N54" s="28"/>
    </row>
    <row r="55" ht="15.75" customHeight="1">
      <c r="A55" s="27"/>
      <c r="B55" s="27"/>
      <c r="C55" s="27"/>
      <c r="D55" s="27"/>
      <c r="E55" s="27"/>
      <c r="F55" s="28"/>
      <c r="G55" s="28"/>
      <c r="H55" s="28"/>
      <c r="I55" s="28"/>
      <c r="J55" s="29"/>
      <c r="K55" s="28"/>
      <c r="L55" s="28"/>
      <c r="M55" s="28"/>
      <c r="N55" s="28"/>
    </row>
    <row r="56" ht="15.75" customHeight="1">
      <c r="A56" s="27"/>
      <c r="B56" s="27"/>
      <c r="C56" s="27"/>
      <c r="D56" s="27"/>
      <c r="E56" s="27"/>
      <c r="J56" s="29"/>
    </row>
    <row r="57" ht="15.75" customHeight="1">
      <c r="A57" s="27"/>
      <c r="B57" s="27"/>
      <c r="C57" s="27"/>
      <c r="D57" s="27"/>
      <c r="E57" s="27"/>
      <c r="J57" s="29"/>
    </row>
    <row r="58" ht="15.75" customHeight="1">
      <c r="A58" s="27"/>
      <c r="B58" s="27"/>
      <c r="C58" s="27"/>
      <c r="D58" s="27"/>
      <c r="E58" s="27"/>
      <c r="J58" s="29"/>
    </row>
    <row r="59" ht="15.75" customHeight="1">
      <c r="A59" s="27"/>
      <c r="B59" s="27"/>
      <c r="C59" s="27"/>
      <c r="D59" s="27"/>
      <c r="E59" s="27"/>
      <c r="J59" s="29"/>
    </row>
    <row r="60" ht="15.75" customHeight="1">
      <c r="A60" s="27"/>
      <c r="B60" s="27"/>
      <c r="C60" s="27"/>
      <c r="D60" s="27"/>
      <c r="E60" s="27"/>
      <c r="J60" s="29"/>
    </row>
    <row r="61" ht="15.75" customHeight="1">
      <c r="A61" s="27"/>
      <c r="B61" s="27"/>
      <c r="C61" s="27"/>
      <c r="D61" s="27"/>
      <c r="E61" s="27"/>
      <c r="J61" s="29"/>
    </row>
    <row r="62" ht="15.75" customHeight="1">
      <c r="A62" s="27"/>
      <c r="B62" s="27"/>
      <c r="C62" s="27"/>
      <c r="D62" s="27"/>
      <c r="E62" s="27"/>
      <c r="J62" s="29"/>
    </row>
    <row r="63" ht="15.75" customHeight="1">
      <c r="A63" s="27"/>
      <c r="B63" s="27"/>
      <c r="C63" s="27"/>
      <c r="D63" s="27"/>
      <c r="E63" s="27"/>
      <c r="J63" s="29"/>
    </row>
    <row r="64" ht="15.75" customHeight="1">
      <c r="A64" s="27"/>
      <c r="B64" s="27"/>
      <c r="C64" s="27"/>
      <c r="D64" s="27"/>
      <c r="E64" s="27"/>
      <c r="J64" s="29"/>
    </row>
    <row r="65" ht="15.75" customHeight="1">
      <c r="A65" s="27"/>
      <c r="B65" s="27"/>
      <c r="C65" s="27"/>
      <c r="D65" s="27"/>
      <c r="E65" s="27"/>
      <c r="J65" s="29"/>
    </row>
    <row r="66" ht="15.75" customHeight="1">
      <c r="A66" s="27"/>
      <c r="B66" s="27"/>
      <c r="C66" s="27"/>
      <c r="D66" s="27"/>
      <c r="E66" s="27"/>
      <c r="J66" s="29"/>
    </row>
    <row r="67" ht="15.75" customHeight="1">
      <c r="A67" s="27"/>
      <c r="B67" s="27"/>
      <c r="C67" s="27"/>
      <c r="D67" s="27"/>
      <c r="E67" s="27"/>
      <c r="J67" s="29"/>
    </row>
    <row r="68" ht="15.75" customHeight="1">
      <c r="A68" s="27"/>
      <c r="B68" s="27"/>
      <c r="C68" s="27"/>
      <c r="D68" s="27"/>
      <c r="E68" s="27"/>
      <c r="J68" s="29"/>
    </row>
    <row r="69" ht="15.75" customHeight="1">
      <c r="A69" s="27"/>
      <c r="B69" s="27"/>
      <c r="C69" s="27"/>
      <c r="D69" s="27"/>
      <c r="E69" s="27"/>
      <c r="J69" s="29"/>
    </row>
    <row r="70" ht="15.75" customHeight="1">
      <c r="A70" s="27"/>
      <c r="B70" s="27"/>
      <c r="C70" s="27"/>
      <c r="D70" s="27"/>
      <c r="E70" s="27"/>
      <c r="J70" s="29"/>
    </row>
    <row r="71" ht="15.75" customHeight="1">
      <c r="A71" s="27"/>
      <c r="B71" s="27"/>
      <c r="C71" s="27"/>
      <c r="D71" s="27"/>
      <c r="E71" s="27"/>
      <c r="J71" s="29"/>
    </row>
    <row r="72" ht="15.75" customHeight="1">
      <c r="A72" s="27"/>
      <c r="B72" s="27"/>
      <c r="C72" s="27"/>
      <c r="D72" s="27"/>
      <c r="E72" s="27"/>
      <c r="J72" s="29"/>
    </row>
    <row r="73" ht="15.75" customHeight="1">
      <c r="A73" s="27"/>
      <c r="B73" s="27"/>
      <c r="C73" s="27"/>
      <c r="D73" s="27"/>
      <c r="E73" s="27"/>
      <c r="J73" s="29"/>
    </row>
    <row r="74" ht="15.75" customHeight="1">
      <c r="A74" s="27"/>
      <c r="B74" s="27"/>
      <c r="C74" s="27"/>
      <c r="D74" s="27"/>
      <c r="E74" s="27"/>
      <c r="J74" s="29"/>
    </row>
    <row r="75" ht="15.75" customHeight="1">
      <c r="A75" s="27"/>
      <c r="B75" s="27"/>
      <c r="C75" s="27"/>
      <c r="D75" s="27"/>
      <c r="E75" s="27"/>
      <c r="J75" s="29"/>
    </row>
    <row r="76" ht="15.75" customHeight="1">
      <c r="A76" s="27"/>
      <c r="B76" s="27"/>
      <c r="C76" s="27"/>
      <c r="D76" s="27"/>
      <c r="E76" s="27"/>
      <c r="J76" s="29"/>
    </row>
    <row r="77" ht="15.75" customHeight="1">
      <c r="A77" s="27"/>
      <c r="B77" s="27"/>
      <c r="C77" s="27"/>
      <c r="D77" s="27"/>
      <c r="E77" s="27"/>
      <c r="J77" s="29"/>
    </row>
    <row r="78" ht="15.75" customHeight="1">
      <c r="A78" s="27"/>
      <c r="B78" s="27"/>
      <c r="C78" s="27"/>
      <c r="D78" s="27"/>
      <c r="E78" s="27"/>
      <c r="J78" s="29"/>
    </row>
    <row r="79" ht="15.75" customHeight="1">
      <c r="A79" s="27"/>
      <c r="B79" s="27"/>
      <c r="C79" s="27"/>
      <c r="D79" s="27"/>
      <c r="E79" s="27"/>
      <c r="J79" s="29"/>
    </row>
    <row r="80" ht="15.75" customHeight="1">
      <c r="A80" s="27"/>
      <c r="B80" s="27"/>
      <c r="C80" s="27"/>
      <c r="D80" s="27"/>
      <c r="E80" s="27"/>
      <c r="J80" s="29"/>
    </row>
    <row r="81" ht="15.75" customHeight="1">
      <c r="A81" s="27"/>
      <c r="B81" s="27"/>
      <c r="C81" s="27"/>
      <c r="D81" s="27"/>
      <c r="E81" s="27"/>
      <c r="J81" s="29"/>
    </row>
    <row r="82" ht="15.75" customHeight="1">
      <c r="A82" s="27"/>
      <c r="B82" s="27"/>
      <c r="C82" s="27"/>
      <c r="D82" s="27"/>
      <c r="E82" s="27"/>
      <c r="J82" s="29"/>
    </row>
    <row r="83" ht="15.75" customHeight="1">
      <c r="A83" s="27"/>
      <c r="B83" s="27"/>
      <c r="C83" s="27"/>
      <c r="D83" s="27"/>
      <c r="E83" s="27"/>
      <c r="J83" s="29"/>
    </row>
    <row r="84" ht="15.75" customHeight="1">
      <c r="A84" s="27"/>
      <c r="B84" s="27"/>
      <c r="C84" s="27"/>
      <c r="D84" s="27"/>
      <c r="E84" s="27"/>
      <c r="J84" s="29"/>
    </row>
    <row r="85" ht="15.75" customHeight="1">
      <c r="A85" s="27"/>
      <c r="B85" s="27"/>
      <c r="C85" s="27"/>
      <c r="D85" s="27"/>
      <c r="E85" s="27"/>
      <c r="J85" s="29"/>
    </row>
    <row r="86" ht="15.75" customHeight="1">
      <c r="A86" s="27"/>
      <c r="B86" s="27"/>
      <c r="C86" s="27"/>
      <c r="D86" s="27"/>
      <c r="E86" s="27"/>
      <c r="J86" s="29"/>
    </row>
    <row r="87" ht="15.75" customHeight="1">
      <c r="A87" s="27"/>
      <c r="B87" s="27"/>
      <c r="C87" s="27"/>
      <c r="D87" s="27"/>
      <c r="E87" s="27"/>
      <c r="J87" s="29"/>
    </row>
    <row r="88" ht="15.75" customHeight="1">
      <c r="A88" s="27"/>
      <c r="B88" s="27"/>
      <c r="C88" s="27"/>
      <c r="D88" s="27"/>
      <c r="E88" s="27"/>
      <c r="J88" s="29"/>
    </row>
    <row r="89" ht="15.75" customHeight="1">
      <c r="A89" s="27"/>
      <c r="B89" s="27"/>
      <c r="C89" s="27"/>
      <c r="D89" s="27"/>
      <c r="E89" s="27"/>
      <c r="J89" s="29"/>
    </row>
    <row r="90" ht="15.75" customHeight="1">
      <c r="A90" s="27"/>
      <c r="B90" s="27"/>
      <c r="C90" s="27"/>
      <c r="D90" s="27"/>
      <c r="E90" s="27"/>
      <c r="J90" s="29"/>
    </row>
    <row r="91" ht="15.75" customHeight="1">
      <c r="A91" s="27"/>
      <c r="B91" s="27"/>
      <c r="C91" s="27"/>
      <c r="D91" s="27"/>
      <c r="E91" s="27"/>
      <c r="J91" s="29"/>
    </row>
    <row r="92" ht="15.75" customHeight="1">
      <c r="A92" s="27"/>
      <c r="B92" s="27"/>
      <c r="C92" s="27"/>
      <c r="D92" s="27"/>
      <c r="E92" s="27"/>
      <c r="J92" s="29"/>
    </row>
    <row r="93" ht="15.75" customHeight="1">
      <c r="A93" s="27"/>
      <c r="B93" s="27"/>
      <c r="C93" s="27"/>
      <c r="D93" s="27"/>
      <c r="E93" s="27"/>
      <c r="J93" s="29"/>
    </row>
    <row r="94" ht="15.75" customHeight="1">
      <c r="A94" s="27"/>
      <c r="B94" s="27"/>
      <c r="C94" s="27"/>
      <c r="D94" s="27"/>
      <c r="E94" s="27"/>
      <c r="J94" s="29"/>
    </row>
    <row r="95" ht="15.75" customHeight="1">
      <c r="A95" s="27"/>
      <c r="B95" s="27"/>
      <c r="C95" s="27"/>
      <c r="D95" s="27"/>
      <c r="E95" s="27"/>
      <c r="J95" s="29"/>
    </row>
    <row r="96" ht="15.75" customHeight="1">
      <c r="A96" s="27"/>
      <c r="B96" s="27"/>
      <c r="C96" s="27"/>
      <c r="D96" s="27"/>
      <c r="E96" s="27"/>
      <c r="J96" s="29"/>
    </row>
    <row r="97" ht="15.75" customHeight="1">
      <c r="A97" s="27"/>
      <c r="B97" s="27"/>
      <c r="C97" s="27"/>
      <c r="D97" s="27"/>
      <c r="E97" s="27"/>
      <c r="J97" s="29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J199" s="29"/>
    </row>
    <row r="200" ht="15.75" customHeight="1">
      <c r="J200" s="29"/>
    </row>
    <row r="201" ht="15.75" customHeight="1">
      <c r="J201" s="29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</sheetData>
  <mergeCells count="10">
    <mergeCell ref="J5:J25"/>
    <mergeCell ref="J26:J46"/>
    <mergeCell ref="A2:B2"/>
    <mergeCell ref="D2:J2"/>
    <mergeCell ref="L2:M3"/>
    <mergeCell ref="D5:D25"/>
    <mergeCell ref="E5:E25"/>
    <mergeCell ref="D26:D46"/>
    <mergeCell ref="E26:E46"/>
    <mergeCell ref="D47:I4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32.13"/>
  </cols>
  <sheetData>
    <row r="1" ht="15.75" customHeight="1">
      <c r="A1" s="25" t="s">
        <v>34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35</v>
      </c>
      <c r="B2" s="31"/>
      <c r="C2" s="32"/>
      <c r="D2" s="32" t="s">
        <v>36</v>
      </c>
      <c r="K2" s="28"/>
      <c r="L2" s="33" t="s">
        <v>37</v>
      </c>
      <c r="M2" s="34"/>
      <c r="N2" s="28"/>
    </row>
    <row r="3" ht="15.75" customHeight="1">
      <c r="A3" s="35" t="s">
        <v>38</v>
      </c>
      <c r="B3" s="36" t="s">
        <v>39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16</v>
      </c>
      <c r="B4" s="40">
        <v>3100.0</v>
      </c>
      <c r="C4" s="41"/>
      <c r="D4" s="42" t="s">
        <v>1</v>
      </c>
      <c r="E4" s="42" t="s">
        <v>40</v>
      </c>
      <c r="F4" s="43" t="s">
        <v>41</v>
      </c>
      <c r="G4" s="44" t="s">
        <v>42</v>
      </c>
      <c r="H4" s="44" t="s">
        <v>43</v>
      </c>
      <c r="I4" s="45" t="s">
        <v>44</v>
      </c>
      <c r="J4" s="46" t="s">
        <v>45</v>
      </c>
      <c r="K4" s="28"/>
      <c r="L4" s="47" t="s">
        <v>46</v>
      </c>
      <c r="M4" s="47" t="s">
        <v>42</v>
      </c>
      <c r="N4" s="28"/>
    </row>
    <row r="5" ht="15.75" customHeight="1">
      <c r="A5" s="39" t="s">
        <v>47</v>
      </c>
      <c r="B5" s="40">
        <v>3000.0</v>
      </c>
      <c r="C5" s="48"/>
      <c r="D5" s="49">
        <v>1.0</v>
      </c>
      <c r="E5" s="50" t="s">
        <v>65</v>
      </c>
      <c r="F5" s="39" t="s">
        <v>16</v>
      </c>
      <c r="G5" s="51">
        <v>1.5</v>
      </c>
      <c r="H5" s="52">
        <f>VLOOKUP(F5,$A$4:$B$4,2,TRUE)</f>
        <v>3100</v>
      </c>
      <c r="I5" s="53">
        <f t="shared" ref="I5:I130" si="1">G5*H5</f>
        <v>4650</v>
      </c>
      <c r="J5" s="54">
        <f>SUM(I5:I25)</f>
        <v>38750</v>
      </c>
      <c r="K5" s="28"/>
      <c r="L5" s="39" t="s">
        <v>16</v>
      </c>
      <c r="M5" s="55">
        <f>SUMIF(F5:F130,"Gelas bersih",G5:G130)</f>
        <v>1.5</v>
      </c>
      <c r="N5" s="28"/>
    </row>
    <row r="6" ht="15.75" customHeight="1">
      <c r="A6" s="39" t="s">
        <v>49</v>
      </c>
      <c r="B6" s="40">
        <v>800.0</v>
      </c>
      <c r="C6" s="48"/>
      <c r="D6" s="56"/>
      <c r="E6" s="56"/>
      <c r="F6" s="39" t="s">
        <v>47</v>
      </c>
      <c r="G6" s="51">
        <v>3.5</v>
      </c>
      <c r="H6" s="57">
        <f>VLOOKUP(F6,$A$5:$B$5,2,TRUE)</f>
        <v>3000</v>
      </c>
      <c r="I6" s="53">
        <f t="shared" si="1"/>
        <v>10500</v>
      </c>
      <c r="J6" s="56"/>
      <c r="K6" s="28"/>
      <c r="L6" s="39" t="s">
        <v>47</v>
      </c>
      <c r="M6" s="55">
        <f>SUMIF(F6:F131,"Botol bersih",G6:G131)</f>
        <v>4</v>
      </c>
      <c r="N6" s="28"/>
    </row>
    <row r="7" ht="15.75" customHeight="1">
      <c r="A7" s="39" t="s">
        <v>19</v>
      </c>
      <c r="B7" s="40">
        <v>2000.0</v>
      </c>
      <c r="C7" s="48"/>
      <c r="D7" s="56"/>
      <c r="E7" s="56"/>
      <c r="F7" s="39" t="s">
        <v>49</v>
      </c>
      <c r="G7" s="51">
        <v>1.5</v>
      </c>
      <c r="H7" s="57">
        <f>VLOOKUP(F7,$A$6:$B$6,2,TRUE)</f>
        <v>800</v>
      </c>
      <c r="I7" s="53">
        <f t="shared" si="1"/>
        <v>1200</v>
      </c>
      <c r="J7" s="56"/>
      <c r="K7" s="28"/>
      <c r="L7" s="39" t="s">
        <v>49</v>
      </c>
      <c r="M7" s="55">
        <f>SUMIF(F7:F131,"Botol Warna",G7:G131)</f>
        <v>1.5</v>
      </c>
      <c r="N7" s="28"/>
    </row>
    <row r="8" ht="15.75" customHeight="1">
      <c r="A8" s="39" t="s">
        <v>20</v>
      </c>
      <c r="B8" s="40">
        <v>2800.0</v>
      </c>
      <c r="C8" s="48"/>
      <c r="D8" s="56"/>
      <c r="E8" s="56"/>
      <c r="F8" s="39" t="s">
        <v>19</v>
      </c>
      <c r="G8" s="51"/>
      <c r="H8" s="57">
        <f>VLOOKUP(F8,$A$7:$B$7,2,TRUE)</f>
        <v>2000</v>
      </c>
      <c r="I8" s="53">
        <f t="shared" si="1"/>
        <v>0</v>
      </c>
      <c r="J8" s="56"/>
      <c r="K8" s="28"/>
      <c r="L8" s="39" t="s">
        <v>19</v>
      </c>
      <c r="M8" s="55">
        <f>SUMIF(F8:F132,"Tutup botol",G8:G132)</f>
        <v>0</v>
      </c>
      <c r="N8" s="28"/>
    </row>
    <row r="9" ht="15.75" customHeight="1">
      <c r="A9" s="39" t="s">
        <v>50</v>
      </c>
      <c r="B9" s="40">
        <v>800.0</v>
      </c>
      <c r="C9" s="48"/>
      <c r="D9" s="56"/>
      <c r="E9" s="56"/>
      <c r="F9" s="39" t="s">
        <v>20</v>
      </c>
      <c r="G9" s="51"/>
      <c r="H9" s="57">
        <f>VLOOKUP(F9, $A$8:$B$8, 2, FALSE)</f>
        <v>2800</v>
      </c>
      <c r="I9" s="53">
        <f t="shared" si="1"/>
        <v>0</v>
      </c>
      <c r="J9" s="56"/>
      <c r="K9" s="28"/>
      <c r="L9" s="39" t="s">
        <v>20</v>
      </c>
      <c r="M9" s="55">
        <f>SUMIF(F9:F133,"Tutup galon",G9:G133)</f>
        <v>0</v>
      </c>
      <c r="N9" s="28"/>
    </row>
    <row r="10" ht="15.75" customHeight="1">
      <c r="A10" s="39" t="s">
        <v>22</v>
      </c>
      <c r="B10" s="40">
        <v>1500.0</v>
      </c>
      <c r="C10" s="48"/>
      <c r="D10" s="56"/>
      <c r="E10" s="56"/>
      <c r="F10" s="39" t="s">
        <v>50</v>
      </c>
      <c r="G10" s="51">
        <v>2.0</v>
      </c>
      <c r="H10" s="57">
        <f>VLOOKUP(F10, $A$9:$B$9, 2, FALSE)</f>
        <v>800</v>
      </c>
      <c r="I10" s="53">
        <f t="shared" si="1"/>
        <v>1600</v>
      </c>
      <c r="J10" s="56"/>
      <c r="K10" s="28"/>
      <c r="L10" s="39" t="s">
        <v>50</v>
      </c>
      <c r="M10" s="55">
        <f>SUMIF(F10:F135,"Emberan/Atum",G10:G135)</f>
        <v>16.5</v>
      </c>
      <c r="N10" s="28"/>
    </row>
    <row r="11" ht="15.75" customHeight="1">
      <c r="A11" s="39" t="s">
        <v>23</v>
      </c>
      <c r="B11" s="40">
        <v>1200.0</v>
      </c>
      <c r="C11" s="48"/>
      <c r="D11" s="56"/>
      <c r="E11" s="56"/>
      <c r="F11" s="39" t="s">
        <v>22</v>
      </c>
      <c r="G11" s="51">
        <v>6.0</v>
      </c>
      <c r="H11" s="57">
        <f>VLOOKUP(F11,$A$10:$B$10,2,TRUE)</f>
        <v>1500</v>
      </c>
      <c r="I11" s="53">
        <f t="shared" si="1"/>
        <v>9000</v>
      </c>
      <c r="J11" s="56"/>
      <c r="K11" s="28"/>
      <c r="L11" s="39" t="s">
        <v>22</v>
      </c>
      <c r="M11" s="55">
        <f>SUMIF(F11:F136,"Kardus",G11:G136)</f>
        <v>19</v>
      </c>
      <c r="N11" s="28"/>
    </row>
    <row r="12" ht="15.75" customHeight="1">
      <c r="A12" s="39" t="s">
        <v>51</v>
      </c>
      <c r="B12" s="40">
        <v>1000.0</v>
      </c>
      <c r="C12" s="48"/>
      <c r="D12" s="56"/>
      <c r="E12" s="56"/>
      <c r="F12" s="39" t="s">
        <v>23</v>
      </c>
      <c r="G12" s="51"/>
      <c r="H12" s="57">
        <f>VLOOKUP(F12,$A$11:$B$11,2,TRUE)</f>
        <v>1200</v>
      </c>
      <c r="I12" s="53">
        <f t="shared" si="1"/>
        <v>0</v>
      </c>
      <c r="J12" s="56"/>
      <c r="K12" s="28"/>
      <c r="L12" s="39" t="s">
        <v>23</v>
      </c>
      <c r="M12" s="55">
        <f>SUMIF(F12:F137,"Kertas Putihan/ HVS",G12:G137)</f>
        <v>0</v>
      </c>
      <c r="N12" s="28"/>
    </row>
    <row r="13" ht="15.75" customHeight="1">
      <c r="A13" s="39" t="s">
        <v>25</v>
      </c>
      <c r="B13" s="40">
        <v>500.0</v>
      </c>
      <c r="C13" s="48"/>
      <c r="D13" s="56"/>
      <c r="E13" s="56"/>
      <c r="F13" s="39" t="s">
        <v>52</v>
      </c>
      <c r="G13" s="51">
        <v>8.0</v>
      </c>
      <c r="H13" s="57">
        <f>VLOOKUP(F13,$A$12:$B$12,2,TRUE)</f>
        <v>1000</v>
      </c>
      <c r="I13" s="53">
        <f t="shared" si="1"/>
        <v>8000</v>
      </c>
      <c r="J13" s="56"/>
      <c r="K13" s="28"/>
      <c r="L13" s="39" t="s">
        <v>52</v>
      </c>
      <c r="M13" s="55">
        <f>SUMIF(F13:F139,"Buku/LKS",G13:G139)</f>
        <v>8</v>
      </c>
      <c r="N13" s="28"/>
    </row>
    <row r="14" ht="15.75" customHeight="1">
      <c r="A14" s="39" t="s">
        <v>26</v>
      </c>
      <c r="B14" s="40">
        <v>6500.0</v>
      </c>
      <c r="C14" s="48"/>
      <c r="D14" s="56"/>
      <c r="E14" s="56"/>
      <c r="F14" s="39" t="s">
        <v>25</v>
      </c>
      <c r="G14" s="51"/>
      <c r="H14" s="57">
        <f>VLOOKUP(F14,$A$13:$B$13,2,TRUE)</f>
        <v>500</v>
      </c>
      <c r="I14" s="53">
        <f t="shared" si="1"/>
        <v>0</v>
      </c>
      <c r="J14" s="56"/>
      <c r="K14" s="28"/>
      <c r="L14" s="39" t="s">
        <v>25</v>
      </c>
      <c r="M14" s="55">
        <f>SUMIF(F14:F140,"Duplex",G14:G140)</f>
        <v>3</v>
      </c>
      <c r="N14" s="28"/>
    </row>
    <row r="15" ht="15.75" customHeight="1">
      <c r="A15" s="39" t="s">
        <v>27</v>
      </c>
      <c r="B15" s="40">
        <v>2000.0</v>
      </c>
      <c r="C15" s="48"/>
      <c r="D15" s="56"/>
      <c r="E15" s="56"/>
      <c r="F15" s="39" t="s">
        <v>26</v>
      </c>
      <c r="G15" s="51"/>
      <c r="H15" s="57">
        <f>VLOOKUP(F15,$A$14:$B$14,2,TRUE)</f>
        <v>6500</v>
      </c>
      <c r="I15" s="53">
        <f t="shared" si="1"/>
        <v>0</v>
      </c>
      <c r="J15" s="56"/>
      <c r="K15" s="28"/>
      <c r="L15" s="39" t="s">
        <v>26</v>
      </c>
      <c r="M15" s="55">
        <f>SUMIF(F15:F141,"Alumunium",G15:G141)</f>
        <v>0</v>
      </c>
      <c r="N15" s="28"/>
    </row>
    <row r="16" ht="15.75" customHeight="1">
      <c r="A16" s="39" t="s">
        <v>28</v>
      </c>
      <c r="B16" s="40">
        <v>1300.0</v>
      </c>
      <c r="C16" s="48"/>
      <c r="D16" s="56"/>
      <c r="E16" s="56"/>
      <c r="F16" s="39" t="s">
        <v>27</v>
      </c>
      <c r="G16" s="51"/>
      <c r="H16" s="57">
        <f>VLOOKUP(F16,$A$15:$B$15,2,TRUE)</f>
        <v>2000</v>
      </c>
      <c r="I16" s="53">
        <f t="shared" si="1"/>
        <v>0</v>
      </c>
      <c r="J16" s="56"/>
      <c r="K16" s="28"/>
      <c r="L16" s="39" t="s">
        <v>27</v>
      </c>
      <c r="M16" s="55">
        <f>SUMIF(F16:F142,"Besi",G16:G142)</f>
        <v>1</v>
      </c>
      <c r="N16" s="28"/>
    </row>
    <row r="17" ht="15.75" customHeight="1">
      <c r="A17" s="39" t="s">
        <v>29</v>
      </c>
      <c r="B17" s="40">
        <v>5000.0</v>
      </c>
      <c r="C17" s="48"/>
      <c r="D17" s="56"/>
      <c r="E17" s="56"/>
      <c r="F17" s="39" t="s">
        <v>28</v>
      </c>
      <c r="G17" s="51">
        <v>1.0</v>
      </c>
      <c r="H17" s="57">
        <f>VLOOKUP(F17,$A$16:$B$16,2,TRUE)</f>
        <v>1300</v>
      </c>
      <c r="I17" s="53">
        <f t="shared" si="1"/>
        <v>1300</v>
      </c>
      <c r="J17" s="56"/>
      <c r="K17" s="28"/>
      <c r="L17" s="39" t="s">
        <v>28</v>
      </c>
      <c r="M17" s="55">
        <f>SUMIF(F17:F143,"Kaleng kue/susu",G17:G143)</f>
        <v>1</v>
      </c>
      <c r="N17" s="28"/>
    </row>
    <row r="18" ht="15.75" customHeight="1">
      <c r="A18" s="39" t="s">
        <v>30</v>
      </c>
      <c r="B18" s="40">
        <v>2300.0</v>
      </c>
      <c r="C18" s="48"/>
      <c r="D18" s="56"/>
      <c r="E18" s="56"/>
      <c r="F18" s="39" t="s">
        <v>29</v>
      </c>
      <c r="G18" s="51">
        <v>0.5</v>
      </c>
      <c r="H18" s="57">
        <f>VLOOKUP(F18,$A$17:$B$17,2,TRUE)</f>
        <v>5000</v>
      </c>
      <c r="I18" s="53">
        <f t="shared" si="1"/>
        <v>2500</v>
      </c>
      <c r="J18" s="56"/>
      <c r="K18" s="28"/>
      <c r="L18" s="39" t="s">
        <v>29</v>
      </c>
      <c r="M18" s="55">
        <f>SUMIF(F18:F144,"Kaleng Minuman",G18:G144)</f>
        <v>0.5</v>
      </c>
      <c r="N18" s="28"/>
    </row>
    <row r="19" ht="15.75" customHeight="1">
      <c r="A19" s="39" t="s">
        <v>32</v>
      </c>
      <c r="B19" s="40">
        <v>10000.0</v>
      </c>
      <c r="C19" s="48"/>
      <c r="D19" s="56"/>
      <c r="E19" s="56"/>
      <c r="F19" s="39" t="s">
        <v>30</v>
      </c>
      <c r="G19" s="51"/>
      <c r="H19" s="57">
        <f>VLOOKUP(F19,$A$18:$B$18,2,TRUE)</f>
        <v>2300</v>
      </c>
      <c r="I19" s="53">
        <f t="shared" si="1"/>
        <v>0</v>
      </c>
      <c r="J19" s="56"/>
      <c r="K19" s="28"/>
      <c r="L19" s="39" t="s">
        <v>30</v>
      </c>
      <c r="M19" s="55">
        <f>SUMIF(F19:F146,"Stanless",G19:G146)</f>
        <v>0</v>
      </c>
      <c r="N19" s="28"/>
    </row>
    <row r="20" ht="15.75" customHeight="1">
      <c r="A20" s="39" t="s">
        <v>53</v>
      </c>
      <c r="B20" s="40">
        <v>300.0</v>
      </c>
      <c r="C20" s="48"/>
      <c r="D20" s="56"/>
      <c r="E20" s="56"/>
      <c r="F20" s="39" t="s">
        <v>32</v>
      </c>
      <c r="G20" s="51"/>
      <c r="H20" s="57">
        <f>VLOOKUP(F20,$A$19:$B$19,2,TRUE)</f>
        <v>10000</v>
      </c>
      <c r="I20" s="53">
        <f t="shared" si="1"/>
        <v>0</v>
      </c>
      <c r="J20" s="56"/>
      <c r="K20" s="28"/>
      <c r="L20" s="39" t="s">
        <v>32</v>
      </c>
      <c r="M20" s="55">
        <f>SUMIF(F20:F147,"Aki Motor",G20:G147)</f>
        <v>0</v>
      </c>
      <c r="N20" s="28"/>
    </row>
    <row r="21" ht="15.75" customHeight="1">
      <c r="A21" s="39" t="s">
        <v>12</v>
      </c>
      <c r="B21" s="40">
        <v>300.0</v>
      </c>
      <c r="C21" s="48"/>
      <c r="D21" s="56"/>
      <c r="E21" s="56"/>
      <c r="F21" s="39" t="s">
        <v>53</v>
      </c>
      <c r="G21" s="51"/>
      <c r="H21" s="57">
        <f>VLOOKUP(F21,$A$20:$B$20,2,TRUE)</f>
        <v>300</v>
      </c>
      <c r="I21" s="53">
        <f t="shared" si="1"/>
        <v>0</v>
      </c>
      <c r="J21" s="56"/>
      <c r="K21" s="28"/>
      <c r="L21" s="39" t="s">
        <v>53</v>
      </c>
      <c r="M21" s="55">
        <f>SUMIF(F21:F150,"Plastik Keresek",G21:G150)</f>
        <v>3.5</v>
      </c>
      <c r="N21" s="28"/>
    </row>
    <row r="22" ht="15.75" customHeight="1">
      <c r="A22" s="39" t="s">
        <v>9</v>
      </c>
      <c r="B22" s="40">
        <v>1700.0</v>
      </c>
      <c r="C22" s="48"/>
      <c r="D22" s="56"/>
      <c r="E22" s="56"/>
      <c r="F22" s="39" t="s">
        <v>12</v>
      </c>
      <c r="G22" s="51"/>
      <c r="H22" s="57">
        <f>VLOOKUP(F22,$A$21:$B$21,2,TRUE)</f>
        <v>300</v>
      </c>
      <c r="I22" s="53">
        <f t="shared" si="1"/>
        <v>0</v>
      </c>
      <c r="J22" s="56"/>
      <c r="K22" s="28"/>
      <c r="L22" s="39" t="s">
        <v>12</v>
      </c>
      <c r="M22" s="55">
        <f>SUMIF(F22:F152,"Beling",G22:G152)</f>
        <v>0</v>
      </c>
      <c r="N22" s="28"/>
    </row>
    <row r="23" ht="15.75" customHeight="1">
      <c r="A23" s="39" t="s">
        <v>14</v>
      </c>
      <c r="B23" s="58">
        <v>4000.0</v>
      </c>
      <c r="C23" s="48"/>
      <c r="D23" s="56"/>
      <c r="E23" s="56"/>
      <c r="F23" s="39" t="s">
        <v>9</v>
      </c>
      <c r="G23" s="51"/>
      <c r="H23" s="57">
        <f>VLOOKUP(F23,$A$22:$B$22,2,TRUE)</f>
        <v>1700</v>
      </c>
      <c r="I23" s="53">
        <f t="shared" si="1"/>
        <v>0</v>
      </c>
      <c r="J23" s="56"/>
      <c r="K23" s="28"/>
      <c r="L23" s="39" t="s">
        <v>9</v>
      </c>
      <c r="M23" s="55">
        <f>SUMIF(F23:F154,"Paku",G23:G154)</f>
        <v>0</v>
      </c>
      <c r="N23" s="28"/>
    </row>
    <row r="24" ht="15.75" customHeight="1">
      <c r="A24" s="39" t="s">
        <v>54</v>
      </c>
      <c r="B24" s="40">
        <v>500.0</v>
      </c>
      <c r="C24" s="48"/>
      <c r="D24" s="56"/>
      <c r="E24" s="56"/>
      <c r="F24" s="39" t="s">
        <v>14</v>
      </c>
      <c r="G24" s="51"/>
      <c r="H24" s="57">
        <f>VLOOKUP(F23,$A$23:$B$23,2,TRUE)</f>
        <v>4000</v>
      </c>
      <c r="I24" s="53">
        <f t="shared" si="1"/>
        <v>0</v>
      </c>
      <c r="J24" s="56"/>
      <c r="K24" s="28"/>
      <c r="L24" s="39" t="s">
        <v>14</v>
      </c>
      <c r="M24" s="55">
        <f>SUMIF(F24:F155,"Minyak Jelantah",G24:G155)</f>
        <v>7.5</v>
      </c>
      <c r="N24" s="28"/>
    </row>
    <row r="25" ht="15.75" customHeight="1">
      <c r="A25" s="48"/>
      <c r="B25" s="48"/>
      <c r="C25" s="48"/>
      <c r="D25" s="14"/>
      <c r="E25" s="14"/>
      <c r="F25" s="39" t="s">
        <v>54</v>
      </c>
      <c r="G25" s="51">
        <v>2.0</v>
      </c>
      <c r="H25" s="57">
        <v>0.0</v>
      </c>
      <c r="I25" s="53">
        <f t="shared" si="1"/>
        <v>0</v>
      </c>
      <c r="J25" s="14"/>
      <c r="K25" s="28"/>
      <c r="L25" s="39" t="s">
        <v>54</v>
      </c>
      <c r="M25" s="55">
        <f>SUMIF(F25:F156,"Lainnya",G25:G156)</f>
        <v>8.5</v>
      </c>
      <c r="N25" s="28"/>
    </row>
    <row r="26" ht="15.75" customHeight="1">
      <c r="A26" s="48"/>
      <c r="B26" s="48"/>
      <c r="C26" s="48"/>
      <c r="D26" s="49">
        <v>2.0</v>
      </c>
      <c r="E26" s="50" t="s">
        <v>66</v>
      </c>
      <c r="F26" s="39" t="s">
        <v>16</v>
      </c>
      <c r="G26" s="51"/>
      <c r="H26" s="52">
        <v>3100.0</v>
      </c>
      <c r="I26" s="53">
        <f t="shared" si="1"/>
        <v>0</v>
      </c>
      <c r="J26" s="54">
        <f>SUM(I26:I46)</f>
        <v>25700</v>
      </c>
      <c r="K26" s="28"/>
      <c r="L26" s="28"/>
      <c r="M26" s="28"/>
      <c r="N26" s="28"/>
    </row>
    <row r="27" ht="15.75" customHeight="1">
      <c r="A27" s="59"/>
      <c r="B27" s="59"/>
      <c r="C27" s="48"/>
      <c r="D27" s="56"/>
      <c r="E27" s="56"/>
      <c r="F27" s="39" t="s">
        <v>47</v>
      </c>
      <c r="G27" s="51"/>
      <c r="H27" s="57">
        <v>3000.0</v>
      </c>
      <c r="I27" s="53">
        <f t="shared" si="1"/>
        <v>0</v>
      </c>
      <c r="J27" s="56"/>
      <c r="K27" s="28"/>
      <c r="L27" s="28"/>
      <c r="M27" s="28"/>
      <c r="N27" s="28"/>
    </row>
    <row r="28" ht="15.75" customHeight="1">
      <c r="A28" s="59"/>
      <c r="B28" s="59"/>
      <c r="C28" s="48"/>
      <c r="D28" s="56"/>
      <c r="E28" s="56"/>
      <c r="F28" s="39" t="s">
        <v>49</v>
      </c>
      <c r="G28" s="51"/>
      <c r="H28" s="57">
        <v>800.0</v>
      </c>
      <c r="I28" s="53">
        <f t="shared" si="1"/>
        <v>0</v>
      </c>
      <c r="J28" s="56"/>
      <c r="K28" s="28"/>
      <c r="L28" s="28"/>
      <c r="M28" s="28"/>
      <c r="N28" s="28"/>
    </row>
    <row r="29" ht="15.75" customHeight="1">
      <c r="A29" s="60"/>
      <c r="B29" s="60"/>
      <c r="C29" s="48"/>
      <c r="D29" s="56"/>
      <c r="E29" s="56"/>
      <c r="F29" s="39" t="s">
        <v>19</v>
      </c>
      <c r="G29" s="51"/>
      <c r="H29" s="57">
        <v>2000.0</v>
      </c>
      <c r="I29" s="53">
        <f t="shared" si="1"/>
        <v>0</v>
      </c>
      <c r="J29" s="56"/>
      <c r="K29" s="28"/>
      <c r="L29" s="28"/>
      <c r="M29" s="28"/>
      <c r="N29" s="28"/>
    </row>
    <row r="30" ht="15.75" customHeight="1">
      <c r="A30" s="61"/>
      <c r="B30" s="60"/>
      <c r="C30" s="48"/>
      <c r="D30" s="56"/>
      <c r="E30" s="56"/>
      <c r="F30" s="39" t="s">
        <v>20</v>
      </c>
      <c r="G30" s="51"/>
      <c r="H30" s="57">
        <v>2800.0</v>
      </c>
      <c r="I30" s="53">
        <f t="shared" si="1"/>
        <v>0</v>
      </c>
      <c r="J30" s="56"/>
      <c r="K30" s="28"/>
      <c r="L30" s="28"/>
      <c r="M30" s="28"/>
      <c r="N30" s="28"/>
    </row>
    <row r="31" ht="15.75" customHeight="1">
      <c r="A31" s="61"/>
      <c r="B31" s="60"/>
      <c r="C31" s="48"/>
      <c r="D31" s="56"/>
      <c r="E31" s="56"/>
      <c r="F31" s="39" t="s">
        <v>50</v>
      </c>
      <c r="G31" s="51">
        <f>6.5+2</f>
        <v>8.5</v>
      </c>
      <c r="H31" s="57">
        <v>800.0</v>
      </c>
      <c r="I31" s="53">
        <f t="shared" si="1"/>
        <v>6800</v>
      </c>
      <c r="J31" s="56"/>
      <c r="K31" s="28"/>
      <c r="L31" s="28"/>
      <c r="M31" s="28"/>
      <c r="N31" s="28"/>
    </row>
    <row r="32" ht="15.75" customHeight="1">
      <c r="A32" s="61"/>
      <c r="B32" s="60"/>
      <c r="C32" s="48"/>
      <c r="D32" s="56"/>
      <c r="E32" s="56"/>
      <c r="F32" s="39" t="s">
        <v>22</v>
      </c>
      <c r="G32" s="51">
        <v>10.0</v>
      </c>
      <c r="H32" s="57">
        <v>1500.0</v>
      </c>
      <c r="I32" s="53">
        <f t="shared" si="1"/>
        <v>15000</v>
      </c>
      <c r="J32" s="56"/>
      <c r="K32" s="28"/>
      <c r="L32" s="28"/>
      <c r="M32" s="28"/>
      <c r="N32" s="28"/>
    </row>
    <row r="33" ht="15.75" customHeight="1">
      <c r="A33" s="61"/>
      <c r="B33" s="60"/>
      <c r="C33" s="48"/>
      <c r="D33" s="56"/>
      <c r="E33" s="56"/>
      <c r="F33" s="39" t="s">
        <v>23</v>
      </c>
      <c r="G33" s="51"/>
      <c r="H33" s="57">
        <v>1200.0</v>
      </c>
      <c r="I33" s="53">
        <f t="shared" si="1"/>
        <v>0</v>
      </c>
      <c r="J33" s="56"/>
      <c r="K33" s="28"/>
      <c r="L33" s="28"/>
      <c r="M33" s="28"/>
      <c r="N33" s="28"/>
    </row>
    <row r="34" ht="15.75" customHeight="1">
      <c r="A34" s="61"/>
      <c r="B34" s="60"/>
      <c r="C34" s="48"/>
      <c r="D34" s="56"/>
      <c r="E34" s="56"/>
      <c r="F34" s="39" t="s">
        <v>52</v>
      </c>
      <c r="G34" s="51"/>
      <c r="H34" s="57">
        <v>1000.0</v>
      </c>
      <c r="I34" s="53">
        <f t="shared" si="1"/>
        <v>0</v>
      </c>
      <c r="J34" s="56"/>
      <c r="K34" s="28"/>
      <c r="L34" s="28"/>
      <c r="M34" s="28"/>
      <c r="N34" s="28"/>
    </row>
    <row r="35" ht="15.75" customHeight="1">
      <c r="A35" s="61"/>
      <c r="B35" s="60"/>
      <c r="C35" s="48"/>
      <c r="D35" s="56"/>
      <c r="E35" s="56"/>
      <c r="F35" s="39" t="s">
        <v>25</v>
      </c>
      <c r="G35" s="51">
        <v>2.0</v>
      </c>
      <c r="H35" s="57">
        <v>500.0</v>
      </c>
      <c r="I35" s="53">
        <f t="shared" si="1"/>
        <v>1000</v>
      </c>
      <c r="J35" s="56"/>
      <c r="K35" s="28"/>
      <c r="L35" s="28"/>
      <c r="M35" s="28"/>
      <c r="N35" s="28"/>
    </row>
    <row r="36" ht="15.75" customHeight="1">
      <c r="A36" s="61"/>
      <c r="B36" s="60"/>
      <c r="C36" s="48"/>
      <c r="D36" s="56"/>
      <c r="E36" s="56"/>
      <c r="F36" s="39" t="s">
        <v>26</v>
      </c>
      <c r="G36" s="51"/>
      <c r="H36" s="57">
        <v>6500.0</v>
      </c>
      <c r="I36" s="53">
        <f t="shared" si="1"/>
        <v>0</v>
      </c>
      <c r="J36" s="56"/>
      <c r="K36" s="28"/>
      <c r="L36" s="28"/>
      <c r="M36" s="28"/>
      <c r="N36" s="28"/>
    </row>
    <row r="37" ht="15.75" customHeight="1">
      <c r="A37" s="61"/>
      <c r="B37" s="60"/>
      <c r="C37" s="48"/>
      <c r="D37" s="56"/>
      <c r="E37" s="56"/>
      <c r="F37" s="39" t="s">
        <v>27</v>
      </c>
      <c r="G37" s="51">
        <v>1.0</v>
      </c>
      <c r="H37" s="57">
        <v>2000.0</v>
      </c>
      <c r="I37" s="53">
        <f t="shared" si="1"/>
        <v>2000</v>
      </c>
      <c r="J37" s="56"/>
      <c r="K37" s="28"/>
      <c r="L37" s="28"/>
      <c r="M37" s="28"/>
      <c r="N37" s="28"/>
    </row>
    <row r="38" ht="15.75" customHeight="1">
      <c r="A38" s="61"/>
      <c r="B38" s="60"/>
      <c r="C38" s="48"/>
      <c r="D38" s="56"/>
      <c r="E38" s="56"/>
      <c r="F38" s="39" t="s">
        <v>28</v>
      </c>
      <c r="G38" s="51"/>
      <c r="H38" s="57">
        <v>1300.0</v>
      </c>
      <c r="I38" s="53">
        <f t="shared" si="1"/>
        <v>0</v>
      </c>
      <c r="J38" s="56"/>
      <c r="K38" s="28"/>
      <c r="L38" s="28"/>
      <c r="M38" s="28"/>
      <c r="N38" s="28"/>
    </row>
    <row r="39" ht="15.75" customHeight="1">
      <c r="A39" s="61"/>
      <c r="B39" s="60"/>
      <c r="C39" s="48"/>
      <c r="D39" s="56"/>
      <c r="E39" s="56"/>
      <c r="F39" s="39" t="s">
        <v>29</v>
      </c>
      <c r="G39" s="51"/>
      <c r="H39" s="57">
        <v>5000.0</v>
      </c>
      <c r="I39" s="53">
        <f t="shared" si="1"/>
        <v>0</v>
      </c>
      <c r="J39" s="56"/>
      <c r="K39" s="28"/>
      <c r="L39" s="28"/>
      <c r="M39" s="28"/>
      <c r="N39" s="28"/>
    </row>
    <row r="40" ht="15.75" customHeight="1">
      <c r="A40" s="61"/>
      <c r="B40" s="60"/>
      <c r="C40" s="48"/>
      <c r="D40" s="56"/>
      <c r="E40" s="56"/>
      <c r="F40" s="39" t="s">
        <v>30</v>
      </c>
      <c r="G40" s="51"/>
      <c r="H40" s="57">
        <v>2300.0</v>
      </c>
      <c r="I40" s="53">
        <f t="shared" si="1"/>
        <v>0</v>
      </c>
      <c r="J40" s="56"/>
      <c r="K40" s="28"/>
      <c r="L40" s="28"/>
      <c r="M40" s="28"/>
      <c r="N40" s="28"/>
    </row>
    <row r="41" ht="15.75" customHeight="1">
      <c r="A41" s="61"/>
      <c r="B41" s="60"/>
      <c r="C41" s="48"/>
      <c r="D41" s="56"/>
      <c r="E41" s="56"/>
      <c r="F41" s="39" t="s">
        <v>32</v>
      </c>
      <c r="G41" s="51"/>
      <c r="H41" s="57">
        <v>10000.0</v>
      </c>
      <c r="I41" s="53">
        <f t="shared" si="1"/>
        <v>0</v>
      </c>
      <c r="J41" s="56"/>
      <c r="K41" s="28"/>
      <c r="L41" s="28"/>
      <c r="M41" s="28"/>
      <c r="N41" s="28"/>
    </row>
    <row r="42" ht="15.75" customHeight="1">
      <c r="A42" s="61"/>
      <c r="B42" s="60"/>
      <c r="C42" s="48"/>
      <c r="D42" s="56"/>
      <c r="E42" s="56"/>
      <c r="F42" s="39" t="s">
        <v>53</v>
      </c>
      <c r="G42" s="51">
        <v>3.0</v>
      </c>
      <c r="H42" s="57">
        <v>300.0</v>
      </c>
      <c r="I42" s="53">
        <f t="shared" si="1"/>
        <v>900</v>
      </c>
      <c r="J42" s="56"/>
      <c r="K42" s="28"/>
      <c r="L42" s="28"/>
      <c r="M42" s="28"/>
      <c r="N42" s="28"/>
    </row>
    <row r="43" ht="15.75" customHeight="1">
      <c r="A43" s="61"/>
      <c r="B43" s="60"/>
      <c r="C43" s="48"/>
      <c r="D43" s="56"/>
      <c r="E43" s="56"/>
      <c r="F43" s="39" t="s">
        <v>12</v>
      </c>
      <c r="G43" s="51"/>
      <c r="H43" s="57">
        <v>300.0</v>
      </c>
      <c r="I43" s="53">
        <f t="shared" si="1"/>
        <v>0</v>
      </c>
      <c r="J43" s="56"/>
      <c r="K43" s="28"/>
      <c r="L43" s="28"/>
      <c r="M43" s="28"/>
      <c r="N43" s="28"/>
    </row>
    <row r="44" ht="15.75" customHeight="1">
      <c r="A44" s="61"/>
      <c r="B44" s="60"/>
      <c r="C44" s="48"/>
      <c r="D44" s="56"/>
      <c r="E44" s="56"/>
      <c r="F44" s="39" t="s">
        <v>9</v>
      </c>
      <c r="G44" s="51"/>
      <c r="H44" s="57">
        <v>1700.0</v>
      </c>
      <c r="I44" s="53">
        <f t="shared" si="1"/>
        <v>0</v>
      </c>
      <c r="J44" s="56"/>
      <c r="K44" s="28"/>
      <c r="L44" s="28"/>
      <c r="M44" s="28"/>
      <c r="N44" s="28"/>
    </row>
    <row r="45" ht="15.75" customHeight="1">
      <c r="A45" s="61"/>
      <c r="B45" s="60"/>
      <c r="C45" s="48"/>
      <c r="D45" s="56"/>
      <c r="E45" s="56"/>
      <c r="F45" s="39" t="s">
        <v>14</v>
      </c>
      <c r="G45" s="51"/>
      <c r="H45" s="57">
        <v>4000.0</v>
      </c>
      <c r="I45" s="53">
        <f t="shared" si="1"/>
        <v>0</v>
      </c>
      <c r="J45" s="56"/>
      <c r="K45" s="28"/>
      <c r="L45" s="28"/>
      <c r="M45" s="28"/>
      <c r="N45" s="28"/>
    </row>
    <row r="46" ht="15.75" customHeight="1">
      <c r="A46" s="61"/>
      <c r="B46" s="60"/>
      <c r="C46" s="48"/>
      <c r="D46" s="14"/>
      <c r="E46" s="14"/>
      <c r="F46" s="39" t="s">
        <v>54</v>
      </c>
      <c r="G46" s="51">
        <v>6.5</v>
      </c>
      <c r="H46" s="57"/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61"/>
      <c r="B47" s="60"/>
      <c r="C47" s="48"/>
      <c r="D47" s="49">
        <v>3.0</v>
      </c>
      <c r="E47" s="62" t="s">
        <v>67</v>
      </c>
      <c r="F47" s="39" t="s">
        <v>16</v>
      </c>
      <c r="G47" s="51"/>
      <c r="H47" s="52">
        <v>3100.0</v>
      </c>
      <c r="I47" s="53">
        <f t="shared" si="1"/>
        <v>0</v>
      </c>
      <c r="J47" s="54">
        <f>SUM(I47:I67)</f>
        <v>2150</v>
      </c>
      <c r="K47" s="28"/>
      <c r="L47" s="28"/>
      <c r="M47" s="28"/>
      <c r="N47" s="28"/>
    </row>
    <row r="48" ht="15.75" customHeight="1">
      <c r="A48" s="61"/>
      <c r="B48" s="60"/>
      <c r="C48" s="48"/>
      <c r="D48" s="56"/>
      <c r="E48" s="56"/>
      <c r="F48" s="39" t="s">
        <v>47</v>
      </c>
      <c r="G48" s="51">
        <v>0.5</v>
      </c>
      <c r="H48" s="57">
        <v>3000.0</v>
      </c>
      <c r="I48" s="53">
        <f t="shared" si="1"/>
        <v>1500</v>
      </c>
      <c r="J48" s="56"/>
      <c r="K48" s="28"/>
      <c r="L48" s="28"/>
      <c r="M48" s="28"/>
      <c r="N48" s="28"/>
    </row>
    <row r="49" ht="15.75" customHeight="1">
      <c r="A49" s="61"/>
      <c r="B49" s="60"/>
      <c r="C49" s="48"/>
      <c r="D49" s="56"/>
      <c r="E49" s="56"/>
      <c r="F49" s="39" t="s">
        <v>49</v>
      </c>
      <c r="G49" s="51"/>
      <c r="H49" s="57">
        <v>800.0</v>
      </c>
      <c r="I49" s="53">
        <f t="shared" si="1"/>
        <v>0</v>
      </c>
      <c r="J49" s="56"/>
      <c r="K49" s="28"/>
      <c r="L49" s="28"/>
      <c r="M49" s="28"/>
      <c r="N49" s="28"/>
    </row>
    <row r="50" ht="15.75" customHeight="1">
      <c r="A50" s="61"/>
      <c r="B50" s="60"/>
      <c r="C50" s="48"/>
      <c r="D50" s="56"/>
      <c r="E50" s="56"/>
      <c r="F50" s="39" t="s">
        <v>19</v>
      </c>
      <c r="G50" s="51"/>
      <c r="H50" s="57">
        <v>2000.0</v>
      </c>
      <c r="I50" s="53">
        <f t="shared" si="1"/>
        <v>0</v>
      </c>
      <c r="J50" s="56"/>
      <c r="K50" s="28"/>
      <c r="L50" s="28"/>
      <c r="M50" s="28"/>
      <c r="N50" s="28"/>
    </row>
    <row r="51" ht="15.75" customHeight="1">
      <c r="A51" s="63"/>
      <c r="B51" s="63"/>
      <c r="C51" s="48"/>
      <c r="D51" s="56"/>
      <c r="E51" s="56"/>
      <c r="F51" s="39" t="s">
        <v>20</v>
      </c>
      <c r="G51" s="51"/>
      <c r="H51" s="57">
        <v>2800.0</v>
      </c>
      <c r="I51" s="53">
        <f t="shared" si="1"/>
        <v>0</v>
      </c>
      <c r="J51" s="56"/>
      <c r="K51" s="28"/>
      <c r="L51" s="28"/>
      <c r="M51" s="28"/>
      <c r="N51" s="28"/>
    </row>
    <row r="52" ht="15.75" customHeight="1">
      <c r="A52" s="63"/>
      <c r="B52" s="63"/>
      <c r="C52" s="48"/>
      <c r="D52" s="56"/>
      <c r="E52" s="56"/>
      <c r="F52" s="39" t="s">
        <v>50</v>
      </c>
      <c r="G52" s="51"/>
      <c r="H52" s="57">
        <v>800.0</v>
      </c>
      <c r="I52" s="53">
        <f t="shared" si="1"/>
        <v>0</v>
      </c>
      <c r="J52" s="56"/>
      <c r="K52" s="28"/>
      <c r="L52" s="28"/>
      <c r="M52" s="28"/>
      <c r="N52" s="28"/>
    </row>
    <row r="53" ht="15.75" customHeight="1">
      <c r="A53" s="63"/>
      <c r="B53" s="63"/>
      <c r="C53" s="48"/>
      <c r="D53" s="56"/>
      <c r="E53" s="56"/>
      <c r="F53" s="39" t="s">
        <v>22</v>
      </c>
      <c r="G53" s="51"/>
      <c r="H53" s="57">
        <v>1500.0</v>
      </c>
      <c r="I53" s="53">
        <f t="shared" si="1"/>
        <v>0</v>
      </c>
      <c r="J53" s="56"/>
      <c r="K53" s="28"/>
      <c r="L53" s="28"/>
      <c r="M53" s="28"/>
      <c r="N53" s="28"/>
    </row>
    <row r="54" ht="15.75" customHeight="1">
      <c r="A54" s="63"/>
      <c r="B54" s="63"/>
      <c r="C54" s="48"/>
      <c r="D54" s="56"/>
      <c r="E54" s="56"/>
      <c r="F54" s="39" t="s">
        <v>23</v>
      </c>
      <c r="G54" s="51"/>
      <c r="H54" s="57">
        <v>1200.0</v>
      </c>
      <c r="I54" s="53">
        <f t="shared" si="1"/>
        <v>0</v>
      </c>
      <c r="J54" s="56"/>
      <c r="K54" s="28"/>
      <c r="L54" s="28"/>
      <c r="M54" s="28"/>
      <c r="N54" s="28"/>
    </row>
    <row r="55" ht="15.75" customHeight="1">
      <c r="A55" s="63"/>
      <c r="B55" s="63"/>
      <c r="C55" s="48"/>
      <c r="D55" s="56"/>
      <c r="E55" s="56"/>
      <c r="F55" s="39" t="s">
        <v>52</v>
      </c>
      <c r="G55" s="51"/>
      <c r="H55" s="57">
        <v>1000.0</v>
      </c>
      <c r="I55" s="53">
        <f t="shared" si="1"/>
        <v>0</v>
      </c>
      <c r="J55" s="56"/>
      <c r="K55" s="28"/>
      <c r="L55" s="28"/>
      <c r="M55" s="28"/>
      <c r="N55" s="28"/>
    </row>
    <row r="56" ht="15.75" customHeight="1">
      <c r="A56" s="63"/>
      <c r="B56" s="63"/>
      <c r="C56" s="48"/>
      <c r="D56" s="56"/>
      <c r="E56" s="56"/>
      <c r="F56" s="39" t="s">
        <v>25</v>
      </c>
      <c r="G56" s="51">
        <v>1.0</v>
      </c>
      <c r="H56" s="57">
        <v>500.0</v>
      </c>
      <c r="I56" s="53">
        <f t="shared" si="1"/>
        <v>500</v>
      </c>
      <c r="J56" s="56"/>
      <c r="K56" s="28"/>
      <c r="L56" s="28"/>
      <c r="M56" s="28"/>
      <c r="N56" s="28"/>
    </row>
    <row r="57" ht="15.75" customHeight="1">
      <c r="A57" s="63"/>
      <c r="B57" s="63"/>
      <c r="C57" s="48"/>
      <c r="D57" s="56"/>
      <c r="E57" s="56"/>
      <c r="F57" s="39" t="s">
        <v>26</v>
      </c>
      <c r="G57" s="51"/>
      <c r="H57" s="57">
        <v>6500.0</v>
      </c>
      <c r="I57" s="53">
        <f t="shared" si="1"/>
        <v>0</v>
      </c>
      <c r="J57" s="56"/>
      <c r="K57" s="28"/>
      <c r="L57" s="28"/>
      <c r="M57" s="28"/>
      <c r="N57" s="28"/>
    </row>
    <row r="58" ht="15.75" customHeight="1">
      <c r="A58" s="48"/>
      <c r="B58" s="48"/>
      <c r="C58" s="48"/>
      <c r="D58" s="56"/>
      <c r="E58" s="56"/>
      <c r="F58" s="39" t="s">
        <v>27</v>
      </c>
      <c r="G58" s="51"/>
      <c r="H58" s="57">
        <v>2000.0</v>
      </c>
      <c r="I58" s="53">
        <f t="shared" si="1"/>
        <v>0</v>
      </c>
      <c r="J58" s="56"/>
      <c r="K58" s="28"/>
      <c r="L58" s="28"/>
      <c r="M58" s="28"/>
      <c r="N58" s="28"/>
    </row>
    <row r="59" ht="15.75" customHeight="1">
      <c r="A59" s="48"/>
      <c r="B59" s="48"/>
      <c r="C59" s="48"/>
      <c r="D59" s="56"/>
      <c r="E59" s="56"/>
      <c r="F59" s="39" t="s">
        <v>28</v>
      </c>
      <c r="G59" s="51"/>
      <c r="H59" s="57">
        <v>1300.0</v>
      </c>
      <c r="I59" s="53">
        <f t="shared" si="1"/>
        <v>0</v>
      </c>
      <c r="J59" s="56"/>
      <c r="K59" s="28"/>
      <c r="L59" s="28"/>
      <c r="M59" s="28"/>
      <c r="N59" s="28"/>
    </row>
    <row r="60" ht="15.75" customHeight="1">
      <c r="A60" s="48"/>
      <c r="B60" s="48"/>
      <c r="C60" s="48"/>
      <c r="D60" s="56"/>
      <c r="E60" s="56"/>
      <c r="F60" s="39" t="s">
        <v>29</v>
      </c>
      <c r="G60" s="51"/>
      <c r="H60" s="57">
        <v>5000.0</v>
      </c>
      <c r="I60" s="53">
        <f t="shared" si="1"/>
        <v>0</v>
      </c>
      <c r="J60" s="56"/>
      <c r="K60" s="28"/>
      <c r="L60" s="28"/>
      <c r="M60" s="28"/>
      <c r="N60" s="28"/>
    </row>
    <row r="61" ht="15.75" customHeight="1">
      <c r="A61" s="48"/>
      <c r="B61" s="48"/>
      <c r="C61" s="48"/>
      <c r="D61" s="56"/>
      <c r="E61" s="56"/>
      <c r="F61" s="39" t="s">
        <v>30</v>
      </c>
      <c r="G61" s="51"/>
      <c r="H61" s="57">
        <v>2300.0</v>
      </c>
      <c r="I61" s="53">
        <f t="shared" si="1"/>
        <v>0</v>
      </c>
      <c r="J61" s="56"/>
      <c r="K61" s="28"/>
      <c r="L61" s="28"/>
      <c r="M61" s="28"/>
      <c r="N61" s="28"/>
    </row>
    <row r="62" ht="15.75" customHeight="1">
      <c r="A62" s="48"/>
      <c r="B62" s="48"/>
      <c r="C62" s="48"/>
      <c r="D62" s="56"/>
      <c r="E62" s="56"/>
      <c r="F62" s="39" t="s">
        <v>32</v>
      </c>
      <c r="G62" s="51"/>
      <c r="H62" s="57">
        <v>10000.0</v>
      </c>
      <c r="I62" s="53">
        <f t="shared" si="1"/>
        <v>0</v>
      </c>
      <c r="J62" s="56"/>
      <c r="K62" s="28"/>
      <c r="L62" s="28"/>
      <c r="M62" s="28"/>
      <c r="N62" s="28"/>
    </row>
    <row r="63" ht="15.75" customHeight="1">
      <c r="A63" s="48"/>
      <c r="B63" s="48"/>
      <c r="C63" s="48"/>
      <c r="D63" s="56"/>
      <c r="E63" s="56"/>
      <c r="F63" s="39" t="s">
        <v>53</v>
      </c>
      <c r="G63" s="51">
        <v>0.5</v>
      </c>
      <c r="H63" s="57">
        <v>300.0</v>
      </c>
      <c r="I63" s="53">
        <f t="shared" si="1"/>
        <v>150</v>
      </c>
      <c r="J63" s="56"/>
      <c r="K63" s="28"/>
      <c r="L63" s="28"/>
      <c r="M63" s="28"/>
      <c r="N63" s="28"/>
    </row>
    <row r="64" ht="15.75" customHeight="1">
      <c r="A64" s="48"/>
      <c r="B64" s="48"/>
      <c r="C64" s="48"/>
      <c r="D64" s="56"/>
      <c r="E64" s="56"/>
      <c r="F64" s="39" t="s">
        <v>12</v>
      </c>
      <c r="G64" s="51"/>
      <c r="H64" s="57">
        <v>300.0</v>
      </c>
      <c r="I64" s="53">
        <f t="shared" si="1"/>
        <v>0</v>
      </c>
      <c r="J64" s="56"/>
      <c r="K64" s="28"/>
      <c r="L64" s="28"/>
      <c r="M64" s="28"/>
      <c r="N64" s="28"/>
    </row>
    <row r="65" ht="15.75" customHeight="1">
      <c r="A65" s="48"/>
      <c r="B65" s="48"/>
      <c r="C65" s="48"/>
      <c r="D65" s="56"/>
      <c r="E65" s="56"/>
      <c r="F65" s="39" t="s">
        <v>9</v>
      </c>
      <c r="G65" s="51"/>
      <c r="H65" s="57">
        <v>1700.0</v>
      </c>
      <c r="I65" s="53">
        <f t="shared" si="1"/>
        <v>0</v>
      </c>
      <c r="J65" s="56"/>
      <c r="K65" s="28"/>
      <c r="L65" s="28"/>
      <c r="M65" s="28"/>
      <c r="N65" s="28"/>
    </row>
    <row r="66" ht="15.75" customHeight="1">
      <c r="A66" s="48"/>
      <c r="B66" s="48"/>
      <c r="C66" s="48"/>
      <c r="D66" s="56"/>
      <c r="E66" s="56"/>
      <c r="F66" s="39" t="s">
        <v>14</v>
      </c>
      <c r="G66" s="51"/>
      <c r="H66" s="57">
        <v>4000.0</v>
      </c>
      <c r="I66" s="53">
        <f t="shared" si="1"/>
        <v>0</v>
      </c>
      <c r="J66" s="56"/>
      <c r="K66" s="28"/>
      <c r="L66" s="28"/>
      <c r="M66" s="28"/>
      <c r="N66" s="28"/>
    </row>
    <row r="67" ht="15.75" customHeight="1">
      <c r="A67" s="48"/>
      <c r="B67" s="48"/>
      <c r="C67" s="48"/>
      <c r="D67" s="14"/>
      <c r="E67" s="14"/>
      <c r="F67" s="39" t="s">
        <v>54</v>
      </c>
      <c r="G67" s="51"/>
      <c r="H67" s="57">
        <v>1.0</v>
      </c>
      <c r="I67" s="53">
        <f t="shared" si="1"/>
        <v>0</v>
      </c>
      <c r="J67" s="14"/>
      <c r="K67" s="28"/>
      <c r="L67" s="28"/>
      <c r="M67" s="28"/>
      <c r="N67" s="28"/>
    </row>
    <row r="68" ht="15.75" customHeight="1">
      <c r="A68" s="48"/>
      <c r="B68" s="48"/>
      <c r="C68" s="48"/>
      <c r="D68" s="49">
        <v>4.0</v>
      </c>
      <c r="E68" s="50" t="s">
        <v>68</v>
      </c>
      <c r="F68" s="39" t="s">
        <v>16</v>
      </c>
      <c r="G68" s="51"/>
      <c r="H68" s="52">
        <v>3100.0</v>
      </c>
      <c r="I68" s="53">
        <f t="shared" si="1"/>
        <v>0</v>
      </c>
      <c r="J68" s="54">
        <f>SUM(I68:I88)</f>
        <v>4000</v>
      </c>
      <c r="K68" s="28"/>
      <c r="L68" s="28"/>
      <c r="M68" s="28"/>
      <c r="N68" s="28"/>
    </row>
    <row r="69" ht="15.75" customHeight="1">
      <c r="A69" s="48"/>
      <c r="B69" s="48"/>
      <c r="C69" s="48"/>
      <c r="D69" s="56"/>
      <c r="E69" s="56"/>
      <c r="F69" s="39" t="s">
        <v>47</v>
      </c>
      <c r="G69" s="51"/>
      <c r="H69" s="57">
        <v>3000.0</v>
      </c>
      <c r="I69" s="53">
        <f t="shared" si="1"/>
        <v>0</v>
      </c>
      <c r="J69" s="56"/>
      <c r="K69" s="28"/>
      <c r="L69" s="28"/>
      <c r="M69" s="28"/>
      <c r="N69" s="28"/>
    </row>
    <row r="70" ht="15.75" customHeight="1">
      <c r="A70" s="48"/>
      <c r="B70" s="48"/>
      <c r="C70" s="48"/>
      <c r="D70" s="56"/>
      <c r="E70" s="56"/>
      <c r="F70" s="39" t="s">
        <v>49</v>
      </c>
      <c r="G70" s="51"/>
      <c r="H70" s="57">
        <v>800.0</v>
      </c>
      <c r="I70" s="53">
        <f t="shared" si="1"/>
        <v>0</v>
      </c>
      <c r="J70" s="56"/>
      <c r="K70" s="28"/>
      <c r="L70" s="28"/>
      <c r="M70" s="28"/>
      <c r="N70" s="28"/>
    </row>
    <row r="71" ht="15.75" customHeight="1">
      <c r="A71" s="48"/>
      <c r="B71" s="48"/>
      <c r="C71" s="48"/>
      <c r="D71" s="56"/>
      <c r="E71" s="56"/>
      <c r="F71" s="39" t="s">
        <v>19</v>
      </c>
      <c r="G71" s="51"/>
      <c r="H71" s="57">
        <v>2000.0</v>
      </c>
      <c r="I71" s="53">
        <f t="shared" si="1"/>
        <v>0</v>
      </c>
      <c r="J71" s="56"/>
      <c r="K71" s="28"/>
      <c r="L71" s="28"/>
      <c r="M71" s="28"/>
      <c r="N71" s="28"/>
    </row>
    <row r="72" ht="15.75" customHeight="1">
      <c r="A72" s="48"/>
      <c r="B72" s="48"/>
      <c r="C72" s="48"/>
      <c r="D72" s="56"/>
      <c r="E72" s="56"/>
      <c r="F72" s="39" t="s">
        <v>20</v>
      </c>
      <c r="G72" s="51"/>
      <c r="H72" s="57">
        <v>2800.0</v>
      </c>
      <c r="I72" s="53">
        <f t="shared" si="1"/>
        <v>0</v>
      </c>
      <c r="J72" s="56"/>
      <c r="K72" s="28"/>
      <c r="L72" s="28"/>
      <c r="M72" s="28"/>
      <c r="N72" s="28"/>
    </row>
    <row r="73" ht="15.75" customHeight="1">
      <c r="A73" s="48"/>
      <c r="B73" s="48"/>
      <c r="C73" s="48"/>
      <c r="D73" s="56"/>
      <c r="E73" s="56"/>
      <c r="F73" s="39" t="s">
        <v>50</v>
      </c>
      <c r="G73" s="51">
        <v>5.0</v>
      </c>
      <c r="H73" s="57">
        <v>800.0</v>
      </c>
      <c r="I73" s="53">
        <f t="shared" si="1"/>
        <v>4000</v>
      </c>
      <c r="J73" s="56"/>
      <c r="K73" s="28"/>
      <c r="L73" s="28"/>
      <c r="M73" s="28"/>
      <c r="N73" s="28"/>
    </row>
    <row r="74" ht="15.75" customHeight="1">
      <c r="A74" s="48"/>
      <c r="B74" s="48"/>
      <c r="C74" s="48"/>
      <c r="D74" s="56"/>
      <c r="E74" s="56"/>
      <c r="F74" s="39" t="s">
        <v>22</v>
      </c>
      <c r="G74" s="51"/>
      <c r="H74" s="57">
        <v>1500.0</v>
      </c>
      <c r="I74" s="53">
        <f t="shared" si="1"/>
        <v>0</v>
      </c>
      <c r="J74" s="56"/>
      <c r="K74" s="28"/>
      <c r="L74" s="28"/>
      <c r="M74" s="28"/>
      <c r="N74" s="28"/>
    </row>
    <row r="75" ht="15.75" customHeight="1">
      <c r="A75" s="48"/>
      <c r="B75" s="48"/>
      <c r="C75" s="48"/>
      <c r="D75" s="56"/>
      <c r="E75" s="56"/>
      <c r="F75" s="39" t="s">
        <v>23</v>
      </c>
      <c r="G75" s="51"/>
      <c r="H75" s="57">
        <v>1200.0</v>
      </c>
      <c r="I75" s="53">
        <f t="shared" si="1"/>
        <v>0</v>
      </c>
      <c r="J75" s="56"/>
      <c r="K75" s="28"/>
      <c r="L75" s="28"/>
      <c r="M75" s="28"/>
      <c r="N75" s="28"/>
    </row>
    <row r="76" ht="15.75" customHeight="1">
      <c r="A76" s="48"/>
      <c r="B76" s="48"/>
      <c r="C76" s="48"/>
      <c r="D76" s="56"/>
      <c r="E76" s="56"/>
      <c r="F76" s="39" t="s">
        <v>52</v>
      </c>
      <c r="G76" s="51"/>
      <c r="H76" s="57">
        <v>1000.0</v>
      </c>
      <c r="I76" s="53">
        <f t="shared" si="1"/>
        <v>0</v>
      </c>
      <c r="J76" s="56"/>
      <c r="K76" s="28"/>
      <c r="L76" s="28"/>
      <c r="M76" s="28"/>
      <c r="N76" s="28"/>
    </row>
    <row r="77" ht="15.75" customHeight="1">
      <c r="A77" s="48"/>
      <c r="B77" s="48"/>
      <c r="C77" s="48"/>
      <c r="D77" s="56"/>
      <c r="E77" s="56"/>
      <c r="F77" s="39" t="s">
        <v>25</v>
      </c>
      <c r="G77" s="51"/>
      <c r="H77" s="57">
        <v>500.0</v>
      </c>
      <c r="I77" s="53">
        <f t="shared" si="1"/>
        <v>0</v>
      </c>
      <c r="J77" s="56"/>
      <c r="K77" s="28"/>
      <c r="L77" s="28"/>
      <c r="M77" s="28"/>
      <c r="N77" s="28"/>
    </row>
    <row r="78" ht="15.75" customHeight="1">
      <c r="A78" s="48"/>
      <c r="B78" s="48"/>
      <c r="C78" s="48"/>
      <c r="D78" s="56"/>
      <c r="E78" s="56"/>
      <c r="F78" s="39" t="s">
        <v>26</v>
      </c>
      <c r="G78" s="51"/>
      <c r="H78" s="57">
        <v>6500.0</v>
      </c>
      <c r="I78" s="53">
        <f t="shared" si="1"/>
        <v>0</v>
      </c>
      <c r="J78" s="56"/>
      <c r="K78" s="28"/>
      <c r="L78" s="28"/>
      <c r="M78" s="28"/>
      <c r="N78" s="28"/>
    </row>
    <row r="79" ht="15.75" customHeight="1">
      <c r="A79" s="48"/>
      <c r="B79" s="48"/>
      <c r="C79" s="48"/>
      <c r="D79" s="56"/>
      <c r="E79" s="56"/>
      <c r="F79" s="39" t="s">
        <v>27</v>
      </c>
      <c r="G79" s="51"/>
      <c r="H79" s="57">
        <v>2000.0</v>
      </c>
      <c r="I79" s="53">
        <f t="shared" si="1"/>
        <v>0</v>
      </c>
      <c r="J79" s="56"/>
      <c r="K79" s="28"/>
      <c r="L79" s="28"/>
      <c r="M79" s="28"/>
      <c r="N79" s="28"/>
    </row>
    <row r="80" ht="15.75" customHeight="1">
      <c r="A80" s="48"/>
      <c r="B80" s="48"/>
      <c r="C80" s="48"/>
      <c r="D80" s="56"/>
      <c r="E80" s="56"/>
      <c r="F80" s="39" t="s">
        <v>28</v>
      </c>
      <c r="G80" s="51"/>
      <c r="H80" s="57">
        <v>1300.0</v>
      </c>
      <c r="I80" s="53">
        <f t="shared" si="1"/>
        <v>0</v>
      </c>
      <c r="J80" s="56"/>
      <c r="K80" s="28"/>
      <c r="L80" s="28"/>
      <c r="M80" s="28"/>
      <c r="N80" s="28"/>
    </row>
    <row r="81" ht="15.75" customHeight="1">
      <c r="A81" s="48"/>
      <c r="B81" s="48"/>
      <c r="C81" s="48"/>
      <c r="D81" s="56"/>
      <c r="E81" s="56"/>
      <c r="F81" s="39" t="s">
        <v>29</v>
      </c>
      <c r="G81" s="51"/>
      <c r="H81" s="57">
        <v>5000.0</v>
      </c>
      <c r="I81" s="53">
        <f t="shared" si="1"/>
        <v>0</v>
      </c>
      <c r="J81" s="56"/>
      <c r="K81" s="28"/>
      <c r="L81" s="28"/>
      <c r="M81" s="28"/>
      <c r="N81" s="28"/>
    </row>
    <row r="82" ht="15.75" customHeight="1">
      <c r="A82" s="48"/>
      <c r="B82" s="48"/>
      <c r="C82" s="48"/>
      <c r="D82" s="56"/>
      <c r="E82" s="56"/>
      <c r="F82" s="39" t="s">
        <v>30</v>
      </c>
      <c r="G82" s="51"/>
      <c r="H82" s="57">
        <v>2300.0</v>
      </c>
      <c r="I82" s="53">
        <f t="shared" si="1"/>
        <v>0</v>
      </c>
      <c r="J82" s="56"/>
      <c r="K82" s="28"/>
      <c r="L82" s="28"/>
      <c r="M82" s="28"/>
      <c r="N82" s="28"/>
    </row>
    <row r="83" ht="15.75" customHeight="1">
      <c r="A83" s="48"/>
      <c r="B83" s="48"/>
      <c r="C83" s="48"/>
      <c r="D83" s="56"/>
      <c r="E83" s="56"/>
      <c r="F83" s="39" t="s">
        <v>32</v>
      </c>
      <c r="G83" s="51"/>
      <c r="H83" s="57">
        <v>10000.0</v>
      </c>
      <c r="I83" s="53">
        <f t="shared" si="1"/>
        <v>0</v>
      </c>
      <c r="J83" s="56"/>
      <c r="K83" s="28"/>
      <c r="L83" s="28"/>
      <c r="M83" s="28"/>
      <c r="N83" s="28"/>
    </row>
    <row r="84" ht="15.75" customHeight="1">
      <c r="A84" s="48"/>
      <c r="B84" s="48"/>
      <c r="C84" s="48"/>
      <c r="D84" s="56"/>
      <c r="E84" s="56"/>
      <c r="F84" s="39" t="s">
        <v>53</v>
      </c>
      <c r="G84" s="51"/>
      <c r="H84" s="57">
        <v>300.0</v>
      </c>
      <c r="I84" s="53">
        <f t="shared" si="1"/>
        <v>0</v>
      </c>
      <c r="J84" s="56"/>
      <c r="K84" s="28"/>
      <c r="L84" s="28"/>
      <c r="M84" s="28"/>
      <c r="N84" s="28"/>
    </row>
    <row r="85" ht="15.75" customHeight="1">
      <c r="A85" s="48"/>
      <c r="B85" s="48"/>
      <c r="C85" s="48"/>
      <c r="D85" s="56"/>
      <c r="E85" s="56"/>
      <c r="F85" s="39" t="s">
        <v>12</v>
      </c>
      <c r="G85" s="51"/>
      <c r="H85" s="57">
        <v>300.0</v>
      </c>
      <c r="I85" s="53">
        <f t="shared" si="1"/>
        <v>0</v>
      </c>
      <c r="J85" s="56"/>
      <c r="K85" s="28"/>
      <c r="L85" s="28"/>
      <c r="M85" s="28"/>
      <c r="N85" s="28"/>
    </row>
    <row r="86" ht="15.75" customHeight="1">
      <c r="A86" s="48"/>
      <c r="B86" s="48"/>
      <c r="C86" s="48"/>
      <c r="D86" s="56"/>
      <c r="E86" s="56"/>
      <c r="F86" s="39" t="s">
        <v>9</v>
      </c>
      <c r="G86" s="51"/>
      <c r="H86" s="57">
        <v>1700.0</v>
      </c>
      <c r="I86" s="53">
        <f t="shared" si="1"/>
        <v>0</v>
      </c>
      <c r="J86" s="56"/>
      <c r="K86" s="28"/>
      <c r="L86" s="28"/>
      <c r="M86" s="28"/>
      <c r="N86" s="28"/>
    </row>
    <row r="87" ht="15.75" customHeight="1">
      <c r="A87" s="48"/>
      <c r="B87" s="48"/>
      <c r="C87" s="48"/>
      <c r="D87" s="56"/>
      <c r="E87" s="56"/>
      <c r="F87" s="39" t="s">
        <v>14</v>
      </c>
      <c r="G87" s="51"/>
      <c r="H87" s="57">
        <v>4000.0</v>
      </c>
      <c r="I87" s="53">
        <f t="shared" si="1"/>
        <v>0</v>
      </c>
      <c r="J87" s="56"/>
      <c r="K87" s="28"/>
      <c r="L87" s="28"/>
      <c r="M87" s="28"/>
      <c r="N87" s="28"/>
    </row>
    <row r="88" ht="15.75" customHeight="1">
      <c r="A88" s="48"/>
      <c r="B88" s="48"/>
      <c r="C88" s="48"/>
      <c r="D88" s="14"/>
      <c r="E88" s="14"/>
      <c r="F88" s="39" t="s">
        <v>54</v>
      </c>
      <c r="G88" s="51"/>
      <c r="H88" s="57">
        <v>500.0</v>
      </c>
      <c r="I88" s="53">
        <f t="shared" si="1"/>
        <v>0</v>
      </c>
      <c r="J88" s="14"/>
      <c r="K88" s="28"/>
      <c r="L88" s="28"/>
      <c r="M88" s="28"/>
      <c r="N88" s="28"/>
    </row>
    <row r="89" ht="15.75" customHeight="1">
      <c r="A89" s="48"/>
      <c r="B89" s="48"/>
      <c r="C89" s="48"/>
      <c r="D89" s="49">
        <v>5.0</v>
      </c>
      <c r="E89" s="50" t="s">
        <v>69</v>
      </c>
      <c r="F89" s="39" t="s">
        <v>16</v>
      </c>
      <c r="G89" s="51"/>
      <c r="H89" s="52">
        <v>3100.0</v>
      </c>
      <c r="I89" s="53">
        <f t="shared" si="1"/>
        <v>0</v>
      </c>
      <c r="J89" s="54">
        <f>SUM(I89:I109)</f>
        <v>30000</v>
      </c>
      <c r="K89" s="28"/>
      <c r="L89" s="28"/>
      <c r="M89" s="28"/>
      <c r="N89" s="28"/>
    </row>
    <row r="90" ht="15.75" customHeight="1">
      <c r="A90" s="48"/>
      <c r="B90" s="48"/>
      <c r="C90" s="48"/>
      <c r="D90" s="56"/>
      <c r="E90" s="56"/>
      <c r="F90" s="39" t="s">
        <v>47</v>
      </c>
      <c r="G90" s="51"/>
      <c r="H90" s="57">
        <v>3000.0</v>
      </c>
      <c r="I90" s="53">
        <f t="shared" si="1"/>
        <v>0</v>
      </c>
      <c r="J90" s="56"/>
      <c r="K90" s="28"/>
      <c r="L90" s="28"/>
      <c r="M90" s="28"/>
      <c r="N90" s="28"/>
    </row>
    <row r="91" ht="15.75" customHeight="1">
      <c r="A91" s="48"/>
      <c r="B91" s="48"/>
      <c r="C91" s="48"/>
      <c r="D91" s="56"/>
      <c r="E91" s="56"/>
      <c r="F91" s="39" t="s">
        <v>49</v>
      </c>
      <c r="G91" s="51"/>
      <c r="H91" s="57">
        <v>800.0</v>
      </c>
      <c r="I91" s="53">
        <f t="shared" si="1"/>
        <v>0</v>
      </c>
      <c r="J91" s="56"/>
      <c r="K91" s="28"/>
      <c r="L91" s="28"/>
      <c r="M91" s="28"/>
      <c r="N91" s="28"/>
    </row>
    <row r="92" ht="15.75" customHeight="1">
      <c r="A92" s="48"/>
      <c r="B92" s="48"/>
      <c r="C92" s="48"/>
      <c r="D92" s="56"/>
      <c r="E92" s="56"/>
      <c r="F92" s="39" t="s">
        <v>19</v>
      </c>
      <c r="G92" s="51"/>
      <c r="H92" s="57">
        <v>2000.0</v>
      </c>
      <c r="I92" s="53">
        <f t="shared" si="1"/>
        <v>0</v>
      </c>
      <c r="J92" s="56"/>
      <c r="K92" s="28"/>
      <c r="L92" s="28"/>
      <c r="M92" s="28"/>
      <c r="N92" s="28"/>
    </row>
    <row r="93" ht="15.75" customHeight="1">
      <c r="A93" s="48"/>
      <c r="B93" s="48"/>
      <c r="C93" s="48"/>
      <c r="D93" s="56"/>
      <c r="E93" s="56"/>
      <c r="F93" s="39" t="s">
        <v>20</v>
      </c>
      <c r="G93" s="51"/>
      <c r="H93" s="57">
        <v>2800.0</v>
      </c>
      <c r="I93" s="53">
        <f t="shared" si="1"/>
        <v>0</v>
      </c>
      <c r="J93" s="56"/>
      <c r="K93" s="28"/>
      <c r="L93" s="28"/>
      <c r="M93" s="28"/>
      <c r="N93" s="28"/>
    </row>
    <row r="94" ht="15.75" customHeight="1">
      <c r="A94" s="48"/>
      <c r="B94" s="48"/>
      <c r="C94" s="48"/>
      <c r="D94" s="56"/>
      <c r="E94" s="56"/>
      <c r="F94" s="39" t="s">
        <v>50</v>
      </c>
      <c r="G94" s="51"/>
      <c r="H94" s="57">
        <v>800.0</v>
      </c>
      <c r="I94" s="53">
        <f t="shared" si="1"/>
        <v>0</v>
      </c>
      <c r="J94" s="56"/>
      <c r="K94" s="28"/>
      <c r="L94" s="28"/>
      <c r="M94" s="28"/>
      <c r="N94" s="28"/>
    </row>
    <row r="95" ht="15.75" customHeight="1">
      <c r="A95" s="48"/>
      <c r="B95" s="48"/>
      <c r="C95" s="48"/>
      <c r="D95" s="56"/>
      <c r="E95" s="56"/>
      <c r="F95" s="39" t="s">
        <v>22</v>
      </c>
      <c r="G95" s="51"/>
      <c r="H95" s="57">
        <v>1500.0</v>
      </c>
      <c r="I95" s="53">
        <f t="shared" si="1"/>
        <v>0</v>
      </c>
      <c r="J95" s="56"/>
      <c r="K95" s="28"/>
      <c r="L95" s="28"/>
      <c r="M95" s="28"/>
      <c r="N95" s="28"/>
    </row>
    <row r="96" ht="15.75" customHeight="1">
      <c r="A96" s="48"/>
      <c r="B96" s="48"/>
      <c r="C96" s="48"/>
      <c r="D96" s="56"/>
      <c r="E96" s="56"/>
      <c r="F96" s="39" t="s">
        <v>23</v>
      </c>
      <c r="G96" s="51"/>
      <c r="H96" s="57">
        <v>1200.0</v>
      </c>
      <c r="I96" s="53">
        <f t="shared" si="1"/>
        <v>0</v>
      </c>
      <c r="J96" s="56"/>
      <c r="K96" s="28"/>
      <c r="L96" s="28"/>
      <c r="M96" s="28"/>
      <c r="N96" s="28"/>
    </row>
    <row r="97" ht="15.75" customHeight="1">
      <c r="A97" s="48"/>
      <c r="B97" s="48"/>
      <c r="C97" s="48"/>
      <c r="D97" s="56"/>
      <c r="E97" s="56"/>
      <c r="F97" s="39" t="s">
        <v>52</v>
      </c>
      <c r="G97" s="51"/>
      <c r="H97" s="57">
        <v>1000.0</v>
      </c>
      <c r="I97" s="53">
        <f t="shared" si="1"/>
        <v>0</v>
      </c>
      <c r="J97" s="56"/>
      <c r="K97" s="28"/>
      <c r="L97" s="28"/>
      <c r="M97" s="28"/>
      <c r="N97" s="28"/>
    </row>
    <row r="98" ht="15.75" customHeight="1">
      <c r="A98" s="48"/>
      <c r="B98" s="48"/>
      <c r="C98" s="48"/>
      <c r="D98" s="56"/>
      <c r="E98" s="56"/>
      <c r="F98" s="39" t="s">
        <v>25</v>
      </c>
      <c r="G98" s="51"/>
      <c r="H98" s="57">
        <v>500.0</v>
      </c>
      <c r="I98" s="53">
        <f t="shared" si="1"/>
        <v>0</v>
      </c>
      <c r="J98" s="56"/>
      <c r="K98" s="28"/>
      <c r="L98" s="28"/>
      <c r="M98" s="28"/>
      <c r="N98" s="28"/>
    </row>
    <row r="99" ht="15.75" customHeight="1">
      <c r="A99" s="48"/>
      <c r="B99" s="48"/>
      <c r="C99" s="48"/>
      <c r="D99" s="56"/>
      <c r="E99" s="56"/>
      <c r="F99" s="39" t="s">
        <v>26</v>
      </c>
      <c r="G99" s="51"/>
      <c r="H99" s="57">
        <v>6500.0</v>
      </c>
      <c r="I99" s="53">
        <f t="shared" si="1"/>
        <v>0</v>
      </c>
      <c r="J99" s="56"/>
      <c r="K99" s="28"/>
      <c r="L99" s="28"/>
      <c r="M99" s="28"/>
      <c r="N99" s="28"/>
    </row>
    <row r="100" ht="15.75" customHeight="1">
      <c r="A100" s="48"/>
      <c r="B100" s="48"/>
      <c r="C100" s="48"/>
      <c r="D100" s="56"/>
      <c r="E100" s="56"/>
      <c r="F100" s="39" t="s">
        <v>27</v>
      </c>
      <c r="G100" s="51"/>
      <c r="H100" s="57">
        <v>2000.0</v>
      </c>
      <c r="I100" s="53">
        <f t="shared" si="1"/>
        <v>0</v>
      </c>
      <c r="J100" s="56"/>
      <c r="K100" s="28"/>
      <c r="L100" s="28"/>
      <c r="M100" s="28"/>
      <c r="N100" s="28"/>
    </row>
    <row r="101" ht="15.75" customHeight="1">
      <c r="A101" s="48"/>
      <c r="B101" s="48"/>
      <c r="C101" s="48"/>
      <c r="D101" s="56"/>
      <c r="E101" s="56"/>
      <c r="F101" s="39" t="s">
        <v>28</v>
      </c>
      <c r="G101" s="51"/>
      <c r="H101" s="57">
        <v>1300.0</v>
      </c>
      <c r="I101" s="53">
        <f t="shared" si="1"/>
        <v>0</v>
      </c>
      <c r="J101" s="56"/>
      <c r="K101" s="28"/>
      <c r="L101" s="28"/>
      <c r="M101" s="28"/>
      <c r="N101" s="28"/>
    </row>
    <row r="102" ht="15.75" customHeight="1">
      <c r="A102" s="48"/>
      <c r="B102" s="48"/>
      <c r="C102" s="48"/>
      <c r="D102" s="56"/>
      <c r="E102" s="56"/>
      <c r="F102" s="39" t="s">
        <v>29</v>
      </c>
      <c r="G102" s="51"/>
      <c r="H102" s="57">
        <v>5000.0</v>
      </c>
      <c r="I102" s="53">
        <f t="shared" si="1"/>
        <v>0</v>
      </c>
      <c r="J102" s="56"/>
      <c r="K102" s="28"/>
      <c r="L102" s="28"/>
      <c r="M102" s="28"/>
      <c r="N102" s="28"/>
    </row>
    <row r="103" ht="15.75" customHeight="1">
      <c r="A103" s="48"/>
      <c r="B103" s="48"/>
      <c r="C103" s="48"/>
      <c r="D103" s="56"/>
      <c r="E103" s="56"/>
      <c r="F103" s="39" t="s">
        <v>30</v>
      </c>
      <c r="G103" s="51"/>
      <c r="H103" s="57">
        <v>2300.0</v>
      </c>
      <c r="I103" s="53">
        <f t="shared" si="1"/>
        <v>0</v>
      </c>
      <c r="J103" s="56"/>
      <c r="K103" s="28"/>
      <c r="L103" s="28"/>
      <c r="M103" s="28"/>
      <c r="N103" s="28"/>
    </row>
    <row r="104" ht="15.75" customHeight="1">
      <c r="A104" s="48"/>
      <c r="B104" s="48"/>
      <c r="C104" s="48"/>
      <c r="D104" s="56"/>
      <c r="E104" s="56"/>
      <c r="F104" s="39" t="s">
        <v>32</v>
      </c>
      <c r="G104" s="51"/>
      <c r="H104" s="57">
        <v>10000.0</v>
      </c>
      <c r="I104" s="53">
        <f t="shared" si="1"/>
        <v>0</v>
      </c>
      <c r="J104" s="56"/>
      <c r="K104" s="28"/>
      <c r="L104" s="28"/>
      <c r="M104" s="28"/>
      <c r="N104" s="28"/>
    </row>
    <row r="105" ht="15.75" customHeight="1">
      <c r="A105" s="48"/>
      <c r="B105" s="48"/>
      <c r="C105" s="48"/>
      <c r="D105" s="56"/>
      <c r="E105" s="56"/>
      <c r="F105" s="39" t="s">
        <v>53</v>
      </c>
      <c r="G105" s="51"/>
      <c r="H105" s="57">
        <v>300.0</v>
      </c>
      <c r="I105" s="53">
        <f t="shared" si="1"/>
        <v>0</v>
      </c>
      <c r="J105" s="56"/>
      <c r="K105" s="28"/>
      <c r="L105" s="28"/>
      <c r="M105" s="28"/>
      <c r="N105" s="28"/>
    </row>
    <row r="106" ht="15.75" customHeight="1">
      <c r="A106" s="48"/>
      <c r="B106" s="48"/>
      <c r="C106" s="48"/>
      <c r="D106" s="56"/>
      <c r="E106" s="56"/>
      <c r="F106" s="39" t="s">
        <v>12</v>
      </c>
      <c r="G106" s="51"/>
      <c r="H106" s="57">
        <v>300.0</v>
      </c>
      <c r="I106" s="53">
        <f t="shared" si="1"/>
        <v>0</v>
      </c>
      <c r="J106" s="56"/>
      <c r="K106" s="28"/>
      <c r="L106" s="28"/>
      <c r="M106" s="28"/>
      <c r="N106" s="28"/>
    </row>
    <row r="107" ht="15.75" customHeight="1">
      <c r="A107" s="48"/>
      <c r="B107" s="48"/>
      <c r="C107" s="48"/>
      <c r="D107" s="56"/>
      <c r="E107" s="56"/>
      <c r="F107" s="39" t="s">
        <v>9</v>
      </c>
      <c r="G107" s="51"/>
      <c r="H107" s="57">
        <v>1700.0</v>
      </c>
      <c r="I107" s="53">
        <f t="shared" si="1"/>
        <v>0</v>
      </c>
      <c r="J107" s="56"/>
      <c r="K107" s="28"/>
      <c r="L107" s="28"/>
      <c r="M107" s="28"/>
      <c r="N107" s="28"/>
    </row>
    <row r="108" ht="15.75" customHeight="1">
      <c r="A108" s="48"/>
      <c r="B108" s="48"/>
      <c r="C108" s="48"/>
      <c r="D108" s="56"/>
      <c r="E108" s="56"/>
      <c r="F108" s="39" t="s">
        <v>14</v>
      </c>
      <c r="G108" s="51">
        <v>7.5</v>
      </c>
      <c r="H108" s="57">
        <v>4000.0</v>
      </c>
      <c r="I108" s="53">
        <f t="shared" si="1"/>
        <v>30000</v>
      </c>
      <c r="J108" s="56"/>
      <c r="K108" s="28"/>
      <c r="L108" s="28"/>
      <c r="M108" s="28"/>
      <c r="N108" s="28"/>
    </row>
    <row r="109" ht="15.75" customHeight="1">
      <c r="A109" s="48"/>
      <c r="B109" s="48"/>
      <c r="C109" s="48"/>
      <c r="D109" s="14"/>
      <c r="E109" s="14"/>
      <c r="F109" s="39" t="s">
        <v>54</v>
      </c>
      <c r="G109" s="51"/>
      <c r="H109" s="57">
        <v>500.0</v>
      </c>
      <c r="I109" s="53">
        <f t="shared" si="1"/>
        <v>0</v>
      </c>
      <c r="J109" s="14"/>
      <c r="K109" s="28"/>
      <c r="L109" s="28"/>
      <c r="M109" s="28"/>
      <c r="N109" s="28"/>
    </row>
    <row r="110" ht="15.75" customHeight="1">
      <c r="A110" s="48"/>
      <c r="B110" s="48"/>
      <c r="C110" s="48"/>
      <c r="D110" s="49">
        <v>6.0</v>
      </c>
      <c r="E110" s="50" t="s">
        <v>70</v>
      </c>
      <c r="F110" s="39" t="s">
        <v>16</v>
      </c>
      <c r="G110" s="51"/>
      <c r="H110" s="52">
        <v>3100.0</v>
      </c>
      <c r="I110" s="53">
        <f t="shared" si="1"/>
        <v>0</v>
      </c>
      <c r="J110" s="54">
        <f>SUM(I110:I130)</f>
        <v>5300</v>
      </c>
      <c r="K110" s="28"/>
      <c r="L110" s="28"/>
      <c r="M110" s="28"/>
      <c r="N110" s="28"/>
    </row>
    <row r="111" ht="15.75" customHeight="1">
      <c r="A111" s="48"/>
      <c r="B111" s="48"/>
      <c r="C111" s="48"/>
      <c r="D111" s="56"/>
      <c r="E111" s="56"/>
      <c r="F111" s="39" t="s">
        <v>47</v>
      </c>
      <c r="G111" s="51"/>
      <c r="H111" s="57">
        <v>3000.0</v>
      </c>
      <c r="I111" s="53">
        <f t="shared" si="1"/>
        <v>0</v>
      </c>
      <c r="J111" s="56"/>
      <c r="K111" s="28"/>
      <c r="L111" s="28"/>
      <c r="M111" s="28"/>
      <c r="N111" s="28"/>
    </row>
    <row r="112" ht="15.75" customHeight="1">
      <c r="A112" s="48"/>
      <c r="B112" s="48"/>
      <c r="C112" s="48"/>
      <c r="D112" s="56"/>
      <c r="E112" s="56"/>
      <c r="F112" s="39" t="s">
        <v>49</v>
      </c>
      <c r="G112" s="51"/>
      <c r="H112" s="57">
        <v>800.0</v>
      </c>
      <c r="I112" s="53">
        <f t="shared" si="1"/>
        <v>0</v>
      </c>
      <c r="J112" s="56"/>
      <c r="K112" s="28"/>
      <c r="L112" s="28"/>
      <c r="M112" s="28"/>
      <c r="N112" s="28"/>
    </row>
    <row r="113" ht="15.75" customHeight="1">
      <c r="A113" s="48"/>
      <c r="B113" s="48"/>
      <c r="C113" s="48"/>
      <c r="D113" s="56"/>
      <c r="E113" s="56"/>
      <c r="F113" s="39" t="s">
        <v>19</v>
      </c>
      <c r="G113" s="51"/>
      <c r="H113" s="57">
        <v>2000.0</v>
      </c>
      <c r="I113" s="53">
        <f t="shared" si="1"/>
        <v>0</v>
      </c>
      <c r="J113" s="56"/>
      <c r="K113" s="28"/>
      <c r="L113" s="28"/>
      <c r="M113" s="28"/>
      <c r="N113" s="28"/>
    </row>
    <row r="114" ht="15.75" customHeight="1">
      <c r="A114" s="48"/>
      <c r="B114" s="48"/>
      <c r="C114" s="48"/>
      <c r="D114" s="56"/>
      <c r="E114" s="56"/>
      <c r="F114" s="39" t="s">
        <v>20</v>
      </c>
      <c r="G114" s="51"/>
      <c r="H114" s="57">
        <v>2800.0</v>
      </c>
      <c r="I114" s="53">
        <f t="shared" si="1"/>
        <v>0</v>
      </c>
      <c r="J114" s="56"/>
      <c r="K114" s="28"/>
      <c r="L114" s="28"/>
      <c r="M114" s="28"/>
      <c r="N114" s="28"/>
    </row>
    <row r="115" ht="15.75" customHeight="1">
      <c r="A115" s="48"/>
      <c r="B115" s="48"/>
      <c r="C115" s="48"/>
      <c r="D115" s="56"/>
      <c r="E115" s="56"/>
      <c r="F115" s="39" t="s">
        <v>50</v>
      </c>
      <c r="G115" s="51">
        <v>1.0</v>
      </c>
      <c r="H115" s="57">
        <v>800.0</v>
      </c>
      <c r="I115" s="53">
        <f t="shared" si="1"/>
        <v>800</v>
      </c>
      <c r="J115" s="56"/>
      <c r="K115" s="28"/>
      <c r="L115" s="28"/>
      <c r="M115" s="28"/>
      <c r="N115" s="28"/>
    </row>
    <row r="116" ht="15.75" customHeight="1">
      <c r="A116" s="48"/>
      <c r="B116" s="48"/>
      <c r="C116" s="48"/>
      <c r="D116" s="56"/>
      <c r="E116" s="56"/>
      <c r="F116" s="39" t="s">
        <v>22</v>
      </c>
      <c r="G116" s="51">
        <v>3.0</v>
      </c>
      <c r="H116" s="57">
        <v>1500.0</v>
      </c>
      <c r="I116" s="53">
        <f t="shared" si="1"/>
        <v>4500</v>
      </c>
      <c r="J116" s="56"/>
      <c r="K116" s="28"/>
      <c r="L116" s="28"/>
      <c r="M116" s="28"/>
      <c r="N116" s="28"/>
    </row>
    <row r="117" ht="15.75" customHeight="1">
      <c r="A117" s="48"/>
      <c r="B117" s="48"/>
      <c r="C117" s="48"/>
      <c r="D117" s="56"/>
      <c r="E117" s="56"/>
      <c r="F117" s="39" t="s">
        <v>23</v>
      </c>
      <c r="G117" s="51"/>
      <c r="H117" s="57">
        <v>1200.0</v>
      </c>
      <c r="I117" s="53">
        <f t="shared" si="1"/>
        <v>0</v>
      </c>
      <c r="J117" s="56"/>
      <c r="K117" s="28"/>
      <c r="L117" s="28"/>
      <c r="M117" s="28"/>
      <c r="N117" s="28"/>
    </row>
    <row r="118" ht="15.75" customHeight="1">
      <c r="A118" s="48"/>
      <c r="B118" s="48"/>
      <c r="C118" s="48"/>
      <c r="D118" s="56"/>
      <c r="E118" s="56"/>
      <c r="F118" s="39" t="s">
        <v>52</v>
      </c>
      <c r="G118" s="51"/>
      <c r="H118" s="57">
        <v>1000.0</v>
      </c>
      <c r="I118" s="53">
        <f t="shared" si="1"/>
        <v>0</v>
      </c>
      <c r="J118" s="56"/>
      <c r="K118" s="28"/>
      <c r="L118" s="28"/>
      <c r="M118" s="28"/>
      <c r="N118" s="28"/>
    </row>
    <row r="119" ht="15.75" customHeight="1">
      <c r="A119" s="48"/>
      <c r="B119" s="48"/>
      <c r="C119" s="48"/>
      <c r="D119" s="56"/>
      <c r="E119" s="56"/>
      <c r="F119" s="39" t="s">
        <v>25</v>
      </c>
      <c r="G119" s="51"/>
      <c r="H119" s="57">
        <v>500.0</v>
      </c>
      <c r="I119" s="53">
        <f t="shared" si="1"/>
        <v>0</v>
      </c>
      <c r="J119" s="56"/>
      <c r="K119" s="28"/>
      <c r="L119" s="28"/>
      <c r="M119" s="28"/>
      <c r="N119" s="28"/>
    </row>
    <row r="120" ht="15.75" customHeight="1">
      <c r="A120" s="48"/>
      <c r="B120" s="48"/>
      <c r="C120" s="48"/>
      <c r="D120" s="56"/>
      <c r="E120" s="56"/>
      <c r="F120" s="39" t="s">
        <v>26</v>
      </c>
      <c r="G120" s="51"/>
      <c r="H120" s="57">
        <v>6500.0</v>
      </c>
      <c r="I120" s="53">
        <f t="shared" si="1"/>
        <v>0</v>
      </c>
      <c r="J120" s="56"/>
      <c r="K120" s="28"/>
      <c r="L120" s="28"/>
      <c r="M120" s="28"/>
      <c r="N120" s="28"/>
    </row>
    <row r="121" ht="15.75" customHeight="1">
      <c r="A121" s="48"/>
      <c r="B121" s="48"/>
      <c r="C121" s="48"/>
      <c r="D121" s="56"/>
      <c r="E121" s="56"/>
      <c r="F121" s="39" t="s">
        <v>27</v>
      </c>
      <c r="G121" s="51"/>
      <c r="H121" s="57">
        <v>2000.0</v>
      </c>
      <c r="I121" s="53">
        <f t="shared" si="1"/>
        <v>0</v>
      </c>
      <c r="J121" s="56"/>
      <c r="K121" s="28"/>
      <c r="L121" s="28"/>
      <c r="M121" s="28"/>
      <c r="N121" s="28"/>
    </row>
    <row r="122" ht="15.75" customHeight="1">
      <c r="A122" s="48"/>
      <c r="B122" s="48"/>
      <c r="C122" s="48"/>
      <c r="D122" s="56"/>
      <c r="E122" s="56"/>
      <c r="F122" s="39" t="s">
        <v>28</v>
      </c>
      <c r="G122" s="51"/>
      <c r="H122" s="57">
        <v>1300.0</v>
      </c>
      <c r="I122" s="53">
        <f t="shared" si="1"/>
        <v>0</v>
      </c>
      <c r="J122" s="56"/>
      <c r="K122" s="28"/>
      <c r="L122" s="28"/>
      <c r="M122" s="28"/>
      <c r="N122" s="28"/>
    </row>
    <row r="123" ht="15.75" customHeight="1">
      <c r="A123" s="48"/>
      <c r="B123" s="48"/>
      <c r="C123" s="48"/>
      <c r="D123" s="56"/>
      <c r="E123" s="56"/>
      <c r="F123" s="39" t="s">
        <v>29</v>
      </c>
      <c r="G123" s="51"/>
      <c r="H123" s="57">
        <v>5000.0</v>
      </c>
      <c r="I123" s="53">
        <f t="shared" si="1"/>
        <v>0</v>
      </c>
      <c r="J123" s="56"/>
      <c r="K123" s="28"/>
      <c r="L123" s="28"/>
      <c r="M123" s="28"/>
      <c r="N123" s="28"/>
    </row>
    <row r="124" ht="15.75" customHeight="1">
      <c r="A124" s="48"/>
      <c r="B124" s="48"/>
      <c r="C124" s="48"/>
      <c r="D124" s="56"/>
      <c r="E124" s="56"/>
      <c r="F124" s="39" t="s">
        <v>30</v>
      </c>
      <c r="G124" s="51"/>
      <c r="H124" s="57">
        <v>2300.0</v>
      </c>
      <c r="I124" s="53">
        <f t="shared" si="1"/>
        <v>0</v>
      </c>
      <c r="J124" s="56"/>
      <c r="K124" s="28"/>
      <c r="L124" s="28"/>
      <c r="M124" s="28"/>
      <c r="N124" s="28"/>
    </row>
    <row r="125" ht="15.75" customHeight="1">
      <c r="A125" s="48"/>
      <c r="B125" s="48"/>
      <c r="C125" s="48"/>
      <c r="D125" s="56"/>
      <c r="E125" s="56"/>
      <c r="F125" s="39" t="s">
        <v>32</v>
      </c>
      <c r="G125" s="51"/>
      <c r="H125" s="57">
        <v>10000.0</v>
      </c>
      <c r="I125" s="53">
        <f t="shared" si="1"/>
        <v>0</v>
      </c>
      <c r="J125" s="56"/>
      <c r="K125" s="28"/>
      <c r="L125" s="28"/>
      <c r="M125" s="28"/>
      <c r="N125" s="28"/>
    </row>
    <row r="126" ht="15.75" customHeight="1">
      <c r="A126" s="48"/>
      <c r="B126" s="48"/>
      <c r="C126" s="48"/>
      <c r="D126" s="56"/>
      <c r="E126" s="56"/>
      <c r="F126" s="39" t="s">
        <v>53</v>
      </c>
      <c r="G126" s="51"/>
      <c r="H126" s="57">
        <v>300.0</v>
      </c>
      <c r="I126" s="53">
        <f t="shared" si="1"/>
        <v>0</v>
      </c>
      <c r="J126" s="56"/>
      <c r="K126" s="28"/>
      <c r="L126" s="28"/>
      <c r="M126" s="28"/>
      <c r="N126" s="28"/>
    </row>
    <row r="127" ht="15.75" customHeight="1">
      <c r="A127" s="48"/>
      <c r="B127" s="48"/>
      <c r="C127" s="48"/>
      <c r="D127" s="56"/>
      <c r="E127" s="56"/>
      <c r="F127" s="39" t="s">
        <v>12</v>
      </c>
      <c r="G127" s="51"/>
      <c r="H127" s="57">
        <v>300.0</v>
      </c>
      <c r="I127" s="53">
        <f t="shared" si="1"/>
        <v>0</v>
      </c>
      <c r="J127" s="56"/>
      <c r="K127" s="28"/>
      <c r="L127" s="28"/>
      <c r="M127" s="28"/>
      <c r="N127" s="28"/>
    </row>
    <row r="128" ht="15.75" customHeight="1">
      <c r="A128" s="48"/>
      <c r="B128" s="48"/>
      <c r="C128" s="48"/>
      <c r="D128" s="56"/>
      <c r="E128" s="56"/>
      <c r="F128" s="39" t="s">
        <v>9</v>
      </c>
      <c r="G128" s="51"/>
      <c r="H128" s="57">
        <v>1700.0</v>
      </c>
      <c r="I128" s="53">
        <f t="shared" si="1"/>
        <v>0</v>
      </c>
      <c r="J128" s="56"/>
      <c r="K128" s="28"/>
      <c r="L128" s="28"/>
      <c r="M128" s="28"/>
      <c r="N128" s="28"/>
    </row>
    <row r="129" ht="15.75" customHeight="1">
      <c r="A129" s="48"/>
      <c r="B129" s="48"/>
      <c r="C129" s="48"/>
      <c r="D129" s="56"/>
      <c r="E129" s="56"/>
      <c r="F129" s="39" t="s">
        <v>14</v>
      </c>
      <c r="G129" s="51"/>
      <c r="H129" s="57">
        <v>4000.0</v>
      </c>
      <c r="I129" s="53">
        <f t="shared" si="1"/>
        <v>0</v>
      </c>
      <c r="J129" s="56"/>
      <c r="K129" s="28"/>
      <c r="L129" s="28"/>
      <c r="M129" s="28"/>
      <c r="N129" s="28"/>
    </row>
    <row r="130" ht="15.75" customHeight="1">
      <c r="A130" s="48"/>
      <c r="B130" s="48"/>
      <c r="C130" s="48"/>
      <c r="D130" s="14"/>
      <c r="E130" s="14"/>
      <c r="F130" s="39" t="s">
        <v>54</v>
      </c>
      <c r="G130" s="51"/>
      <c r="H130" s="57">
        <v>500.0</v>
      </c>
      <c r="I130" s="53">
        <f t="shared" si="1"/>
        <v>0</v>
      </c>
      <c r="J130" s="14"/>
      <c r="K130" s="28"/>
      <c r="L130" s="28"/>
      <c r="M130" s="28"/>
      <c r="N130" s="28"/>
    </row>
    <row r="131" ht="15.75" customHeight="1">
      <c r="A131" s="48"/>
      <c r="B131" s="48"/>
      <c r="C131" s="48"/>
      <c r="D131" s="64" t="s">
        <v>60</v>
      </c>
      <c r="E131" s="4"/>
      <c r="F131" s="4"/>
      <c r="G131" s="4"/>
      <c r="H131" s="4"/>
      <c r="I131" s="5"/>
      <c r="J131" s="65">
        <f>SUM(J5:J130)</f>
        <v>105900</v>
      </c>
      <c r="K131" s="28"/>
      <c r="L131" s="28"/>
      <c r="M131" s="28"/>
      <c r="N131" s="28"/>
    </row>
    <row r="132" ht="15.75" customHeight="1">
      <c r="A132" s="27"/>
      <c r="B132" s="27"/>
      <c r="C132" s="27"/>
      <c r="D132" s="27"/>
      <c r="E132" s="27"/>
      <c r="F132" s="28"/>
      <c r="G132" s="28"/>
      <c r="H132" s="28"/>
      <c r="I132" s="28"/>
      <c r="J132" s="29"/>
      <c r="K132" s="28"/>
      <c r="L132" s="28"/>
      <c r="M132" s="28"/>
      <c r="N132" s="28"/>
    </row>
    <row r="133" ht="15.75" customHeight="1">
      <c r="A133" s="27"/>
      <c r="B133" s="27"/>
      <c r="C133" s="27"/>
      <c r="D133" s="27"/>
      <c r="E133" s="27"/>
      <c r="F133" s="28"/>
      <c r="G133" s="28"/>
      <c r="H133" s="28"/>
      <c r="I133" s="28"/>
      <c r="J133" s="29"/>
      <c r="K133" s="28"/>
      <c r="L133" s="28"/>
      <c r="M133" s="28"/>
      <c r="N133" s="28"/>
    </row>
    <row r="134" ht="15.75" customHeight="1">
      <c r="A134" s="27"/>
      <c r="B134" s="27"/>
      <c r="C134" s="27"/>
      <c r="D134" s="27"/>
      <c r="E134" s="27"/>
      <c r="F134" s="28"/>
      <c r="G134" s="28"/>
      <c r="H134" s="28"/>
      <c r="I134" s="28"/>
      <c r="J134" s="29"/>
      <c r="K134" s="28"/>
      <c r="L134" s="28"/>
      <c r="M134" s="28"/>
      <c r="N134" s="28"/>
    </row>
    <row r="135" ht="15.75" customHeight="1">
      <c r="A135" s="27"/>
      <c r="B135" s="27"/>
      <c r="C135" s="27"/>
      <c r="D135" s="27"/>
      <c r="E135" s="27"/>
      <c r="F135" s="28"/>
      <c r="G135" s="28"/>
      <c r="H135" s="28"/>
      <c r="I135" s="28"/>
      <c r="J135" s="29"/>
      <c r="K135" s="28"/>
      <c r="L135" s="28"/>
      <c r="M135" s="28"/>
      <c r="N135" s="28"/>
    </row>
    <row r="136" ht="15.75" customHeight="1">
      <c r="A136" s="27"/>
      <c r="B136" s="27"/>
      <c r="C136" s="27"/>
      <c r="D136" s="27"/>
      <c r="E136" s="27"/>
      <c r="F136" s="28"/>
      <c r="G136" s="28"/>
      <c r="H136" s="28"/>
      <c r="I136" s="28"/>
      <c r="J136" s="29"/>
      <c r="K136" s="28"/>
      <c r="L136" s="28"/>
      <c r="M136" s="28"/>
      <c r="N136" s="28"/>
    </row>
    <row r="137" ht="15.75" customHeight="1">
      <c r="A137" s="27"/>
      <c r="B137" s="27"/>
      <c r="C137" s="27"/>
      <c r="D137" s="27"/>
      <c r="E137" s="27"/>
      <c r="F137" s="28"/>
      <c r="G137" s="28"/>
      <c r="H137" s="28"/>
      <c r="I137" s="28"/>
      <c r="J137" s="29"/>
      <c r="K137" s="28"/>
      <c r="L137" s="28"/>
      <c r="M137" s="28"/>
      <c r="N137" s="28"/>
    </row>
    <row r="138" ht="15.75" customHeight="1">
      <c r="A138" s="27"/>
      <c r="B138" s="27"/>
      <c r="C138" s="27"/>
      <c r="D138" s="27"/>
      <c r="E138" s="27"/>
      <c r="F138" s="28"/>
      <c r="G138" s="28"/>
      <c r="H138" s="28"/>
      <c r="I138" s="28"/>
      <c r="J138" s="29"/>
      <c r="K138" s="28"/>
      <c r="L138" s="28"/>
      <c r="M138" s="28"/>
      <c r="N138" s="28"/>
    </row>
    <row r="139" ht="15.75" customHeight="1">
      <c r="A139" s="27"/>
      <c r="B139" s="27"/>
      <c r="C139" s="27"/>
      <c r="D139" s="27"/>
      <c r="E139" s="27"/>
      <c r="F139" s="28"/>
      <c r="G139" s="28"/>
      <c r="H139" s="28"/>
      <c r="I139" s="28"/>
      <c r="J139" s="29"/>
      <c r="K139" s="28"/>
      <c r="L139" s="28"/>
      <c r="M139" s="28"/>
      <c r="N139" s="28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A265" s="27"/>
      <c r="B265" s="27"/>
      <c r="C265" s="27"/>
      <c r="D265" s="27"/>
      <c r="E265" s="27"/>
      <c r="J265" s="29"/>
    </row>
    <row r="266" ht="15.75" customHeight="1">
      <c r="A266" s="27"/>
      <c r="B266" s="27"/>
      <c r="C266" s="27"/>
      <c r="D266" s="27"/>
      <c r="E266" s="27"/>
      <c r="J266" s="29"/>
    </row>
    <row r="267" ht="15.75" customHeight="1">
      <c r="A267" s="27"/>
      <c r="B267" s="27"/>
      <c r="C267" s="27"/>
      <c r="D267" s="27"/>
      <c r="E267" s="27"/>
      <c r="J267" s="29"/>
    </row>
    <row r="268" ht="15.75" customHeight="1">
      <c r="A268" s="27"/>
      <c r="B268" s="27"/>
      <c r="C268" s="27"/>
      <c r="D268" s="27"/>
      <c r="E268" s="27"/>
      <c r="J268" s="29"/>
    </row>
    <row r="269" ht="15.75" customHeight="1">
      <c r="A269" s="27"/>
      <c r="B269" s="27"/>
      <c r="C269" s="27"/>
      <c r="D269" s="27"/>
      <c r="E269" s="27"/>
      <c r="J269" s="29"/>
    </row>
    <row r="270" ht="15.75" customHeight="1">
      <c r="A270" s="27"/>
      <c r="B270" s="27"/>
      <c r="C270" s="27"/>
      <c r="D270" s="27"/>
      <c r="E270" s="27"/>
      <c r="J270" s="29"/>
    </row>
    <row r="271" ht="15.75" customHeight="1">
      <c r="A271" s="27"/>
      <c r="B271" s="27"/>
      <c r="C271" s="27"/>
      <c r="D271" s="27"/>
      <c r="E271" s="27"/>
      <c r="J271" s="29"/>
    </row>
    <row r="272" ht="15.75" customHeight="1">
      <c r="A272" s="27"/>
      <c r="B272" s="27"/>
      <c r="C272" s="27"/>
      <c r="D272" s="27"/>
      <c r="E272" s="27"/>
      <c r="J272" s="29"/>
    </row>
    <row r="273" ht="15.75" customHeight="1">
      <c r="A273" s="27"/>
      <c r="B273" s="27"/>
      <c r="C273" s="27"/>
      <c r="D273" s="27"/>
      <c r="E273" s="27"/>
      <c r="J273" s="29"/>
    </row>
    <row r="274" ht="15.75" customHeight="1">
      <c r="A274" s="27"/>
      <c r="B274" s="27"/>
      <c r="C274" s="27"/>
      <c r="D274" s="27"/>
      <c r="E274" s="27"/>
      <c r="J274" s="29"/>
    </row>
    <row r="275" ht="15.75" customHeight="1">
      <c r="A275" s="27"/>
      <c r="B275" s="27"/>
      <c r="C275" s="27"/>
      <c r="D275" s="27"/>
      <c r="E275" s="27"/>
      <c r="J275" s="29"/>
    </row>
    <row r="276" ht="15.75" customHeight="1">
      <c r="A276" s="27"/>
      <c r="B276" s="27"/>
      <c r="C276" s="27"/>
      <c r="D276" s="27"/>
      <c r="E276" s="27"/>
      <c r="J276" s="29"/>
    </row>
    <row r="277" ht="15.75" customHeight="1">
      <c r="A277" s="27"/>
      <c r="B277" s="27"/>
      <c r="C277" s="27"/>
      <c r="D277" s="27"/>
      <c r="E277" s="27"/>
      <c r="J277" s="29"/>
    </row>
    <row r="278" ht="15.75" customHeight="1">
      <c r="A278" s="27"/>
      <c r="B278" s="27"/>
      <c r="C278" s="27"/>
      <c r="D278" s="27"/>
      <c r="E278" s="27"/>
      <c r="J278" s="29"/>
    </row>
    <row r="279" ht="15.75" customHeight="1">
      <c r="A279" s="27"/>
      <c r="B279" s="27"/>
      <c r="C279" s="27"/>
      <c r="D279" s="27"/>
      <c r="E279" s="27"/>
      <c r="J279" s="29"/>
    </row>
    <row r="280" ht="15.75" customHeight="1">
      <c r="A280" s="27"/>
      <c r="B280" s="27"/>
      <c r="C280" s="27"/>
      <c r="D280" s="27"/>
      <c r="E280" s="27"/>
      <c r="J280" s="29"/>
    </row>
    <row r="281" ht="15.75" customHeight="1">
      <c r="A281" s="27"/>
      <c r="B281" s="27"/>
      <c r="C281" s="27"/>
      <c r="D281" s="27"/>
      <c r="E281" s="27"/>
      <c r="J281" s="29"/>
    </row>
    <row r="282" ht="15.75" customHeight="1">
      <c r="A282" s="27"/>
      <c r="B282" s="27"/>
      <c r="C282" s="27"/>
      <c r="D282" s="27"/>
      <c r="E282" s="27"/>
      <c r="J282" s="29"/>
    </row>
    <row r="283" ht="15.75" customHeight="1">
      <c r="J283" s="29"/>
    </row>
    <row r="284" ht="15.75" customHeight="1">
      <c r="J284" s="29"/>
    </row>
    <row r="285" ht="15.75" customHeight="1">
      <c r="J285" s="2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</sheetData>
  <mergeCells count="22">
    <mergeCell ref="J5:J25"/>
    <mergeCell ref="J26:J46"/>
    <mergeCell ref="J47:J67"/>
    <mergeCell ref="J68:J88"/>
    <mergeCell ref="J89:J109"/>
    <mergeCell ref="J110:J130"/>
    <mergeCell ref="A2:B2"/>
    <mergeCell ref="D2:J2"/>
    <mergeCell ref="L2:M3"/>
    <mergeCell ref="D5:D25"/>
    <mergeCell ref="E5:E25"/>
    <mergeCell ref="D26:D46"/>
    <mergeCell ref="E26:E46"/>
    <mergeCell ref="E110:E130"/>
    <mergeCell ref="D131:I131"/>
    <mergeCell ref="D47:D67"/>
    <mergeCell ref="E47:E67"/>
    <mergeCell ref="D68:D88"/>
    <mergeCell ref="E68:E88"/>
    <mergeCell ref="D89:D109"/>
    <mergeCell ref="E89:E109"/>
    <mergeCell ref="D110:D1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