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Tanjung Tum" sheetId="2" r:id="rId5"/>
    <sheet state="visible" name="Kepuh " sheetId="3" r:id="rId6"/>
    <sheet state="visible" name="Paku Anyer" sheetId="4" r:id="rId7"/>
    <sheet state="visible" name="Pakojan " sheetId="5" r:id="rId8"/>
    <sheet state="visible" name="Cempaka" sheetId="6" r:id="rId9"/>
    <sheet state="visible" name="Anyer RT 4" sheetId="7" r:id="rId10"/>
    <sheet state="visible" name="Anyer RT 3" sheetId="8" r:id="rId11"/>
    <sheet state="visible" name="Anyer RT2" sheetId="9" r:id="rId12"/>
    <sheet state="visible" name="Anyer RT 1 " sheetId="10" r:id="rId13"/>
  </sheets>
  <definedNames/>
  <calcPr/>
  <extLst>
    <ext uri="GoogleSheetsCustomDataVersion1">
      <go:sheetsCustomData xmlns:go="http://customooxmlschemas.google.com/" r:id="rId14" roundtripDataSignature="AMtx7mgmiJWbwJ38JytYqi7sxflNPpN5mg=="/>
    </ext>
  </extLst>
</workbook>
</file>

<file path=xl/sharedStrings.xml><?xml version="1.0" encoding="utf-8"?>
<sst xmlns="http://schemas.openxmlformats.org/spreadsheetml/2006/main" count="1844" uniqueCount="102">
  <si>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</si>
  <si>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</si>
  <si>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</si>
  <si>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</si>
  <si>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</si>
  <si>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</si>
  <si>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</si>
  <si>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</si>
  <si>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</si>
  <si>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</si>
  <si>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</si>
  <si>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</si>
  <si>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</si>
  <si>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</si>
  <si>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</si>
  <si>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Tanjung Tum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</si>
  <si>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</si>
  <si>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</si>
  <si>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</si>
  <si>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</si>
  <si>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</si>
  <si>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</si>
  <si>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</si>
  <si>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</si>
  <si>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</si>
  <si>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</si>
  <si>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</si>
  <si>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</si>
  <si>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</si>
  <si>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</si>
  <si>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</si>
  <si>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</si>
  <si>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</si>
  <si>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</si>
  <si>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</si>
  <si>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</si>
  <si>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</si>
  <si>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</si>
  <si>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</si>
  <si>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</si>
  <si>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</si>
  <si>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</si>
  <si>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</si>
  <si>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</si>
  <si>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</si>
  <si>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DAFTAR HARGA</t>
  </si>
  <si>
    <t>Data Penimbangan Bulan  2022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</si>
  <si>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</si>
  <si>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</si>
  <si>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</si>
  <si>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</si>
  <si>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</si>
  <si>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</si>
  <si>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</si>
  <si>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</si>
  <si>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</si>
  <si>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</si>
  <si>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</si>
  <si>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Botol warna</t>
  </si>
  <si>
    <t>Lainnya</t>
  </si>
  <si>
    <t>Total Transaksi</t>
  </si>
  <si>
    <t>Nurul Komariyah</t>
  </si>
  <si>
    <t>Samiyah</t>
  </si>
  <si>
    <t>Suparyati</t>
  </si>
  <si>
    <t>Desi Felayati</t>
  </si>
  <si>
    <t>Nuraeni</t>
  </si>
  <si>
    <t>Haryanti</t>
  </si>
  <si>
    <t>Sanati</t>
  </si>
  <si>
    <t>Marwiyah</t>
  </si>
  <si>
    <t>Nia Aryana</t>
  </si>
  <si>
    <t>Suanah</t>
  </si>
  <si>
    <t>Aulia Ulfah</t>
  </si>
  <si>
    <t xml:space="preserve">Hadijah </t>
  </si>
  <si>
    <t>Nafiatul Baetiyah</t>
  </si>
  <si>
    <t>Ratu Ulfi</t>
  </si>
  <si>
    <t>Sofiah</t>
  </si>
  <si>
    <t xml:space="preserve">Linda Wati </t>
  </si>
  <si>
    <t>Tini</t>
  </si>
  <si>
    <t>E. Juhaesih</t>
  </si>
  <si>
    <t>hj suyati</t>
  </si>
  <si>
    <t xml:space="preserve">Masunah </t>
  </si>
  <si>
    <t>Sali Salibah</t>
  </si>
  <si>
    <t>udhiyah</t>
  </si>
  <si>
    <t>Nunung</t>
  </si>
  <si>
    <t>Kodiyah</t>
  </si>
  <si>
    <t>subandiah</t>
  </si>
  <si>
    <t>Nurul musfiroh</t>
  </si>
  <si>
    <t>tuftiah</t>
  </si>
  <si>
    <t>Adawiyah</t>
  </si>
  <si>
    <t>mulyanah</t>
  </si>
  <si>
    <t xml:space="preserve">Eti Daryanti </t>
  </si>
  <si>
    <t>masroh</t>
  </si>
  <si>
    <t>Hikmaturohman</t>
  </si>
  <si>
    <t>sutilah</t>
  </si>
  <si>
    <t xml:space="preserve">Mutmainah </t>
  </si>
  <si>
    <t>Masnuah</t>
  </si>
  <si>
    <t>Asmawati</t>
  </si>
  <si>
    <t>TOTAL TRANSAKSI</t>
  </si>
  <si>
    <t xml:space="preserve">Juleha </t>
  </si>
  <si>
    <t xml:space="preserve">Aminah </t>
  </si>
  <si>
    <t xml:space="preserve">Dede </t>
  </si>
  <si>
    <t xml:space="preserve">Siti Ropiah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</si>
</sst>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b/>
      <sz val="12.0"/>
      <color theme="1"/>
      <name val="Arial"/>
    </font>
    <font>
      <sz val="11.0"/>
      <color theme="1"/>
      <name val="&quot;Times New Roman&quot;"/>
    </font>
    <font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3" fillId="0" fontId="5" numFmtId="0" xfId="0" applyBorder="1" applyFont="1"/>
    <xf borderId="2" fillId="0" fontId="5" numFmtId="0" xfId="0" applyBorder="1" applyFont="1"/>
    <xf borderId="2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2" fontId="6" numFmtId="0" xfId="0" applyAlignment="1" applyBorder="1" applyFill="1" applyFont="1">
      <alignment horizontal="center" shrinkToFit="0" vertical="bottom" wrapText="1"/>
    </xf>
    <xf borderId="6" fillId="2" fontId="6" numFmtId="0" xfId="0" applyAlignment="1" applyBorder="1" applyFont="1">
      <alignment horizontal="center" shrinkToFit="0" vertical="bottom" wrapText="1"/>
    </xf>
    <xf borderId="4" fillId="2" fontId="6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7" fillId="0" fontId="5" numFmtId="0" xfId="0" applyBorder="1" applyFont="1"/>
    <xf borderId="7" fillId="2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bottom"/>
    </xf>
    <xf borderId="8" fillId="0" fontId="5" numFmtId="0" xfId="0" applyBorder="1" applyFont="1"/>
    <xf borderId="7" fillId="2" fontId="6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7" fillId="0" fontId="8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vertical="bottom"/>
    </xf>
    <xf borderId="7" fillId="3" fontId="2" numFmtId="0" xfId="0" applyAlignment="1" applyBorder="1" applyFill="1" applyFont="1">
      <alignment horizontal="center" readingOrder="0" vertical="center"/>
    </xf>
    <xf borderId="7" fillId="3" fontId="6" numFmtId="0" xfId="0" applyAlignment="1" applyBorder="1" applyFont="1">
      <alignment horizontal="center" shrinkToFit="0" vertical="bottom" wrapText="1"/>
    </xf>
    <xf borderId="7" fillId="0" fontId="8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0" fontId="9" numFmtId="0" xfId="0" applyAlignment="1" applyFont="1">
      <alignment vertical="center"/>
    </xf>
    <xf borderId="0" fillId="0" fontId="9" numFmtId="0" xfId="0" applyFont="1"/>
    <xf borderId="0" fillId="0" fontId="9" numFmtId="3" xfId="0" applyFont="1" applyNumberFormat="1"/>
    <xf borderId="9" fillId="4" fontId="7" numFmtId="0" xfId="0" applyAlignment="1" applyBorder="1" applyFill="1" applyFont="1">
      <alignment horizontal="center"/>
    </xf>
    <xf borderId="10" fillId="0" fontId="5" numFmtId="0" xfId="0" applyBorder="1" applyFont="1"/>
    <xf borderId="0" fillId="0" fontId="7" numFmtId="0" xfId="0" applyAlignment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12" fillId="0" fontId="5" numFmtId="0" xfId="0" applyBorder="1" applyFont="1"/>
    <xf borderId="1" fillId="4" fontId="7" numFmtId="0" xfId="0" applyAlignment="1" applyBorder="1" applyFont="1">
      <alignment horizontal="center"/>
    </xf>
    <xf borderId="1" fillId="4" fontId="7" numFmtId="3" xfId="0" applyAlignment="1" applyBorder="1" applyFont="1" applyNumberFormat="1">
      <alignment horizontal="center"/>
    </xf>
    <xf borderId="0" fillId="0" fontId="9" numFmtId="3" xfId="0" applyAlignment="1" applyFont="1" applyNumberFormat="1">
      <alignment vertical="center"/>
    </xf>
    <xf borderId="13" fillId="0" fontId="5" numFmtId="0" xfId="0" applyBorder="1" applyFont="1"/>
    <xf borderId="1" fillId="5" fontId="11" numFmtId="0" xfId="0" applyBorder="1" applyFill="1" applyFont="1"/>
    <xf borderId="1" fillId="6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4" fillId="0" fontId="9" numFmtId="164" xfId="0" applyAlignment="1" applyBorder="1" applyFont="1" applyNumberFormat="1">
      <alignment horizontal="center" vertical="center"/>
    </xf>
    <xf borderId="1" fillId="0" fontId="14" numFmtId="0" xfId="0" applyBorder="1" applyFont="1"/>
    <xf borderId="1" fillId="0" fontId="9" numFmtId="0" xfId="0" applyAlignment="1" applyBorder="1" applyFont="1">
      <alignment horizontal="center"/>
    </xf>
    <xf borderId="0" fillId="0" fontId="9" numFmtId="3" xfId="0" applyAlignment="1" applyFont="1" applyNumberFormat="1">
      <alignment horizontal="center"/>
    </xf>
    <xf borderId="1" fillId="0" fontId="14" numFmtId="0" xfId="0" applyAlignment="1" applyBorder="1" applyFont="1">
      <alignment horizontal="center"/>
    </xf>
    <xf borderId="14" fillId="0" fontId="15" numFmtId="3" xfId="0" applyAlignment="1" applyBorder="1" applyFont="1" applyNumberFormat="1">
      <alignment horizontal="center" vertical="center"/>
    </xf>
    <xf borderId="5" fillId="0" fontId="5" numFmtId="0" xfId="0" applyBorder="1" applyFont="1"/>
    <xf borderId="1" fillId="0" fontId="9" numFmtId="3" xfId="0" applyAlignment="1" applyBorder="1" applyFont="1" applyNumberFormat="1">
      <alignment horizontal="center"/>
    </xf>
    <xf borderId="1" fillId="6" fontId="16" numFmtId="3" xfId="0" applyAlignment="1" applyBorder="1" applyFont="1" applyNumberFormat="1">
      <alignment horizontal="center"/>
    </xf>
    <xf borderId="15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4" fillId="0" fontId="14" numFmtId="0" xfId="0" applyBorder="1" applyFont="1"/>
    <xf borderId="14" fillId="0" fontId="9" numFmtId="0" xfId="0" applyAlignment="1" applyBorder="1" applyFont="1">
      <alignment horizontal="center"/>
    </xf>
    <xf borderId="14" fillId="0" fontId="9" numFmtId="3" xfId="0" applyAlignment="1" applyBorder="1" applyFont="1" applyNumberFormat="1">
      <alignment horizontal="center"/>
    </xf>
    <xf borderId="15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1" fillId="0" fontId="9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6.38"/>
    <col customWidth="1" min="2" max="2" width="18.38"/>
  </cols>
  <sheetData>
    <row r="1">
      <c r="F1" s="1"/>
      <c r="L1" s="2"/>
    </row>
    <row r="2">
      <c r="A2" s="3"/>
      <c r="B2" s="4"/>
      <c r="C2" s="5" t="s">
        <v>0</v>
      </c>
      <c r="D2" s="6"/>
      <c r="E2" s="6"/>
      <c r="F2" s="6"/>
      <c r="G2" s="6"/>
      <c r="H2" s="6"/>
      <c r="I2" s="6"/>
      <c r="J2" s="6"/>
      <c r="K2" s="7"/>
      <c r="L2" s="8"/>
      <c r="M2" s="4"/>
      <c r="N2" s="9"/>
      <c r="O2" s="10"/>
      <c r="P2" s="10"/>
      <c r="Q2" s="10"/>
      <c r="R2" s="10"/>
      <c r="S2" s="10"/>
      <c r="T2" s="10"/>
    </row>
    <row r="3">
      <c r="A3" s="11" t="s">
        <v>1</v>
      </c>
      <c r="B3" s="12" t="s">
        <v>2</v>
      </c>
      <c r="C3" s="13" t="s">
        <v>3</v>
      </c>
      <c r="D3" s="14"/>
      <c r="E3" s="14"/>
      <c r="F3" s="14"/>
      <c r="G3" s="14"/>
      <c r="H3" s="14"/>
      <c r="I3" s="14"/>
      <c r="J3" s="14"/>
      <c r="K3" s="15"/>
      <c r="L3" s="16"/>
      <c r="M3" s="12" t="s">
        <v>4</v>
      </c>
      <c r="N3" s="17"/>
      <c r="O3" s="13" t="s">
        <v>5</v>
      </c>
      <c r="P3" s="14"/>
      <c r="Q3" s="14"/>
      <c r="R3" s="14"/>
      <c r="S3" s="14"/>
      <c r="T3" s="15"/>
    </row>
    <row r="4">
      <c r="A4" s="18"/>
      <c r="B4" s="15"/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19" t="s">
        <v>13</v>
      </c>
      <c r="K4" s="19" t="s">
        <v>14</v>
      </c>
      <c r="L4" s="16" t="s">
        <v>15</v>
      </c>
      <c r="M4" s="15"/>
      <c r="N4" s="17"/>
      <c r="O4" s="20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20" t="s">
        <v>21</v>
      </c>
    </row>
    <row r="5">
      <c r="A5" s="21">
        <v>1.0</v>
      </c>
      <c r="B5" s="22" t="s">
        <v>22</v>
      </c>
      <c r="C5" s="23">
        <v>2.0</v>
      </c>
      <c r="D5" s="24">
        <v>3.0</v>
      </c>
      <c r="E5" s="23">
        <v>0.5</v>
      </c>
      <c r="F5" s="25">
        <v>0.0</v>
      </c>
      <c r="G5" s="26"/>
      <c r="H5" s="23">
        <v>2.0</v>
      </c>
      <c r="I5" s="23">
        <v>0.75</v>
      </c>
      <c r="J5" s="23">
        <v>1.0</v>
      </c>
      <c r="K5" s="23">
        <v>0.0</v>
      </c>
      <c r="L5" s="27">
        <v>7.5</v>
      </c>
      <c r="M5" s="28">
        <f t="shared" ref="M5:M31" si="1">sum(C5:L5)</f>
        <v>16.75</v>
      </c>
      <c r="N5" s="17"/>
      <c r="O5" s="29">
        <f>M5+M6+M7+M8+M9+M10+M11+M24+M25+M26</f>
        <v>295.5</v>
      </c>
      <c r="P5" s="29">
        <f>M12+M13+M14+M15</f>
        <v>168</v>
      </c>
      <c r="Q5" s="29">
        <f>M27+M28</f>
        <v>127</v>
      </c>
      <c r="R5" s="29">
        <f>M16+M17+M18+M19+M20+M21+M29</f>
        <v>40</v>
      </c>
      <c r="S5" s="29">
        <f>M30</f>
        <v>3.5</v>
      </c>
      <c r="T5" s="29">
        <f>M31</f>
        <v>82</v>
      </c>
    </row>
    <row r="6">
      <c r="A6" s="21">
        <v>2.0</v>
      </c>
      <c r="B6" s="22" t="s">
        <v>23</v>
      </c>
      <c r="C6" s="23">
        <v>6.0</v>
      </c>
      <c r="D6" s="24">
        <v>0.0</v>
      </c>
      <c r="E6" s="23">
        <v>1.5</v>
      </c>
      <c r="F6" s="25">
        <v>1.5</v>
      </c>
      <c r="G6" s="26"/>
      <c r="H6" s="23">
        <v>6.0</v>
      </c>
      <c r="I6" s="23">
        <v>3.5</v>
      </c>
      <c r="J6" s="23">
        <v>11.5</v>
      </c>
      <c r="K6" s="23">
        <v>2.0</v>
      </c>
      <c r="L6" s="27">
        <v>78.5</v>
      </c>
      <c r="M6" s="28">
        <f t="shared" si="1"/>
        <v>110.5</v>
      </c>
      <c r="N6" s="9"/>
      <c r="O6" s="9"/>
      <c r="P6" s="9"/>
      <c r="Q6" s="9"/>
      <c r="R6" s="9"/>
      <c r="S6" s="9"/>
      <c r="T6" s="9"/>
    </row>
    <row r="7">
      <c r="A7" s="21">
        <v>3.0</v>
      </c>
      <c r="B7" s="22" t="s">
        <v>24</v>
      </c>
      <c r="C7" s="23">
        <v>0.0</v>
      </c>
      <c r="D7" s="24">
        <v>0.0</v>
      </c>
      <c r="E7" s="23">
        <v>0.0</v>
      </c>
      <c r="F7" s="25">
        <v>0.0</v>
      </c>
      <c r="G7" s="26"/>
      <c r="H7" s="23">
        <v>0.0</v>
      </c>
      <c r="I7" s="23">
        <v>0.0</v>
      </c>
      <c r="J7" s="23">
        <v>0.0</v>
      </c>
      <c r="K7" s="23">
        <v>0.0</v>
      </c>
      <c r="L7" s="27">
        <v>0.0</v>
      </c>
      <c r="M7" s="28">
        <f t="shared" si="1"/>
        <v>0</v>
      </c>
      <c r="N7" s="9"/>
      <c r="O7" s="9"/>
      <c r="P7" s="9"/>
      <c r="Q7" s="9"/>
      <c r="R7" s="9"/>
      <c r="S7" s="9"/>
      <c r="T7" s="9"/>
    </row>
    <row r="8">
      <c r="A8" s="21">
        <v>4.0</v>
      </c>
      <c r="B8" s="22" t="s">
        <v>25</v>
      </c>
      <c r="C8" s="23">
        <v>0.0</v>
      </c>
      <c r="D8" s="24">
        <v>0.0</v>
      </c>
      <c r="E8" s="23">
        <v>0.0</v>
      </c>
      <c r="F8" s="25">
        <v>0.5</v>
      </c>
      <c r="G8" s="26"/>
      <c r="H8" s="23">
        <v>2.5</v>
      </c>
      <c r="I8" s="23">
        <v>0.0</v>
      </c>
      <c r="J8" s="23">
        <v>0.0</v>
      </c>
      <c r="K8" s="23">
        <v>0.5</v>
      </c>
      <c r="L8" s="27">
        <v>7.0</v>
      </c>
      <c r="M8" s="28">
        <f t="shared" si="1"/>
        <v>10.5</v>
      </c>
      <c r="N8" s="9"/>
      <c r="O8" s="9"/>
      <c r="P8" s="9"/>
      <c r="Q8" s="9"/>
      <c r="R8" s="9"/>
      <c r="S8" s="9"/>
      <c r="T8" s="9"/>
    </row>
    <row r="9">
      <c r="A9" s="21">
        <v>5.0</v>
      </c>
      <c r="B9" s="22" t="s">
        <v>26</v>
      </c>
      <c r="C9" s="23">
        <v>1.0</v>
      </c>
      <c r="D9" s="24">
        <v>0.0</v>
      </c>
      <c r="E9" s="23">
        <v>0.0</v>
      </c>
      <c r="F9" s="25">
        <v>0.5</v>
      </c>
      <c r="G9" s="26"/>
      <c r="H9" s="23">
        <v>3.0</v>
      </c>
      <c r="I9" s="23">
        <v>0.5</v>
      </c>
      <c r="J9" s="23">
        <v>0.0</v>
      </c>
      <c r="K9" s="23">
        <v>0.0</v>
      </c>
      <c r="L9" s="27">
        <v>0.0</v>
      </c>
      <c r="M9" s="28">
        <f t="shared" si="1"/>
        <v>5</v>
      </c>
      <c r="N9" s="9"/>
      <c r="O9" s="30"/>
      <c r="P9" s="9"/>
      <c r="Q9" s="9"/>
      <c r="R9" s="9"/>
      <c r="S9" s="9"/>
      <c r="T9" s="31"/>
    </row>
    <row r="10">
      <c r="A10" s="21">
        <v>6.0</v>
      </c>
      <c r="B10" s="22" t="s">
        <v>27</v>
      </c>
      <c r="C10" s="23">
        <v>16.0</v>
      </c>
      <c r="D10" s="24">
        <v>0.0</v>
      </c>
      <c r="E10" s="23">
        <v>5.0</v>
      </c>
      <c r="F10" s="25">
        <v>3.0</v>
      </c>
      <c r="G10" s="26"/>
      <c r="H10" s="23">
        <v>17.0</v>
      </c>
      <c r="I10" s="23">
        <v>25.0</v>
      </c>
      <c r="J10" s="23">
        <v>7.0</v>
      </c>
      <c r="K10" s="23">
        <v>0.0</v>
      </c>
      <c r="L10" s="27">
        <v>19.5</v>
      </c>
      <c r="M10" s="28">
        <f t="shared" si="1"/>
        <v>92.5</v>
      </c>
      <c r="N10" s="9"/>
      <c r="O10" s="30"/>
      <c r="P10" s="9"/>
      <c r="Q10" s="9"/>
      <c r="R10" s="9"/>
      <c r="S10" s="9"/>
      <c r="T10" s="9"/>
    </row>
    <row r="11">
      <c r="A11" s="21">
        <v>7.0</v>
      </c>
      <c r="B11" s="22" t="s">
        <v>28</v>
      </c>
      <c r="C11" s="23">
        <v>0.0</v>
      </c>
      <c r="D11" s="24">
        <v>0.0</v>
      </c>
      <c r="E11" s="23">
        <v>2.5</v>
      </c>
      <c r="F11" s="25">
        <v>4.5</v>
      </c>
      <c r="G11" s="26"/>
      <c r="H11" s="23">
        <v>8.0</v>
      </c>
      <c r="I11" s="23">
        <v>16.0</v>
      </c>
      <c r="J11" s="23">
        <v>4.5</v>
      </c>
      <c r="K11" s="23">
        <v>2.25</v>
      </c>
      <c r="L11" s="27">
        <v>0.0</v>
      </c>
      <c r="M11" s="28">
        <f t="shared" si="1"/>
        <v>37.75</v>
      </c>
      <c r="N11" s="9"/>
      <c r="O11" s="9"/>
      <c r="P11" s="9"/>
      <c r="Q11" s="9"/>
      <c r="R11" s="9"/>
      <c r="S11" s="9"/>
      <c r="T11" s="9"/>
    </row>
    <row r="12">
      <c r="A12" s="21">
        <v>8.0</v>
      </c>
      <c r="B12" s="22" t="s">
        <v>29</v>
      </c>
      <c r="C12" s="23">
        <v>10.5</v>
      </c>
      <c r="D12" s="24">
        <v>0.0</v>
      </c>
      <c r="E12" s="23">
        <v>11.5</v>
      </c>
      <c r="F12" s="25">
        <v>0.0</v>
      </c>
      <c r="G12" s="26"/>
      <c r="H12" s="23">
        <v>17.5</v>
      </c>
      <c r="I12" s="23">
        <v>43.0</v>
      </c>
      <c r="J12" s="23">
        <v>12.5</v>
      </c>
      <c r="K12" s="23">
        <v>5.5</v>
      </c>
      <c r="L12" s="27">
        <v>0.0</v>
      </c>
      <c r="M12" s="28">
        <f t="shared" si="1"/>
        <v>100.5</v>
      </c>
      <c r="N12" s="9"/>
      <c r="O12" s="9"/>
      <c r="P12" s="9"/>
      <c r="Q12" s="9"/>
      <c r="R12" s="9"/>
      <c r="S12" s="9"/>
      <c r="T12" s="9"/>
    </row>
    <row r="13">
      <c r="A13" s="21">
        <v>9.0</v>
      </c>
      <c r="B13" s="22" t="s">
        <v>30</v>
      </c>
      <c r="C13" s="23">
        <v>0.0</v>
      </c>
      <c r="D13" s="24">
        <v>0.0</v>
      </c>
      <c r="E13" s="23">
        <v>0.0</v>
      </c>
      <c r="F13" s="25">
        <v>0.0</v>
      </c>
      <c r="G13" s="26"/>
      <c r="H13" s="23">
        <v>8.5</v>
      </c>
      <c r="I13" s="23">
        <v>0.0</v>
      </c>
      <c r="J13" s="23">
        <v>12.0</v>
      </c>
      <c r="K13" s="23">
        <v>0.0</v>
      </c>
      <c r="L13" s="27">
        <v>0.0</v>
      </c>
      <c r="M13" s="28">
        <f t="shared" si="1"/>
        <v>20.5</v>
      </c>
      <c r="N13" s="9"/>
      <c r="O13" s="9"/>
      <c r="P13" s="9"/>
      <c r="Q13" s="9"/>
      <c r="R13" s="9"/>
      <c r="S13" s="9"/>
      <c r="T13" s="9"/>
    </row>
    <row r="14">
      <c r="A14" s="21">
        <v>10.0</v>
      </c>
      <c r="B14" s="22" t="s">
        <v>31</v>
      </c>
      <c r="C14" s="23">
        <v>0.0</v>
      </c>
      <c r="D14" s="24">
        <v>0.0</v>
      </c>
      <c r="E14" s="23">
        <v>0.0</v>
      </c>
      <c r="F14" s="25">
        <v>0.0</v>
      </c>
      <c r="G14" s="26"/>
      <c r="H14" s="23">
        <v>0.0</v>
      </c>
      <c r="I14" s="23">
        <v>0.0</v>
      </c>
      <c r="J14" s="23">
        <v>17.5</v>
      </c>
      <c r="K14" s="23">
        <v>0.0</v>
      </c>
      <c r="L14" s="27">
        <v>0.0</v>
      </c>
      <c r="M14" s="28">
        <f t="shared" si="1"/>
        <v>17.5</v>
      </c>
      <c r="N14" s="9"/>
      <c r="O14" s="9"/>
      <c r="P14" s="9"/>
      <c r="Q14" s="9"/>
      <c r="R14" s="9"/>
      <c r="S14" s="9"/>
      <c r="T14" s="9"/>
    </row>
    <row r="15">
      <c r="A15" s="21">
        <v>11.0</v>
      </c>
      <c r="B15" s="22" t="s">
        <v>32</v>
      </c>
      <c r="C15" s="23">
        <v>0.0</v>
      </c>
      <c r="D15" s="24">
        <v>0.0</v>
      </c>
      <c r="E15" s="23">
        <v>2.5</v>
      </c>
      <c r="F15" s="25">
        <v>0.0</v>
      </c>
      <c r="G15" s="26"/>
      <c r="H15" s="23">
        <v>18.0</v>
      </c>
      <c r="I15" s="23">
        <v>5.0</v>
      </c>
      <c r="J15" s="23">
        <v>2.5</v>
      </c>
      <c r="K15" s="23">
        <v>1.5</v>
      </c>
      <c r="L15" s="27">
        <v>0.0</v>
      </c>
      <c r="M15" s="28">
        <f t="shared" si="1"/>
        <v>29.5</v>
      </c>
      <c r="N15" s="9"/>
      <c r="O15" s="9"/>
      <c r="P15" s="9"/>
      <c r="Q15" s="9"/>
      <c r="R15" s="9"/>
      <c r="S15" s="9"/>
      <c r="T15" s="9"/>
    </row>
    <row r="16">
      <c r="A16" s="21">
        <v>12.0</v>
      </c>
      <c r="B16" s="22" t="s">
        <v>33</v>
      </c>
      <c r="C16" s="23">
        <v>0.0</v>
      </c>
      <c r="D16" s="24">
        <v>0.0</v>
      </c>
      <c r="E16" s="23">
        <v>0.0</v>
      </c>
      <c r="F16" s="25">
        <v>0.0</v>
      </c>
      <c r="G16" s="26"/>
      <c r="H16" s="23">
        <v>0.0</v>
      </c>
      <c r="I16" s="24">
        <v>0.0</v>
      </c>
      <c r="J16" s="23">
        <v>0.0</v>
      </c>
      <c r="K16" s="23">
        <v>0.0</v>
      </c>
      <c r="L16" s="27">
        <v>0.0</v>
      </c>
      <c r="M16" s="28">
        <f t="shared" si="1"/>
        <v>0</v>
      </c>
      <c r="N16" s="9"/>
      <c r="O16" s="9"/>
      <c r="P16" s="9"/>
      <c r="Q16" s="9"/>
      <c r="R16" s="9"/>
      <c r="S16" s="9"/>
      <c r="T16" s="9"/>
    </row>
    <row r="17">
      <c r="A17" s="21">
        <v>13.0</v>
      </c>
      <c r="B17" s="22" t="s">
        <v>34</v>
      </c>
      <c r="C17" s="23">
        <v>3.0</v>
      </c>
      <c r="D17" s="24">
        <v>0.0</v>
      </c>
      <c r="E17" s="23">
        <v>0.0</v>
      </c>
      <c r="F17" s="25">
        <v>0.0</v>
      </c>
      <c r="G17" s="26"/>
      <c r="H17" s="23">
        <v>2.0</v>
      </c>
      <c r="I17" s="23">
        <v>6.0</v>
      </c>
      <c r="J17" s="23">
        <v>5.5</v>
      </c>
      <c r="K17" s="23">
        <v>0.0</v>
      </c>
      <c r="L17" s="27">
        <v>0.0</v>
      </c>
      <c r="M17" s="28">
        <f t="shared" si="1"/>
        <v>16.5</v>
      </c>
      <c r="N17" s="9"/>
      <c r="O17" s="9"/>
      <c r="P17" s="9"/>
      <c r="Q17" s="9"/>
      <c r="R17" s="9"/>
      <c r="S17" s="9"/>
      <c r="T17" s="9"/>
    </row>
    <row r="18">
      <c r="A18" s="21">
        <v>14.0</v>
      </c>
      <c r="B18" s="22" t="s">
        <v>35</v>
      </c>
      <c r="C18" s="23">
        <v>5.0</v>
      </c>
      <c r="D18" s="24">
        <v>0.0</v>
      </c>
      <c r="E18" s="23">
        <v>0.5</v>
      </c>
      <c r="F18" s="25">
        <v>1.0</v>
      </c>
      <c r="G18" s="26"/>
      <c r="H18" s="23">
        <v>4.0</v>
      </c>
      <c r="I18" s="23">
        <v>3.5</v>
      </c>
      <c r="J18" s="23">
        <v>0.0</v>
      </c>
      <c r="K18" s="23">
        <v>0.5</v>
      </c>
      <c r="L18" s="27">
        <v>8.5</v>
      </c>
      <c r="M18" s="28">
        <f t="shared" si="1"/>
        <v>23</v>
      </c>
      <c r="N18" s="9"/>
      <c r="O18" s="9"/>
      <c r="P18" s="9"/>
      <c r="Q18" s="9"/>
      <c r="R18" s="9"/>
      <c r="S18" s="9"/>
      <c r="T18" s="9"/>
    </row>
    <row r="19">
      <c r="A19" s="21">
        <v>15.0</v>
      </c>
      <c r="B19" s="22" t="s">
        <v>36</v>
      </c>
      <c r="C19" s="23">
        <v>0.0</v>
      </c>
      <c r="D19" s="24">
        <v>0.0</v>
      </c>
      <c r="E19" s="23">
        <v>0.0</v>
      </c>
      <c r="F19" s="25">
        <v>0.0</v>
      </c>
      <c r="G19" s="26"/>
      <c r="H19" s="23">
        <v>0.0</v>
      </c>
      <c r="I19" s="23">
        <v>0.5</v>
      </c>
      <c r="J19" s="23">
        <v>0.0</v>
      </c>
      <c r="K19" s="23">
        <v>0.0</v>
      </c>
      <c r="L19" s="27">
        <v>0.0</v>
      </c>
      <c r="M19" s="28">
        <f t="shared" si="1"/>
        <v>0.5</v>
      </c>
      <c r="N19" s="9"/>
      <c r="O19" s="9"/>
      <c r="P19" s="9"/>
      <c r="Q19" s="9"/>
      <c r="R19" s="9"/>
      <c r="S19" s="9"/>
      <c r="T19" s="9"/>
    </row>
    <row r="20">
      <c r="A20" s="21">
        <v>16.0</v>
      </c>
      <c r="B20" s="22" t="s">
        <v>37</v>
      </c>
      <c r="C20" s="23">
        <v>0.0</v>
      </c>
      <c r="D20" s="24">
        <v>0.0</v>
      </c>
      <c r="E20" s="23">
        <v>0.0</v>
      </c>
      <c r="F20" s="25">
        <v>0.0</v>
      </c>
      <c r="G20" s="26"/>
      <c r="H20" s="23">
        <v>0.0</v>
      </c>
      <c r="I20" s="23">
        <v>0.0</v>
      </c>
      <c r="J20" s="23">
        <v>0.0</v>
      </c>
      <c r="K20" s="23">
        <v>0.0</v>
      </c>
      <c r="L20" s="27">
        <v>0.0</v>
      </c>
      <c r="M20" s="28">
        <f t="shared" si="1"/>
        <v>0</v>
      </c>
      <c r="N20" s="9"/>
      <c r="O20" s="9"/>
      <c r="P20" s="9"/>
      <c r="Q20" s="9"/>
      <c r="R20" s="9"/>
      <c r="S20" s="9"/>
      <c r="T20" s="9"/>
    </row>
    <row r="21">
      <c r="A21" s="21">
        <v>17.0</v>
      </c>
      <c r="B21" s="22" t="s">
        <v>38</v>
      </c>
      <c r="C21" s="23">
        <v>0.0</v>
      </c>
      <c r="D21" s="24">
        <v>0.0</v>
      </c>
      <c r="E21" s="23">
        <v>0.0</v>
      </c>
      <c r="F21" s="25">
        <v>0.0</v>
      </c>
      <c r="G21" s="26"/>
      <c r="H21" s="23">
        <v>0.0</v>
      </c>
      <c r="I21" s="23">
        <v>0.0</v>
      </c>
      <c r="J21" s="23">
        <v>0.0</v>
      </c>
      <c r="K21" s="23">
        <v>0.0</v>
      </c>
      <c r="L21" s="27">
        <v>0.0</v>
      </c>
      <c r="M21" s="28">
        <f t="shared" si="1"/>
        <v>0</v>
      </c>
      <c r="N21" s="9"/>
      <c r="O21" s="9"/>
      <c r="P21" s="9"/>
      <c r="Q21" s="9"/>
      <c r="R21" s="9"/>
      <c r="S21" s="9"/>
      <c r="T21" s="9"/>
    </row>
    <row r="22">
      <c r="A22" s="21">
        <v>18.0</v>
      </c>
      <c r="B22" s="22" t="s">
        <v>39</v>
      </c>
      <c r="C22" s="23">
        <v>0.0</v>
      </c>
      <c r="D22" s="24">
        <v>0.0</v>
      </c>
      <c r="E22" s="23">
        <v>0.0</v>
      </c>
      <c r="F22" s="25">
        <v>0.0</v>
      </c>
      <c r="G22" s="26"/>
      <c r="H22" s="23">
        <v>0.0</v>
      </c>
      <c r="I22" s="23">
        <v>0.0</v>
      </c>
      <c r="J22" s="23">
        <v>0.0</v>
      </c>
      <c r="K22" s="23">
        <v>0.0</v>
      </c>
      <c r="L22" s="27">
        <v>0.0</v>
      </c>
      <c r="M22" s="28">
        <f t="shared" si="1"/>
        <v>0</v>
      </c>
      <c r="N22" s="9"/>
      <c r="O22" s="9"/>
      <c r="P22" s="9"/>
      <c r="Q22" s="9"/>
      <c r="R22" s="9"/>
      <c r="S22" s="9"/>
      <c r="T22" s="9"/>
    </row>
    <row r="23">
      <c r="A23" s="21">
        <v>19.0</v>
      </c>
      <c r="B23" s="22" t="s">
        <v>40</v>
      </c>
      <c r="C23" s="23">
        <v>0.0</v>
      </c>
      <c r="D23" s="24">
        <v>0.0</v>
      </c>
      <c r="E23" s="23">
        <v>0.0</v>
      </c>
      <c r="F23" s="25">
        <v>0.0</v>
      </c>
      <c r="G23" s="26"/>
      <c r="H23" s="23">
        <v>0.0</v>
      </c>
      <c r="I23" s="23">
        <v>0.0</v>
      </c>
      <c r="J23" s="23">
        <v>0.0</v>
      </c>
      <c r="K23" s="23">
        <v>0.0</v>
      </c>
      <c r="L23" s="27">
        <v>0.0</v>
      </c>
      <c r="M23" s="28">
        <f t="shared" si="1"/>
        <v>0</v>
      </c>
      <c r="N23" s="9"/>
      <c r="O23" s="9"/>
      <c r="P23" s="9"/>
      <c r="Q23" s="9"/>
      <c r="R23" s="9"/>
      <c r="S23" s="9"/>
      <c r="T23" s="9"/>
    </row>
    <row r="24">
      <c r="A24" s="21">
        <v>20.0</v>
      </c>
      <c r="B24" s="22" t="s">
        <v>41</v>
      </c>
      <c r="C24" s="23">
        <v>2.0</v>
      </c>
      <c r="D24" s="24">
        <v>0.0</v>
      </c>
      <c r="E24" s="23">
        <v>0.5</v>
      </c>
      <c r="F24" s="25">
        <v>0.0</v>
      </c>
      <c r="G24" s="26"/>
      <c r="H24" s="23">
        <v>5.5</v>
      </c>
      <c r="I24" s="23">
        <v>9.5</v>
      </c>
      <c r="J24" s="23">
        <v>0.0</v>
      </c>
      <c r="K24" s="23">
        <v>0.0</v>
      </c>
      <c r="L24" s="27">
        <v>0.0</v>
      </c>
      <c r="M24" s="28">
        <f t="shared" si="1"/>
        <v>17.5</v>
      </c>
      <c r="N24" s="9"/>
      <c r="O24" s="9"/>
      <c r="P24" s="9"/>
      <c r="Q24" s="9"/>
      <c r="R24" s="9"/>
      <c r="S24" s="9"/>
      <c r="T24" s="9"/>
    </row>
    <row r="25">
      <c r="A25" s="21">
        <v>21.0</v>
      </c>
      <c r="B25" s="22" t="s">
        <v>42</v>
      </c>
      <c r="C25" s="23">
        <v>0.5</v>
      </c>
      <c r="D25" s="24">
        <v>0.0</v>
      </c>
      <c r="E25" s="23">
        <v>1.0</v>
      </c>
      <c r="F25" s="25">
        <v>0.0</v>
      </c>
      <c r="G25" s="26"/>
      <c r="H25" s="23">
        <v>3.0</v>
      </c>
      <c r="I25" s="23">
        <v>0.5</v>
      </c>
      <c r="J25" s="23">
        <v>0.0</v>
      </c>
      <c r="K25" s="23">
        <v>0.0</v>
      </c>
      <c r="L25" s="27">
        <v>0.0</v>
      </c>
      <c r="M25" s="28">
        <f t="shared" si="1"/>
        <v>5</v>
      </c>
      <c r="N25" s="9"/>
      <c r="O25" s="9"/>
      <c r="P25" s="9"/>
      <c r="Q25" s="9"/>
      <c r="R25" s="9"/>
      <c r="S25" s="9"/>
      <c r="T25" s="9"/>
    </row>
    <row r="26">
      <c r="A26" s="21">
        <v>22.0</v>
      </c>
      <c r="B26" s="22" t="s">
        <v>43</v>
      </c>
      <c r="C26" s="23">
        <v>0.0</v>
      </c>
      <c r="D26" s="24">
        <v>0.0</v>
      </c>
      <c r="E26" s="23">
        <v>0.0</v>
      </c>
      <c r="F26" s="25">
        <v>0.0</v>
      </c>
      <c r="G26" s="26"/>
      <c r="H26" s="23">
        <v>0.0</v>
      </c>
      <c r="I26" s="23">
        <v>0.0</v>
      </c>
      <c r="J26" s="23">
        <v>0.0</v>
      </c>
      <c r="K26" s="23">
        <v>0.0</v>
      </c>
      <c r="L26" s="27">
        <v>0.0</v>
      </c>
      <c r="M26" s="28">
        <f t="shared" si="1"/>
        <v>0</v>
      </c>
      <c r="N26" s="9"/>
      <c r="O26" s="9"/>
      <c r="P26" s="9"/>
      <c r="Q26" s="9"/>
      <c r="R26" s="9"/>
      <c r="S26" s="9"/>
      <c r="T26" s="9"/>
    </row>
    <row r="27">
      <c r="A27" s="21">
        <v>23.0</v>
      </c>
      <c r="B27" s="22" t="s">
        <v>18</v>
      </c>
      <c r="C27" s="23">
        <v>0.0</v>
      </c>
      <c r="D27" s="24">
        <v>0.0</v>
      </c>
      <c r="E27" s="23">
        <v>0.0</v>
      </c>
      <c r="F27" s="25">
        <v>0.0</v>
      </c>
      <c r="G27" s="26"/>
      <c r="H27" s="23">
        <v>18.0</v>
      </c>
      <c r="I27" s="23">
        <v>11.5</v>
      </c>
      <c r="J27" s="23">
        <v>0.0</v>
      </c>
      <c r="K27" s="23">
        <v>2.0</v>
      </c>
      <c r="L27" s="27">
        <v>90.0</v>
      </c>
      <c r="M27" s="28">
        <f t="shared" si="1"/>
        <v>121.5</v>
      </c>
      <c r="N27" s="9"/>
      <c r="O27" s="9"/>
      <c r="P27" s="9"/>
      <c r="Q27" s="9"/>
      <c r="R27" s="9"/>
      <c r="S27" s="9"/>
      <c r="T27" s="9"/>
    </row>
    <row r="28">
      <c r="A28" s="21">
        <v>24.0</v>
      </c>
      <c r="B28" s="22" t="s">
        <v>44</v>
      </c>
      <c r="C28" s="23">
        <v>0.0</v>
      </c>
      <c r="D28" s="24">
        <v>0.0</v>
      </c>
      <c r="E28" s="23">
        <v>0.0</v>
      </c>
      <c r="F28" s="25">
        <v>0.0</v>
      </c>
      <c r="G28" s="26"/>
      <c r="H28" s="23">
        <v>0.0</v>
      </c>
      <c r="I28" s="24">
        <v>0.0</v>
      </c>
      <c r="J28" s="23">
        <v>5.5</v>
      </c>
      <c r="K28" s="23">
        <v>0.0</v>
      </c>
      <c r="L28" s="27">
        <v>0.0</v>
      </c>
      <c r="M28" s="28">
        <f t="shared" si="1"/>
        <v>5.5</v>
      </c>
      <c r="N28" s="9"/>
      <c r="O28" s="9"/>
      <c r="P28" s="9"/>
      <c r="Q28" s="9"/>
      <c r="R28" s="9"/>
      <c r="S28" s="9"/>
      <c r="T28" s="9"/>
    </row>
    <row r="29">
      <c r="A29" s="21">
        <v>25.0</v>
      </c>
      <c r="B29" s="22" t="s">
        <v>13</v>
      </c>
      <c r="C29" s="23">
        <v>0.0</v>
      </c>
      <c r="D29" s="24">
        <v>0.0</v>
      </c>
      <c r="E29" s="23">
        <v>0.0</v>
      </c>
      <c r="F29" s="25">
        <v>0.0</v>
      </c>
      <c r="G29" s="26"/>
      <c r="H29" s="23">
        <v>0.0</v>
      </c>
      <c r="I29" s="23">
        <v>0.0</v>
      </c>
      <c r="J29" s="23">
        <v>0.0</v>
      </c>
      <c r="K29" s="23">
        <v>0.0</v>
      </c>
      <c r="L29" s="27">
        <v>0.0</v>
      </c>
      <c r="M29" s="28">
        <f t="shared" si="1"/>
        <v>0</v>
      </c>
      <c r="N29" s="9"/>
      <c r="O29" s="9"/>
      <c r="P29" s="9"/>
      <c r="Q29" s="9"/>
      <c r="R29" s="9"/>
      <c r="S29" s="9"/>
      <c r="T29" s="9"/>
    </row>
    <row r="30">
      <c r="A30" s="21">
        <v>26.0</v>
      </c>
      <c r="B30" s="22" t="s">
        <v>20</v>
      </c>
      <c r="C30" s="23">
        <v>0.0</v>
      </c>
      <c r="D30" s="24">
        <v>0.0</v>
      </c>
      <c r="E30" s="23">
        <v>0.5</v>
      </c>
      <c r="F30" s="25">
        <v>0.0</v>
      </c>
      <c r="G30" s="26"/>
      <c r="H30" s="23">
        <v>2.0</v>
      </c>
      <c r="I30" s="23">
        <v>1.0</v>
      </c>
      <c r="J30" s="23">
        <v>0.0</v>
      </c>
      <c r="K30" s="23">
        <v>0.0</v>
      </c>
      <c r="L30" s="27">
        <v>0.0</v>
      </c>
      <c r="M30" s="28">
        <f t="shared" si="1"/>
        <v>3.5</v>
      </c>
      <c r="N30" s="9"/>
      <c r="O30" s="9"/>
      <c r="P30" s="9"/>
      <c r="Q30" s="9"/>
      <c r="R30" s="9"/>
      <c r="S30" s="9"/>
      <c r="T30" s="9"/>
    </row>
    <row r="31">
      <c r="A31" s="21">
        <v>27.0</v>
      </c>
      <c r="B31" s="22" t="s">
        <v>21</v>
      </c>
      <c r="C31" s="23">
        <v>7.0</v>
      </c>
      <c r="D31" s="24">
        <v>2.5</v>
      </c>
      <c r="E31" s="23">
        <v>3.0</v>
      </c>
      <c r="F31" s="25">
        <v>4.0</v>
      </c>
      <c r="G31" s="26"/>
      <c r="H31" s="23">
        <v>5.0</v>
      </c>
      <c r="I31" s="23">
        <v>42.0</v>
      </c>
      <c r="J31" s="23">
        <v>16.5</v>
      </c>
      <c r="K31" s="23">
        <v>2.0</v>
      </c>
      <c r="L31" s="27">
        <v>0.0</v>
      </c>
      <c r="M31" s="28">
        <f t="shared" si="1"/>
        <v>82</v>
      </c>
      <c r="N31" s="9"/>
      <c r="O31" s="9"/>
      <c r="P31" s="9"/>
      <c r="Q31" s="9"/>
      <c r="R31" s="9"/>
      <c r="S31" s="9"/>
      <c r="T31" s="9"/>
    </row>
    <row r="32">
      <c r="F32" s="1"/>
      <c r="L32" s="2"/>
    </row>
    <row r="33">
      <c r="F33" s="1"/>
      <c r="L33" s="2"/>
    </row>
    <row r="34">
      <c r="F34" s="1"/>
      <c r="L34" s="2"/>
    </row>
    <row r="35">
      <c r="F35" s="1"/>
      <c r="L35" s="2"/>
    </row>
    <row r="36">
      <c r="F36" s="1"/>
      <c r="L36" s="2"/>
    </row>
    <row r="37">
      <c r="F37" s="1"/>
      <c r="L37" s="2"/>
    </row>
    <row r="38">
      <c r="F38" s="1"/>
      <c r="L38" s="2"/>
    </row>
    <row r="39">
      <c r="F39" s="1"/>
      <c r="L39" s="2"/>
    </row>
    <row r="40">
      <c r="F40" s="1"/>
      <c r="L40" s="2"/>
    </row>
    <row r="41">
      <c r="F41" s="1"/>
      <c r="L41" s="2"/>
    </row>
    <row r="42">
      <c r="F42" s="1"/>
      <c r="L42" s="2"/>
    </row>
    <row r="43">
      <c r="F43" s="1"/>
      <c r="L43" s="2"/>
    </row>
    <row r="44">
      <c r="F44" s="1"/>
      <c r="L44" s="2"/>
    </row>
    <row r="45">
      <c r="F45" s="1"/>
      <c r="L45" s="2"/>
    </row>
    <row r="46">
      <c r="F46" s="1"/>
      <c r="L46" s="2"/>
    </row>
    <row r="47">
      <c r="F47" s="1"/>
      <c r="L47" s="2"/>
    </row>
    <row r="48">
      <c r="F48" s="1"/>
      <c r="L48" s="2"/>
    </row>
    <row r="49">
      <c r="F49" s="1"/>
      <c r="L49" s="2"/>
    </row>
    <row r="50">
      <c r="F50" s="1"/>
      <c r="L50" s="2"/>
    </row>
    <row r="51">
      <c r="F51" s="1"/>
      <c r="L51" s="2"/>
    </row>
    <row r="52">
      <c r="F52" s="1"/>
      <c r="L52" s="2"/>
    </row>
    <row r="53">
      <c r="F53" s="1"/>
      <c r="L53" s="2"/>
    </row>
    <row r="54">
      <c r="F54" s="1"/>
      <c r="L54" s="2"/>
    </row>
    <row r="55">
      <c r="F55" s="1"/>
      <c r="L55" s="2"/>
    </row>
    <row r="56">
      <c r="F56" s="1"/>
      <c r="L56" s="2"/>
    </row>
    <row r="57">
      <c r="F57" s="1"/>
      <c r="L57" s="2"/>
    </row>
    <row r="58">
      <c r="F58" s="1"/>
      <c r="L58" s="2"/>
    </row>
    <row r="59">
      <c r="F59" s="1"/>
      <c r="L59" s="2"/>
    </row>
    <row r="60">
      <c r="F60" s="1"/>
      <c r="L60" s="2"/>
    </row>
    <row r="61">
      <c r="F61" s="1"/>
      <c r="L61" s="2"/>
    </row>
    <row r="62">
      <c r="F62" s="1"/>
      <c r="L62" s="2"/>
    </row>
    <row r="63">
      <c r="F63" s="1"/>
      <c r="L63" s="2"/>
    </row>
    <row r="64">
      <c r="F64" s="1"/>
      <c r="L64" s="2"/>
    </row>
    <row r="65">
      <c r="F65" s="1"/>
      <c r="L65" s="2"/>
    </row>
    <row r="66">
      <c r="F66" s="1"/>
      <c r="L66" s="2"/>
    </row>
    <row r="67">
      <c r="F67" s="1"/>
      <c r="L67" s="2"/>
    </row>
    <row r="68">
      <c r="F68" s="1"/>
      <c r="L68" s="2"/>
    </row>
    <row r="69">
      <c r="F69" s="1"/>
      <c r="L69" s="2"/>
    </row>
    <row r="70">
      <c r="F70" s="1"/>
      <c r="L70" s="2"/>
    </row>
    <row r="71">
      <c r="F71" s="1"/>
      <c r="L71" s="2"/>
    </row>
    <row r="72">
      <c r="F72" s="1"/>
      <c r="L72" s="2"/>
    </row>
    <row r="73">
      <c r="F73" s="1"/>
      <c r="L73" s="2"/>
    </row>
    <row r="74">
      <c r="F74" s="1"/>
      <c r="L74" s="2"/>
    </row>
    <row r="75">
      <c r="F75" s="1"/>
      <c r="L75" s="2"/>
    </row>
    <row r="76">
      <c r="F76" s="1"/>
      <c r="L76" s="2"/>
    </row>
    <row r="77">
      <c r="F77" s="1"/>
      <c r="L77" s="2"/>
    </row>
    <row r="78">
      <c r="F78" s="1"/>
      <c r="L78" s="2"/>
    </row>
    <row r="79">
      <c r="F79" s="1"/>
      <c r="L79" s="2"/>
    </row>
    <row r="80">
      <c r="F80" s="1"/>
      <c r="L80" s="2"/>
    </row>
    <row r="81">
      <c r="F81" s="1"/>
      <c r="L81" s="2"/>
    </row>
    <row r="82">
      <c r="F82" s="1"/>
      <c r="L82" s="2"/>
    </row>
    <row r="83">
      <c r="F83" s="1"/>
      <c r="L83" s="2"/>
    </row>
    <row r="84">
      <c r="F84" s="1"/>
      <c r="L84" s="2"/>
    </row>
    <row r="85">
      <c r="F85" s="1"/>
      <c r="L85" s="2"/>
    </row>
    <row r="86">
      <c r="F86" s="1"/>
      <c r="L86" s="2"/>
    </row>
    <row r="87">
      <c r="F87" s="1"/>
      <c r="L87" s="2"/>
    </row>
    <row r="88">
      <c r="F88" s="1"/>
      <c r="L88" s="2"/>
    </row>
    <row r="89">
      <c r="F89" s="1"/>
      <c r="L89" s="2"/>
    </row>
    <row r="90">
      <c r="F90" s="1"/>
      <c r="L90" s="2"/>
    </row>
    <row r="91">
      <c r="F91" s="1"/>
      <c r="L91" s="2"/>
    </row>
    <row r="92">
      <c r="F92" s="1"/>
      <c r="L92" s="2"/>
    </row>
    <row r="93">
      <c r="F93" s="1"/>
      <c r="L93" s="2"/>
    </row>
    <row r="94">
      <c r="F94" s="1"/>
      <c r="L94" s="2"/>
    </row>
    <row r="95">
      <c r="F95" s="1"/>
      <c r="L95" s="2"/>
    </row>
    <row r="96">
      <c r="F96" s="1"/>
      <c r="L96" s="2"/>
    </row>
    <row r="97">
      <c r="F97" s="1"/>
      <c r="L97" s="2"/>
    </row>
    <row r="98">
      <c r="F98" s="1"/>
      <c r="L98" s="2"/>
    </row>
    <row r="99">
      <c r="F99" s="1"/>
      <c r="L99" s="2"/>
    </row>
    <row r="100">
      <c r="F100" s="1"/>
      <c r="L100" s="2"/>
    </row>
    <row r="101">
      <c r="F101" s="1"/>
      <c r="L101" s="2"/>
    </row>
    <row r="102">
      <c r="F102" s="1"/>
      <c r="L102" s="2"/>
    </row>
    <row r="103">
      <c r="F103" s="1"/>
      <c r="L103" s="2"/>
    </row>
    <row r="104">
      <c r="F104" s="1"/>
      <c r="L104" s="2"/>
    </row>
    <row r="105">
      <c r="F105" s="1"/>
      <c r="L105" s="2"/>
    </row>
    <row r="106">
      <c r="F106" s="1"/>
      <c r="L106" s="2"/>
    </row>
    <row r="107">
      <c r="F107" s="1"/>
      <c r="L107" s="2"/>
    </row>
    <row r="108">
      <c r="F108" s="1"/>
      <c r="L108" s="2"/>
    </row>
    <row r="109">
      <c r="F109" s="1"/>
      <c r="L109" s="2"/>
    </row>
    <row r="110">
      <c r="F110" s="1"/>
      <c r="L110" s="2"/>
    </row>
    <row r="111">
      <c r="F111" s="1"/>
      <c r="L111" s="2"/>
    </row>
    <row r="112">
      <c r="F112" s="1"/>
      <c r="L112" s="2"/>
    </row>
    <row r="113">
      <c r="F113" s="1"/>
      <c r="L113" s="2"/>
    </row>
    <row r="114">
      <c r="F114" s="1"/>
      <c r="L114" s="2"/>
    </row>
    <row r="115">
      <c r="F115" s="1"/>
      <c r="L115" s="2"/>
    </row>
    <row r="116">
      <c r="F116" s="1"/>
      <c r="L116" s="2"/>
    </row>
    <row r="117">
      <c r="F117" s="1"/>
      <c r="L117" s="2"/>
    </row>
    <row r="118">
      <c r="F118" s="1"/>
      <c r="L118" s="2"/>
    </row>
    <row r="119">
      <c r="F119" s="1"/>
      <c r="L119" s="2"/>
    </row>
    <row r="120">
      <c r="F120" s="1"/>
      <c r="L120" s="2"/>
    </row>
    <row r="121">
      <c r="F121" s="1"/>
      <c r="L121" s="2"/>
    </row>
    <row r="122">
      <c r="F122" s="1"/>
      <c r="L122" s="2"/>
    </row>
    <row r="123">
      <c r="F123" s="1"/>
      <c r="L123" s="2"/>
    </row>
    <row r="124">
      <c r="F124" s="1"/>
      <c r="L124" s="2"/>
    </row>
    <row r="125">
      <c r="F125" s="1"/>
      <c r="L125" s="2"/>
    </row>
    <row r="126">
      <c r="F126" s="1"/>
      <c r="L126" s="2"/>
    </row>
    <row r="127">
      <c r="F127" s="1"/>
      <c r="L127" s="2"/>
    </row>
    <row r="128">
      <c r="F128" s="1"/>
      <c r="L128" s="2"/>
    </row>
    <row r="129">
      <c r="F129" s="1"/>
      <c r="L129" s="2"/>
    </row>
    <row r="130">
      <c r="F130" s="1"/>
      <c r="L130" s="2"/>
    </row>
    <row r="131">
      <c r="F131" s="1"/>
      <c r="L131" s="2"/>
    </row>
    <row r="132">
      <c r="F132" s="1"/>
      <c r="L132" s="2"/>
    </row>
    <row r="133">
      <c r="F133" s="1"/>
      <c r="L133" s="2"/>
    </row>
    <row r="134">
      <c r="F134" s="1"/>
      <c r="L134" s="2"/>
    </row>
    <row r="135">
      <c r="F135" s="1"/>
      <c r="L135" s="2"/>
    </row>
    <row r="136">
      <c r="F136" s="1"/>
      <c r="L136" s="2"/>
    </row>
    <row r="137">
      <c r="F137" s="1"/>
      <c r="L137" s="2"/>
    </row>
    <row r="138">
      <c r="F138" s="1"/>
      <c r="L138" s="2"/>
    </row>
    <row r="139">
      <c r="F139" s="1"/>
      <c r="L139" s="2"/>
    </row>
    <row r="140">
      <c r="F140" s="1"/>
      <c r="L140" s="2"/>
    </row>
    <row r="141">
      <c r="F141" s="1"/>
      <c r="L141" s="2"/>
    </row>
    <row r="142">
      <c r="F142" s="1"/>
      <c r="L142" s="2"/>
    </row>
    <row r="143">
      <c r="F143" s="1"/>
      <c r="L143" s="2"/>
    </row>
    <row r="144">
      <c r="F144" s="1"/>
      <c r="L144" s="2"/>
    </row>
    <row r="145">
      <c r="F145" s="1"/>
      <c r="L145" s="2"/>
    </row>
    <row r="146">
      <c r="F146" s="1"/>
      <c r="L146" s="2"/>
    </row>
    <row r="147">
      <c r="F147" s="1"/>
      <c r="L147" s="2"/>
    </row>
    <row r="148">
      <c r="F148" s="1"/>
      <c r="L148" s="2"/>
    </row>
    <row r="149">
      <c r="F149" s="1"/>
      <c r="L149" s="2"/>
    </row>
    <row r="150">
      <c r="F150" s="1"/>
      <c r="L150" s="2"/>
    </row>
    <row r="151">
      <c r="F151" s="1"/>
      <c r="L151" s="2"/>
    </row>
    <row r="152">
      <c r="F152" s="1"/>
      <c r="L152" s="2"/>
    </row>
    <row r="153">
      <c r="F153" s="1"/>
      <c r="L153" s="2"/>
    </row>
    <row r="154">
      <c r="F154" s="1"/>
      <c r="L154" s="2"/>
    </row>
    <row r="155">
      <c r="F155" s="1"/>
      <c r="L155" s="2"/>
    </row>
    <row r="156">
      <c r="F156" s="1"/>
      <c r="L156" s="2"/>
    </row>
    <row r="157">
      <c r="F157" s="1"/>
      <c r="L157" s="2"/>
    </row>
    <row r="158">
      <c r="F158" s="1"/>
      <c r="L158" s="2"/>
    </row>
    <row r="159">
      <c r="F159" s="1"/>
      <c r="L159" s="2"/>
    </row>
    <row r="160">
      <c r="F160" s="1"/>
      <c r="L160" s="2"/>
    </row>
    <row r="161">
      <c r="F161" s="1"/>
      <c r="L161" s="2"/>
    </row>
    <row r="162">
      <c r="F162" s="1"/>
      <c r="L162" s="2"/>
    </row>
    <row r="163">
      <c r="F163" s="1"/>
      <c r="L163" s="2"/>
    </row>
    <row r="164">
      <c r="F164" s="1"/>
      <c r="L164" s="2"/>
    </row>
    <row r="165">
      <c r="F165" s="1"/>
      <c r="L165" s="2"/>
    </row>
    <row r="166">
      <c r="F166" s="1"/>
      <c r="L166" s="2"/>
    </row>
    <row r="167">
      <c r="F167" s="1"/>
      <c r="L167" s="2"/>
    </row>
    <row r="168">
      <c r="F168" s="1"/>
      <c r="L168" s="2"/>
    </row>
    <row r="169">
      <c r="F169" s="1"/>
      <c r="L169" s="2"/>
    </row>
    <row r="170">
      <c r="F170" s="1"/>
      <c r="L170" s="2"/>
    </row>
    <row r="171">
      <c r="F171" s="1"/>
      <c r="L171" s="2"/>
    </row>
    <row r="172">
      <c r="F172" s="1"/>
      <c r="L172" s="2"/>
    </row>
    <row r="173">
      <c r="F173" s="1"/>
      <c r="L173" s="2"/>
    </row>
    <row r="174">
      <c r="F174" s="1"/>
      <c r="L174" s="2"/>
    </row>
    <row r="175">
      <c r="F175" s="1"/>
      <c r="L175" s="2"/>
    </row>
    <row r="176">
      <c r="F176" s="1"/>
      <c r="L176" s="2"/>
    </row>
    <row r="177">
      <c r="F177" s="1"/>
      <c r="L177" s="2"/>
    </row>
    <row r="178">
      <c r="F178" s="1"/>
      <c r="L178" s="2"/>
    </row>
    <row r="179">
      <c r="F179" s="1"/>
      <c r="L179" s="2"/>
    </row>
    <row r="180">
      <c r="F180" s="1"/>
      <c r="L180" s="2"/>
    </row>
    <row r="181">
      <c r="F181" s="1"/>
      <c r="L181" s="2"/>
    </row>
    <row r="182">
      <c r="F182" s="1"/>
      <c r="L182" s="2"/>
    </row>
    <row r="183">
      <c r="F183" s="1"/>
      <c r="L183" s="2"/>
    </row>
    <row r="184">
      <c r="F184" s="1"/>
      <c r="L184" s="2"/>
    </row>
    <row r="185">
      <c r="F185" s="1"/>
      <c r="L185" s="2"/>
    </row>
    <row r="186">
      <c r="F186" s="1"/>
      <c r="L186" s="2"/>
    </row>
    <row r="187">
      <c r="F187" s="1"/>
      <c r="L187" s="2"/>
    </row>
    <row r="188">
      <c r="F188" s="1"/>
      <c r="L188" s="2"/>
    </row>
    <row r="189">
      <c r="F189" s="1"/>
      <c r="L189" s="2"/>
    </row>
    <row r="190">
      <c r="F190" s="1"/>
      <c r="L190" s="2"/>
    </row>
    <row r="191">
      <c r="F191" s="1"/>
      <c r="L191" s="2"/>
    </row>
    <row r="192">
      <c r="F192" s="1"/>
      <c r="L192" s="2"/>
    </row>
    <row r="193">
      <c r="F193" s="1"/>
      <c r="L193" s="2"/>
    </row>
    <row r="194">
      <c r="F194" s="1"/>
      <c r="L194" s="2"/>
    </row>
    <row r="195">
      <c r="F195" s="1"/>
      <c r="L195" s="2"/>
    </row>
    <row r="196">
      <c r="F196" s="1"/>
      <c r="L196" s="2"/>
    </row>
    <row r="197">
      <c r="F197" s="1"/>
      <c r="L197" s="2"/>
    </row>
    <row r="198">
      <c r="F198" s="1"/>
      <c r="L198" s="2"/>
    </row>
    <row r="199">
      <c r="F199" s="1"/>
      <c r="L199" s="2"/>
    </row>
    <row r="200">
      <c r="F200" s="1"/>
      <c r="L200" s="2"/>
    </row>
    <row r="201">
      <c r="F201" s="1"/>
      <c r="L201" s="2"/>
    </row>
    <row r="202">
      <c r="F202" s="1"/>
      <c r="L202" s="2"/>
    </row>
    <row r="203">
      <c r="F203" s="1"/>
      <c r="L203" s="2"/>
    </row>
    <row r="204">
      <c r="F204" s="1"/>
      <c r="L204" s="2"/>
    </row>
    <row r="205">
      <c r="F205" s="1"/>
      <c r="L205" s="2"/>
    </row>
    <row r="206">
      <c r="F206" s="1"/>
      <c r="L206" s="2"/>
    </row>
    <row r="207">
      <c r="F207" s="1"/>
      <c r="L207" s="2"/>
    </row>
    <row r="208">
      <c r="F208" s="1"/>
      <c r="L208" s="2"/>
    </row>
    <row r="209">
      <c r="F209" s="1"/>
      <c r="L209" s="2"/>
    </row>
    <row r="210">
      <c r="F210" s="1"/>
      <c r="L210" s="2"/>
    </row>
    <row r="211">
      <c r="F211" s="1"/>
      <c r="L211" s="2"/>
    </row>
    <row r="212">
      <c r="F212" s="1"/>
      <c r="L212" s="2"/>
    </row>
    <row r="213">
      <c r="F213" s="1"/>
      <c r="L213" s="2"/>
    </row>
    <row r="214">
      <c r="F214" s="1"/>
      <c r="L214" s="2"/>
    </row>
    <row r="215">
      <c r="F215" s="1"/>
      <c r="L215" s="2"/>
    </row>
    <row r="216">
      <c r="F216" s="1"/>
      <c r="L216" s="2"/>
    </row>
    <row r="217">
      <c r="F217" s="1"/>
      <c r="L217" s="2"/>
    </row>
    <row r="218">
      <c r="F218" s="1"/>
      <c r="L218" s="2"/>
    </row>
    <row r="219">
      <c r="F219" s="1"/>
      <c r="L219" s="2"/>
    </row>
    <row r="220">
      <c r="F220" s="1"/>
      <c r="L220" s="2"/>
    </row>
    <row r="221">
      <c r="F221" s="1"/>
      <c r="L221" s="2"/>
    </row>
    <row r="222">
      <c r="F222" s="1"/>
      <c r="L222" s="2"/>
    </row>
    <row r="223">
      <c r="F223" s="1"/>
      <c r="L223" s="2"/>
    </row>
    <row r="224">
      <c r="F224" s="1"/>
      <c r="L224" s="2"/>
    </row>
    <row r="225">
      <c r="F225" s="1"/>
      <c r="L225" s="2"/>
    </row>
    <row r="226">
      <c r="F226" s="1"/>
      <c r="L226" s="2"/>
    </row>
    <row r="227">
      <c r="F227" s="1"/>
      <c r="L227" s="2"/>
    </row>
    <row r="228">
      <c r="F228" s="1"/>
      <c r="L228" s="2"/>
    </row>
    <row r="229">
      <c r="F229" s="1"/>
      <c r="L229" s="2"/>
    </row>
    <row r="230">
      <c r="F230" s="1"/>
      <c r="L230" s="2"/>
    </row>
    <row r="231">
      <c r="F231" s="1"/>
      <c r="L231" s="2"/>
    </row>
    <row r="232">
      <c r="F232" s="1"/>
      <c r="L232" s="2"/>
    </row>
    <row r="233">
      <c r="F233" s="1"/>
      <c r="L233" s="2"/>
    </row>
    <row r="234">
      <c r="F234" s="1"/>
      <c r="L234" s="2"/>
    </row>
    <row r="235">
      <c r="F235" s="1"/>
      <c r="L235" s="2"/>
    </row>
    <row r="236">
      <c r="F236" s="1"/>
      <c r="L236" s="2"/>
    </row>
    <row r="237">
      <c r="F237" s="1"/>
      <c r="L237" s="2"/>
    </row>
    <row r="238">
      <c r="F238" s="1"/>
      <c r="L238" s="2"/>
    </row>
    <row r="239">
      <c r="F239" s="1"/>
      <c r="L239" s="2"/>
    </row>
    <row r="240">
      <c r="F240" s="1"/>
      <c r="L240" s="2"/>
    </row>
    <row r="241">
      <c r="F241" s="1"/>
      <c r="L241" s="2"/>
    </row>
    <row r="242">
      <c r="F242" s="1"/>
      <c r="L242" s="2"/>
    </row>
    <row r="243">
      <c r="F243" s="1"/>
      <c r="L243" s="2"/>
    </row>
    <row r="244">
      <c r="F244" s="1"/>
      <c r="L244" s="2"/>
    </row>
    <row r="245">
      <c r="F245" s="1"/>
      <c r="L245" s="2"/>
    </row>
    <row r="246">
      <c r="F246" s="1"/>
      <c r="L246" s="2"/>
    </row>
    <row r="247">
      <c r="F247" s="1"/>
      <c r="L247" s="2"/>
    </row>
    <row r="248">
      <c r="F248" s="1"/>
      <c r="L248" s="2"/>
    </row>
    <row r="249">
      <c r="F249" s="1"/>
      <c r="L249" s="2"/>
    </row>
    <row r="250">
      <c r="F250" s="1"/>
      <c r="L250" s="2"/>
    </row>
    <row r="251">
      <c r="F251" s="1"/>
      <c r="L251" s="2"/>
    </row>
    <row r="252">
      <c r="F252" s="1"/>
      <c r="L252" s="2"/>
    </row>
    <row r="253">
      <c r="F253" s="1"/>
      <c r="L253" s="2"/>
    </row>
    <row r="254">
      <c r="F254" s="1"/>
      <c r="L254" s="2"/>
    </row>
    <row r="255">
      <c r="F255" s="1"/>
      <c r="L255" s="2"/>
    </row>
    <row r="256">
      <c r="F256" s="1"/>
      <c r="L256" s="2"/>
    </row>
    <row r="257">
      <c r="F257" s="1"/>
      <c r="L257" s="2"/>
    </row>
    <row r="258">
      <c r="F258" s="1"/>
      <c r="L258" s="2"/>
    </row>
    <row r="259">
      <c r="F259" s="1"/>
      <c r="L259" s="2"/>
    </row>
    <row r="260">
      <c r="F260" s="1"/>
      <c r="L260" s="2"/>
    </row>
    <row r="261">
      <c r="F261" s="1"/>
      <c r="L261" s="2"/>
    </row>
    <row r="262">
      <c r="F262" s="1"/>
      <c r="L262" s="2"/>
    </row>
    <row r="263">
      <c r="F263" s="1"/>
      <c r="L263" s="2"/>
    </row>
    <row r="264">
      <c r="F264" s="1"/>
      <c r="L264" s="2"/>
    </row>
    <row r="265">
      <c r="F265" s="1"/>
      <c r="L265" s="2"/>
    </row>
    <row r="266">
      <c r="F266" s="1"/>
      <c r="L266" s="2"/>
    </row>
    <row r="267">
      <c r="F267" s="1"/>
      <c r="L267" s="2"/>
    </row>
    <row r="268">
      <c r="F268" s="1"/>
      <c r="L268" s="2"/>
    </row>
    <row r="269">
      <c r="F269" s="1"/>
      <c r="L269" s="2"/>
    </row>
    <row r="270">
      <c r="F270" s="1"/>
      <c r="L270" s="2"/>
    </row>
    <row r="271">
      <c r="F271" s="1"/>
      <c r="L271" s="2"/>
    </row>
    <row r="272">
      <c r="F272" s="1"/>
      <c r="L272" s="2"/>
    </row>
    <row r="273">
      <c r="F273" s="1"/>
      <c r="L273" s="2"/>
    </row>
    <row r="274">
      <c r="F274" s="1"/>
      <c r="L274" s="2"/>
    </row>
    <row r="275">
      <c r="F275" s="1"/>
      <c r="L275" s="2"/>
    </row>
    <row r="276">
      <c r="F276" s="1"/>
      <c r="L276" s="2"/>
    </row>
    <row r="277">
      <c r="F277" s="1"/>
      <c r="L277" s="2"/>
    </row>
    <row r="278">
      <c r="F278" s="1"/>
      <c r="L278" s="2"/>
    </row>
    <row r="279">
      <c r="F279" s="1"/>
      <c r="L279" s="2"/>
    </row>
    <row r="280">
      <c r="F280" s="1"/>
      <c r="L280" s="2"/>
    </row>
    <row r="281">
      <c r="F281" s="1"/>
      <c r="L281" s="2"/>
    </row>
    <row r="282">
      <c r="F282" s="1"/>
      <c r="L282" s="2"/>
    </row>
    <row r="283">
      <c r="F283" s="1"/>
      <c r="L283" s="2"/>
    </row>
    <row r="284">
      <c r="F284" s="1"/>
      <c r="L284" s="2"/>
    </row>
    <row r="285">
      <c r="F285" s="1"/>
      <c r="L285" s="2"/>
    </row>
    <row r="286">
      <c r="F286" s="1"/>
      <c r="L286" s="2"/>
    </row>
    <row r="287">
      <c r="F287" s="1"/>
      <c r="L287" s="2"/>
    </row>
    <row r="288">
      <c r="F288" s="1"/>
      <c r="L288" s="2"/>
    </row>
    <row r="289">
      <c r="F289" s="1"/>
      <c r="L289" s="2"/>
    </row>
    <row r="290">
      <c r="F290" s="1"/>
      <c r="L290" s="2"/>
    </row>
    <row r="291">
      <c r="F291" s="1"/>
      <c r="L291" s="2"/>
    </row>
    <row r="292">
      <c r="F292" s="1"/>
      <c r="L292" s="2"/>
    </row>
    <row r="293">
      <c r="F293" s="1"/>
      <c r="L293" s="2"/>
    </row>
    <row r="294">
      <c r="F294" s="1"/>
      <c r="L294" s="2"/>
    </row>
    <row r="295">
      <c r="F295" s="1"/>
      <c r="L295" s="2"/>
    </row>
    <row r="296">
      <c r="F296" s="1"/>
      <c r="L296" s="2"/>
    </row>
    <row r="297">
      <c r="F297" s="1"/>
      <c r="L297" s="2"/>
    </row>
    <row r="298">
      <c r="F298" s="1"/>
      <c r="L298" s="2"/>
    </row>
    <row r="299">
      <c r="F299" s="1"/>
      <c r="L299" s="2"/>
    </row>
    <row r="300">
      <c r="F300" s="1"/>
      <c r="L300" s="2"/>
    </row>
    <row r="301">
      <c r="F301" s="1"/>
      <c r="L301" s="2"/>
    </row>
    <row r="302">
      <c r="F302" s="1"/>
      <c r="L302" s="2"/>
    </row>
    <row r="303">
      <c r="F303" s="1"/>
      <c r="L303" s="2"/>
    </row>
    <row r="304">
      <c r="F304" s="1"/>
      <c r="L304" s="2"/>
    </row>
    <row r="305">
      <c r="F305" s="1"/>
      <c r="L305" s="2"/>
    </row>
    <row r="306">
      <c r="F306" s="1"/>
      <c r="L306" s="2"/>
    </row>
    <row r="307">
      <c r="F307" s="1"/>
      <c r="L307" s="2"/>
    </row>
    <row r="308">
      <c r="F308" s="1"/>
      <c r="L308" s="2"/>
    </row>
    <row r="309">
      <c r="F309" s="1"/>
      <c r="L309" s="2"/>
    </row>
    <row r="310">
      <c r="F310" s="1"/>
      <c r="L310" s="2"/>
    </row>
    <row r="311">
      <c r="F311" s="1"/>
      <c r="L311" s="2"/>
    </row>
    <row r="312">
      <c r="F312" s="1"/>
      <c r="L312" s="2"/>
    </row>
    <row r="313">
      <c r="F313" s="1"/>
      <c r="L313" s="2"/>
    </row>
    <row r="314">
      <c r="F314" s="1"/>
      <c r="L314" s="2"/>
    </row>
    <row r="315">
      <c r="F315" s="1"/>
      <c r="L315" s="2"/>
    </row>
    <row r="316">
      <c r="F316" s="1"/>
      <c r="L316" s="2"/>
    </row>
    <row r="317">
      <c r="F317" s="1"/>
      <c r="L317" s="2"/>
    </row>
    <row r="318">
      <c r="F318" s="1"/>
      <c r="L318" s="2"/>
    </row>
    <row r="319">
      <c r="F319" s="1"/>
      <c r="L319" s="2"/>
    </row>
    <row r="320">
      <c r="F320" s="1"/>
      <c r="L320" s="2"/>
    </row>
    <row r="321">
      <c r="F321" s="1"/>
      <c r="L321" s="2"/>
    </row>
    <row r="322">
      <c r="F322" s="1"/>
      <c r="L322" s="2"/>
    </row>
    <row r="323">
      <c r="F323" s="1"/>
      <c r="L323" s="2"/>
    </row>
    <row r="324">
      <c r="F324" s="1"/>
      <c r="L324" s="2"/>
    </row>
    <row r="325">
      <c r="F325" s="1"/>
      <c r="L325" s="2"/>
    </row>
    <row r="326">
      <c r="F326" s="1"/>
      <c r="L326" s="2"/>
    </row>
    <row r="327">
      <c r="F327" s="1"/>
      <c r="L327" s="2"/>
    </row>
    <row r="328">
      <c r="F328" s="1"/>
      <c r="L328" s="2"/>
    </row>
    <row r="329">
      <c r="F329" s="1"/>
      <c r="L329" s="2"/>
    </row>
    <row r="330">
      <c r="F330" s="1"/>
      <c r="L330" s="2"/>
    </row>
    <row r="331">
      <c r="F331" s="1"/>
      <c r="L331" s="2"/>
    </row>
    <row r="332">
      <c r="F332" s="1"/>
      <c r="L332" s="2"/>
    </row>
    <row r="333">
      <c r="F333" s="1"/>
      <c r="L333" s="2"/>
    </row>
    <row r="334">
      <c r="F334" s="1"/>
      <c r="L334" s="2"/>
    </row>
    <row r="335">
      <c r="F335" s="1"/>
      <c r="L335" s="2"/>
    </row>
    <row r="336">
      <c r="F336" s="1"/>
      <c r="L336" s="2"/>
    </row>
    <row r="337">
      <c r="F337" s="1"/>
      <c r="L337" s="2"/>
    </row>
    <row r="338">
      <c r="F338" s="1"/>
      <c r="L338" s="2"/>
    </row>
    <row r="339">
      <c r="F339" s="1"/>
      <c r="L339" s="2"/>
    </row>
    <row r="340">
      <c r="F340" s="1"/>
      <c r="L340" s="2"/>
    </row>
    <row r="341">
      <c r="F341" s="1"/>
      <c r="L341" s="2"/>
    </row>
    <row r="342">
      <c r="F342" s="1"/>
      <c r="L342" s="2"/>
    </row>
    <row r="343">
      <c r="F343" s="1"/>
      <c r="L343" s="2"/>
    </row>
    <row r="344">
      <c r="F344" s="1"/>
      <c r="L344" s="2"/>
    </row>
    <row r="345">
      <c r="F345" s="1"/>
      <c r="L345" s="2"/>
    </row>
    <row r="346">
      <c r="F346" s="1"/>
      <c r="L346" s="2"/>
    </row>
    <row r="347">
      <c r="F347" s="1"/>
      <c r="L347" s="2"/>
    </row>
    <row r="348">
      <c r="F348" s="1"/>
      <c r="L348" s="2"/>
    </row>
    <row r="349">
      <c r="F349" s="1"/>
      <c r="L349" s="2"/>
    </row>
    <row r="350">
      <c r="F350" s="1"/>
      <c r="L350" s="2"/>
    </row>
    <row r="351">
      <c r="F351" s="1"/>
      <c r="L351" s="2"/>
    </row>
    <row r="352">
      <c r="F352" s="1"/>
      <c r="L352" s="2"/>
    </row>
    <row r="353">
      <c r="F353" s="1"/>
      <c r="L353" s="2"/>
    </row>
    <row r="354">
      <c r="F354" s="1"/>
      <c r="L354" s="2"/>
    </row>
    <row r="355">
      <c r="F355" s="1"/>
      <c r="L355" s="2"/>
    </row>
    <row r="356">
      <c r="F356" s="1"/>
      <c r="L356" s="2"/>
    </row>
    <row r="357">
      <c r="F357" s="1"/>
      <c r="L357" s="2"/>
    </row>
    <row r="358">
      <c r="F358" s="1"/>
      <c r="L358" s="2"/>
    </row>
    <row r="359">
      <c r="F359" s="1"/>
      <c r="L359" s="2"/>
    </row>
    <row r="360">
      <c r="F360" s="1"/>
      <c r="L360" s="2"/>
    </row>
    <row r="361">
      <c r="F361" s="1"/>
      <c r="L361" s="2"/>
    </row>
    <row r="362">
      <c r="F362" s="1"/>
      <c r="L362" s="2"/>
    </row>
    <row r="363">
      <c r="F363" s="1"/>
      <c r="L363" s="2"/>
    </row>
    <row r="364">
      <c r="F364" s="1"/>
      <c r="L364" s="2"/>
    </row>
    <row r="365">
      <c r="F365" s="1"/>
      <c r="L365" s="2"/>
    </row>
    <row r="366">
      <c r="F366" s="1"/>
      <c r="L366" s="2"/>
    </row>
    <row r="367">
      <c r="F367" s="1"/>
      <c r="L367" s="2"/>
    </row>
    <row r="368">
      <c r="F368" s="1"/>
      <c r="L368" s="2"/>
    </row>
    <row r="369">
      <c r="F369" s="1"/>
      <c r="L369" s="2"/>
    </row>
    <row r="370">
      <c r="F370" s="1"/>
      <c r="L370" s="2"/>
    </row>
    <row r="371">
      <c r="F371" s="1"/>
      <c r="L371" s="2"/>
    </row>
    <row r="372">
      <c r="F372" s="1"/>
      <c r="L372" s="2"/>
    </row>
    <row r="373">
      <c r="F373" s="1"/>
      <c r="L373" s="2"/>
    </row>
    <row r="374">
      <c r="F374" s="1"/>
      <c r="L374" s="2"/>
    </row>
    <row r="375">
      <c r="F375" s="1"/>
      <c r="L375" s="2"/>
    </row>
    <row r="376">
      <c r="F376" s="1"/>
      <c r="L376" s="2"/>
    </row>
    <row r="377">
      <c r="F377" s="1"/>
      <c r="L377" s="2"/>
    </row>
    <row r="378">
      <c r="F378" s="1"/>
      <c r="L378" s="2"/>
    </row>
    <row r="379">
      <c r="F379" s="1"/>
      <c r="L379" s="2"/>
    </row>
    <row r="380">
      <c r="F380" s="1"/>
      <c r="L380" s="2"/>
    </row>
    <row r="381">
      <c r="F381" s="1"/>
      <c r="L381" s="2"/>
    </row>
    <row r="382">
      <c r="F382" s="1"/>
      <c r="L382" s="2"/>
    </row>
    <row r="383">
      <c r="F383" s="1"/>
      <c r="L383" s="2"/>
    </row>
    <row r="384">
      <c r="F384" s="1"/>
      <c r="L384" s="2"/>
    </row>
    <row r="385">
      <c r="F385" s="1"/>
      <c r="L385" s="2"/>
    </row>
    <row r="386">
      <c r="F386" s="1"/>
      <c r="L386" s="2"/>
    </row>
    <row r="387">
      <c r="F387" s="1"/>
      <c r="L387" s="2"/>
    </row>
    <row r="388">
      <c r="F388" s="1"/>
      <c r="L388" s="2"/>
    </row>
    <row r="389">
      <c r="F389" s="1"/>
      <c r="L389" s="2"/>
    </row>
    <row r="390">
      <c r="F390" s="1"/>
      <c r="L390" s="2"/>
    </row>
    <row r="391">
      <c r="F391" s="1"/>
      <c r="L391" s="2"/>
    </row>
    <row r="392">
      <c r="F392" s="1"/>
      <c r="L392" s="2"/>
    </row>
    <row r="393">
      <c r="F393" s="1"/>
      <c r="L393" s="2"/>
    </row>
    <row r="394">
      <c r="F394" s="1"/>
      <c r="L394" s="2"/>
    </row>
    <row r="395">
      <c r="F395" s="1"/>
      <c r="L395" s="2"/>
    </row>
    <row r="396">
      <c r="F396" s="1"/>
      <c r="L396" s="2"/>
    </row>
    <row r="397">
      <c r="F397" s="1"/>
      <c r="L397" s="2"/>
    </row>
    <row r="398">
      <c r="F398" s="1"/>
      <c r="L398" s="2"/>
    </row>
    <row r="399">
      <c r="F399" s="1"/>
      <c r="L399" s="2"/>
    </row>
    <row r="400">
      <c r="F400" s="1"/>
      <c r="L400" s="2"/>
    </row>
    <row r="401">
      <c r="F401" s="1"/>
      <c r="L401" s="2"/>
    </row>
    <row r="402">
      <c r="F402" s="1"/>
      <c r="L402" s="2"/>
    </row>
    <row r="403">
      <c r="F403" s="1"/>
      <c r="L403" s="2"/>
    </row>
    <row r="404">
      <c r="F404" s="1"/>
      <c r="L404" s="2"/>
    </row>
    <row r="405">
      <c r="F405" s="1"/>
      <c r="L405" s="2"/>
    </row>
    <row r="406">
      <c r="F406" s="1"/>
      <c r="L406" s="2"/>
    </row>
    <row r="407">
      <c r="F407" s="1"/>
      <c r="L407" s="2"/>
    </row>
    <row r="408">
      <c r="F408" s="1"/>
      <c r="L408" s="2"/>
    </row>
    <row r="409">
      <c r="F409" s="1"/>
      <c r="L409" s="2"/>
    </row>
    <row r="410">
      <c r="F410" s="1"/>
      <c r="L410" s="2"/>
    </row>
    <row r="411">
      <c r="F411" s="1"/>
      <c r="L411" s="2"/>
    </row>
    <row r="412">
      <c r="F412" s="1"/>
      <c r="L412" s="2"/>
    </row>
    <row r="413">
      <c r="F413" s="1"/>
      <c r="L413" s="2"/>
    </row>
    <row r="414">
      <c r="F414" s="1"/>
      <c r="L414" s="2"/>
    </row>
    <row r="415">
      <c r="F415" s="1"/>
      <c r="L415" s="2"/>
    </row>
    <row r="416">
      <c r="F416" s="1"/>
      <c r="L416" s="2"/>
    </row>
    <row r="417">
      <c r="F417" s="1"/>
      <c r="L417" s="2"/>
    </row>
    <row r="418">
      <c r="F418" s="1"/>
      <c r="L418" s="2"/>
    </row>
    <row r="419">
      <c r="F419" s="1"/>
      <c r="L419" s="2"/>
    </row>
    <row r="420">
      <c r="F420" s="1"/>
      <c r="L420" s="2"/>
    </row>
    <row r="421">
      <c r="F421" s="1"/>
      <c r="L421" s="2"/>
    </row>
    <row r="422">
      <c r="F422" s="1"/>
      <c r="L422" s="2"/>
    </row>
    <row r="423">
      <c r="F423" s="1"/>
      <c r="L423" s="2"/>
    </row>
    <row r="424">
      <c r="F424" s="1"/>
      <c r="L424" s="2"/>
    </row>
    <row r="425">
      <c r="F425" s="1"/>
      <c r="L425" s="2"/>
    </row>
    <row r="426">
      <c r="F426" s="1"/>
      <c r="L426" s="2"/>
    </row>
    <row r="427">
      <c r="F427" s="1"/>
      <c r="L427" s="2"/>
    </row>
    <row r="428">
      <c r="F428" s="1"/>
      <c r="L428" s="2"/>
    </row>
    <row r="429">
      <c r="F429" s="1"/>
      <c r="L429" s="2"/>
    </row>
    <row r="430">
      <c r="F430" s="1"/>
      <c r="L430" s="2"/>
    </row>
    <row r="431">
      <c r="F431" s="1"/>
      <c r="L431" s="2"/>
    </row>
    <row r="432">
      <c r="F432" s="1"/>
      <c r="L432" s="2"/>
    </row>
    <row r="433">
      <c r="F433" s="1"/>
      <c r="L433" s="2"/>
    </row>
    <row r="434">
      <c r="F434" s="1"/>
      <c r="L434" s="2"/>
    </row>
    <row r="435">
      <c r="F435" s="1"/>
      <c r="L435" s="2"/>
    </row>
    <row r="436">
      <c r="F436" s="1"/>
      <c r="L436" s="2"/>
    </row>
    <row r="437">
      <c r="F437" s="1"/>
      <c r="L437" s="2"/>
    </row>
    <row r="438">
      <c r="F438" s="1"/>
      <c r="L438" s="2"/>
    </row>
    <row r="439">
      <c r="F439" s="1"/>
      <c r="L439" s="2"/>
    </row>
    <row r="440">
      <c r="F440" s="1"/>
      <c r="L440" s="2"/>
    </row>
    <row r="441">
      <c r="F441" s="1"/>
      <c r="L441" s="2"/>
    </row>
    <row r="442">
      <c r="F442" s="1"/>
      <c r="L442" s="2"/>
    </row>
    <row r="443">
      <c r="F443" s="1"/>
      <c r="L443" s="2"/>
    </row>
    <row r="444">
      <c r="F444" s="1"/>
      <c r="L444" s="2"/>
    </row>
    <row r="445">
      <c r="F445" s="1"/>
      <c r="L445" s="2"/>
    </row>
    <row r="446">
      <c r="F446" s="1"/>
      <c r="L446" s="2"/>
    </row>
    <row r="447">
      <c r="F447" s="1"/>
      <c r="L447" s="2"/>
    </row>
    <row r="448">
      <c r="F448" s="1"/>
      <c r="L448" s="2"/>
    </row>
    <row r="449">
      <c r="F449" s="1"/>
      <c r="L449" s="2"/>
    </row>
    <row r="450">
      <c r="F450" s="1"/>
      <c r="L450" s="2"/>
    </row>
    <row r="451">
      <c r="F451" s="1"/>
      <c r="L451" s="2"/>
    </row>
    <row r="452">
      <c r="F452" s="1"/>
      <c r="L452" s="2"/>
    </row>
    <row r="453">
      <c r="F453" s="1"/>
      <c r="L453" s="2"/>
    </row>
    <row r="454">
      <c r="F454" s="1"/>
      <c r="L454" s="2"/>
    </row>
    <row r="455">
      <c r="F455" s="1"/>
      <c r="L455" s="2"/>
    </row>
    <row r="456">
      <c r="F456" s="1"/>
      <c r="L456" s="2"/>
    </row>
    <row r="457">
      <c r="F457" s="1"/>
      <c r="L457" s="2"/>
    </row>
    <row r="458">
      <c r="F458" s="1"/>
      <c r="L458" s="2"/>
    </row>
    <row r="459">
      <c r="F459" s="1"/>
      <c r="L459" s="2"/>
    </row>
    <row r="460">
      <c r="F460" s="1"/>
      <c r="L460" s="2"/>
    </row>
    <row r="461">
      <c r="F461" s="1"/>
      <c r="L461" s="2"/>
    </row>
    <row r="462">
      <c r="F462" s="1"/>
      <c r="L462" s="2"/>
    </row>
    <row r="463">
      <c r="F463" s="1"/>
      <c r="L463" s="2"/>
    </row>
    <row r="464">
      <c r="F464" s="1"/>
      <c r="L464" s="2"/>
    </row>
    <row r="465">
      <c r="F465" s="1"/>
      <c r="L465" s="2"/>
    </row>
    <row r="466">
      <c r="F466" s="1"/>
      <c r="L466" s="2"/>
    </row>
    <row r="467">
      <c r="F467" s="1"/>
      <c r="L467" s="2"/>
    </row>
    <row r="468">
      <c r="F468" s="1"/>
      <c r="L468" s="2"/>
    </row>
    <row r="469">
      <c r="F469" s="1"/>
      <c r="L469" s="2"/>
    </row>
    <row r="470">
      <c r="F470" s="1"/>
      <c r="L470" s="2"/>
    </row>
    <row r="471">
      <c r="F471" s="1"/>
      <c r="L471" s="2"/>
    </row>
    <row r="472">
      <c r="F472" s="1"/>
      <c r="L472" s="2"/>
    </row>
    <row r="473">
      <c r="F473" s="1"/>
      <c r="L473" s="2"/>
    </row>
    <row r="474">
      <c r="F474" s="1"/>
      <c r="L474" s="2"/>
    </row>
    <row r="475">
      <c r="F475" s="1"/>
      <c r="L475" s="2"/>
    </row>
    <row r="476">
      <c r="F476" s="1"/>
      <c r="L476" s="2"/>
    </row>
    <row r="477">
      <c r="F477" s="1"/>
      <c r="L477" s="2"/>
    </row>
    <row r="478">
      <c r="F478" s="1"/>
      <c r="L478" s="2"/>
    </row>
    <row r="479">
      <c r="F479" s="1"/>
      <c r="L479" s="2"/>
    </row>
    <row r="480">
      <c r="F480" s="1"/>
      <c r="L480" s="2"/>
    </row>
    <row r="481">
      <c r="F481" s="1"/>
      <c r="L481" s="2"/>
    </row>
    <row r="482">
      <c r="F482" s="1"/>
      <c r="L482" s="2"/>
    </row>
    <row r="483">
      <c r="F483" s="1"/>
      <c r="L483" s="2"/>
    </row>
    <row r="484">
      <c r="F484" s="1"/>
      <c r="L484" s="2"/>
    </row>
    <row r="485">
      <c r="F485" s="1"/>
      <c r="L485" s="2"/>
    </row>
    <row r="486">
      <c r="F486" s="1"/>
      <c r="L486" s="2"/>
    </row>
    <row r="487">
      <c r="F487" s="1"/>
      <c r="L487" s="2"/>
    </row>
    <row r="488">
      <c r="F488" s="1"/>
      <c r="L488" s="2"/>
    </row>
    <row r="489">
      <c r="F489" s="1"/>
      <c r="L489" s="2"/>
    </row>
    <row r="490">
      <c r="F490" s="1"/>
      <c r="L490" s="2"/>
    </row>
    <row r="491">
      <c r="F491" s="1"/>
      <c r="L491" s="2"/>
    </row>
    <row r="492">
      <c r="F492" s="1"/>
      <c r="L492" s="2"/>
    </row>
    <row r="493">
      <c r="F493" s="1"/>
      <c r="L493" s="2"/>
    </row>
    <row r="494">
      <c r="F494" s="1"/>
      <c r="L494" s="2"/>
    </row>
    <row r="495">
      <c r="F495" s="1"/>
      <c r="L495" s="2"/>
    </row>
    <row r="496">
      <c r="F496" s="1"/>
      <c r="L496" s="2"/>
    </row>
    <row r="497">
      <c r="F497" s="1"/>
      <c r="L497" s="2"/>
    </row>
    <row r="498">
      <c r="F498" s="1"/>
      <c r="L498" s="2"/>
    </row>
    <row r="499">
      <c r="F499" s="1"/>
      <c r="L499" s="2"/>
    </row>
    <row r="500">
      <c r="F500" s="1"/>
      <c r="L500" s="2"/>
    </row>
    <row r="501">
      <c r="F501" s="1"/>
      <c r="L501" s="2"/>
    </row>
    <row r="502">
      <c r="F502" s="1"/>
      <c r="L502" s="2"/>
    </row>
    <row r="503">
      <c r="F503" s="1"/>
      <c r="L503" s="2"/>
    </row>
    <row r="504">
      <c r="F504" s="1"/>
      <c r="L504" s="2"/>
    </row>
    <row r="505">
      <c r="F505" s="1"/>
      <c r="L505" s="2"/>
    </row>
    <row r="506">
      <c r="F506" s="1"/>
      <c r="L506" s="2"/>
    </row>
    <row r="507">
      <c r="F507" s="1"/>
      <c r="L507" s="2"/>
    </row>
    <row r="508">
      <c r="F508" s="1"/>
      <c r="L508" s="2"/>
    </row>
    <row r="509">
      <c r="F509" s="1"/>
      <c r="L509" s="2"/>
    </row>
    <row r="510">
      <c r="F510" s="1"/>
      <c r="L510" s="2"/>
    </row>
    <row r="511">
      <c r="F511" s="1"/>
      <c r="L511" s="2"/>
    </row>
    <row r="512">
      <c r="F512" s="1"/>
      <c r="L512" s="2"/>
    </row>
    <row r="513">
      <c r="F513" s="1"/>
      <c r="L513" s="2"/>
    </row>
    <row r="514">
      <c r="F514" s="1"/>
      <c r="L514" s="2"/>
    </row>
    <row r="515">
      <c r="F515" s="1"/>
      <c r="L515" s="2"/>
    </row>
    <row r="516">
      <c r="F516" s="1"/>
      <c r="L516" s="2"/>
    </row>
    <row r="517">
      <c r="F517" s="1"/>
      <c r="L517" s="2"/>
    </row>
    <row r="518">
      <c r="F518" s="1"/>
      <c r="L518" s="2"/>
    </row>
    <row r="519">
      <c r="F519" s="1"/>
      <c r="L519" s="2"/>
    </row>
    <row r="520">
      <c r="F520" s="1"/>
      <c r="L520" s="2"/>
    </row>
    <row r="521">
      <c r="F521" s="1"/>
      <c r="L521" s="2"/>
    </row>
    <row r="522">
      <c r="F522" s="1"/>
      <c r="L522" s="2"/>
    </row>
    <row r="523">
      <c r="F523" s="1"/>
      <c r="L523" s="2"/>
    </row>
    <row r="524">
      <c r="F524" s="1"/>
      <c r="L524" s="2"/>
    </row>
    <row r="525">
      <c r="F525" s="1"/>
      <c r="L525" s="2"/>
    </row>
    <row r="526">
      <c r="F526" s="1"/>
      <c r="L526" s="2"/>
    </row>
    <row r="527">
      <c r="F527" s="1"/>
      <c r="L527" s="2"/>
    </row>
    <row r="528">
      <c r="F528" s="1"/>
      <c r="L528" s="2"/>
    </row>
    <row r="529">
      <c r="F529" s="1"/>
      <c r="L529" s="2"/>
    </row>
    <row r="530">
      <c r="F530" s="1"/>
      <c r="L530" s="2"/>
    </row>
    <row r="531">
      <c r="F531" s="1"/>
      <c r="L531" s="2"/>
    </row>
    <row r="532">
      <c r="F532" s="1"/>
      <c r="L532" s="2"/>
    </row>
    <row r="533">
      <c r="F533" s="1"/>
      <c r="L533" s="2"/>
    </row>
    <row r="534">
      <c r="F534" s="1"/>
      <c r="L534" s="2"/>
    </row>
    <row r="535">
      <c r="F535" s="1"/>
      <c r="L535" s="2"/>
    </row>
    <row r="536">
      <c r="F536" s="1"/>
      <c r="L536" s="2"/>
    </row>
    <row r="537">
      <c r="F537" s="1"/>
      <c r="L537" s="2"/>
    </row>
    <row r="538">
      <c r="F538" s="1"/>
      <c r="L538" s="2"/>
    </row>
    <row r="539">
      <c r="F539" s="1"/>
      <c r="L539" s="2"/>
    </row>
    <row r="540">
      <c r="F540" s="1"/>
      <c r="L540" s="2"/>
    </row>
    <row r="541">
      <c r="F541" s="1"/>
      <c r="L541" s="2"/>
    </row>
    <row r="542">
      <c r="F542" s="1"/>
      <c r="L542" s="2"/>
    </row>
    <row r="543">
      <c r="F543" s="1"/>
      <c r="L543" s="2"/>
    </row>
    <row r="544">
      <c r="F544" s="1"/>
      <c r="L544" s="2"/>
    </row>
    <row r="545">
      <c r="F545" s="1"/>
      <c r="L545" s="2"/>
    </row>
    <row r="546">
      <c r="F546" s="1"/>
      <c r="L546" s="2"/>
    </row>
    <row r="547">
      <c r="F547" s="1"/>
      <c r="L547" s="2"/>
    </row>
    <row r="548">
      <c r="F548" s="1"/>
      <c r="L548" s="2"/>
    </row>
    <row r="549">
      <c r="F549" s="1"/>
      <c r="L549" s="2"/>
    </row>
    <row r="550">
      <c r="F550" s="1"/>
      <c r="L550" s="2"/>
    </row>
    <row r="551">
      <c r="F551" s="1"/>
      <c r="L551" s="2"/>
    </row>
    <row r="552">
      <c r="F552" s="1"/>
      <c r="L552" s="2"/>
    </row>
    <row r="553">
      <c r="F553" s="1"/>
      <c r="L553" s="2"/>
    </row>
    <row r="554">
      <c r="F554" s="1"/>
      <c r="L554" s="2"/>
    </row>
    <row r="555">
      <c r="F555" s="1"/>
      <c r="L555" s="2"/>
    </row>
    <row r="556">
      <c r="F556" s="1"/>
      <c r="L556" s="2"/>
    </row>
    <row r="557">
      <c r="F557" s="1"/>
      <c r="L557" s="2"/>
    </row>
    <row r="558">
      <c r="F558" s="1"/>
      <c r="L558" s="2"/>
    </row>
    <row r="559">
      <c r="F559" s="1"/>
      <c r="L559" s="2"/>
    </row>
    <row r="560">
      <c r="F560" s="1"/>
      <c r="L560" s="2"/>
    </row>
    <row r="561">
      <c r="F561" s="1"/>
      <c r="L561" s="2"/>
    </row>
    <row r="562">
      <c r="F562" s="1"/>
      <c r="L562" s="2"/>
    </row>
    <row r="563">
      <c r="F563" s="1"/>
      <c r="L563" s="2"/>
    </row>
    <row r="564">
      <c r="F564" s="1"/>
      <c r="L564" s="2"/>
    </row>
    <row r="565">
      <c r="F565" s="1"/>
      <c r="L565" s="2"/>
    </row>
    <row r="566">
      <c r="F566" s="1"/>
      <c r="L566" s="2"/>
    </row>
    <row r="567">
      <c r="F567" s="1"/>
      <c r="L567" s="2"/>
    </row>
    <row r="568">
      <c r="F568" s="1"/>
      <c r="L568" s="2"/>
    </row>
    <row r="569">
      <c r="F569" s="1"/>
      <c r="L569" s="2"/>
    </row>
    <row r="570">
      <c r="F570" s="1"/>
      <c r="L570" s="2"/>
    </row>
    <row r="571">
      <c r="F571" s="1"/>
      <c r="L571" s="2"/>
    </row>
    <row r="572">
      <c r="F572" s="1"/>
      <c r="L572" s="2"/>
    </row>
    <row r="573">
      <c r="F573" s="1"/>
      <c r="L573" s="2"/>
    </row>
    <row r="574">
      <c r="F574" s="1"/>
      <c r="L574" s="2"/>
    </row>
    <row r="575">
      <c r="F575" s="1"/>
      <c r="L575" s="2"/>
    </row>
    <row r="576">
      <c r="F576" s="1"/>
      <c r="L576" s="2"/>
    </row>
    <row r="577">
      <c r="F577" s="1"/>
      <c r="L577" s="2"/>
    </row>
    <row r="578">
      <c r="F578" s="1"/>
      <c r="L578" s="2"/>
    </row>
    <row r="579">
      <c r="F579" s="1"/>
      <c r="L579" s="2"/>
    </row>
    <row r="580">
      <c r="F580" s="1"/>
      <c r="L580" s="2"/>
    </row>
    <row r="581">
      <c r="F581" s="1"/>
      <c r="L581" s="2"/>
    </row>
    <row r="582">
      <c r="F582" s="1"/>
      <c r="L582" s="2"/>
    </row>
    <row r="583">
      <c r="F583" s="1"/>
      <c r="L583" s="2"/>
    </row>
    <row r="584">
      <c r="F584" s="1"/>
      <c r="L584" s="2"/>
    </row>
    <row r="585">
      <c r="F585" s="1"/>
      <c r="L585" s="2"/>
    </row>
    <row r="586">
      <c r="F586" s="1"/>
      <c r="L586" s="2"/>
    </row>
    <row r="587">
      <c r="F587" s="1"/>
      <c r="L587" s="2"/>
    </row>
    <row r="588">
      <c r="F588" s="1"/>
      <c r="L588" s="2"/>
    </row>
    <row r="589">
      <c r="F589" s="1"/>
      <c r="L589" s="2"/>
    </row>
    <row r="590">
      <c r="F590" s="1"/>
      <c r="L590" s="2"/>
    </row>
    <row r="591">
      <c r="F591" s="1"/>
      <c r="L591" s="2"/>
    </row>
    <row r="592">
      <c r="F592" s="1"/>
      <c r="L592" s="2"/>
    </row>
    <row r="593">
      <c r="F593" s="1"/>
      <c r="L593" s="2"/>
    </row>
    <row r="594">
      <c r="F594" s="1"/>
      <c r="L594" s="2"/>
    </row>
    <row r="595">
      <c r="F595" s="1"/>
      <c r="L595" s="2"/>
    </row>
    <row r="596">
      <c r="F596" s="1"/>
      <c r="L596" s="2"/>
    </row>
    <row r="597">
      <c r="F597" s="1"/>
      <c r="L597" s="2"/>
    </row>
    <row r="598">
      <c r="F598" s="1"/>
      <c r="L598" s="2"/>
    </row>
    <row r="599">
      <c r="F599" s="1"/>
      <c r="L599" s="2"/>
    </row>
    <row r="600">
      <c r="F600" s="1"/>
      <c r="L600" s="2"/>
    </row>
    <row r="601">
      <c r="F601" s="1"/>
      <c r="L601" s="2"/>
    </row>
    <row r="602">
      <c r="F602" s="1"/>
      <c r="L602" s="2"/>
    </row>
    <row r="603">
      <c r="F603" s="1"/>
      <c r="L603" s="2"/>
    </row>
    <row r="604">
      <c r="F604" s="1"/>
      <c r="L604" s="2"/>
    </row>
    <row r="605">
      <c r="F605" s="1"/>
      <c r="L605" s="2"/>
    </row>
    <row r="606">
      <c r="F606" s="1"/>
      <c r="L606" s="2"/>
    </row>
    <row r="607">
      <c r="F607" s="1"/>
      <c r="L607" s="2"/>
    </row>
    <row r="608">
      <c r="F608" s="1"/>
      <c r="L608" s="2"/>
    </row>
    <row r="609">
      <c r="F609" s="1"/>
      <c r="L609" s="2"/>
    </row>
    <row r="610">
      <c r="F610" s="1"/>
      <c r="L610" s="2"/>
    </row>
    <row r="611">
      <c r="F611" s="1"/>
      <c r="L611" s="2"/>
    </row>
    <row r="612">
      <c r="F612" s="1"/>
      <c r="L612" s="2"/>
    </row>
    <row r="613">
      <c r="F613" s="1"/>
      <c r="L613" s="2"/>
    </row>
    <row r="614">
      <c r="F614" s="1"/>
      <c r="L614" s="2"/>
    </row>
    <row r="615">
      <c r="F615" s="1"/>
      <c r="L615" s="2"/>
    </row>
    <row r="616">
      <c r="F616" s="1"/>
      <c r="L616" s="2"/>
    </row>
    <row r="617">
      <c r="F617" s="1"/>
      <c r="L617" s="2"/>
    </row>
    <row r="618">
      <c r="F618" s="1"/>
      <c r="L618" s="2"/>
    </row>
    <row r="619">
      <c r="F619" s="1"/>
      <c r="L619" s="2"/>
    </row>
    <row r="620">
      <c r="F620" s="1"/>
      <c r="L620" s="2"/>
    </row>
    <row r="621">
      <c r="F621" s="1"/>
      <c r="L621" s="2"/>
    </row>
    <row r="622">
      <c r="F622" s="1"/>
      <c r="L622" s="2"/>
    </row>
    <row r="623">
      <c r="F623" s="1"/>
      <c r="L623" s="2"/>
    </row>
    <row r="624">
      <c r="F624" s="1"/>
      <c r="L624" s="2"/>
    </row>
    <row r="625">
      <c r="F625" s="1"/>
      <c r="L625" s="2"/>
    </row>
    <row r="626">
      <c r="F626" s="1"/>
      <c r="L626" s="2"/>
    </row>
    <row r="627">
      <c r="F627" s="1"/>
      <c r="L627" s="2"/>
    </row>
    <row r="628">
      <c r="F628" s="1"/>
      <c r="L628" s="2"/>
    </row>
    <row r="629">
      <c r="F629" s="1"/>
      <c r="L629" s="2"/>
    </row>
    <row r="630">
      <c r="F630" s="1"/>
      <c r="L630" s="2"/>
    </row>
    <row r="631">
      <c r="F631" s="1"/>
      <c r="L631" s="2"/>
    </row>
    <row r="632">
      <c r="F632" s="1"/>
      <c r="L632" s="2"/>
    </row>
    <row r="633">
      <c r="F633" s="1"/>
      <c r="L633" s="2"/>
    </row>
    <row r="634">
      <c r="F634" s="1"/>
      <c r="L634" s="2"/>
    </row>
    <row r="635">
      <c r="F635" s="1"/>
      <c r="L635" s="2"/>
    </row>
    <row r="636">
      <c r="F636" s="1"/>
      <c r="L636" s="2"/>
    </row>
    <row r="637">
      <c r="F637" s="1"/>
      <c r="L637" s="2"/>
    </row>
    <row r="638">
      <c r="F638" s="1"/>
      <c r="L638" s="2"/>
    </row>
    <row r="639">
      <c r="F639" s="1"/>
      <c r="L639" s="2"/>
    </row>
    <row r="640">
      <c r="F640" s="1"/>
      <c r="L640" s="2"/>
    </row>
    <row r="641">
      <c r="F641" s="1"/>
      <c r="L641" s="2"/>
    </row>
    <row r="642">
      <c r="F642" s="1"/>
      <c r="L642" s="2"/>
    </row>
    <row r="643">
      <c r="F643" s="1"/>
      <c r="L643" s="2"/>
    </row>
    <row r="644">
      <c r="F644" s="1"/>
      <c r="L644" s="2"/>
    </row>
    <row r="645">
      <c r="F645" s="1"/>
      <c r="L645" s="2"/>
    </row>
    <row r="646">
      <c r="F646" s="1"/>
      <c r="L646" s="2"/>
    </row>
    <row r="647">
      <c r="F647" s="1"/>
      <c r="L647" s="2"/>
    </row>
    <row r="648">
      <c r="F648" s="1"/>
      <c r="L648" s="2"/>
    </row>
    <row r="649">
      <c r="F649" s="1"/>
      <c r="L649" s="2"/>
    </row>
    <row r="650">
      <c r="F650" s="1"/>
      <c r="L650" s="2"/>
    </row>
    <row r="651">
      <c r="F651" s="1"/>
      <c r="L651" s="2"/>
    </row>
    <row r="652">
      <c r="F652" s="1"/>
      <c r="L652" s="2"/>
    </row>
    <row r="653">
      <c r="F653" s="1"/>
      <c r="L653" s="2"/>
    </row>
    <row r="654">
      <c r="F654" s="1"/>
      <c r="L654" s="2"/>
    </row>
    <row r="655">
      <c r="F655" s="1"/>
      <c r="L655" s="2"/>
    </row>
    <row r="656">
      <c r="F656" s="1"/>
      <c r="L656" s="2"/>
    </row>
    <row r="657">
      <c r="F657" s="1"/>
      <c r="L657" s="2"/>
    </row>
    <row r="658">
      <c r="F658" s="1"/>
      <c r="L658" s="2"/>
    </row>
    <row r="659">
      <c r="F659" s="1"/>
      <c r="L659" s="2"/>
    </row>
    <row r="660">
      <c r="F660" s="1"/>
      <c r="L660" s="2"/>
    </row>
    <row r="661">
      <c r="F661" s="1"/>
      <c r="L661" s="2"/>
    </row>
    <row r="662">
      <c r="F662" s="1"/>
      <c r="L662" s="2"/>
    </row>
    <row r="663">
      <c r="F663" s="1"/>
      <c r="L663" s="2"/>
    </row>
    <row r="664">
      <c r="F664" s="1"/>
      <c r="L664" s="2"/>
    </row>
    <row r="665">
      <c r="F665" s="1"/>
      <c r="L665" s="2"/>
    </row>
    <row r="666">
      <c r="F666" s="1"/>
      <c r="L666" s="2"/>
    </row>
    <row r="667">
      <c r="F667" s="1"/>
      <c r="L667" s="2"/>
    </row>
    <row r="668">
      <c r="F668" s="1"/>
      <c r="L668" s="2"/>
    </row>
    <row r="669">
      <c r="F669" s="1"/>
      <c r="L669" s="2"/>
    </row>
    <row r="670">
      <c r="F670" s="1"/>
      <c r="L670" s="2"/>
    </row>
    <row r="671">
      <c r="F671" s="1"/>
      <c r="L671" s="2"/>
    </row>
    <row r="672">
      <c r="F672" s="1"/>
      <c r="L672" s="2"/>
    </row>
    <row r="673">
      <c r="F673" s="1"/>
      <c r="L673" s="2"/>
    </row>
    <row r="674">
      <c r="F674" s="1"/>
      <c r="L674" s="2"/>
    </row>
    <row r="675">
      <c r="F675" s="1"/>
      <c r="L675" s="2"/>
    </row>
    <row r="676">
      <c r="F676" s="1"/>
      <c r="L676" s="2"/>
    </row>
    <row r="677">
      <c r="F677" s="1"/>
      <c r="L677" s="2"/>
    </row>
    <row r="678">
      <c r="F678" s="1"/>
      <c r="L678" s="2"/>
    </row>
    <row r="679">
      <c r="F679" s="1"/>
      <c r="L679" s="2"/>
    </row>
    <row r="680">
      <c r="F680" s="1"/>
      <c r="L680" s="2"/>
    </row>
    <row r="681">
      <c r="F681" s="1"/>
      <c r="L681" s="2"/>
    </row>
    <row r="682">
      <c r="F682" s="1"/>
      <c r="L682" s="2"/>
    </row>
    <row r="683">
      <c r="F683" s="1"/>
      <c r="L683" s="2"/>
    </row>
    <row r="684">
      <c r="F684" s="1"/>
      <c r="L684" s="2"/>
    </row>
    <row r="685">
      <c r="F685" s="1"/>
      <c r="L685" s="2"/>
    </row>
    <row r="686">
      <c r="F686" s="1"/>
      <c r="L686" s="2"/>
    </row>
    <row r="687">
      <c r="F687" s="1"/>
      <c r="L687" s="2"/>
    </row>
    <row r="688">
      <c r="F688" s="1"/>
      <c r="L688" s="2"/>
    </row>
    <row r="689">
      <c r="F689" s="1"/>
      <c r="L689" s="2"/>
    </row>
    <row r="690">
      <c r="F690" s="1"/>
      <c r="L690" s="2"/>
    </row>
    <row r="691">
      <c r="F691" s="1"/>
      <c r="L691" s="2"/>
    </row>
    <row r="692">
      <c r="F692" s="1"/>
      <c r="L692" s="2"/>
    </row>
    <row r="693">
      <c r="F693" s="1"/>
      <c r="L693" s="2"/>
    </row>
    <row r="694">
      <c r="F694" s="1"/>
      <c r="L694" s="2"/>
    </row>
    <row r="695">
      <c r="F695" s="1"/>
      <c r="L695" s="2"/>
    </row>
    <row r="696">
      <c r="F696" s="1"/>
      <c r="L696" s="2"/>
    </row>
    <row r="697">
      <c r="F697" s="1"/>
      <c r="L697" s="2"/>
    </row>
    <row r="698">
      <c r="F698" s="1"/>
      <c r="L698" s="2"/>
    </row>
    <row r="699">
      <c r="F699" s="1"/>
      <c r="L699" s="2"/>
    </row>
    <row r="700">
      <c r="F700" s="1"/>
      <c r="L700" s="2"/>
    </row>
    <row r="701">
      <c r="F701" s="1"/>
      <c r="L701" s="2"/>
    </row>
    <row r="702">
      <c r="F702" s="1"/>
      <c r="L702" s="2"/>
    </row>
    <row r="703">
      <c r="F703" s="1"/>
      <c r="L703" s="2"/>
    </row>
    <row r="704">
      <c r="F704" s="1"/>
      <c r="L704" s="2"/>
    </row>
    <row r="705">
      <c r="F705" s="1"/>
      <c r="L705" s="2"/>
    </row>
    <row r="706">
      <c r="F706" s="1"/>
      <c r="L706" s="2"/>
    </row>
    <row r="707">
      <c r="F707" s="1"/>
      <c r="L707" s="2"/>
    </row>
    <row r="708">
      <c r="F708" s="1"/>
      <c r="L708" s="2"/>
    </row>
    <row r="709">
      <c r="F709" s="1"/>
      <c r="L709" s="2"/>
    </row>
    <row r="710">
      <c r="F710" s="1"/>
      <c r="L710" s="2"/>
    </row>
    <row r="711">
      <c r="F711" s="1"/>
      <c r="L711" s="2"/>
    </row>
    <row r="712">
      <c r="F712" s="1"/>
      <c r="L712" s="2"/>
    </row>
    <row r="713">
      <c r="F713" s="1"/>
      <c r="L713" s="2"/>
    </row>
    <row r="714">
      <c r="F714" s="1"/>
      <c r="L714" s="2"/>
    </row>
    <row r="715">
      <c r="F715" s="1"/>
      <c r="L715" s="2"/>
    </row>
    <row r="716">
      <c r="F716" s="1"/>
      <c r="L716" s="2"/>
    </row>
    <row r="717">
      <c r="F717" s="1"/>
      <c r="L717" s="2"/>
    </row>
    <row r="718">
      <c r="F718" s="1"/>
      <c r="L718" s="2"/>
    </row>
    <row r="719">
      <c r="F719" s="1"/>
      <c r="L719" s="2"/>
    </row>
    <row r="720">
      <c r="F720" s="1"/>
      <c r="L720" s="2"/>
    </row>
    <row r="721">
      <c r="F721" s="1"/>
      <c r="L721" s="2"/>
    </row>
    <row r="722">
      <c r="F722" s="1"/>
      <c r="L722" s="2"/>
    </row>
    <row r="723">
      <c r="F723" s="1"/>
      <c r="L723" s="2"/>
    </row>
    <row r="724">
      <c r="F724" s="1"/>
      <c r="L724" s="2"/>
    </row>
    <row r="725">
      <c r="F725" s="1"/>
      <c r="L725" s="2"/>
    </row>
    <row r="726">
      <c r="F726" s="1"/>
      <c r="L726" s="2"/>
    </row>
    <row r="727">
      <c r="F727" s="1"/>
      <c r="L727" s="2"/>
    </row>
    <row r="728">
      <c r="F728" s="1"/>
      <c r="L728" s="2"/>
    </row>
    <row r="729">
      <c r="F729" s="1"/>
      <c r="L729" s="2"/>
    </row>
    <row r="730">
      <c r="F730" s="1"/>
      <c r="L730" s="2"/>
    </row>
    <row r="731">
      <c r="F731" s="1"/>
      <c r="L731" s="2"/>
    </row>
    <row r="732">
      <c r="F732" s="1"/>
      <c r="L732" s="2"/>
    </row>
    <row r="733">
      <c r="F733" s="1"/>
      <c r="L733" s="2"/>
    </row>
    <row r="734">
      <c r="F734" s="1"/>
      <c r="L734" s="2"/>
    </row>
    <row r="735">
      <c r="F735" s="1"/>
      <c r="L735" s="2"/>
    </row>
    <row r="736">
      <c r="F736" s="1"/>
      <c r="L736" s="2"/>
    </row>
    <row r="737">
      <c r="F737" s="1"/>
      <c r="L737" s="2"/>
    </row>
    <row r="738">
      <c r="F738" s="1"/>
      <c r="L738" s="2"/>
    </row>
    <row r="739">
      <c r="F739" s="1"/>
      <c r="L739" s="2"/>
    </row>
    <row r="740">
      <c r="F740" s="1"/>
      <c r="L740" s="2"/>
    </row>
    <row r="741">
      <c r="F741" s="1"/>
      <c r="L741" s="2"/>
    </row>
    <row r="742">
      <c r="F742" s="1"/>
      <c r="L742" s="2"/>
    </row>
    <row r="743">
      <c r="F743" s="1"/>
      <c r="L743" s="2"/>
    </row>
    <row r="744">
      <c r="F744" s="1"/>
      <c r="L744" s="2"/>
    </row>
    <row r="745">
      <c r="F745" s="1"/>
      <c r="L745" s="2"/>
    </row>
    <row r="746">
      <c r="F746" s="1"/>
      <c r="L746" s="2"/>
    </row>
    <row r="747">
      <c r="F747" s="1"/>
      <c r="L747" s="2"/>
    </row>
    <row r="748">
      <c r="F748" s="1"/>
      <c r="L748" s="2"/>
    </row>
    <row r="749">
      <c r="F749" s="1"/>
      <c r="L749" s="2"/>
    </row>
    <row r="750">
      <c r="F750" s="1"/>
      <c r="L750" s="2"/>
    </row>
    <row r="751">
      <c r="F751" s="1"/>
      <c r="L751" s="2"/>
    </row>
    <row r="752">
      <c r="F752" s="1"/>
      <c r="L752" s="2"/>
    </row>
    <row r="753">
      <c r="F753" s="1"/>
      <c r="L753" s="2"/>
    </row>
    <row r="754">
      <c r="F754" s="1"/>
      <c r="L754" s="2"/>
    </row>
    <row r="755">
      <c r="F755" s="1"/>
      <c r="L755" s="2"/>
    </row>
    <row r="756">
      <c r="F756" s="1"/>
      <c r="L756" s="2"/>
    </row>
    <row r="757">
      <c r="F757" s="1"/>
      <c r="L757" s="2"/>
    </row>
    <row r="758">
      <c r="F758" s="1"/>
      <c r="L758" s="2"/>
    </row>
    <row r="759">
      <c r="F759" s="1"/>
      <c r="L759" s="2"/>
    </row>
    <row r="760">
      <c r="F760" s="1"/>
      <c r="L760" s="2"/>
    </row>
    <row r="761">
      <c r="F761" s="1"/>
      <c r="L761" s="2"/>
    </row>
    <row r="762">
      <c r="F762" s="1"/>
      <c r="L762" s="2"/>
    </row>
    <row r="763">
      <c r="F763" s="1"/>
      <c r="L763" s="2"/>
    </row>
    <row r="764">
      <c r="F764" s="1"/>
      <c r="L764" s="2"/>
    </row>
    <row r="765">
      <c r="F765" s="1"/>
      <c r="L765" s="2"/>
    </row>
    <row r="766">
      <c r="F766" s="1"/>
      <c r="L766" s="2"/>
    </row>
    <row r="767">
      <c r="F767" s="1"/>
      <c r="L767" s="2"/>
    </row>
    <row r="768">
      <c r="F768" s="1"/>
      <c r="L768" s="2"/>
    </row>
    <row r="769">
      <c r="F769" s="1"/>
      <c r="L769" s="2"/>
    </row>
    <row r="770">
      <c r="F770" s="1"/>
      <c r="L770" s="2"/>
    </row>
    <row r="771">
      <c r="F771" s="1"/>
      <c r="L771" s="2"/>
    </row>
    <row r="772">
      <c r="F772" s="1"/>
      <c r="L772" s="2"/>
    </row>
    <row r="773">
      <c r="F773" s="1"/>
      <c r="L773" s="2"/>
    </row>
    <row r="774">
      <c r="F774" s="1"/>
      <c r="L774" s="2"/>
    </row>
    <row r="775">
      <c r="F775" s="1"/>
      <c r="L775" s="2"/>
    </row>
    <row r="776">
      <c r="F776" s="1"/>
      <c r="L776" s="2"/>
    </row>
    <row r="777">
      <c r="F777" s="1"/>
      <c r="L777" s="2"/>
    </row>
    <row r="778">
      <c r="F778" s="1"/>
      <c r="L778" s="2"/>
    </row>
    <row r="779">
      <c r="F779" s="1"/>
      <c r="L779" s="2"/>
    </row>
    <row r="780">
      <c r="F780" s="1"/>
      <c r="L780" s="2"/>
    </row>
    <row r="781">
      <c r="F781" s="1"/>
      <c r="L781" s="2"/>
    </row>
    <row r="782">
      <c r="F782" s="1"/>
      <c r="L782" s="2"/>
    </row>
    <row r="783">
      <c r="F783" s="1"/>
      <c r="L783" s="2"/>
    </row>
    <row r="784">
      <c r="F784" s="1"/>
      <c r="L784" s="2"/>
    </row>
    <row r="785">
      <c r="F785" s="1"/>
      <c r="L785" s="2"/>
    </row>
    <row r="786">
      <c r="F786" s="1"/>
      <c r="L786" s="2"/>
    </row>
    <row r="787">
      <c r="F787" s="1"/>
      <c r="L787" s="2"/>
    </row>
    <row r="788">
      <c r="F788" s="1"/>
      <c r="L788" s="2"/>
    </row>
    <row r="789">
      <c r="F789" s="1"/>
      <c r="L789" s="2"/>
    </row>
    <row r="790">
      <c r="F790" s="1"/>
      <c r="L790" s="2"/>
    </row>
    <row r="791">
      <c r="F791" s="1"/>
      <c r="L791" s="2"/>
    </row>
    <row r="792">
      <c r="F792" s="1"/>
      <c r="L792" s="2"/>
    </row>
    <row r="793">
      <c r="F793" s="1"/>
      <c r="L793" s="2"/>
    </row>
    <row r="794">
      <c r="F794" s="1"/>
      <c r="L794" s="2"/>
    </row>
    <row r="795">
      <c r="F795" s="1"/>
      <c r="L795" s="2"/>
    </row>
    <row r="796">
      <c r="F796" s="1"/>
      <c r="L796" s="2"/>
    </row>
    <row r="797">
      <c r="F797" s="1"/>
      <c r="L797" s="2"/>
    </row>
    <row r="798">
      <c r="F798" s="1"/>
      <c r="L798" s="2"/>
    </row>
    <row r="799">
      <c r="F799" s="1"/>
      <c r="L799" s="2"/>
    </row>
    <row r="800">
      <c r="F800" s="1"/>
      <c r="L800" s="2"/>
    </row>
    <row r="801">
      <c r="F801" s="1"/>
      <c r="L801" s="2"/>
    </row>
    <row r="802">
      <c r="F802" s="1"/>
      <c r="L802" s="2"/>
    </row>
    <row r="803">
      <c r="F803" s="1"/>
      <c r="L803" s="2"/>
    </row>
    <row r="804">
      <c r="F804" s="1"/>
      <c r="L804" s="2"/>
    </row>
    <row r="805">
      <c r="F805" s="1"/>
      <c r="L805" s="2"/>
    </row>
    <row r="806">
      <c r="F806" s="1"/>
      <c r="L806" s="2"/>
    </row>
    <row r="807">
      <c r="F807" s="1"/>
      <c r="L807" s="2"/>
    </row>
    <row r="808">
      <c r="F808" s="1"/>
      <c r="L808" s="2"/>
    </row>
    <row r="809">
      <c r="F809" s="1"/>
      <c r="L809" s="2"/>
    </row>
    <row r="810">
      <c r="F810" s="1"/>
      <c r="L810" s="2"/>
    </row>
    <row r="811">
      <c r="F811" s="1"/>
      <c r="L811" s="2"/>
    </row>
    <row r="812">
      <c r="F812" s="1"/>
      <c r="L812" s="2"/>
    </row>
    <row r="813">
      <c r="F813" s="1"/>
      <c r="L813" s="2"/>
    </row>
    <row r="814">
      <c r="F814" s="1"/>
      <c r="L814" s="2"/>
    </row>
    <row r="815">
      <c r="F815" s="1"/>
      <c r="L815" s="2"/>
    </row>
    <row r="816">
      <c r="F816" s="1"/>
      <c r="L816" s="2"/>
    </row>
    <row r="817">
      <c r="F817" s="1"/>
      <c r="L817" s="2"/>
    </row>
    <row r="818">
      <c r="F818" s="1"/>
      <c r="L818" s="2"/>
    </row>
    <row r="819">
      <c r="F819" s="1"/>
      <c r="L819" s="2"/>
    </row>
    <row r="820">
      <c r="F820" s="1"/>
      <c r="L820" s="2"/>
    </row>
    <row r="821">
      <c r="F821" s="1"/>
      <c r="L821" s="2"/>
    </row>
    <row r="822">
      <c r="F822" s="1"/>
      <c r="L822" s="2"/>
    </row>
    <row r="823">
      <c r="F823" s="1"/>
      <c r="L823" s="2"/>
    </row>
    <row r="824">
      <c r="F824" s="1"/>
      <c r="L824" s="2"/>
    </row>
    <row r="825">
      <c r="F825" s="1"/>
      <c r="L825" s="2"/>
    </row>
    <row r="826">
      <c r="F826" s="1"/>
      <c r="L826" s="2"/>
    </row>
    <row r="827">
      <c r="F827" s="1"/>
      <c r="L827" s="2"/>
    </row>
    <row r="828">
      <c r="F828" s="1"/>
      <c r="L828" s="2"/>
    </row>
    <row r="829">
      <c r="F829" s="1"/>
      <c r="L829" s="2"/>
    </row>
    <row r="830">
      <c r="F830" s="1"/>
      <c r="L830" s="2"/>
    </row>
    <row r="831">
      <c r="F831" s="1"/>
      <c r="L831" s="2"/>
    </row>
    <row r="832">
      <c r="F832" s="1"/>
      <c r="L832" s="2"/>
    </row>
    <row r="833">
      <c r="F833" s="1"/>
      <c r="L833" s="2"/>
    </row>
    <row r="834">
      <c r="F834" s="1"/>
      <c r="L834" s="2"/>
    </row>
    <row r="835">
      <c r="F835" s="1"/>
      <c r="L835" s="2"/>
    </row>
    <row r="836">
      <c r="F836" s="1"/>
      <c r="L836" s="2"/>
    </row>
    <row r="837">
      <c r="F837" s="1"/>
      <c r="L837" s="2"/>
    </row>
    <row r="838">
      <c r="F838" s="1"/>
      <c r="L838" s="2"/>
    </row>
    <row r="839">
      <c r="F839" s="1"/>
      <c r="L839" s="2"/>
    </row>
    <row r="840">
      <c r="F840" s="1"/>
      <c r="L840" s="2"/>
    </row>
    <row r="841">
      <c r="F841" s="1"/>
      <c r="L841" s="2"/>
    </row>
    <row r="842">
      <c r="F842" s="1"/>
      <c r="L842" s="2"/>
    </row>
    <row r="843">
      <c r="F843" s="1"/>
      <c r="L843" s="2"/>
    </row>
    <row r="844">
      <c r="F844" s="1"/>
      <c r="L844" s="2"/>
    </row>
    <row r="845">
      <c r="F845" s="1"/>
      <c r="L845" s="2"/>
    </row>
    <row r="846">
      <c r="F846" s="1"/>
      <c r="L846" s="2"/>
    </row>
    <row r="847">
      <c r="F847" s="1"/>
      <c r="L847" s="2"/>
    </row>
    <row r="848">
      <c r="F848" s="1"/>
      <c r="L848" s="2"/>
    </row>
    <row r="849">
      <c r="F849" s="1"/>
      <c r="L849" s="2"/>
    </row>
    <row r="850">
      <c r="F850" s="1"/>
      <c r="L850" s="2"/>
    </row>
    <row r="851">
      <c r="F851" s="1"/>
      <c r="L851" s="2"/>
    </row>
    <row r="852">
      <c r="F852" s="1"/>
      <c r="L852" s="2"/>
    </row>
    <row r="853">
      <c r="F853" s="1"/>
      <c r="L853" s="2"/>
    </row>
    <row r="854">
      <c r="F854" s="1"/>
      <c r="L854" s="2"/>
    </row>
    <row r="855">
      <c r="F855" s="1"/>
      <c r="L855" s="2"/>
    </row>
    <row r="856">
      <c r="F856" s="1"/>
      <c r="L856" s="2"/>
    </row>
    <row r="857">
      <c r="F857" s="1"/>
      <c r="L857" s="2"/>
    </row>
    <row r="858">
      <c r="F858" s="1"/>
      <c r="L858" s="2"/>
    </row>
    <row r="859">
      <c r="F859" s="1"/>
      <c r="L859" s="2"/>
    </row>
    <row r="860">
      <c r="F860" s="1"/>
      <c r="L860" s="2"/>
    </row>
    <row r="861">
      <c r="F861" s="1"/>
      <c r="L861" s="2"/>
    </row>
    <row r="862">
      <c r="F862" s="1"/>
      <c r="L862" s="2"/>
    </row>
    <row r="863">
      <c r="F863" s="1"/>
      <c r="L863" s="2"/>
    </row>
    <row r="864">
      <c r="F864" s="1"/>
      <c r="L864" s="2"/>
    </row>
    <row r="865">
      <c r="F865" s="1"/>
      <c r="L865" s="2"/>
    </row>
    <row r="866">
      <c r="F866" s="1"/>
      <c r="L866" s="2"/>
    </row>
    <row r="867">
      <c r="F867" s="1"/>
      <c r="L867" s="2"/>
    </row>
    <row r="868">
      <c r="F868" s="1"/>
      <c r="L868" s="2"/>
    </row>
    <row r="869">
      <c r="F869" s="1"/>
      <c r="L869" s="2"/>
    </row>
    <row r="870">
      <c r="F870" s="1"/>
      <c r="L870" s="2"/>
    </row>
    <row r="871">
      <c r="F871" s="1"/>
      <c r="L871" s="2"/>
    </row>
    <row r="872">
      <c r="F872" s="1"/>
      <c r="L872" s="2"/>
    </row>
    <row r="873">
      <c r="F873" s="1"/>
      <c r="L873" s="2"/>
    </row>
    <row r="874">
      <c r="F874" s="1"/>
      <c r="L874" s="2"/>
    </row>
    <row r="875">
      <c r="F875" s="1"/>
      <c r="L875" s="2"/>
    </row>
    <row r="876">
      <c r="F876" s="1"/>
      <c r="L876" s="2"/>
    </row>
    <row r="877">
      <c r="F877" s="1"/>
      <c r="L877" s="2"/>
    </row>
    <row r="878">
      <c r="F878" s="1"/>
      <c r="L878" s="2"/>
    </row>
    <row r="879">
      <c r="F879" s="1"/>
      <c r="L879" s="2"/>
    </row>
    <row r="880">
      <c r="F880" s="1"/>
      <c r="L880" s="2"/>
    </row>
    <row r="881">
      <c r="F881" s="1"/>
      <c r="L881" s="2"/>
    </row>
    <row r="882">
      <c r="F882" s="1"/>
      <c r="L882" s="2"/>
    </row>
    <row r="883">
      <c r="F883" s="1"/>
      <c r="L883" s="2"/>
    </row>
    <row r="884">
      <c r="F884" s="1"/>
      <c r="L884" s="2"/>
    </row>
    <row r="885">
      <c r="F885" s="1"/>
      <c r="L885" s="2"/>
    </row>
    <row r="886">
      <c r="F886" s="1"/>
      <c r="L886" s="2"/>
    </row>
    <row r="887">
      <c r="F887" s="1"/>
      <c r="L887" s="2"/>
    </row>
    <row r="888">
      <c r="F888" s="1"/>
      <c r="L888" s="2"/>
    </row>
    <row r="889">
      <c r="F889" s="1"/>
      <c r="L889" s="2"/>
    </row>
    <row r="890">
      <c r="F890" s="1"/>
      <c r="L890" s="2"/>
    </row>
    <row r="891">
      <c r="F891" s="1"/>
      <c r="L891" s="2"/>
    </row>
    <row r="892">
      <c r="F892" s="1"/>
      <c r="L892" s="2"/>
    </row>
    <row r="893">
      <c r="F893" s="1"/>
      <c r="L893" s="2"/>
    </row>
    <row r="894">
      <c r="F894" s="1"/>
      <c r="L894" s="2"/>
    </row>
    <row r="895">
      <c r="F895" s="1"/>
      <c r="L895" s="2"/>
    </row>
    <row r="896">
      <c r="F896" s="1"/>
      <c r="L896" s="2"/>
    </row>
    <row r="897">
      <c r="F897" s="1"/>
      <c r="L897" s="2"/>
    </row>
    <row r="898">
      <c r="F898" s="1"/>
      <c r="L898" s="2"/>
    </row>
    <row r="899">
      <c r="F899" s="1"/>
      <c r="L899" s="2"/>
    </row>
    <row r="900">
      <c r="F900" s="1"/>
      <c r="L900" s="2"/>
    </row>
    <row r="901">
      <c r="F901" s="1"/>
      <c r="L901" s="2"/>
    </row>
    <row r="902">
      <c r="F902" s="1"/>
      <c r="L902" s="2"/>
    </row>
    <row r="903">
      <c r="F903" s="1"/>
      <c r="L903" s="2"/>
    </row>
    <row r="904">
      <c r="F904" s="1"/>
      <c r="L904" s="2"/>
    </row>
    <row r="905">
      <c r="F905" s="1"/>
      <c r="L905" s="2"/>
    </row>
    <row r="906">
      <c r="F906" s="1"/>
      <c r="L906" s="2"/>
    </row>
    <row r="907">
      <c r="F907" s="1"/>
      <c r="L907" s="2"/>
    </row>
    <row r="908">
      <c r="F908" s="1"/>
      <c r="L908" s="2"/>
    </row>
    <row r="909">
      <c r="F909" s="1"/>
      <c r="L909" s="2"/>
    </row>
    <row r="910">
      <c r="F910" s="1"/>
      <c r="L910" s="2"/>
    </row>
    <row r="911">
      <c r="F911" s="1"/>
      <c r="L911" s="2"/>
    </row>
    <row r="912">
      <c r="F912" s="1"/>
      <c r="L912" s="2"/>
    </row>
    <row r="913">
      <c r="F913" s="1"/>
      <c r="L913" s="2"/>
    </row>
    <row r="914">
      <c r="F914" s="1"/>
      <c r="L914" s="2"/>
    </row>
    <row r="915">
      <c r="F915" s="1"/>
      <c r="L915" s="2"/>
    </row>
    <row r="916">
      <c r="F916" s="1"/>
      <c r="L916" s="2"/>
    </row>
    <row r="917">
      <c r="F917" s="1"/>
      <c r="L917" s="2"/>
    </row>
    <row r="918">
      <c r="F918" s="1"/>
      <c r="L918" s="2"/>
    </row>
    <row r="919">
      <c r="F919" s="1"/>
      <c r="L919" s="2"/>
    </row>
    <row r="920">
      <c r="F920" s="1"/>
      <c r="L920" s="2"/>
    </row>
    <row r="921">
      <c r="F921" s="1"/>
      <c r="L921" s="2"/>
    </row>
    <row r="922">
      <c r="F922" s="1"/>
      <c r="L922" s="2"/>
    </row>
    <row r="923">
      <c r="F923" s="1"/>
      <c r="L923" s="2"/>
    </row>
    <row r="924">
      <c r="F924" s="1"/>
      <c r="L924" s="2"/>
    </row>
    <row r="925">
      <c r="F925" s="1"/>
      <c r="L925" s="2"/>
    </row>
    <row r="926">
      <c r="F926" s="1"/>
      <c r="L926" s="2"/>
    </row>
    <row r="927">
      <c r="F927" s="1"/>
      <c r="L927" s="2"/>
    </row>
    <row r="928">
      <c r="F928" s="1"/>
      <c r="L928" s="2"/>
    </row>
    <row r="929">
      <c r="F929" s="1"/>
      <c r="L929" s="2"/>
    </row>
    <row r="930">
      <c r="F930" s="1"/>
      <c r="L930" s="2"/>
    </row>
    <row r="931">
      <c r="F931" s="1"/>
      <c r="L931" s="2"/>
    </row>
    <row r="932">
      <c r="F932" s="1"/>
      <c r="L932" s="2"/>
    </row>
    <row r="933">
      <c r="F933" s="1"/>
      <c r="L933" s="2"/>
    </row>
    <row r="934">
      <c r="F934" s="1"/>
      <c r="L934" s="2"/>
    </row>
    <row r="935">
      <c r="F935" s="1"/>
      <c r="L935" s="2"/>
    </row>
    <row r="936">
      <c r="F936" s="1"/>
      <c r="L936" s="2"/>
    </row>
    <row r="937">
      <c r="F937" s="1"/>
      <c r="L937" s="2"/>
    </row>
    <row r="938">
      <c r="F938" s="1"/>
      <c r="L938" s="2"/>
    </row>
    <row r="939">
      <c r="F939" s="1"/>
      <c r="L939" s="2"/>
    </row>
    <row r="940">
      <c r="F940" s="1"/>
      <c r="L940" s="2"/>
    </row>
    <row r="941">
      <c r="F941" s="1"/>
      <c r="L941" s="2"/>
    </row>
    <row r="942">
      <c r="F942" s="1"/>
      <c r="L942" s="2"/>
    </row>
    <row r="943">
      <c r="F943" s="1"/>
      <c r="L943" s="2"/>
    </row>
    <row r="944">
      <c r="F944" s="1"/>
      <c r="L944" s="2"/>
    </row>
    <row r="945">
      <c r="F945" s="1"/>
      <c r="L945" s="2"/>
    </row>
    <row r="946">
      <c r="F946" s="1"/>
      <c r="L946" s="2"/>
    </row>
    <row r="947">
      <c r="F947" s="1"/>
      <c r="L947" s="2"/>
    </row>
    <row r="948">
      <c r="F948" s="1"/>
      <c r="L948" s="2"/>
    </row>
    <row r="949">
      <c r="F949" s="1"/>
      <c r="L949" s="2"/>
    </row>
    <row r="950">
      <c r="F950" s="1"/>
      <c r="L950" s="2"/>
    </row>
    <row r="951">
      <c r="F951" s="1"/>
      <c r="L951" s="2"/>
    </row>
    <row r="952">
      <c r="F952" s="1"/>
      <c r="L952" s="2"/>
    </row>
    <row r="953">
      <c r="F953" s="1"/>
      <c r="L953" s="2"/>
    </row>
    <row r="954">
      <c r="F954" s="1"/>
      <c r="L954" s="2"/>
    </row>
    <row r="955">
      <c r="F955" s="1"/>
      <c r="L955" s="2"/>
    </row>
    <row r="956">
      <c r="F956" s="1"/>
      <c r="L956" s="2"/>
    </row>
    <row r="957">
      <c r="F957" s="1"/>
      <c r="L957" s="2"/>
    </row>
    <row r="958">
      <c r="F958" s="1"/>
      <c r="L958" s="2"/>
    </row>
    <row r="959">
      <c r="F959" s="1"/>
      <c r="L959" s="2"/>
    </row>
    <row r="960">
      <c r="F960" s="1"/>
      <c r="L960" s="2"/>
    </row>
    <row r="961">
      <c r="F961" s="1"/>
      <c r="L961" s="2"/>
    </row>
    <row r="962">
      <c r="F962" s="1"/>
      <c r="L962" s="2"/>
    </row>
    <row r="963">
      <c r="F963" s="1"/>
      <c r="L963" s="2"/>
    </row>
    <row r="964">
      <c r="F964" s="1"/>
      <c r="L964" s="2"/>
    </row>
    <row r="965">
      <c r="F965" s="1"/>
      <c r="L965" s="2"/>
    </row>
    <row r="966">
      <c r="F966" s="1"/>
      <c r="L966" s="2"/>
    </row>
    <row r="967">
      <c r="F967" s="1"/>
      <c r="L967" s="2"/>
    </row>
    <row r="968">
      <c r="F968" s="1"/>
      <c r="L968" s="2"/>
    </row>
    <row r="969">
      <c r="F969" s="1"/>
      <c r="L969" s="2"/>
    </row>
    <row r="970">
      <c r="F970" s="1"/>
      <c r="L970" s="2"/>
    </row>
    <row r="971">
      <c r="F971" s="1"/>
      <c r="L971" s="2"/>
    </row>
    <row r="972">
      <c r="F972" s="1"/>
      <c r="L972" s="2"/>
    </row>
    <row r="973">
      <c r="F973" s="1"/>
      <c r="L973" s="2"/>
    </row>
    <row r="974">
      <c r="F974" s="1"/>
      <c r="L974" s="2"/>
    </row>
    <row r="975">
      <c r="F975" s="1"/>
      <c r="L975" s="2"/>
    </row>
    <row r="976">
      <c r="F976" s="1"/>
      <c r="L976" s="2"/>
    </row>
    <row r="977">
      <c r="F977" s="1"/>
      <c r="L977" s="2"/>
    </row>
    <row r="978">
      <c r="F978" s="1"/>
      <c r="L978" s="2"/>
    </row>
    <row r="979">
      <c r="F979" s="1"/>
      <c r="L979" s="2"/>
    </row>
    <row r="980">
      <c r="F980" s="1"/>
      <c r="L980" s="2"/>
    </row>
    <row r="981">
      <c r="F981" s="1"/>
      <c r="L981" s="2"/>
    </row>
    <row r="982">
      <c r="F982" s="1"/>
      <c r="L982" s="2"/>
    </row>
    <row r="983">
      <c r="F983" s="1"/>
      <c r="L983" s="2"/>
    </row>
    <row r="984">
      <c r="F984" s="1"/>
      <c r="L984" s="2"/>
    </row>
    <row r="985">
      <c r="F985" s="1"/>
      <c r="L985" s="2"/>
    </row>
    <row r="986">
      <c r="F986" s="1"/>
      <c r="L986" s="2"/>
    </row>
    <row r="987">
      <c r="F987" s="1"/>
      <c r="L987" s="2"/>
    </row>
    <row r="988">
      <c r="F988" s="1"/>
      <c r="L988" s="2"/>
    </row>
    <row r="989">
      <c r="F989" s="1"/>
      <c r="L989" s="2"/>
    </row>
    <row r="990">
      <c r="F990" s="1"/>
      <c r="L990" s="2"/>
    </row>
    <row r="991">
      <c r="F991" s="1"/>
      <c r="L991" s="2"/>
    </row>
    <row r="992">
      <c r="F992" s="1"/>
      <c r="L992" s="2"/>
    </row>
    <row r="993">
      <c r="F993" s="1"/>
      <c r="L993" s="2"/>
    </row>
    <row r="994">
      <c r="F994" s="1"/>
      <c r="L994" s="2"/>
    </row>
    <row r="995">
      <c r="F995" s="1"/>
      <c r="L995" s="2"/>
    </row>
    <row r="996">
      <c r="F996" s="1"/>
      <c r="L996" s="2"/>
    </row>
    <row r="997">
      <c r="F997" s="1"/>
      <c r="L997" s="2"/>
    </row>
    <row r="998">
      <c r="F998" s="1"/>
      <c r="L998" s="2"/>
    </row>
    <row r="999">
      <c r="F999" s="1"/>
      <c r="L999" s="2"/>
    </row>
    <row r="1000">
      <c r="F1000" s="1"/>
      <c r="L1000" s="2"/>
    </row>
  </sheetData>
  <mergeCells count="6">
    <mergeCell ref="C2:K2"/>
    <mergeCell ref="A3:A4"/>
    <mergeCell ref="B3:B4"/>
    <mergeCell ref="C3:K3"/>
    <mergeCell ref="M3:M4"/>
    <mergeCell ref="O3:T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54">
        <v>44985.0</v>
      </c>
      <c r="F5" s="55" t="s">
        <v>22</v>
      </c>
      <c r="G5" s="56">
        <v>7.5</v>
      </c>
      <c r="H5" s="57">
        <f>VLOOKUP(F5,$A$4:$B$4,2,TRUE)</f>
        <v>4000</v>
      </c>
      <c r="I5" s="58">
        <f t="shared" ref="I5:I31" si="1">G5*H5</f>
        <v>30000</v>
      </c>
      <c r="J5" s="59">
        <f>SUM(I5:I31)</f>
        <v>340100</v>
      </c>
      <c r="K5" s="33"/>
      <c r="L5" s="55" t="s">
        <v>22</v>
      </c>
      <c r="M5" s="51">
        <f>SUMIF(F5:F31,"Gelas bersih",G5:G31)</f>
        <v>7.5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>
        <f>10+5+7+6.5+4.5+10+8.5+5+4+8+10</f>
        <v>78.5</v>
      </c>
      <c r="H6" s="61">
        <f>VLOOKUP(F6,$A$5:$B$5,2,TRUE)</f>
        <v>3000</v>
      </c>
      <c r="I6" s="58">
        <f t="shared" si="1"/>
        <v>235500</v>
      </c>
      <c r="J6" s="60"/>
      <c r="K6" s="33"/>
      <c r="L6" s="55" t="s">
        <v>57</v>
      </c>
      <c r="M6" s="51">
        <f>SUMIF(F6:F32,"Botol bersih",G6:G32)</f>
        <v>78.5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SUMIF(F7:F32,"Botol Warna",G7:G32)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>
        <f>1.5+5.5</f>
        <v>7</v>
      </c>
      <c r="H8" s="61">
        <f>VLOOKUP(F8,$A$7:$B$7,2,TRUE)</f>
        <v>2800</v>
      </c>
      <c r="I8" s="58">
        <f t="shared" si="1"/>
        <v>19600</v>
      </c>
      <c r="J8" s="60"/>
      <c r="K8" s="33"/>
      <c r="L8" s="55" t="s">
        <v>25</v>
      </c>
      <c r="M8" s="51">
        <f>SUMIF(F8:F33,"Tutup botol",G8:G33)</f>
        <v>7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SUMIF(F9:F34,"Tutup galon",G9:G34)</f>
        <v>0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f>5+5.5+2+3+4</f>
        <v>19.5</v>
      </c>
      <c r="H10" s="61">
        <f>VLOOKUP(F10,$A$9:$B$9,2,TRUE)</f>
        <v>1000</v>
      </c>
      <c r="I10" s="58">
        <f t="shared" si="1"/>
        <v>19500</v>
      </c>
      <c r="J10" s="60"/>
      <c r="K10" s="33"/>
      <c r="L10" s="55" t="s">
        <v>27</v>
      </c>
      <c r="M10" s="51">
        <f>SUMIF(F10:F35,"Hitam",G10:G35)</f>
        <v>19.5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SUMIF(F11:F36,"Plastik Campur",G11:G36)</f>
        <v>0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SUMIF(F12:F37,"Kardus",G12:G37)</f>
        <v>0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SUMIF(F13:F38,"Kertas Putihan/ HVS",G13:G38)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SUMIF(F14:F39,"Koran/Buku",G14:G39)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SUMIF(F15:F40,"Duplex",G15:G40)</f>
        <v>0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SUMIF(F16:F41,"Alumunium",G16:G41)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SUMIF(F17:F42,"Besi",G17:G42)</f>
        <v>0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>
        <v>8.5</v>
      </c>
      <c r="H18" s="61">
        <f>VLOOKUP(F18,$A$17:$B$17,2,TRUE)</f>
        <v>1000</v>
      </c>
      <c r="I18" s="58">
        <f t="shared" si="1"/>
        <v>8500</v>
      </c>
      <c r="J18" s="60"/>
      <c r="K18" s="33"/>
      <c r="L18" s="55" t="s">
        <v>35</v>
      </c>
      <c r="M18" s="51">
        <f>SUMIF(F18:F43,"Kaleng kue/susu",G18:G43)</f>
        <v>8.5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SUMIF(F19:F44,"Kaleng Minuman",G19:G44)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SUMIF(F20:F45,"Stanless",G20:G45)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SUMIF(F21:F46,"Tembaga",G21:G46)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SUMIF(F22:F47,"Aki Motor",G22:G47)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SUMIF(F23:F48,"Paralon",G23:G48)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SUMIF(F24:F49,"Plastik bening",G24:G49)</f>
        <v>0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SUMIF(F25:F50,"Plastik Warna",G25:G50)</f>
        <v>0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SUMIF(F26:F51,"Selang",G26:G51)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>
        <f>14+27+19+8.5+8.5+13</f>
        <v>90</v>
      </c>
      <c r="H27" s="61">
        <f>VLOOKUP(F27,$A$26:$B$26,2,TRUE)</f>
        <v>300</v>
      </c>
      <c r="I27" s="58">
        <f t="shared" si="1"/>
        <v>27000</v>
      </c>
      <c r="J27" s="60"/>
      <c r="K27" s="33"/>
      <c r="L27" s="55" t="s">
        <v>18</v>
      </c>
      <c r="M27" s="51">
        <f>SUMIF(F27:F52,"Beling",G27:G52)</f>
        <v>90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SUMIF(F28:F53,"Pecahan",G28:G53)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SUMIF(F29:F55,"Paku",G29:G55)</f>
        <v>0</v>
      </c>
      <c r="N29" s="33"/>
    </row>
    <row r="30" ht="15.75" customHeight="1">
      <c r="A30" s="44" t="s">
        <v>59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SUMIF(F30:F56,"Minyak Jelantah",G30:G56)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/>
      <c r="H31" s="61">
        <f>VLOOKUP(F30,$A$30:$B$30,2,TRUE)</f>
        <v>500</v>
      </c>
      <c r="I31" s="58">
        <f t="shared" si="1"/>
        <v>0</v>
      </c>
      <c r="J31" s="18"/>
      <c r="K31" s="33"/>
      <c r="L31" s="55" t="s">
        <v>59</v>
      </c>
      <c r="M31" s="51">
        <f>SUMIF(F31:F57,"Lainnya",G31:G57)</f>
        <v>0</v>
      </c>
      <c r="N31" s="33"/>
    </row>
    <row r="32" ht="15.75" customHeight="1">
      <c r="A32" s="52"/>
      <c r="B32" s="52"/>
      <c r="C32" s="52"/>
      <c r="D32" s="63" t="s">
        <v>60</v>
      </c>
      <c r="E32" s="6"/>
      <c r="F32" s="6"/>
      <c r="G32" s="6"/>
      <c r="H32" s="6"/>
      <c r="I32" s="7"/>
      <c r="J32" s="64">
        <f>SUM(J5:J31)</f>
        <v>340100</v>
      </c>
      <c r="K32" s="33"/>
      <c r="L32" s="33"/>
      <c r="M32" s="33"/>
      <c r="N32" s="33"/>
    </row>
    <row r="33" ht="15.75" customHeight="1">
      <c r="A33" s="32"/>
      <c r="B33" s="32"/>
      <c r="C33" s="32"/>
      <c r="D33" s="32"/>
      <c r="E33" s="32"/>
      <c r="F33" s="33"/>
      <c r="G33" s="33"/>
      <c r="H33" s="33"/>
      <c r="I33" s="33"/>
      <c r="J33" s="34"/>
      <c r="K33" s="33"/>
      <c r="L33" s="33"/>
      <c r="M33" s="33"/>
      <c r="N33" s="33"/>
    </row>
    <row r="34" ht="15.75" customHeight="1">
      <c r="A34" s="32"/>
      <c r="B34" s="32"/>
      <c r="C34" s="32"/>
      <c r="D34" s="32"/>
      <c r="E34" s="32"/>
      <c r="F34" s="33"/>
      <c r="G34" s="33"/>
      <c r="H34" s="33"/>
      <c r="I34" s="33"/>
      <c r="J34" s="34"/>
      <c r="K34" s="33"/>
      <c r="L34" s="33"/>
      <c r="M34" s="33"/>
      <c r="N34" s="33"/>
    </row>
    <row r="35" ht="15.75" customHeight="1">
      <c r="A35" s="32"/>
      <c r="B35" s="32"/>
      <c r="C35" s="32"/>
      <c r="D35" s="32"/>
      <c r="E35" s="32"/>
      <c r="F35" s="33"/>
      <c r="G35" s="33"/>
      <c r="H35" s="33"/>
      <c r="I35" s="33"/>
      <c r="J35" s="34"/>
      <c r="K35" s="33"/>
      <c r="L35" s="33"/>
      <c r="M35" s="33"/>
      <c r="N35" s="33"/>
    </row>
    <row r="36" ht="15.75" customHeight="1">
      <c r="A36" s="32"/>
      <c r="B36" s="32"/>
      <c r="C36" s="32"/>
      <c r="D36" s="32"/>
      <c r="E36" s="32"/>
      <c r="F36" s="33"/>
      <c r="G36" s="33"/>
      <c r="H36" s="33"/>
      <c r="I36" s="33"/>
      <c r="J36" s="34"/>
      <c r="K36" s="33"/>
      <c r="L36" s="33"/>
      <c r="M36" s="33"/>
      <c r="N36" s="33"/>
    </row>
    <row r="37" ht="15.75" customHeight="1">
      <c r="A37" s="32"/>
      <c r="B37" s="32"/>
      <c r="C37" s="32"/>
      <c r="D37" s="32"/>
      <c r="E37" s="32"/>
      <c r="F37" s="33"/>
      <c r="G37" s="33"/>
      <c r="H37" s="33"/>
      <c r="I37" s="33"/>
      <c r="J37" s="34"/>
      <c r="K37" s="33"/>
      <c r="L37" s="33"/>
      <c r="M37" s="33"/>
      <c r="N37" s="33"/>
    </row>
    <row r="38" ht="15.75" customHeight="1">
      <c r="A38" s="32"/>
      <c r="B38" s="32"/>
      <c r="C38" s="32"/>
      <c r="D38" s="32"/>
      <c r="E38" s="32"/>
      <c r="F38" s="33"/>
      <c r="G38" s="33"/>
      <c r="H38" s="33"/>
      <c r="I38" s="33"/>
      <c r="J38" s="34"/>
      <c r="K38" s="33"/>
      <c r="L38" s="33"/>
      <c r="M38" s="33"/>
      <c r="N38" s="33"/>
    </row>
    <row r="39" ht="15.75" customHeight="1">
      <c r="A39" s="32"/>
      <c r="B39" s="32"/>
      <c r="C39" s="32"/>
      <c r="D39" s="32"/>
      <c r="E39" s="32"/>
      <c r="F39" s="33"/>
      <c r="G39" s="33"/>
      <c r="H39" s="33"/>
      <c r="I39" s="33"/>
      <c r="J39" s="34"/>
      <c r="K39" s="33"/>
      <c r="L39" s="33"/>
      <c r="M39" s="33"/>
      <c r="N39" s="33"/>
    </row>
    <row r="40" ht="15.75" customHeight="1">
      <c r="A40" s="32"/>
      <c r="B40" s="32"/>
      <c r="C40" s="32"/>
      <c r="D40" s="32"/>
      <c r="E40" s="32"/>
      <c r="F40" s="33"/>
      <c r="G40" s="33"/>
      <c r="H40" s="33"/>
      <c r="I40" s="33"/>
      <c r="J40" s="34"/>
      <c r="K40" s="33"/>
      <c r="L40" s="33"/>
      <c r="M40" s="33"/>
      <c r="N40" s="33"/>
    </row>
    <row r="41" ht="15.75" customHeight="1">
      <c r="A41" s="32"/>
      <c r="B41" s="32"/>
      <c r="C41" s="32"/>
      <c r="D41" s="32"/>
      <c r="E41" s="32"/>
      <c r="J41" s="34"/>
    </row>
    <row r="42" ht="15.75" customHeight="1">
      <c r="A42" s="32"/>
      <c r="B42" s="32"/>
      <c r="C42" s="32"/>
      <c r="D42" s="32"/>
      <c r="E42" s="32"/>
      <c r="J42" s="34"/>
    </row>
    <row r="43" ht="15.75" customHeight="1">
      <c r="A43" s="32"/>
      <c r="B43" s="32"/>
      <c r="C43" s="32"/>
      <c r="D43" s="32"/>
      <c r="E43" s="32"/>
      <c r="J43" s="34"/>
    </row>
    <row r="44" ht="15.75" customHeight="1">
      <c r="A44" s="32"/>
      <c r="B44" s="32"/>
      <c r="C44" s="32"/>
      <c r="D44" s="32"/>
      <c r="E44" s="32"/>
      <c r="J44" s="34"/>
    </row>
    <row r="45" ht="15.75" customHeight="1">
      <c r="A45" s="32"/>
      <c r="B45" s="32"/>
      <c r="C45" s="32"/>
      <c r="D45" s="32"/>
      <c r="E45" s="32"/>
      <c r="J45" s="34"/>
    </row>
    <row r="46" ht="15.75" customHeight="1">
      <c r="A46" s="32"/>
      <c r="B46" s="32"/>
      <c r="C46" s="32"/>
      <c r="D46" s="32"/>
      <c r="E46" s="32"/>
      <c r="J46" s="34"/>
    </row>
    <row r="47" ht="15.75" customHeight="1">
      <c r="A47" s="32"/>
      <c r="B47" s="32"/>
      <c r="C47" s="32"/>
      <c r="D47" s="32"/>
      <c r="E47" s="32"/>
      <c r="J47" s="34"/>
    </row>
    <row r="48" ht="15.75" customHeight="1">
      <c r="A48" s="32"/>
      <c r="B48" s="32"/>
      <c r="C48" s="32"/>
      <c r="D48" s="32"/>
      <c r="E48" s="32"/>
      <c r="J48" s="34"/>
    </row>
    <row r="49" ht="15.75" customHeight="1">
      <c r="A49" s="32"/>
      <c r="B49" s="32"/>
      <c r="C49" s="32"/>
      <c r="D49" s="32"/>
      <c r="E49" s="32"/>
      <c r="J49" s="34"/>
    </row>
    <row r="50" ht="15.75" customHeight="1">
      <c r="A50" s="32"/>
      <c r="B50" s="32"/>
      <c r="C50" s="32"/>
      <c r="D50" s="32"/>
      <c r="E50" s="32"/>
      <c r="J50" s="34"/>
    </row>
    <row r="51" ht="15.75" customHeight="1">
      <c r="A51" s="32"/>
      <c r="B51" s="32"/>
      <c r="C51" s="32"/>
      <c r="D51" s="32"/>
      <c r="E51" s="32"/>
      <c r="J51" s="34"/>
    </row>
    <row r="52" ht="15.75" customHeight="1">
      <c r="A52" s="32"/>
      <c r="B52" s="32"/>
      <c r="C52" s="32"/>
      <c r="D52" s="32"/>
      <c r="E52" s="32"/>
      <c r="J52" s="34"/>
    </row>
    <row r="53" ht="15.75" customHeight="1">
      <c r="A53" s="32"/>
      <c r="B53" s="32"/>
      <c r="C53" s="32"/>
      <c r="D53" s="32"/>
      <c r="E53" s="32"/>
      <c r="J53" s="34"/>
    </row>
    <row r="54" ht="15.75" customHeight="1">
      <c r="A54" s="32"/>
      <c r="B54" s="32"/>
      <c r="C54" s="32"/>
      <c r="D54" s="32"/>
      <c r="E54" s="32"/>
      <c r="J54" s="34"/>
    </row>
    <row r="55" ht="15.75" customHeight="1">
      <c r="A55" s="32"/>
      <c r="B55" s="32"/>
      <c r="C55" s="32"/>
      <c r="D55" s="32"/>
      <c r="E55" s="32"/>
      <c r="J55" s="34"/>
    </row>
    <row r="56" ht="15.75" customHeight="1">
      <c r="A56" s="32"/>
      <c r="B56" s="32"/>
      <c r="C56" s="32"/>
      <c r="D56" s="32"/>
      <c r="E56" s="32"/>
      <c r="J56" s="34"/>
    </row>
    <row r="57" ht="15.75" customHeight="1">
      <c r="A57" s="32"/>
      <c r="B57" s="32"/>
      <c r="C57" s="32"/>
      <c r="D57" s="32"/>
      <c r="E57" s="32"/>
      <c r="J57" s="34"/>
    </row>
    <row r="58" ht="15.75" customHeight="1">
      <c r="A58" s="32"/>
      <c r="B58" s="32"/>
      <c r="C58" s="32"/>
      <c r="D58" s="32"/>
      <c r="E58" s="32"/>
      <c r="J58" s="34"/>
    </row>
    <row r="59" ht="15.75" customHeight="1">
      <c r="A59" s="32"/>
      <c r="B59" s="32"/>
      <c r="C59" s="32"/>
      <c r="D59" s="32"/>
      <c r="E59" s="32"/>
      <c r="J59" s="34"/>
    </row>
    <row r="60" ht="15.75" customHeight="1">
      <c r="A60" s="32"/>
      <c r="B60" s="32"/>
      <c r="C60" s="32"/>
      <c r="D60" s="32"/>
      <c r="E60" s="32"/>
      <c r="J60" s="34"/>
    </row>
    <row r="61" ht="15.75" customHeight="1">
      <c r="A61" s="32"/>
      <c r="B61" s="32"/>
      <c r="C61" s="32"/>
      <c r="D61" s="32"/>
      <c r="E61" s="32"/>
      <c r="J61" s="34"/>
    </row>
    <row r="62" ht="15.75" customHeight="1">
      <c r="A62" s="32"/>
      <c r="B62" s="32"/>
      <c r="C62" s="32"/>
      <c r="D62" s="32"/>
      <c r="E62" s="32"/>
      <c r="J62" s="34"/>
    </row>
    <row r="63" ht="15.75" customHeight="1">
      <c r="A63" s="32"/>
      <c r="B63" s="32"/>
      <c r="C63" s="32"/>
      <c r="D63" s="32"/>
      <c r="E63" s="32"/>
      <c r="J63" s="34"/>
    </row>
    <row r="64" ht="15.75" customHeight="1">
      <c r="A64" s="32"/>
      <c r="B64" s="32"/>
      <c r="C64" s="32"/>
      <c r="D64" s="32"/>
      <c r="E64" s="32"/>
      <c r="J64" s="34"/>
    </row>
    <row r="65" ht="15.75" customHeight="1">
      <c r="A65" s="32"/>
      <c r="B65" s="32"/>
      <c r="C65" s="32"/>
      <c r="D65" s="32"/>
      <c r="E65" s="32"/>
      <c r="J65" s="34"/>
    </row>
    <row r="66" ht="15.75" customHeight="1">
      <c r="A66" s="32"/>
      <c r="B66" s="32"/>
      <c r="C66" s="32"/>
      <c r="D66" s="32"/>
      <c r="E66" s="32"/>
      <c r="J66" s="34"/>
    </row>
    <row r="67" ht="15.75" customHeight="1">
      <c r="A67" s="32"/>
      <c r="B67" s="32"/>
      <c r="C67" s="32"/>
      <c r="D67" s="32"/>
      <c r="E67" s="32"/>
      <c r="J67" s="34"/>
    </row>
    <row r="68" ht="15.75" customHeight="1">
      <c r="A68" s="32"/>
      <c r="B68" s="32"/>
      <c r="C68" s="32"/>
      <c r="D68" s="32"/>
      <c r="E68" s="32"/>
      <c r="J68" s="34"/>
    </row>
    <row r="69" ht="15.75" customHeight="1">
      <c r="A69" s="32"/>
      <c r="B69" s="32"/>
      <c r="C69" s="32"/>
      <c r="D69" s="32"/>
      <c r="E69" s="32"/>
      <c r="J69" s="34"/>
    </row>
    <row r="70" ht="15.75" customHeight="1">
      <c r="A70" s="32"/>
      <c r="B70" s="32"/>
      <c r="C70" s="32"/>
      <c r="D70" s="32"/>
      <c r="E70" s="32"/>
      <c r="J70" s="34"/>
    </row>
    <row r="71" ht="15.75" customHeight="1">
      <c r="A71" s="32"/>
      <c r="B71" s="32"/>
      <c r="C71" s="32"/>
      <c r="D71" s="32"/>
      <c r="E71" s="32"/>
      <c r="J71" s="34"/>
    </row>
    <row r="72" ht="15.75" customHeight="1">
      <c r="A72" s="32"/>
      <c r="B72" s="32"/>
      <c r="C72" s="32"/>
      <c r="D72" s="32"/>
      <c r="E72" s="32"/>
      <c r="J72" s="34"/>
    </row>
    <row r="73" ht="15.75" customHeight="1">
      <c r="A73" s="32"/>
      <c r="B73" s="32"/>
      <c r="C73" s="32"/>
      <c r="D73" s="32"/>
      <c r="E73" s="32"/>
      <c r="J73" s="34"/>
    </row>
    <row r="74" ht="15.75" customHeight="1">
      <c r="A74" s="32"/>
      <c r="B74" s="32"/>
      <c r="C74" s="32"/>
      <c r="D74" s="32"/>
      <c r="E74" s="32"/>
      <c r="J74" s="34"/>
    </row>
    <row r="75" ht="15.75" customHeight="1">
      <c r="A75" s="32"/>
      <c r="B75" s="32"/>
      <c r="C75" s="32"/>
      <c r="D75" s="32"/>
      <c r="E75" s="32"/>
      <c r="J75" s="34"/>
    </row>
    <row r="76" ht="15.75" customHeight="1">
      <c r="A76" s="32"/>
      <c r="B76" s="32"/>
      <c r="C76" s="32"/>
      <c r="D76" s="32"/>
      <c r="E76" s="32"/>
      <c r="J76" s="34"/>
    </row>
    <row r="77" ht="15.75" customHeight="1">
      <c r="A77" s="32"/>
      <c r="B77" s="32"/>
      <c r="C77" s="32"/>
      <c r="D77" s="32"/>
      <c r="E77" s="32"/>
      <c r="J77" s="34"/>
    </row>
    <row r="78" ht="15.75" customHeight="1">
      <c r="A78" s="32"/>
      <c r="B78" s="32"/>
      <c r="C78" s="32"/>
      <c r="D78" s="32"/>
      <c r="E78" s="32"/>
      <c r="J78" s="34"/>
    </row>
    <row r="79" ht="15.75" customHeight="1">
      <c r="A79" s="32"/>
      <c r="B79" s="32"/>
      <c r="C79" s="32"/>
      <c r="D79" s="32"/>
      <c r="E79" s="32"/>
      <c r="J79" s="34"/>
    </row>
    <row r="80" ht="15.75" customHeight="1">
      <c r="A80" s="32"/>
      <c r="B80" s="32"/>
      <c r="C80" s="32"/>
      <c r="D80" s="32"/>
      <c r="E80" s="32"/>
      <c r="J80" s="34"/>
    </row>
    <row r="81" ht="15.75" customHeight="1">
      <c r="A81" s="32"/>
      <c r="B81" s="32"/>
      <c r="C81" s="32"/>
      <c r="D81" s="32"/>
      <c r="E81" s="32"/>
      <c r="J81" s="34"/>
    </row>
    <row r="82" ht="15.75" customHeight="1">
      <c r="A82" s="32"/>
      <c r="B82" s="32"/>
      <c r="C82" s="32"/>
      <c r="D82" s="32"/>
      <c r="E82" s="32"/>
      <c r="J82" s="34"/>
    </row>
    <row r="83" ht="15.75" customHeight="1">
      <c r="A83" s="32"/>
      <c r="B83" s="32"/>
      <c r="C83" s="32"/>
      <c r="D83" s="32"/>
      <c r="E83" s="32"/>
      <c r="J83" s="34"/>
    </row>
    <row r="84" ht="15.75" customHeight="1">
      <c r="A84" s="32"/>
      <c r="B84" s="32"/>
      <c r="C84" s="32"/>
      <c r="D84" s="32"/>
      <c r="E84" s="32"/>
      <c r="J84" s="34"/>
    </row>
    <row r="85" ht="15.75" customHeight="1">
      <c r="A85" s="32"/>
      <c r="B85" s="32"/>
      <c r="C85" s="32"/>
      <c r="D85" s="32"/>
      <c r="E85" s="32"/>
      <c r="J85" s="34"/>
    </row>
    <row r="86" ht="15.75" customHeight="1">
      <c r="A86" s="32"/>
      <c r="B86" s="32"/>
      <c r="C86" s="32"/>
      <c r="D86" s="32"/>
      <c r="E86" s="32"/>
      <c r="J86" s="34"/>
    </row>
    <row r="87" ht="15.75" customHeight="1">
      <c r="A87" s="32"/>
      <c r="B87" s="32"/>
      <c r="C87" s="32"/>
      <c r="D87" s="32"/>
      <c r="E87" s="32"/>
      <c r="J87" s="34"/>
    </row>
    <row r="88" ht="15.75" customHeight="1">
      <c r="A88" s="32"/>
      <c r="B88" s="32"/>
      <c r="C88" s="32"/>
      <c r="D88" s="32"/>
      <c r="E88" s="32"/>
      <c r="J88" s="34"/>
    </row>
    <row r="89" ht="15.75" customHeight="1">
      <c r="A89" s="32"/>
      <c r="B89" s="32"/>
      <c r="C89" s="32"/>
      <c r="D89" s="32"/>
      <c r="E89" s="32"/>
      <c r="J89" s="34"/>
    </row>
    <row r="90" ht="15.75" customHeight="1">
      <c r="A90" s="32"/>
      <c r="B90" s="32"/>
      <c r="C90" s="32"/>
      <c r="D90" s="32"/>
      <c r="E90" s="32"/>
      <c r="J90" s="34"/>
    </row>
    <row r="91" ht="15.75" customHeight="1">
      <c r="A91" s="32"/>
      <c r="B91" s="32"/>
      <c r="C91" s="32"/>
      <c r="D91" s="32"/>
      <c r="E91" s="32"/>
      <c r="J91" s="34"/>
    </row>
    <row r="92" ht="15.75" customHeight="1">
      <c r="A92" s="32"/>
      <c r="B92" s="32"/>
      <c r="C92" s="32"/>
      <c r="D92" s="32"/>
      <c r="E92" s="32"/>
      <c r="J92" s="34"/>
    </row>
    <row r="93" ht="15.75" customHeight="1">
      <c r="A93" s="32"/>
      <c r="B93" s="32"/>
      <c r="C93" s="32"/>
      <c r="D93" s="32"/>
      <c r="E93" s="32"/>
      <c r="J93" s="34"/>
    </row>
    <row r="94" ht="15.75" customHeight="1">
      <c r="A94" s="32"/>
      <c r="B94" s="32"/>
      <c r="C94" s="32"/>
      <c r="D94" s="32"/>
      <c r="E94" s="32"/>
      <c r="J94" s="34"/>
    </row>
    <row r="95" ht="15.75" customHeight="1">
      <c r="A95" s="32"/>
      <c r="B95" s="32"/>
      <c r="C95" s="32"/>
      <c r="D95" s="32"/>
      <c r="E95" s="32"/>
      <c r="J95" s="34"/>
    </row>
    <row r="96" ht="15.75" customHeight="1">
      <c r="A96" s="32"/>
      <c r="B96" s="32"/>
      <c r="C96" s="32"/>
      <c r="D96" s="32"/>
      <c r="E96" s="32"/>
      <c r="J96" s="34"/>
    </row>
    <row r="97" ht="15.75" customHeight="1">
      <c r="A97" s="32"/>
      <c r="B97" s="32"/>
      <c r="C97" s="32"/>
      <c r="D97" s="32"/>
      <c r="E97" s="32"/>
      <c r="J97" s="34"/>
    </row>
    <row r="98" ht="15.75" customHeight="1">
      <c r="A98" s="32"/>
      <c r="B98" s="32"/>
      <c r="C98" s="32"/>
      <c r="D98" s="32"/>
      <c r="E98" s="32"/>
      <c r="J98" s="34"/>
    </row>
    <row r="99" ht="15.75" customHeight="1">
      <c r="A99" s="32"/>
      <c r="B99" s="32"/>
      <c r="C99" s="32"/>
      <c r="D99" s="32"/>
      <c r="E99" s="32"/>
      <c r="J99" s="34"/>
    </row>
    <row r="100" ht="15.75" customHeight="1">
      <c r="A100" s="32"/>
      <c r="B100" s="32"/>
      <c r="C100" s="32"/>
      <c r="D100" s="32"/>
      <c r="E100" s="32"/>
      <c r="J100" s="34"/>
    </row>
    <row r="101" ht="15.75" customHeight="1">
      <c r="A101" s="32"/>
      <c r="B101" s="32"/>
      <c r="C101" s="32"/>
      <c r="D101" s="32"/>
      <c r="E101" s="32"/>
      <c r="J101" s="34"/>
    </row>
    <row r="102" ht="15.75" customHeight="1">
      <c r="A102" s="32"/>
      <c r="B102" s="32"/>
      <c r="C102" s="32"/>
      <c r="D102" s="32"/>
      <c r="E102" s="32"/>
      <c r="J102" s="34"/>
    </row>
    <row r="103" ht="15.75" customHeight="1">
      <c r="A103" s="32"/>
      <c r="B103" s="32"/>
      <c r="C103" s="32"/>
      <c r="D103" s="32"/>
      <c r="E103" s="32"/>
      <c r="J103" s="34"/>
    </row>
    <row r="104" ht="15.75" customHeight="1">
      <c r="A104" s="32"/>
      <c r="B104" s="32"/>
      <c r="C104" s="32"/>
      <c r="D104" s="32"/>
      <c r="E104" s="32"/>
      <c r="J104" s="34"/>
    </row>
    <row r="105" ht="15.75" customHeight="1">
      <c r="A105" s="32"/>
      <c r="B105" s="32"/>
      <c r="C105" s="32"/>
      <c r="D105" s="32"/>
      <c r="E105" s="32"/>
      <c r="J105" s="34"/>
    </row>
    <row r="106" ht="15.75" customHeight="1">
      <c r="A106" s="32"/>
      <c r="B106" s="32"/>
      <c r="C106" s="32"/>
      <c r="D106" s="32"/>
      <c r="E106" s="32"/>
      <c r="J106" s="34"/>
    </row>
    <row r="107" ht="15.75" customHeight="1">
      <c r="A107" s="32"/>
      <c r="B107" s="32"/>
      <c r="C107" s="32"/>
      <c r="D107" s="32"/>
      <c r="E107" s="32"/>
      <c r="J107" s="34"/>
    </row>
    <row r="108" ht="15.75" customHeight="1">
      <c r="A108" s="32"/>
      <c r="B108" s="32"/>
      <c r="C108" s="32"/>
      <c r="D108" s="32"/>
      <c r="E108" s="32"/>
      <c r="J108" s="34"/>
    </row>
    <row r="109" ht="15.75" customHeight="1">
      <c r="A109" s="32"/>
      <c r="B109" s="32"/>
      <c r="C109" s="32"/>
      <c r="D109" s="32"/>
      <c r="E109" s="32"/>
      <c r="J109" s="34"/>
    </row>
    <row r="110" ht="15.75" customHeight="1">
      <c r="A110" s="32"/>
      <c r="B110" s="32"/>
      <c r="C110" s="32"/>
      <c r="D110" s="32"/>
      <c r="E110" s="32"/>
      <c r="J110" s="34"/>
    </row>
    <row r="111" ht="15.75" customHeight="1">
      <c r="A111" s="32"/>
      <c r="B111" s="32"/>
      <c r="C111" s="32"/>
      <c r="D111" s="32"/>
      <c r="E111" s="32"/>
      <c r="J111" s="34"/>
    </row>
    <row r="112" ht="15.75" customHeight="1">
      <c r="A112" s="32"/>
      <c r="B112" s="32"/>
      <c r="C112" s="32"/>
      <c r="D112" s="32"/>
      <c r="E112" s="32"/>
      <c r="J112" s="34"/>
    </row>
    <row r="113" ht="15.75" customHeight="1">
      <c r="A113" s="32"/>
      <c r="B113" s="32"/>
      <c r="C113" s="32"/>
      <c r="D113" s="32"/>
      <c r="E113" s="32"/>
      <c r="J113" s="34"/>
    </row>
    <row r="114" ht="15.75" customHeight="1">
      <c r="A114" s="32"/>
      <c r="B114" s="32"/>
      <c r="C114" s="32"/>
      <c r="D114" s="32"/>
      <c r="E114" s="32"/>
      <c r="J114" s="34"/>
    </row>
    <row r="115" ht="15.75" customHeight="1">
      <c r="A115" s="32"/>
      <c r="B115" s="32"/>
      <c r="C115" s="32"/>
      <c r="D115" s="32"/>
      <c r="E115" s="32"/>
      <c r="J115" s="34"/>
    </row>
    <row r="116" ht="15.75" customHeight="1">
      <c r="A116" s="32"/>
      <c r="B116" s="32"/>
      <c r="C116" s="32"/>
      <c r="D116" s="32"/>
      <c r="E116" s="32"/>
      <c r="J116" s="34"/>
    </row>
    <row r="117" ht="15.75" customHeight="1">
      <c r="A117" s="32"/>
      <c r="B117" s="32"/>
      <c r="C117" s="32"/>
      <c r="D117" s="32"/>
      <c r="E117" s="32"/>
      <c r="J117" s="34"/>
    </row>
    <row r="118" ht="15.75" customHeight="1">
      <c r="A118" s="32"/>
      <c r="B118" s="32"/>
      <c r="C118" s="32"/>
      <c r="D118" s="32"/>
      <c r="E118" s="32"/>
      <c r="J118" s="34"/>
    </row>
    <row r="119" ht="15.75" customHeight="1">
      <c r="A119" s="32"/>
      <c r="B119" s="32"/>
      <c r="C119" s="32"/>
      <c r="D119" s="32"/>
      <c r="E119" s="32"/>
      <c r="J119" s="34"/>
    </row>
    <row r="120" ht="15.75" customHeight="1">
      <c r="A120" s="32"/>
      <c r="B120" s="32"/>
      <c r="C120" s="32"/>
      <c r="D120" s="32"/>
      <c r="E120" s="32"/>
      <c r="J120" s="34"/>
    </row>
    <row r="121" ht="15.75" customHeight="1">
      <c r="A121" s="32"/>
      <c r="B121" s="32"/>
      <c r="C121" s="32"/>
      <c r="D121" s="32"/>
      <c r="E121" s="32"/>
      <c r="J121" s="34"/>
    </row>
    <row r="122" ht="15.75" customHeight="1">
      <c r="A122" s="32"/>
      <c r="B122" s="32"/>
      <c r="C122" s="32"/>
      <c r="D122" s="32"/>
      <c r="E122" s="32"/>
      <c r="J122" s="34"/>
    </row>
    <row r="123" ht="15.75" customHeight="1">
      <c r="A123" s="32"/>
      <c r="B123" s="32"/>
      <c r="C123" s="32"/>
      <c r="D123" s="32"/>
      <c r="E123" s="32"/>
      <c r="J123" s="34"/>
    </row>
    <row r="124" ht="15.75" customHeight="1">
      <c r="A124" s="32"/>
      <c r="B124" s="32"/>
      <c r="C124" s="32"/>
      <c r="D124" s="32"/>
      <c r="E124" s="32"/>
      <c r="J124" s="34"/>
    </row>
    <row r="125" ht="15.75" customHeight="1">
      <c r="A125" s="32"/>
      <c r="B125" s="32"/>
      <c r="C125" s="32"/>
      <c r="D125" s="32"/>
      <c r="E125" s="32"/>
      <c r="J125" s="34"/>
    </row>
    <row r="126" ht="15.75" customHeight="1">
      <c r="A126" s="32"/>
      <c r="B126" s="32"/>
      <c r="C126" s="32"/>
      <c r="D126" s="32"/>
      <c r="E126" s="32"/>
      <c r="J126" s="34"/>
    </row>
    <row r="127" ht="15.75" customHeight="1">
      <c r="A127" s="32"/>
      <c r="B127" s="32"/>
      <c r="C127" s="32"/>
      <c r="D127" s="32"/>
      <c r="E127" s="32"/>
      <c r="J127" s="34"/>
    </row>
    <row r="128" ht="15.75" customHeight="1">
      <c r="A128" s="32"/>
      <c r="B128" s="32"/>
      <c r="C128" s="32"/>
      <c r="D128" s="32"/>
      <c r="E128" s="32"/>
      <c r="J128" s="34"/>
    </row>
    <row r="129" ht="15.75" customHeight="1">
      <c r="A129" s="32"/>
      <c r="B129" s="32"/>
      <c r="C129" s="32"/>
      <c r="D129" s="32"/>
      <c r="E129" s="32"/>
      <c r="J129" s="34"/>
    </row>
    <row r="130" ht="15.75" customHeight="1">
      <c r="A130" s="32"/>
      <c r="B130" s="32"/>
      <c r="C130" s="32"/>
      <c r="D130" s="32"/>
      <c r="E130" s="32"/>
      <c r="J130" s="34"/>
    </row>
    <row r="131" ht="15.75" customHeight="1">
      <c r="A131" s="32"/>
      <c r="B131" s="32"/>
      <c r="C131" s="32"/>
      <c r="D131" s="32"/>
      <c r="E131" s="32"/>
      <c r="J131" s="34"/>
    </row>
    <row r="132" ht="15.75" customHeight="1">
      <c r="A132" s="32"/>
      <c r="B132" s="32"/>
      <c r="C132" s="32"/>
      <c r="D132" s="32"/>
      <c r="E132" s="32"/>
      <c r="J132" s="34"/>
    </row>
    <row r="133" ht="15.75" customHeight="1">
      <c r="A133" s="32"/>
      <c r="B133" s="32"/>
      <c r="C133" s="32"/>
      <c r="D133" s="32"/>
      <c r="E133" s="32"/>
      <c r="J133" s="34"/>
    </row>
    <row r="134" ht="15.75" customHeight="1">
      <c r="A134" s="32"/>
      <c r="B134" s="32"/>
      <c r="C134" s="32"/>
      <c r="D134" s="32"/>
      <c r="E134" s="32"/>
      <c r="J134" s="34"/>
    </row>
    <row r="135" ht="15.75" customHeight="1">
      <c r="A135" s="32"/>
      <c r="B135" s="32"/>
      <c r="C135" s="32"/>
      <c r="D135" s="32"/>
      <c r="E135" s="32"/>
      <c r="J135" s="34"/>
    </row>
    <row r="136" ht="15.75" customHeight="1">
      <c r="A136" s="32"/>
      <c r="B136" s="32"/>
      <c r="C136" s="32"/>
      <c r="D136" s="32"/>
      <c r="E136" s="32"/>
      <c r="J136" s="34"/>
    </row>
    <row r="137" ht="15.75" customHeight="1">
      <c r="A137" s="32"/>
      <c r="B137" s="32"/>
      <c r="C137" s="32"/>
      <c r="D137" s="32"/>
      <c r="E137" s="32"/>
      <c r="J137" s="34"/>
    </row>
    <row r="138" ht="15.75" customHeight="1">
      <c r="A138" s="32"/>
      <c r="B138" s="32"/>
      <c r="C138" s="32"/>
      <c r="D138" s="32"/>
      <c r="E138" s="32"/>
      <c r="J138" s="34"/>
    </row>
    <row r="139" ht="15.75" customHeight="1">
      <c r="A139" s="32"/>
      <c r="B139" s="32"/>
      <c r="C139" s="32"/>
      <c r="D139" s="32"/>
      <c r="E139" s="32"/>
      <c r="J139" s="34"/>
    </row>
    <row r="140" ht="15.75" customHeight="1">
      <c r="A140" s="32"/>
      <c r="B140" s="32"/>
      <c r="C140" s="32"/>
      <c r="D140" s="32"/>
      <c r="E140" s="32"/>
      <c r="J140" s="34"/>
    </row>
    <row r="141" ht="15.75" customHeight="1">
      <c r="A141" s="32"/>
      <c r="B141" s="32"/>
      <c r="C141" s="32"/>
      <c r="D141" s="32"/>
      <c r="E141" s="32"/>
      <c r="J141" s="34"/>
    </row>
    <row r="142" ht="15.75" customHeight="1">
      <c r="A142" s="32"/>
      <c r="B142" s="32"/>
      <c r="C142" s="32"/>
      <c r="D142" s="32"/>
      <c r="E142" s="32"/>
      <c r="J142" s="34"/>
    </row>
    <row r="143" ht="15.75" customHeight="1">
      <c r="A143" s="32"/>
      <c r="B143" s="32"/>
      <c r="C143" s="32"/>
      <c r="D143" s="32"/>
      <c r="E143" s="32"/>
      <c r="J143" s="34"/>
    </row>
    <row r="144" ht="15.75" customHeight="1">
      <c r="A144" s="32"/>
      <c r="B144" s="32"/>
      <c r="C144" s="32"/>
      <c r="D144" s="32"/>
      <c r="E144" s="32"/>
      <c r="J144" s="34"/>
    </row>
    <row r="145" ht="15.75" customHeight="1">
      <c r="A145" s="32"/>
      <c r="B145" s="32"/>
      <c r="C145" s="32"/>
      <c r="D145" s="32"/>
      <c r="E145" s="32"/>
      <c r="J145" s="34"/>
    </row>
    <row r="146" ht="15.75" customHeight="1">
      <c r="A146" s="32"/>
      <c r="B146" s="32"/>
      <c r="C146" s="32"/>
      <c r="D146" s="32"/>
      <c r="E146" s="32"/>
      <c r="J146" s="34"/>
    </row>
    <row r="147" ht="15.75" customHeight="1">
      <c r="A147" s="32"/>
      <c r="B147" s="32"/>
      <c r="C147" s="32"/>
      <c r="D147" s="32"/>
      <c r="E147" s="32"/>
      <c r="J147" s="34"/>
    </row>
    <row r="148" ht="15.75" customHeight="1">
      <c r="A148" s="32"/>
      <c r="B148" s="32"/>
      <c r="C148" s="32"/>
      <c r="D148" s="32"/>
      <c r="E148" s="32"/>
      <c r="J148" s="34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J184" s="34"/>
    </row>
    <row r="185" ht="15.75" customHeight="1">
      <c r="J185" s="34"/>
    </row>
    <row r="186" ht="15.75" customHeight="1">
      <c r="J186" s="3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B2"/>
    <mergeCell ref="D2:J2"/>
    <mergeCell ref="L2:M3"/>
    <mergeCell ref="D5:D31"/>
    <mergeCell ref="E5:E31"/>
    <mergeCell ref="J5:J31"/>
    <mergeCell ref="D32:I3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61</v>
      </c>
      <c r="F5" s="55" t="s">
        <v>22</v>
      </c>
      <c r="G5" s="56"/>
      <c r="H5" s="57">
        <f>VLOOKUP(F5,$A$4:$B$4,2,TRUE)</f>
        <v>4000</v>
      </c>
      <c r="I5" s="58">
        <f t="shared" ref="I5:I112" si="1">G5*H5</f>
        <v>0</v>
      </c>
      <c r="J5" s="59">
        <f>SUM(I5:I31)</f>
        <v>7900</v>
      </c>
      <c r="K5" s="33"/>
      <c r="L5" s="55" t="s">
        <v>22</v>
      </c>
      <c r="M5" s="51">
        <f>SUMIF(F5:F112,"Gelas bersih",G5:G112)</f>
        <v>0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>
        <v>2.0</v>
      </c>
      <c r="H6" s="61">
        <f>VLOOKUP(F6,$A$5:$B$5,2,TRUE)</f>
        <v>3000</v>
      </c>
      <c r="I6" s="58">
        <f t="shared" si="1"/>
        <v>6000</v>
      </c>
      <c r="J6" s="60"/>
      <c r="K6" s="33"/>
      <c r="L6" s="55" t="s">
        <v>57</v>
      </c>
      <c r="M6" s="51">
        <f>SUMIF(F6:F113,"Botol bersih",G6:G113)</f>
        <v>2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SUMIF(F7:F113,"Botol Warna",G7:G113)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>
        <v>0.5</v>
      </c>
      <c r="H8" s="61">
        <f>VLOOKUP(F8,$A$7:$B$7,2,TRUE)</f>
        <v>2800</v>
      </c>
      <c r="I8" s="58">
        <f t="shared" si="1"/>
        <v>1400</v>
      </c>
      <c r="J8" s="60"/>
      <c r="K8" s="33"/>
      <c r="L8" s="55" t="s">
        <v>25</v>
      </c>
      <c r="M8" s="51">
        <f>SUMIF(F8:F114,"Tutup botol",G8:G114)</f>
        <v>0.5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SUMIF(F9:F115,"Tutup galon",G9:G115)</f>
        <v>0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1000</v>
      </c>
      <c r="I10" s="58">
        <f t="shared" si="1"/>
        <v>0</v>
      </c>
      <c r="J10" s="60"/>
      <c r="K10" s="33"/>
      <c r="L10" s="55" t="s">
        <v>27</v>
      </c>
      <c r="M10" s="51">
        <f>SUMIF(F10:F116,"Hitam",G10:G116)</f>
        <v>0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SUMIF(F11:F117,"Plastik Campur",G11:G117)</f>
        <v>2.25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SUMIF(F12:F118,"Kardus",G12:G118)</f>
        <v>5.5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SUMIF(F13:F119,"Kertas Putihan/ HVS",G13:G119)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SUMIF(F14:F120,"Koran/Buku",G14:G120)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v>1.0</v>
      </c>
      <c r="H15" s="61">
        <f>VLOOKUP(F15,$A$14:$B$14,2,TRUE)</f>
        <v>500</v>
      </c>
      <c r="I15" s="58">
        <f t="shared" si="1"/>
        <v>500</v>
      </c>
      <c r="J15" s="60"/>
      <c r="K15" s="33"/>
      <c r="L15" s="55" t="s">
        <v>32</v>
      </c>
      <c r="M15" s="51">
        <f>SUMIF(F15:F121,"Duplex",G15:G121)</f>
        <v>1.5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SUMIF(F16:F122,"Alumunium",G16:G122)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SUMIF(F17:F123,"Besi",G17:G123)</f>
        <v>0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SUMIF(F18:F124,"Kaleng kue/susu",G18:G124)</f>
        <v>0.5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SUMIF(F19:F125,"Kaleng Minuman",G19:G125)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SUMIF(F20:F126,"Stanless",G20:G126)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SUMIF(F21:F127,"Tembaga",G21:G127)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SUMIF(F22:F128,"Aki Motor",G22:G128)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SUMIF(F23:F129,"Paralon",G23:G129)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SUMIF(F24:F130,"Plastik bening",G24:G130)</f>
        <v>0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SUMIF(F25:F131,"Plastik Warna",G25:G131)</f>
        <v>0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SUMIF(F26:F132,"Selang",G26:G132)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SUMIF(F27:F133,"Beling",G27:G133)</f>
        <v>2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SUMIF(F28:F134,"Pecahan",G28:G134)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SUMIF(F29:F136,"Paku",G29:G136)</f>
        <v>0</v>
      </c>
      <c r="N29" s="33"/>
    </row>
    <row r="30" ht="15.75" customHeight="1">
      <c r="A30" s="44" t="s">
        <v>59</v>
      </c>
      <c r="B30" s="45">
        <v>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SUMIF(F30:F137,"Minyak Jelantah",G30:G137)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1.0</v>
      </c>
      <c r="H31" s="61">
        <f>VLOOKUP(F30,$A$30:$B$30,2,TRUE)</f>
        <v>0</v>
      </c>
      <c r="I31" s="58">
        <f t="shared" si="1"/>
        <v>0</v>
      </c>
      <c r="J31" s="18"/>
      <c r="K31" s="33"/>
      <c r="L31" s="55" t="s">
        <v>59</v>
      </c>
      <c r="M31" s="51">
        <f>SUMIF(F31:F138,"Lainnya",G31:G138)</f>
        <v>2</v>
      </c>
      <c r="N31" s="33"/>
    </row>
    <row r="32" ht="15.75" customHeight="1">
      <c r="A32" s="52"/>
      <c r="B32" s="52"/>
      <c r="C32" s="52"/>
      <c r="D32" s="53">
        <v>2.0</v>
      </c>
      <c r="E32" s="65" t="s">
        <v>62</v>
      </c>
      <c r="F32" s="55" t="s">
        <v>22</v>
      </c>
      <c r="G32" s="56"/>
      <c r="H32" s="57">
        <f>VLOOKUP(F32,$A$4:$B$4,2,TRUE)</f>
        <v>4000</v>
      </c>
      <c r="I32" s="58">
        <f t="shared" si="1"/>
        <v>0</v>
      </c>
      <c r="J32" s="59">
        <f>SUM(I32:I58)</f>
        <v>12000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/>
      <c r="H33" s="61">
        <f>VLOOKUP(F33,$A$5:$B$5,2,TRUE)</f>
        <v>3000</v>
      </c>
      <c r="I33" s="58">
        <f t="shared" si="1"/>
        <v>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/>
      <c r="H37" s="61">
        <f>VLOOKUP(F37,$A$9:$B$9,2,TRUE)</f>
        <v>1000</v>
      </c>
      <c r="I37" s="58">
        <f t="shared" si="1"/>
        <v>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>
        <v>1.5</v>
      </c>
      <c r="H38" s="61">
        <f>VLOOKUP(F38,$A$10:$B$10,2,TRUE)</f>
        <v>2000</v>
      </c>
      <c r="I38" s="58">
        <f t="shared" si="1"/>
        <v>3000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>
        <v>5.5</v>
      </c>
      <c r="H39" s="61">
        <f>VLOOKUP(F39,$A$11:$B$11,2,TRUE)</f>
        <v>1500</v>
      </c>
      <c r="I39" s="58">
        <f t="shared" si="1"/>
        <v>8250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>
        <v>0.5</v>
      </c>
      <c r="H42" s="61">
        <f>VLOOKUP(F42,$A$14:$B$14,2,TRUE)</f>
        <v>500</v>
      </c>
      <c r="I42" s="58">
        <f t="shared" si="1"/>
        <v>250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>
        <v>0.5</v>
      </c>
      <c r="H45" s="61">
        <f>VLOOKUP(F45,$A$17:$B$17,2,TRUE)</f>
        <v>1000</v>
      </c>
      <c r="I45" s="58">
        <f t="shared" si="1"/>
        <v>500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1">
        <f>VLOOKUP(F51,$A$23:$B$23,2,TRUE)</f>
        <v>500</v>
      </c>
      <c r="I51" s="58">
        <f t="shared" si="1"/>
        <v>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1">
        <f>VLOOKUP(F54,$A$26:$B$26,2,TRUE)</f>
        <v>300</v>
      </c>
      <c r="I54" s="58">
        <f t="shared" si="1"/>
        <v>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/>
      <c r="H58" s="61">
        <f>VLOOKUP(F57,$A$30:$B$30,2,TRUE)</f>
        <v>0</v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63</v>
      </c>
      <c r="F59" s="55" t="s">
        <v>22</v>
      </c>
      <c r="G59" s="56"/>
      <c r="H59" s="57">
        <f>VLOOKUP(F59,$A$4:$B$4,2,TRUE)</f>
        <v>4000</v>
      </c>
      <c r="I59" s="58">
        <f t="shared" si="1"/>
        <v>0</v>
      </c>
      <c r="J59" s="59">
        <f>SUM(I59:I85)</f>
        <v>500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/>
      <c r="H60" s="61">
        <f>VLOOKUP(F60,$A$5:$B$5,2,TRUE)</f>
        <v>3000</v>
      </c>
      <c r="I60" s="58">
        <f t="shared" si="1"/>
        <v>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1">
        <f>VLOOKUP(F63,$A$8:$B$8,2,TRUE)</f>
        <v>3500</v>
      </c>
      <c r="I63" s="58">
        <f t="shared" si="1"/>
        <v>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/>
      <c r="H64" s="61">
        <f>VLOOKUP(F64,$A$9:$B$9,2,TRUE)</f>
        <v>1000</v>
      </c>
      <c r="I64" s="58">
        <f t="shared" si="1"/>
        <v>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>
        <v>0.25</v>
      </c>
      <c r="H65" s="61">
        <f>VLOOKUP(F65,$A$10:$B$10,2,TRUE)</f>
        <v>2000</v>
      </c>
      <c r="I65" s="58">
        <f t="shared" si="1"/>
        <v>500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/>
      <c r="H66" s="61">
        <f>VLOOKUP(F66,$A$11:$B$11,2,TRUE)</f>
        <v>1500</v>
      </c>
      <c r="I66" s="58">
        <f t="shared" si="1"/>
        <v>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1">
        <f>VLOOKUP(F69,$A$14:$B$14,2,TRUE)</f>
        <v>500</v>
      </c>
      <c r="I69" s="58">
        <f t="shared" si="1"/>
        <v>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1">
        <f>VLOOKUP(F72,$A$17:$B$17,2,TRUE)</f>
        <v>1000</v>
      </c>
      <c r="I72" s="58">
        <f t="shared" si="1"/>
        <v>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/>
      <c r="H84" s="61">
        <f>VLOOKUP(F83,$A$29:$B$29,2,TRUE)</f>
        <v>4000</v>
      </c>
      <c r="I84" s="58">
        <f t="shared" si="1"/>
        <v>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>
        <v>1.0</v>
      </c>
      <c r="H85" s="61">
        <f>VLOOKUP(F84,$A$30:$B$30,2,TRUE)</f>
        <v>0</v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53">
        <v>4.0</v>
      </c>
      <c r="E86" s="65" t="s">
        <v>64</v>
      </c>
      <c r="F86" s="55" t="s">
        <v>22</v>
      </c>
      <c r="G86" s="56"/>
      <c r="H86" s="57">
        <f>VLOOKUP(F86,$A$4:$B$4,2,TRUE)</f>
        <v>4000</v>
      </c>
      <c r="I86" s="58">
        <f t="shared" si="1"/>
        <v>0</v>
      </c>
      <c r="J86" s="59">
        <f>SUM(I86:I112)</f>
        <v>1600</v>
      </c>
      <c r="K86" s="33"/>
      <c r="L86" s="33"/>
      <c r="M86" s="33"/>
      <c r="N86" s="33"/>
    </row>
    <row r="87" ht="15.75" customHeight="1">
      <c r="A87" s="52"/>
      <c r="B87" s="52"/>
      <c r="C87" s="52"/>
      <c r="D87" s="60"/>
      <c r="E87" s="60"/>
      <c r="F87" s="55" t="s">
        <v>57</v>
      </c>
      <c r="G87" s="56"/>
      <c r="H87" s="61">
        <f>VLOOKUP(F87,$A$5:$B$5,2,TRUE)</f>
        <v>3000</v>
      </c>
      <c r="I87" s="58">
        <f t="shared" si="1"/>
        <v>0</v>
      </c>
      <c r="J87" s="60"/>
      <c r="K87" s="33"/>
      <c r="L87" s="33"/>
      <c r="M87" s="33"/>
      <c r="N87" s="33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1">
        <f>VLOOKUP(F88,$A$6:$B$6,2,TRUE)</f>
        <v>1000</v>
      </c>
      <c r="I88" s="58">
        <f t="shared" si="1"/>
        <v>0</v>
      </c>
      <c r="J88" s="60"/>
      <c r="K88" s="33"/>
      <c r="L88" s="33"/>
      <c r="M88" s="33"/>
      <c r="N88" s="33"/>
    </row>
    <row r="89" ht="15.75" customHeight="1">
      <c r="A89" s="52"/>
      <c r="B89" s="52"/>
      <c r="C89" s="52"/>
      <c r="D89" s="60"/>
      <c r="E89" s="60"/>
      <c r="F89" s="55" t="s">
        <v>25</v>
      </c>
      <c r="G89" s="56"/>
      <c r="H89" s="61">
        <f>VLOOKUP(F89,$A$7:$B$7,2,TRUE)</f>
        <v>2800</v>
      </c>
      <c r="I89" s="58">
        <f t="shared" si="1"/>
        <v>0</v>
      </c>
      <c r="J89" s="60"/>
      <c r="K89" s="33"/>
      <c r="L89" s="33"/>
      <c r="M89" s="33"/>
      <c r="N89" s="33"/>
    </row>
    <row r="90" ht="15.75" customHeight="1">
      <c r="A90" s="52"/>
      <c r="B90" s="52"/>
      <c r="C90" s="52"/>
      <c r="D90" s="60"/>
      <c r="E90" s="60"/>
      <c r="F90" s="55" t="s">
        <v>26</v>
      </c>
      <c r="G90" s="56"/>
      <c r="H90" s="61">
        <f>VLOOKUP(F90,$A$8:$B$8,2,TRUE)</f>
        <v>3500</v>
      </c>
      <c r="I90" s="58">
        <f t="shared" si="1"/>
        <v>0</v>
      </c>
      <c r="J90" s="60"/>
      <c r="K90" s="33"/>
      <c r="L90" s="33"/>
      <c r="M90" s="33"/>
      <c r="N90" s="33"/>
    </row>
    <row r="91" ht="15.75" customHeight="1">
      <c r="A91" s="52"/>
      <c r="B91" s="52"/>
      <c r="C91" s="52"/>
      <c r="D91" s="60"/>
      <c r="E91" s="60"/>
      <c r="F91" s="55" t="s">
        <v>27</v>
      </c>
      <c r="G91" s="56"/>
      <c r="H91" s="61">
        <f>VLOOKUP(F91,$A$9:$B$9,2,TRUE)</f>
        <v>1000</v>
      </c>
      <c r="I91" s="58">
        <f t="shared" si="1"/>
        <v>0</v>
      </c>
      <c r="J91" s="60"/>
      <c r="K91" s="33"/>
      <c r="L91" s="33"/>
      <c r="M91" s="33"/>
      <c r="N91" s="33"/>
    </row>
    <row r="92" ht="15.75" customHeight="1">
      <c r="A92" s="52"/>
      <c r="B92" s="52"/>
      <c r="C92" s="52"/>
      <c r="D92" s="60"/>
      <c r="E92" s="60"/>
      <c r="F92" s="55" t="s">
        <v>28</v>
      </c>
      <c r="G92" s="56">
        <v>0.5</v>
      </c>
      <c r="H92" s="61">
        <f>VLOOKUP(F92,$A$10:$B$10,2,TRUE)</f>
        <v>2000</v>
      </c>
      <c r="I92" s="58">
        <f t="shared" si="1"/>
        <v>1000</v>
      </c>
      <c r="J92" s="60"/>
      <c r="K92" s="33"/>
      <c r="L92" s="33"/>
      <c r="M92" s="33"/>
      <c r="N92" s="33"/>
    </row>
    <row r="93" ht="15.75" customHeight="1">
      <c r="A93" s="52"/>
      <c r="B93" s="52"/>
      <c r="C93" s="52"/>
      <c r="D93" s="60"/>
      <c r="E93" s="60"/>
      <c r="F93" s="55" t="s">
        <v>29</v>
      </c>
      <c r="G93" s="56"/>
      <c r="H93" s="61">
        <f>VLOOKUP(F93,$A$11:$B$11,2,TRUE)</f>
        <v>1500</v>
      </c>
      <c r="I93" s="58">
        <f t="shared" si="1"/>
        <v>0</v>
      </c>
      <c r="J93" s="60"/>
      <c r="K93" s="33"/>
      <c r="L93" s="33"/>
      <c r="M93" s="33"/>
      <c r="N93" s="33"/>
    </row>
    <row r="94" ht="15.75" customHeight="1">
      <c r="A94" s="52"/>
      <c r="B94" s="52"/>
      <c r="C94" s="52"/>
      <c r="D94" s="60"/>
      <c r="E94" s="60"/>
      <c r="F94" s="55" t="s">
        <v>30</v>
      </c>
      <c r="G94" s="56"/>
      <c r="H94" s="61">
        <f>VLOOKUP(F94,$A$12:$B$12,2,TRUE)</f>
        <v>1300</v>
      </c>
      <c r="I94" s="58">
        <f t="shared" si="1"/>
        <v>0</v>
      </c>
      <c r="J94" s="60"/>
      <c r="K94" s="33"/>
      <c r="L94" s="33"/>
      <c r="M94" s="33"/>
      <c r="N94" s="33"/>
    </row>
    <row r="95" ht="15.75" customHeight="1">
      <c r="A95" s="52"/>
      <c r="B95" s="52"/>
      <c r="C95" s="52"/>
      <c r="D95" s="60"/>
      <c r="E95" s="60"/>
      <c r="F95" s="55" t="s">
        <v>31</v>
      </c>
      <c r="G95" s="56"/>
      <c r="H95" s="61">
        <f>VLOOKUP(F95,$A$13:$B$13,2,TRUE)</f>
        <v>1000</v>
      </c>
      <c r="I95" s="58">
        <f t="shared" si="1"/>
        <v>0</v>
      </c>
      <c r="J95" s="60"/>
      <c r="K95" s="33"/>
      <c r="L95" s="33"/>
      <c r="M95" s="33"/>
      <c r="N95" s="33"/>
    </row>
    <row r="96" ht="15.75" customHeight="1">
      <c r="A96" s="52"/>
      <c r="B96" s="52"/>
      <c r="C96" s="52"/>
      <c r="D96" s="60"/>
      <c r="E96" s="60"/>
      <c r="F96" s="55" t="s">
        <v>32</v>
      </c>
      <c r="G96" s="56"/>
      <c r="H96" s="61">
        <f>VLOOKUP(F96,$A$14:$B$14,2,TRUE)</f>
        <v>500</v>
      </c>
      <c r="I96" s="58">
        <f t="shared" si="1"/>
        <v>0</v>
      </c>
      <c r="J96" s="60"/>
      <c r="K96" s="33"/>
      <c r="L96" s="33"/>
      <c r="M96" s="33"/>
      <c r="N96" s="33"/>
    </row>
    <row r="97" ht="15.75" customHeight="1">
      <c r="A97" s="52"/>
      <c r="B97" s="52"/>
      <c r="C97" s="52"/>
      <c r="D97" s="60"/>
      <c r="E97" s="60"/>
      <c r="F97" s="55" t="s">
        <v>33</v>
      </c>
      <c r="G97" s="56"/>
      <c r="H97" s="61">
        <f>VLOOKUP(F97,$A$15:$B$15,2,TRUE)</f>
        <v>7500</v>
      </c>
      <c r="I97" s="58">
        <f t="shared" si="1"/>
        <v>0</v>
      </c>
      <c r="J97" s="60"/>
      <c r="K97" s="33"/>
      <c r="L97" s="33"/>
      <c r="M97" s="33"/>
      <c r="N97" s="33"/>
    </row>
    <row r="98" ht="15.75" customHeight="1">
      <c r="A98" s="52"/>
      <c r="B98" s="52"/>
      <c r="C98" s="52"/>
      <c r="D98" s="60"/>
      <c r="E98" s="60"/>
      <c r="F98" s="55" t="s">
        <v>34</v>
      </c>
      <c r="G98" s="56"/>
      <c r="H98" s="61">
        <f>VLOOKUP(F98,$A$16:$B$16,2,TRUE)</f>
        <v>2000</v>
      </c>
      <c r="I98" s="58">
        <f t="shared" si="1"/>
        <v>0</v>
      </c>
      <c r="J98" s="60"/>
      <c r="K98" s="33"/>
      <c r="L98" s="33"/>
      <c r="M98" s="33"/>
      <c r="N98" s="33"/>
    </row>
    <row r="99" ht="15.75" customHeight="1">
      <c r="A99" s="52"/>
      <c r="B99" s="52"/>
      <c r="C99" s="52"/>
      <c r="D99" s="60"/>
      <c r="E99" s="60"/>
      <c r="F99" s="55" t="s">
        <v>35</v>
      </c>
      <c r="G99" s="56"/>
      <c r="H99" s="61">
        <f>VLOOKUP(F99,$A$17:$B$17,2,TRUE)</f>
        <v>1000</v>
      </c>
      <c r="I99" s="58">
        <f t="shared" si="1"/>
        <v>0</v>
      </c>
      <c r="J99" s="60"/>
      <c r="K99" s="33"/>
      <c r="L99" s="33"/>
      <c r="M99" s="33"/>
      <c r="N99" s="33"/>
    </row>
    <row r="100" ht="15.75" customHeight="1">
      <c r="A100" s="52"/>
      <c r="B100" s="52"/>
      <c r="C100" s="52"/>
      <c r="D100" s="60"/>
      <c r="E100" s="60"/>
      <c r="F100" s="55" t="s">
        <v>36</v>
      </c>
      <c r="G100" s="56"/>
      <c r="H100" s="61">
        <f>VLOOKUP(F100,$A$18:$B$18,2,TRUE)</f>
        <v>5000</v>
      </c>
      <c r="I100" s="58">
        <f t="shared" si="1"/>
        <v>0</v>
      </c>
      <c r="J100" s="60"/>
      <c r="K100" s="33"/>
      <c r="L100" s="33"/>
      <c r="M100" s="33"/>
      <c r="N100" s="33"/>
    </row>
    <row r="101" ht="15.75" customHeight="1">
      <c r="A101" s="52"/>
      <c r="B101" s="52"/>
      <c r="C101" s="52"/>
      <c r="D101" s="60"/>
      <c r="E101" s="60"/>
      <c r="F101" s="55" t="s">
        <v>37</v>
      </c>
      <c r="G101" s="56"/>
      <c r="H101" s="61">
        <f>VLOOKUP(F101,$A$19:$B$19,2,TRUE)</f>
        <v>2700</v>
      </c>
      <c r="I101" s="58">
        <f t="shared" si="1"/>
        <v>0</v>
      </c>
      <c r="J101" s="60"/>
      <c r="K101" s="33"/>
      <c r="L101" s="33"/>
      <c r="M101" s="33"/>
      <c r="N101" s="33"/>
    </row>
    <row r="102" ht="15.75" customHeight="1">
      <c r="A102" s="52"/>
      <c r="B102" s="52"/>
      <c r="C102" s="52"/>
      <c r="D102" s="60"/>
      <c r="E102" s="60"/>
      <c r="F102" s="55" t="s">
        <v>38</v>
      </c>
      <c r="G102" s="56"/>
      <c r="H102" s="61">
        <f>VLOOKUP(F102,$A$20:$B$20,2,TRUE)</f>
        <v>50000</v>
      </c>
      <c r="I102" s="58">
        <f t="shared" si="1"/>
        <v>0</v>
      </c>
      <c r="J102" s="60"/>
      <c r="K102" s="33"/>
      <c r="L102" s="33"/>
      <c r="M102" s="33"/>
      <c r="N102" s="33"/>
    </row>
    <row r="103" ht="15.75" customHeight="1">
      <c r="A103" s="52"/>
      <c r="B103" s="52"/>
      <c r="C103" s="52"/>
      <c r="D103" s="60"/>
      <c r="E103" s="60"/>
      <c r="F103" s="55" t="s">
        <v>39</v>
      </c>
      <c r="G103" s="56"/>
      <c r="H103" s="61">
        <f>VLOOKUP(F103,$A$21:$B$21,2,TRUE)</f>
        <v>10000</v>
      </c>
      <c r="I103" s="58">
        <f t="shared" si="1"/>
        <v>0</v>
      </c>
      <c r="J103" s="60"/>
      <c r="K103" s="33"/>
      <c r="L103" s="33"/>
      <c r="M103" s="33"/>
      <c r="N103" s="33"/>
    </row>
    <row r="104" ht="15.75" customHeight="1">
      <c r="A104" s="52"/>
      <c r="B104" s="52"/>
      <c r="C104" s="52"/>
      <c r="D104" s="60"/>
      <c r="E104" s="60"/>
      <c r="F104" s="55" t="s">
        <v>40</v>
      </c>
      <c r="G104" s="56"/>
      <c r="H104" s="61">
        <f>VLOOKUP(F104,$A$22:$B$22,2,TRUE)</f>
        <v>1000</v>
      </c>
      <c r="I104" s="58">
        <f t="shared" si="1"/>
        <v>0</v>
      </c>
      <c r="J104" s="60"/>
      <c r="K104" s="33"/>
      <c r="L104" s="33"/>
      <c r="M104" s="33"/>
      <c r="N104" s="33"/>
    </row>
    <row r="105" ht="15.75" customHeight="1">
      <c r="A105" s="52"/>
      <c r="B105" s="52"/>
      <c r="C105" s="52"/>
      <c r="D105" s="60"/>
      <c r="E105" s="60"/>
      <c r="F105" s="55" t="s">
        <v>41</v>
      </c>
      <c r="G105" s="56"/>
      <c r="H105" s="61">
        <f>VLOOKUP(F105,$A$23:$B$23,2,TRUE)</f>
        <v>500</v>
      </c>
      <c r="I105" s="58">
        <f t="shared" si="1"/>
        <v>0</v>
      </c>
      <c r="J105" s="60"/>
      <c r="K105" s="33"/>
      <c r="L105" s="33"/>
      <c r="M105" s="33"/>
      <c r="N105" s="33"/>
    </row>
    <row r="106" ht="15.75" customHeight="1">
      <c r="A106" s="52"/>
      <c r="B106" s="52"/>
      <c r="C106" s="52"/>
      <c r="D106" s="60"/>
      <c r="E106" s="60"/>
      <c r="F106" s="55" t="s">
        <v>42</v>
      </c>
      <c r="G106" s="56"/>
      <c r="H106" s="61">
        <f>VLOOKUP(F106,$A$24:$B$24,2,TRUE)</f>
        <v>200</v>
      </c>
      <c r="I106" s="58">
        <f t="shared" si="1"/>
        <v>0</v>
      </c>
      <c r="J106" s="60"/>
      <c r="K106" s="33"/>
      <c r="L106" s="33"/>
      <c r="M106" s="33"/>
      <c r="N106" s="33"/>
    </row>
    <row r="107" ht="15.75" customHeight="1">
      <c r="A107" s="52"/>
      <c r="B107" s="52"/>
      <c r="C107" s="52"/>
      <c r="D107" s="60"/>
      <c r="E107" s="60"/>
      <c r="F107" s="55" t="s">
        <v>43</v>
      </c>
      <c r="G107" s="56"/>
      <c r="H107" s="61">
        <f>VLOOKUP(F107,$A$25:$B$25,2,TRUE)</f>
        <v>1000</v>
      </c>
      <c r="I107" s="58">
        <f t="shared" si="1"/>
        <v>0</v>
      </c>
      <c r="J107" s="60"/>
      <c r="K107" s="33"/>
      <c r="L107" s="33"/>
      <c r="M107" s="33"/>
      <c r="N107" s="33"/>
    </row>
    <row r="108" ht="15.75" customHeight="1">
      <c r="A108" s="52"/>
      <c r="B108" s="52"/>
      <c r="C108" s="52"/>
      <c r="D108" s="60"/>
      <c r="E108" s="60"/>
      <c r="F108" s="55" t="s">
        <v>18</v>
      </c>
      <c r="G108" s="56">
        <v>2.0</v>
      </c>
      <c r="H108" s="61">
        <f>VLOOKUP(F108,$A$26:$B$26,2,TRUE)</f>
        <v>300</v>
      </c>
      <c r="I108" s="58">
        <f t="shared" si="1"/>
        <v>600</v>
      </c>
      <c r="J108" s="60"/>
      <c r="K108" s="33"/>
      <c r="L108" s="33"/>
      <c r="M108" s="33"/>
      <c r="N108" s="33"/>
    </row>
    <row r="109" ht="15.75" customHeight="1">
      <c r="A109" s="52"/>
      <c r="B109" s="52"/>
      <c r="C109" s="52"/>
      <c r="D109" s="60"/>
      <c r="E109" s="60"/>
      <c r="F109" s="55" t="s">
        <v>44</v>
      </c>
      <c r="G109" s="56"/>
      <c r="H109" s="61">
        <f>VLOOKUP(F109,$A$27:$B$27,2,TRUE)</f>
        <v>100</v>
      </c>
      <c r="I109" s="58">
        <f t="shared" si="1"/>
        <v>0</v>
      </c>
      <c r="J109" s="60"/>
      <c r="K109" s="33"/>
      <c r="L109" s="33"/>
      <c r="M109" s="33"/>
      <c r="N109" s="33"/>
    </row>
    <row r="110" ht="15.75" customHeight="1">
      <c r="A110" s="52"/>
      <c r="B110" s="52"/>
      <c r="C110" s="52"/>
      <c r="D110" s="60"/>
      <c r="E110" s="60"/>
      <c r="F110" s="55" t="s">
        <v>13</v>
      </c>
      <c r="G110" s="56"/>
      <c r="H110" s="61">
        <f>VLOOKUP(F109,$A$28:$B$28,2,TRUE)</f>
        <v>1500</v>
      </c>
      <c r="I110" s="58">
        <f t="shared" si="1"/>
        <v>0</v>
      </c>
      <c r="J110" s="60"/>
      <c r="K110" s="33"/>
      <c r="L110" s="33"/>
      <c r="M110" s="33"/>
      <c r="N110" s="33"/>
    </row>
    <row r="111" ht="15.75" customHeight="1">
      <c r="A111" s="52"/>
      <c r="B111" s="52"/>
      <c r="C111" s="52"/>
      <c r="D111" s="60"/>
      <c r="E111" s="60"/>
      <c r="F111" s="55" t="s">
        <v>20</v>
      </c>
      <c r="G111" s="56"/>
      <c r="H111" s="61">
        <f>VLOOKUP(F110,$A$29:$B$29,2,TRUE)</f>
        <v>4000</v>
      </c>
      <c r="I111" s="58">
        <f t="shared" si="1"/>
        <v>0</v>
      </c>
      <c r="J111" s="60"/>
      <c r="K111" s="33"/>
      <c r="L111" s="33"/>
      <c r="M111" s="33"/>
      <c r="N111" s="33"/>
    </row>
    <row r="112" ht="15.75" customHeight="1">
      <c r="A112" s="52"/>
      <c r="B112" s="52"/>
      <c r="C112" s="52"/>
      <c r="D112" s="18"/>
      <c r="E112" s="18"/>
      <c r="F112" s="55" t="s">
        <v>59</v>
      </c>
      <c r="G112" s="56"/>
      <c r="H112" s="61">
        <f>VLOOKUP(F111,$A$30:$B$30,2,TRUE)</f>
        <v>0</v>
      </c>
      <c r="I112" s="58">
        <f t="shared" si="1"/>
        <v>0</v>
      </c>
      <c r="J112" s="18"/>
      <c r="K112" s="33"/>
      <c r="L112" s="33"/>
      <c r="M112" s="33"/>
      <c r="N112" s="33"/>
    </row>
    <row r="113" ht="15.75" customHeight="1">
      <c r="A113" s="52"/>
      <c r="B113" s="52"/>
      <c r="C113" s="52"/>
      <c r="D113" s="63" t="s">
        <v>60</v>
      </c>
      <c r="E113" s="6"/>
      <c r="F113" s="6"/>
      <c r="G113" s="6"/>
      <c r="H113" s="6"/>
      <c r="I113" s="7"/>
      <c r="J113" s="64">
        <f>SUM(J5:J112)</f>
        <v>22000</v>
      </c>
      <c r="K113" s="33"/>
      <c r="L113" s="33"/>
      <c r="M113" s="33"/>
      <c r="N113" s="33"/>
    </row>
    <row r="114" ht="15.75" customHeight="1">
      <c r="A114" s="32"/>
      <c r="B114" s="32"/>
      <c r="C114" s="32"/>
      <c r="D114" s="32"/>
      <c r="E114" s="32"/>
      <c r="F114" s="33"/>
      <c r="G114" s="33"/>
      <c r="H114" s="33"/>
      <c r="I114" s="33"/>
      <c r="J114" s="34"/>
      <c r="K114" s="33"/>
      <c r="L114" s="33"/>
      <c r="M114" s="33"/>
      <c r="N114" s="33"/>
    </row>
    <row r="115" ht="15.75" customHeight="1">
      <c r="A115" s="32"/>
      <c r="B115" s="32"/>
      <c r="C115" s="32"/>
      <c r="D115" s="32"/>
      <c r="E115" s="32"/>
      <c r="F115" s="33"/>
      <c r="G115" s="33"/>
      <c r="H115" s="33"/>
      <c r="I115" s="33"/>
      <c r="J115" s="34"/>
      <c r="K115" s="33"/>
      <c r="L115" s="33"/>
      <c r="M115" s="33"/>
      <c r="N115" s="33"/>
    </row>
    <row r="116" ht="15.75" customHeight="1">
      <c r="A116" s="32"/>
      <c r="B116" s="32"/>
      <c r="C116" s="32"/>
      <c r="D116" s="32"/>
      <c r="E116" s="32"/>
      <c r="F116" s="33"/>
      <c r="G116" s="33"/>
      <c r="H116" s="33"/>
      <c r="I116" s="33"/>
      <c r="J116" s="34"/>
      <c r="K116" s="33"/>
      <c r="L116" s="33"/>
      <c r="M116" s="33"/>
      <c r="N116" s="33"/>
    </row>
    <row r="117" ht="15.75" customHeight="1">
      <c r="A117" s="32"/>
      <c r="B117" s="32"/>
      <c r="C117" s="32"/>
      <c r="D117" s="32"/>
      <c r="E117" s="32"/>
      <c r="F117" s="33"/>
      <c r="G117" s="33"/>
      <c r="H117" s="33"/>
      <c r="I117" s="33"/>
      <c r="J117" s="34"/>
      <c r="K117" s="33"/>
      <c r="L117" s="33"/>
      <c r="M117" s="33"/>
      <c r="N117" s="33"/>
    </row>
    <row r="118" ht="15.75" customHeight="1">
      <c r="A118" s="32"/>
      <c r="B118" s="32"/>
      <c r="C118" s="32"/>
      <c r="D118" s="32"/>
      <c r="E118" s="32"/>
      <c r="F118" s="33"/>
      <c r="G118" s="33"/>
      <c r="H118" s="33"/>
      <c r="I118" s="33"/>
      <c r="J118" s="34"/>
      <c r="K118" s="33"/>
      <c r="L118" s="33"/>
      <c r="M118" s="33"/>
      <c r="N118" s="33"/>
    </row>
    <row r="119" ht="15.75" customHeight="1">
      <c r="A119" s="32"/>
      <c r="B119" s="32"/>
      <c r="C119" s="32"/>
      <c r="D119" s="32"/>
      <c r="E119" s="32"/>
      <c r="F119" s="33"/>
      <c r="G119" s="33"/>
      <c r="H119" s="33"/>
      <c r="I119" s="33"/>
      <c r="J119" s="34"/>
      <c r="K119" s="33"/>
      <c r="L119" s="33"/>
      <c r="M119" s="33"/>
      <c r="N119" s="33"/>
    </row>
    <row r="120" ht="15.75" customHeight="1">
      <c r="A120" s="32"/>
      <c r="B120" s="32"/>
      <c r="C120" s="32"/>
      <c r="D120" s="32"/>
      <c r="E120" s="32"/>
      <c r="F120" s="33"/>
      <c r="G120" s="33"/>
      <c r="H120" s="33"/>
      <c r="I120" s="33"/>
      <c r="J120" s="34"/>
      <c r="K120" s="33"/>
      <c r="L120" s="33"/>
      <c r="M120" s="33"/>
      <c r="N120" s="33"/>
    </row>
    <row r="121" ht="15.75" customHeight="1">
      <c r="A121" s="32"/>
      <c r="B121" s="32"/>
      <c r="C121" s="32"/>
      <c r="D121" s="32"/>
      <c r="E121" s="32"/>
      <c r="F121" s="33"/>
      <c r="G121" s="33"/>
      <c r="H121" s="33"/>
      <c r="I121" s="33"/>
      <c r="J121" s="34"/>
      <c r="K121" s="33"/>
      <c r="L121" s="33"/>
      <c r="M121" s="33"/>
      <c r="N121" s="33"/>
    </row>
    <row r="122" ht="15.75" customHeight="1">
      <c r="A122" s="32"/>
      <c r="B122" s="32"/>
      <c r="C122" s="32"/>
      <c r="D122" s="32"/>
      <c r="E122" s="32"/>
      <c r="J122" s="34"/>
    </row>
    <row r="123" ht="15.75" customHeight="1">
      <c r="A123" s="32"/>
      <c r="B123" s="32"/>
      <c r="C123" s="32"/>
      <c r="D123" s="32"/>
      <c r="E123" s="32"/>
      <c r="J123" s="34"/>
    </row>
    <row r="124" ht="15.75" customHeight="1">
      <c r="A124" s="32"/>
      <c r="B124" s="32"/>
      <c r="C124" s="32"/>
      <c r="D124" s="32"/>
      <c r="E124" s="32"/>
      <c r="J124" s="34"/>
    </row>
    <row r="125" ht="15.75" customHeight="1">
      <c r="A125" s="32"/>
      <c r="B125" s="32"/>
      <c r="C125" s="32"/>
      <c r="D125" s="32"/>
      <c r="E125" s="32"/>
      <c r="J125" s="34"/>
    </row>
    <row r="126" ht="15.75" customHeight="1">
      <c r="A126" s="32"/>
      <c r="B126" s="32"/>
      <c r="C126" s="32"/>
      <c r="D126" s="32"/>
      <c r="E126" s="32"/>
      <c r="J126" s="34"/>
    </row>
    <row r="127" ht="15.75" customHeight="1">
      <c r="A127" s="32"/>
      <c r="B127" s="32"/>
      <c r="C127" s="32"/>
      <c r="D127" s="32"/>
      <c r="E127" s="32"/>
      <c r="J127" s="34"/>
    </row>
    <row r="128" ht="15.75" customHeight="1">
      <c r="A128" s="32"/>
      <c r="B128" s="32"/>
      <c r="C128" s="32"/>
      <c r="D128" s="32"/>
      <c r="E128" s="32"/>
      <c r="J128" s="34"/>
    </row>
    <row r="129" ht="15.75" customHeight="1">
      <c r="A129" s="32"/>
      <c r="B129" s="32"/>
      <c r="C129" s="32"/>
      <c r="D129" s="32"/>
      <c r="E129" s="32"/>
      <c r="J129" s="34"/>
    </row>
    <row r="130" ht="15.75" customHeight="1">
      <c r="A130" s="32"/>
      <c r="B130" s="32"/>
      <c r="C130" s="32"/>
      <c r="D130" s="32"/>
      <c r="E130" s="32"/>
      <c r="J130" s="34"/>
    </row>
    <row r="131" ht="15.75" customHeight="1">
      <c r="A131" s="32"/>
      <c r="B131" s="32"/>
      <c r="C131" s="32"/>
      <c r="D131" s="32"/>
      <c r="E131" s="32"/>
      <c r="J131" s="34"/>
    </row>
    <row r="132" ht="15.75" customHeight="1">
      <c r="A132" s="32"/>
      <c r="B132" s="32"/>
      <c r="C132" s="32"/>
      <c r="D132" s="32"/>
      <c r="E132" s="32"/>
      <c r="J132" s="34"/>
    </row>
    <row r="133" ht="15.75" customHeight="1">
      <c r="A133" s="32"/>
      <c r="B133" s="32"/>
      <c r="C133" s="32"/>
      <c r="D133" s="32"/>
      <c r="E133" s="32"/>
      <c r="J133" s="34"/>
    </row>
    <row r="134" ht="15.75" customHeight="1">
      <c r="A134" s="32"/>
      <c r="B134" s="32"/>
      <c r="C134" s="32"/>
      <c r="D134" s="32"/>
      <c r="E134" s="32"/>
      <c r="J134" s="34"/>
    </row>
    <row r="135" ht="15.75" customHeight="1">
      <c r="A135" s="32"/>
      <c r="B135" s="32"/>
      <c r="C135" s="32"/>
      <c r="D135" s="32"/>
      <c r="E135" s="32"/>
      <c r="J135" s="34"/>
    </row>
    <row r="136" ht="15.75" customHeight="1">
      <c r="A136" s="32"/>
      <c r="B136" s="32"/>
      <c r="C136" s="32"/>
      <c r="D136" s="32"/>
      <c r="E136" s="32"/>
      <c r="J136" s="34"/>
    </row>
    <row r="137" ht="15.75" customHeight="1">
      <c r="A137" s="32"/>
      <c r="B137" s="32"/>
      <c r="C137" s="32"/>
      <c r="D137" s="32"/>
      <c r="E137" s="32"/>
      <c r="J137" s="34"/>
    </row>
    <row r="138" ht="15.75" customHeight="1">
      <c r="A138" s="32"/>
      <c r="B138" s="32"/>
      <c r="C138" s="32"/>
      <c r="D138" s="32"/>
      <c r="E138" s="32"/>
      <c r="J138" s="34"/>
    </row>
    <row r="139" ht="15.75" customHeight="1">
      <c r="A139" s="32"/>
      <c r="B139" s="32"/>
      <c r="C139" s="32"/>
      <c r="D139" s="32"/>
      <c r="E139" s="32"/>
      <c r="J139" s="34"/>
    </row>
    <row r="140" ht="15.75" customHeight="1">
      <c r="A140" s="32"/>
      <c r="B140" s="32"/>
      <c r="C140" s="32"/>
      <c r="D140" s="32"/>
      <c r="E140" s="32"/>
      <c r="J140" s="34"/>
    </row>
    <row r="141" ht="15.75" customHeight="1">
      <c r="A141" s="32"/>
      <c r="B141" s="32"/>
      <c r="C141" s="32"/>
      <c r="D141" s="32"/>
      <c r="E141" s="32"/>
      <c r="J141" s="34"/>
    </row>
    <row r="142" ht="15.75" customHeight="1">
      <c r="A142" s="32"/>
      <c r="B142" s="32"/>
      <c r="C142" s="32"/>
      <c r="D142" s="32"/>
      <c r="E142" s="32"/>
      <c r="J142" s="34"/>
    </row>
    <row r="143" ht="15.75" customHeight="1">
      <c r="A143" s="32"/>
      <c r="B143" s="32"/>
      <c r="C143" s="32"/>
      <c r="D143" s="32"/>
      <c r="E143" s="32"/>
      <c r="J143" s="34"/>
    </row>
    <row r="144" ht="15.75" customHeight="1">
      <c r="A144" s="32"/>
      <c r="B144" s="32"/>
      <c r="C144" s="32"/>
      <c r="D144" s="32"/>
      <c r="E144" s="32"/>
      <c r="J144" s="34"/>
    </row>
    <row r="145" ht="15.75" customHeight="1">
      <c r="A145" s="32"/>
      <c r="B145" s="32"/>
      <c r="C145" s="32"/>
      <c r="D145" s="32"/>
      <c r="E145" s="32"/>
      <c r="J145" s="34"/>
    </row>
    <row r="146" ht="15.75" customHeight="1">
      <c r="A146" s="32"/>
      <c r="B146" s="32"/>
      <c r="C146" s="32"/>
      <c r="D146" s="32"/>
      <c r="E146" s="32"/>
      <c r="J146" s="34"/>
    </row>
    <row r="147" ht="15.75" customHeight="1">
      <c r="A147" s="32"/>
      <c r="B147" s="32"/>
      <c r="C147" s="32"/>
      <c r="D147" s="32"/>
      <c r="E147" s="32"/>
      <c r="J147" s="34"/>
    </row>
    <row r="148" ht="15.75" customHeight="1">
      <c r="A148" s="32"/>
      <c r="B148" s="32"/>
      <c r="C148" s="32"/>
      <c r="D148" s="32"/>
      <c r="E148" s="32"/>
      <c r="J148" s="34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A184" s="32"/>
      <c r="B184" s="32"/>
      <c r="C184" s="32"/>
      <c r="D184" s="32"/>
      <c r="E184" s="32"/>
      <c r="J184" s="34"/>
    </row>
    <row r="185" ht="15.75" customHeight="1">
      <c r="A185" s="32"/>
      <c r="B185" s="32"/>
      <c r="C185" s="32"/>
      <c r="D185" s="32"/>
      <c r="E185" s="32"/>
      <c r="J185" s="34"/>
    </row>
    <row r="186" ht="15.75" customHeight="1">
      <c r="A186" s="32"/>
      <c r="B186" s="32"/>
      <c r="C186" s="32"/>
      <c r="D186" s="32"/>
      <c r="E186" s="32"/>
      <c r="J186" s="34"/>
    </row>
    <row r="187" ht="15.75" customHeight="1">
      <c r="A187" s="32"/>
      <c r="B187" s="32"/>
      <c r="C187" s="32"/>
      <c r="D187" s="32"/>
      <c r="E187" s="32"/>
      <c r="J187" s="34"/>
    </row>
    <row r="188" ht="15.75" customHeight="1">
      <c r="A188" s="32"/>
      <c r="B188" s="32"/>
      <c r="C188" s="32"/>
      <c r="D188" s="32"/>
      <c r="E188" s="32"/>
      <c r="J188" s="34"/>
    </row>
    <row r="189" ht="15.75" customHeight="1">
      <c r="A189" s="32"/>
      <c r="B189" s="32"/>
      <c r="C189" s="32"/>
      <c r="D189" s="32"/>
      <c r="E189" s="32"/>
      <c r="J189" s="34"/>
    </row>
    <row r="190" ht="15.75" customHeight="1">
      <c r="A190" s="32"/>
      <c r="B190" s="32"/>
      <c r="C190" s="32"/>
      <c r="D190" s="32"/>
      <c r="E190" s="32"/>
      <c r="J190" s="34"/>
    </row>
    <row r="191" ht="15.75" customHeight="1">
      <c r="A191" s="32"/>
      <c r="B191" s="32"/>
      <c r="C191" s="32"/>
      <c r="D191" s="32"/>
      <c r="E191" s="32"/>
      <c r="J191" s="34"/>
    </row>
    <row r="192" ht="15.75" customHeight="1">
      <c r="A192" s="32"/>
      <c r="B192" s="32"/>
      <c r="C192" s="32"/>
      <c r="D192" s="32"/>
      <c r="E192" s="32"/>
      <c r="J192" s="34"/>
    </row>
    <row r="193" ht="15.75" customHeight="1">
      <c r="A193" s="32"/>
      <c r="B193" s="32"/>
      <c r="C193" s="32"/>
      <c r="D193" s="32"/>
      <c r="E193" s="32"/>
      <c r="J193" s="34"/>
    </row>
    <row r="194" ht="15.75" customHeight="1">
      <c r="A194" s="32"/>
      <c r="B194" s="32"/>
      <c r="C194" s="32"/>
      <c r="D194" s="32"/>
      <c r="E194" s="32"/>
      <c r="J194" s="34"/>
    </row>
    <row r="195" ht="15.75" customHeight="1">
      <c r="A195" s="32"/>
      <c r="B195" s="32"/>
      <c r="C195" s="32"/>
      <c r="D195" s="32"/>
      <c r="E195" s="32"/>
      <c r="J195" s="34"/>
    </row>
    <row r="196" ht="15.75" customHeight="1">
      <c r="A196" s="32"/>
      <c r="B196" s="32"/>
      <c r="C196" s="32"/>
      <c r="D196" s="32"/>
      <c r="E196" s="32"/>
      <c r="J196" s="34"/>
    </row>
    <row r="197" ht="15.75" customHeight="1">
      <c r="A197" s="32"/>
      <c r="B197" s="32"/>
      <c r="C197" s="32"/>
      <c r="D197" s="32"/>
      <c r="E197" s="32"/>
      <c r="J197" s="34"/>
    </row>
    <row r="198" ht="15.75" customHeight="1">
      <c r="A198" s="32"/>
      <c r="B198" s="32"/>
      <c r="C198" s="32"/>
      <c r="D198" s="32"/>
      <c r="E198" s="32"/>
      <c r="J198" s="34"/>
    </row>
    <row r="199" ht="15.75" customHeight="1">
      <c r="A199" s="32"/>
      <c r="B199" s="32"/>
      <c r="C199" s="32"/>
      <c r="D199" s="32"/>
      <c r="E199" s="32"/>
      <c r="J199" s="34"/>
    </row>
    <row r="200" ht="15.75" customHeight="1">
      <c r="A200" s="32"/>
      <c r="B200" s="32"/>
      <c r="C200" s="32"/>
      <c r="D200" s="32"/>
      <c r="E200" s="32"/>
      <c r="J200" s="34"/>
    </row>
    <row r="201" ht="15.75" customHeight="1">
      <c r="A201" s="32"/>
      <c r="B201" s="32"/>
      <c r="C201" s="32"/>
      <c r="D201" s="32"/>
      <c r="E201" s="32"/>
      <c r="J201" s="34"/>
    </row>
    <row r="202" ht="15.75" customHeight="1">
      <c r="A202" s="32"/>
      <c r="B202" s="32"/>
      <c r="C202" s="32"/>
      <c r="D202" s="32"/>
      <c r="E202" s="32"/>
      <c r="J202" s="34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A238" s="32"/>
      <c r="B238" s="32"/>
      <c r="C238" s="32"/>
      <c r="D238" s="32"/>
      <c r="E238" s="32"/>
      <c r="J238" s="34"/>
    </row>
    <row r="239" ht="15.75" customHeight="1">
      <c r="A239" s="32"/>
      <c r="B239" s="32"/>
      <c r="C239" s="32"/>
      <c r="D239" s="32"/>
      <c r="E239" s="32"/>
      <c r="J239" s="34"/>
    </row>
    <row r="240" ht="15.75" customHeight="1">
      <c r="A240" s="32"/>
      <c r="B240" s="32"/>
      <c r="C240" s="32"/>
      <c r="D240" s="32"/>
      <c r="E240" s="32"/>
      <c r="J240" s="34"/>
    </row>
    <row r="241" ht="15.75" customHeight="1">
      <c r="A241" s="32"/>
      <c r="B241" s="32"/>
      <c r="C241" s="32"/>
      <c r="D241" s="32"/>
      <c r="E241" s="32"/>
      <c r="J241" s="34"/>
    </row>
    <row r="242" ht="15.75" customHeight="1">
      <c r="A242" s="32"/>
      <c r="B242" s="32"/>
      <c r="C242" s="32"/>
      <c r="D242" s="32"/>
      <c r="E242" s="32"/>
      <c r="J242" s="34"/>
    </row>
    <row r="243" ht="15.75" customHeight="1">
      <c r="A243" s="32"/>
      <c r="B243" s="32"/>
      <c r="C243" s="32"/>
      <c r="D243" s="32"/>
      <c r="E243" s="32"/>
      <c r="J243" s="34"/>
    </row>
    <row r="244" ht="15.75" customHeight="1">
      <c r="A244" s="32"/>
      <c r="B244" s="32"/>
      <c r="C244" s="32"/>
      <c r="D244" s="32"/>
      <c r="E244" s="32"/>
      <c r="J244" s="34"/>
    </row>
    <row r="245" ht="15.75" customHeight="1">
      <c r="A245" s="32"/>
      <c r="B245" s="32"/>
      <c r="C245" s="32"/>
      <c r="D245" s="32"/>
      <c r="E245" s="32"/>
      <c r="J245" s="34"/>
    </row>
    <row r="246" ht="15.75" customHeight="1">
      <c r="A246" s="32"/>
      <c r="B246" s="32"/>
      <c r="C246" s="32"/>
      <c r="D246" s="32"/>
      <c r="E246" s="32"/>
      <c r="J246" s="34"/>
    </row>
    <row r="247" ht="15.75" customHeight="1">
      <c r="A247" s="32"/>
      <c r="B247" s="32"/>
      <c r="C247" s="32"/>
      <c r="D247" s="32"/>
      <c r="E247" s="32"/>
      <c r="J247" s="34"/>
    </row>
    <row r="248" ht="15.75" customHeight="1">
      <c r="A248" s="32"/>
      <c r="B248" s="32"/>
      <c r="C248" s="32"/>
      <c r="D248" s="32"/>
      <c r="E248" s="32"/>
      <c r="J248" s="34"/>
    </row>
    <row r="249" ht="15.75" customHeight="1">
      <c r="A249" s="32"/>
      <c r="B249" s="32"/>
      <c r="C249" s="32"/>
      <c r="D249" s="32"/>
      <c r="E249" s="32"/>
      <c r="J249" s="34"/>
    </row>
    <row r="250" ht="15.75" customHeight="1">
      <c r="A250" s="32"/>
      <c r="B250" s="32"/>
      <c r="C250" s="32"/>
      <c r="D250" s="32"/>
      <c r="E250" s="32"/>
      <c r="J250" s="34"/>
    </row>
    <row r="251" ht="15.75" customHeight="1">
      <c r="A251" s="32"/>
      <c r="B251" s="32"/>
      <c r="C251" s="32"/>
      <c r="D251" s="32"/>
      <c r="E251" s="32"/>
      <c r="J251" s="34"/>
    </row>
    <row r="252" ht="15.75" customHeight="1">
      <c r="A252" s="32"/>
      <c r="B252" s="32"/>
      <c r="C252" s="32"/>
      <c r="D252" s="32"/>
      <c r="E252" s="32"/>
      <c r="J252" s="34"/>
    </row>
    <row r="253" ht="15.75" customHeight="1">
      <c r="A253" s="32"/>
      <c r="B253" s="32"/>
      <c r="C253" s="32"/>
      <c r="D253" s="32"/>
      <c r="E253" s="32"/>
      <c r="J253" s="34"/>
    </row>
    <row r="254" ht="15.75" customHeight="1">
      <c r="A254" s="32"/>
      <c r="B254" s="32"/>
      <c r="C254" s="32"/>
      <c r="D254" s="32"/>
      <c r="E254" s="32"/>
      <c r="J254" s="34"/>
    </row>
    <row r="255" ht="15.75" customHeight="1">
      <c r="A255" s="32"/>
      <c r="B255" s="32"/>
      <c r="C255" s="32"/>
      <c r="D255" s="32"/>
      <c r="E255" s="32"/>
      <c r="J255" s="34"/>
    </row>
    <row r="256" ht="15.75" customHeight="1">
      <c r="A256" s="32"/>
      <c r="B256" s="32"/>
      <c r="C256" s="32"/>
      <c r="D256" s="32"/>
      <c r="E256" s="32"/>
      <c r="J256" s="34"/>
    </row>
    <row r="257" ht="15.75" customHeight="1">
      <c r="A257" s="32"/>
      <c r="B257" s="32"/>
      <c r="C257" s="32"/>
      <c r="D257" s="32"/>
      <c r="E257" s="32"/>
      <c r="J257" s="34"/>
    </row>
    <row r="258" ht="15.75" customHeight="1">
      <c r="A258" s="32"/>
      <c r="B258" s="32"/>
      <c r="C258" s="32"/>
      <c r="D258" s="32"/>
      <c r="E258" s="32"/>
      <c r="J258" s="34"/>
    </row>
    <row r="259" ht="15.75" customHeight="1">
      <c r="A259" s="32"/>
      <c r="B259" s="32"/>
      <c r="C259" s="32"/>
      <c r="D259" s="32"/>
      <c r="E259" s="32"/>
      <c r="J259" s="34"/>
    </row>
    <row r="260" ht="15.75" customHeight="1">
      <c r="A260" s="32"/>
      <c r="B260" s="32"/>
      <c r="C260" s="32"/>
      <c r="D260" s="32"/>
      <c r="E260" s="32"/>
      <c r="J260" s="34"/>
    </row>
    <row r="261" ht="15.75" customHeight="1">
      <c r="A261" s="32"/>
      <c r="B261" s="32"/>
      <c r="C261" s="32"/>
      <c r="D261" s="32"/>
      <c r="E261" s="32"/>
      <c r="J261" s="34"/>
    </row>
    <row r="262" ht="15.75" customHeight="1">
      <c r="A262" s="32"/>
      <c r="B262" s="32"/>
      <c r="C262" s="32"/>
      <c r="D262" s="32"/>
      <c r="E262" s="32"/>
      <c r="J262" s="34"/>
    </row>
    <row r="263" ht="15.75" customHeight="1">
      <c r="A263" s="32"/>
      <c r="B263" s="32"/>
      <c r="C263" s="32"/>
      <c r="D263" s="32"/>
      <c r="E263" s="32"/>
      <c r="J263" s="34"/>
    </row>
    <row r="264" ht="15.75" customHeight="1">
      <c r="A264" s="32"/>
      <c r="B264" s="32"/>
      <c r="C264" s="32"/>
      <c r="D264" s="32"/>
      <c r="E264" s="32"/>
      <c r="J264" s="34"/>
    </row>
    <row r="265" ht="15.75" customHeight="1">
      <c r="J265" s="34"/>
    </row>
    <row r="266" ht="15.75" customHeight="1">
      <c r="J266" s="34"/>
    </row>
    <row r="267" ht="15.75" customHeight="1">
      <c r="J267" s="3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J5:J31"/>
    <mergeCell ref="J32:J58"/>
    <mergeCell ref="J59:J85"/>
    <mergeCell ref="J86:J112"/>
    <mergeCell ref="D59:D85"/>
    <mergeCell ref="E59:E85"/>
    <mergeCell ref="D86:D112"/>
    <mergeCell ref="E86:E112"/>
    <mergeCell ref="D113:I113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65</v>
      </c>
      <c r="F5" s="55" t="s">
        <v>22</v>
      </c>
      <c r="G5" s="56"/>
      <c r="H5" s="57">
        <f>VLOOKUP(F5,$A$4:$B$4,2,TRUE)</f>
        <v>4000</v>
      </c>
      <c r="I5" s="58">
        <f t="shared" ref="I5:I193" si="1">G5*H5</f>
        <v>0</v>
      </c>
      <c r="J5" s="59">
        <f>SUM(I5:I31)</f>
        <v>64600</v>
      </c>
      <c r="K5" s="33"/>
      <c r="L5" s="55" t="s">
        <v>22</v>
      </c>
      <c r="M5" s="51">
        <f>SUMIF(F5:F193,"Gelas bersih",G5:G193)</f>
        <v>1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>
        <v>8.0</v>
      </c>
      <c r="H6" s="61">
        <f>VLOOKUP(F6,$A$5:$B$5,2,TRUE)</f>
        <v>3000</v>
      </c>
      <c r="I6" s="58">
        <f t="shared" si="1"/>
        <v>24000</v>
      </c>
      <c r="J6" s="60"/>
      <c r="K6" s="33"/>
      <c r="L6" s="55" t="s">
        <v>57</v>
      </c>
      <c r="M6" s="51">
        <f>SUMIF(F6:F194,"Botol bersih",G6:G194)</f>
        <v>11.5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SUMIF(F7:F194,"Botol Warna",G7:G194)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SUMIF(F8:F195,"Tutup botol",G8:G195)</f>
        <v>0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SUMIF(F9:F196,"Tutup galon",G9:G196)</f>
        <v>0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1.5</v>
      </c>
      <c r="H10" s="61">
        <f>VLOOKUP(F10,$A$9:$B$9,2,TRUE)</f>
        <v>1000</v>
      </c>
      <c r="I10" s="58">
        <f t="shared" si="1"/>
        <v>1500</v>
      </c>
      <c r="J10" s="60"/>
      <c r="K10" s="33"/>
      <c r="L10" s="55" t="s">
        <v>27</v>
      </c>
      <c r="M10" s="51">
        <f>SUMIF(F10:F197,"Hitam",G10:G197)</f>
        <v>7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SUMIF(F11:F198,"Plastik Campur",G11:G198)</f>
        <v>4.5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>
        <v>4.0</v>
      </c>
      <c r="H12" s="61">
        <f>VLOOKUP(F12,$A$11:$B$11,2,TRUE)</f>
        <v>1500</v>
      </c>
      <c r="I12" s="58">
        <f t="shared" si="1"/>
        <v>6000</v>
      </c>
      <c r="J12" s="60"/>
      <c r="K12" s="33"/>
      <c r="L12" s="55" t="s">
        <v>29</v>
      </c>
      <c r="M12" s="51">
        <f>SUMIF(F12:F199,"Kardus",G12:G199)</f>
        <v>12.5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>
        <v>12.0</v>
      </c>
      <c r="H13" s="61">
        <f>VLOOKUP(F13,$A$12:$B$12,2,TRUE)</f>
        <v>1300</v>
      </c>
      <c r="I13" s="58">
        <f t="shared" si="1"/>
        <v>15600</v>
      </c>
      <c r="J13" s="60"/>
      <c r="K13" s="33"/>
      <c r="L13" s="55" t="s">
        <v>30</v>
      </c>
      <c r="M13" s="51">
        <f>SUMIF(F13:F200,"Kertas Putihan/ HVS",G13:G200)</f>
        <v>12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>
        <v>17.5</v>
      </c>
      <c r="H14" s="61">
        <f>VLOOKUP(F14,$A$13:$B$13,2,TRUE)</f>
        <v>1000</v>
      </c>
      <c r="I14" s="58">
        <f t="shared" si="1"/>
        <v>17500</v>
      </c>
      <c r="J14" s="60"/>
      <c r="K14" s="33"/>
      <c r="L14" s="55" t="s">
        <v>31</v>
      </c>
      <c r="M14" s="51">
        <f>SUMIF(F14:F201,"Koran/Buku",G14:G201)</f>
        <v>17.5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SUMIF(F15:F202,"Duplex",G15:G202)</f>
        <v>2.5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SUMIF(F16:F203,"Alumunium",G16:G203)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SUMIF(F17:F204,"Besi",G17:G204)</f>
        <v>5.5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SUMIF(F18:F205,"Kaleng kue/susu",G18:G205)</f>
        <v>0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SUMIF(F19:F206,"Kaleng Minuman",G19:G206)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SUMIF(F20:F207,"Stanless",G20:G207)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SUMIF(F21:F208,"Tembaga",G21:G208)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SUMIF(F22:F209,"Aki Motor",G22:G209)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SUMIF(F23:F210,"Paralon",G23:G210)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SUMIF(F24:F211,"Plastik bening",G24:G211)</f>
        <v>0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SUMIF(F25:F212,"Plastik Warna",G25:G212)</f>
        <v>0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SUMIF(F26:F213,"Selang",G26:G213)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SUMIF(F27:F214,"Beling",G27:G214)</f>
        <v>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SUMIF(F28:F215,"Pecahan",G28:G215)</f>
        <v>5.5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SUMIF(F29:F217,"Paku",G29:G217)</f>
        <v>0</v>
      </c>
      <c r="N29" s="33"/>
    </row>
    <row r="30" ht="15.75" customHeight="1">
      <c r="A30" s="44" t="s">
        <v>59</v>
      </c>
      <c r="B30" s="45">
        <v>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SUMIF(F30:F218,"Minyak Jelantah",G30:G218)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1.0</v>
      </c>
      <c r="H31" s="61">
        <f>VLOOKUP(F30,$A$30:$B$30,2,TRUE)</f>
        <v>0</v>
      </c>
      <c r="I31" s="58">
        <f t="shared" si="1"/>
        <v>0</v>
      </c>
      <c r="J31" s="18"/>
      <c r="K31" s="33"/>
      <c r="L31" s="55" t="s">
        <v>59</v>
      </c>
      <c r="M31" s="51">
        <f>SUMIF(F31:F219,"Lainnya",G31:G219)</f>
        <v>16.5</v>
      </c>
      <c r="N31" s="33"/>
    </row>
    <row r="32" ht="15.75" customHeight="1">
      <c r="A32" s="52"/>
      <c r="B32" s="52"/>
      <c r="C32" s="52"/>
      <c r="D32" s="53">
        <v>2.0</v>
      </c>
      <c r="E32" s="65" t="s">
        <v>66</v>
      </c>
      <c r="F32" s="55" t="s">
        <v>22</v>
      </c>
      <c r="G32" s="56"/>
      <c r="H32" s="57">
        <f>VLOOKUP(F32,$A$4:$B$4,2,TRUE)</f>
        <v>4000</v>
      </c>
      <c r="I32" s="58">
        <f t="shared" si="1"/>
        <v>0</v>
      </c>
      <c r="J32" s="59">
        <f>SUM(I32:I58)</f>
        <v>7000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>
        <v>1.0</v>
      </c>
      <c r="H33" s="61">
        <f>VLOOKUP(F33,$A$5:$B$5,2,TRUE)</f>
        <v>3000</v>
      </c>
      <c r="I33" s="58">
        <f t="shared" si="1"/>
        <v>3000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1.0</v>
      </c>
      <c r="H37" s="61">
        <f>VLOOKUP(F37,$A$9:$B$9,2,TRUE)</f>
        <v>1000</v>
      </c>
      <c r="I37" s="58">
        <f t="shared" si="1"/>
        <v>1000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1">
        <f>VLOOKUP(F38,$A$10:$B$10,2,TRUE)</f>
        <v>2000</v>
      </c>
      <c r="I38" s="58">
        <f t="shared" si="1"/>
        <v>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>
        <v>2.0</v>
      </c>
      <c r="H39" s="61">
        <f>VLOOKUP(F39,$A$11:$B$11,2,TRUE)</f>
        <v>1500</v>
      </c>
      <c r="I39" s="58">
        <f t="shared" si="1"/>
        <v>3000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1">
        <f>VLOOKUP(F42,$A$14:$B$14,2,TRUE)</f>
        <v>500</v>
      </c>
      <c r="I42" s="58">
        <f t="shared" si="1"/>
        <v>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1">
        <f>VLOOKUP(F45,$A$17:$B$17,2,TRUE)</f>
        <v>1000</v>
      </c>
      <c r="I45" s="58">
        <f t="shared" si="1"/>
        <v>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1">
        <f>VLOOKUP(F51,$A$23:$B$23,2,TRUE)</f>
        <v>500</v>
      </c>
      <c r="I51" s="58">
        <f t="shared" si="1"/>
        <v>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1">
        <f>VLOOKUP(F54,$A$26:$B$26,2,TRUE)</f>
        <v>300</v>
      </c>
      <c r="I54" s="58">
        <f t="shared" si="1"/>
        <v>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/>
      <c r="H58" s="61">
        <f>VLOOKUP(F57,$A$30:$B$30,2,TRUE)</f>
        <v>0</v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67</v>
      </c>
      <c r="F59" s="55" t="s">
        <v>22</v>
      </c>
      <c r="G59" s="56">
        <v>1.0</v>
      </c>
      <c r="H59" s="57">
        <f>VLOOKUP(F59,$A$4:$B$4,2,TRUE)</f>
        <v>4000</v>
      </c>
      <c r="I59" s="58">
        <f t="shared" si="1"/>
        <v>4000</v>
      </c>
      <c r="J59" s="59">
        <f>SUM(I59:I85)</f>
        <v>36300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>
        <v>2.0</v>
      </c>
      <c r="H60" s="61">
        <f>VLOOKUP(F60,$A$5:$B$5,2,TRUE)</f>
        <v>3000</v>
      </c>
      <c r="I60" s="58">
        <f t="shared" si="1"/>
        <v>6000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1">
        <f>VLOOKUP(F63,$A$8:$B$8,2,TRUE)</f>
        <v>3500</v>
      </c>
      <c r="I63" s="58">
        <f t="shared" si="1"/>
        <v>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v>4.0</v>
      </c>
      <c r="H64" s="61">
        <f>VLOOKUP(F64,$A$9:$B$9,2,TRUE)</f>
        <v>1000</v>
      </c>
      <c r="I64" s="58">
        <f t="shared" si="1"/>
        <v>4000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1">
        <f>VLOOKUP(F65,$A$10:$B$10,2,TRUE)</f>
        <v>2000</v>
      </c>
      <c r="I65" s="58">
        <f t="shared" si="1"/>
        <v>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6.5</v>
      </c>
      <c r="H66" s="61">
        <f>VLOOKUP(F66,$A$11:$B$11,2,TRUE)</f>
        <v>1500</v>
      </c>
      <c r="I66" s="58">
        <f t="shared" si="1"/>
        <v>9750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>
        <v>2.0</v>
      </c>
      <c r="H69" s="61">
        <f>VLOOKUP(F69,$A$14:$B$14,2,TRUE)</f>
        <v>500</v>
      </c>
      <c r="I69" s="58">
        <f t="shared" si="1"/>
        <v>1000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>
        <v>5.5</v>
      </c>
      <c r="H71" s="61">
        <f>VLOOKUP(F71,$A$16:$B$16,2,TRUE)</f>
        <v>2000</v>
      </c>
      <c r="I71" s="58">
        <f t="shared" si="1"/>
        <v>11000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1">
        <f>VLOOKUP(F72,$A$17:$B$17,2,TRUE)</f>
        <v>1000</v>
      </c>
      <c r="I72" s="58">
        <f t="shared" si="1"/>
        <v>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>
        <v>5.5</v>
      </c>
      <c r="H82" s="61">
        <f>VLOOKUP(F82,$A$27:$B$27,2,TRUE)</f>
        <v>100</v>
      </c>
      <c r="I82" s="58">
        <f t="shared" si="1"/>
        <v>550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/>
      <c r="H84" s="61">
        <f>VLOOKUP(F83,$A$29:$B$29,2,TRUE)</f>
        <v>4000</v>
      </c>
      <c r="I84" s="58">
        <f t="shared" si="1"/>
        <v>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>
        <v>7.0</v>
      </c>
      <c r="H85" s="61">
        <f>VLOOKUP(F84,$A$30:$B$30,2,TRUE)</f>
        <v>0</v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53">
        <v>4.0</v>
      </c>
      <c r="E86" s="65" t="s">
        <v>68</v>
      </c>
      <c r="F86" s="55" t="s">
        <v>22</v>
      </c>
      <c r="G86" s="56"/>
      <c r="H86" s="57">
        <f>VLOOKUP(F86,$A$4:$B$4,2,TRUE)</f>
        <v>4000</v>
      </c>
      <c r="I86" s="58">
        <f t="shared" si="1"/>
        <v>0</v>
      </c>
      <c r="J86" s="59">
        <f>SUM(I86:I112)</f>
        <v>250</v>
      </c>
      <c r="K86" s="33"/>
      <c r="L86" s="33"/>
      <c r="M86" s="33"/>
      <c r="N86" s="33"/>
    </row>
    <row r="87" ht="15.75" customHeight="1">
      <c r="A87" s="52"/>
      <c r="B87" s="52"/>
      <c r="C87" s="52"/>
      <c r="D87" s="60"/>
      <c r="E87" s="60"/>
      <c r="F87" s="55" t="s">
        <v>57</v>
      </c>
      <c r="G87" s="56"/>
      <c r="H87" s="61">
        <f>VLOOKUP(F87,$A$5:$B$5,2,TRUE)</f>
        <v>3000</v>
      </c>
      <c r="I87" s="58">
        <f t="shared" si="1"/>
        <v>0</v>
      </c>
      <c r="J87" s="60"/>
      <c r="K87" s="33"/>
      <c r="L87" s="33"/>
      <c r="M87" s="33"/>
      <c r="N87" s="33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1">
        <f>VLOOKUP(F88,$A$6:$B$6,2,TRUE)</f>
        <v>1000</v>
      </c>
      <c r="I88" s="58">
        <f t="shared" si="1"/>
        <v>0</v>
      </c>
      <c r="J88" s="60"/>
      <c r="K88" s="33"/>
      <c r="L88" s="33"/>
      <c r="M88" s="33"/>
      <c r="N88" s="33"/>
    </row>
    <row r="89" ht="15.75" customHeight="1">
      <c r="A89" s="52"/>
      <c r="B89" s="52"/>
      <c r="C89" s="52"/>
      <c r="D89" s="60"/>
      <c r="E89" s="60"/>
      <c r="F89" s="55" t="s">
        <v>25</v>
      </c>
      <c r="G89" s="56"/>
      <c r="H89" s="61">
        <f>VLOOKUP(F89,$A$7:$B$7,2,TRUE)</f>
        <v>2800</v>
      </c>
      <c r="I89" s="58">
        <f t="shared" si="1"/>
        <v>0</v>
      </c>
      <c r="J89" s="60"/>
      <c r="K89" s="33"/>
      <c r="L89" s="33"/>
      <c r="M89" s="33"/>
      <c r="N89" s="33"/>
    </row>
    <row r="90" ht="15.75" customHeight="1">
      <c r="A90" s="52"/>
      <c r="B90" s="52"/>
      <c r="C90" s="52"/>
      <c r="D90" s="60"/>
      <c r="E90" s="60"/>
      <c r="F90" s="55" t="s">
        <v>26</v>
      </c>
      <c r="G90" s="56"/>
      <c r="H90" s="61">
        <f>VLOOKUP(F90,$A$8:$B$8,2,TRUE)</f>
        <v>3500</v>
      </c>
      <c r="I90" s="58">
        <f t="shared" si="1"/>
        <v>0</v>
      </c>
      <c r="J90" s="60"/>
      <c r="K90" s="33"/>
      <c r="L90" s="33"/>
      <c r="M90" s="33"/>
      <c r="N90" s="33"/>
    </row>
    <row r="91" ht="15.75" customHeight="1">
      <c r="A91" s="52"/>
      <c r="B91" s="52"/>
      <c r="C91" s="52"/>
      <c r="D91" s="60"/>
      <c r="E91" s="60"/>
      <c r="F91" s="55" t="s">
        <v>27</v>
      </c>
      <c r="G91" s="56"/>
      <c r="H91" s="61">
        <f>VLOOKUP(F91,$A$9:$B$9,2,TRUE)</f>
        <v>1000</v>
      </c>
      <c r="I91" s="58">
        <f t="shared" si="1"/>
        <v>0</v>
      </c>
      <c r="J91" s="60"/>
      <c r="K91" s="33"/>
      <c r="L91" s="33"/>
      <c r="M91" s="33"/>
      <c r="N91" s="33"/>
    </row>
    <row r="92" ht="15.75" customHeight="1">
      <c r="A92" s="52"/>
      <c r="B92" s="52"/>
      <c r="C92" s="52"/>
      <c r="D92" s="60"/>
      <c r="E92" s="60"/>
      <c r="F92" s="55" t="s">
        <v>28</v>
      </c>
      <c r="G92" s="56"/>
      <c r="H92" s="61">
        <f>VLOOKUP(F92,$A$10:$B$10,2,TRUE)</f>
        <v>2000</v>
      </c>
      <c r="I92" s="58">
        <f t="shared" si="1"/>
        <v>0</v>
      </c>
      <c r="J92" s="60"/>
      <c r="K92" s="33"/>
      <c r="L92" s="33"/>
      <c r="M92" s="33"/>
      <c r="N92" s="33"/>
    </row>
    <row r="93" ht="15.75" customHeight="1">
      <c r="A93" s="52"/>
      <c r="B93" s="52"/>
      <c r="C93" s="52"/>
      <c r="D93" s="60"/>
      <c r="E93" s="60"/>
      <c r="F93" s="55" t="s">
        <v>29</v>
      </c>
      <c r="G93" s="56"/>
      <c r="H93" s="61">
        <f>VLOOKUP(F93,$A$11:$B$11,2,TRUE)</f>
        <v>1500</v>
      </c>
      <c r="I93" s="58">
        <f t="shared" si="1"/>
        <v>0</v>
      </c>
      <c r="J93" s="60"/>
      <c r="K93" s="33"/>
      <c r="L93" s="33"/>
      <c r="M93" s="33"/>
      <c r="N93" s="33"/>
    </row>
    <row r="94" ht="15.75" customHeight="1">
      <c r="A94" s="52"/>
      <c r="B94" s="52"/>
      <c r="C94" s="52"/>
      <c r="D94" s="60"/>
      <c r="E94" s="60"/>
      <c r="F94" s="55" t="s">
        <v>30</v>
      </c>
      <c r="G94" s="56"/>
      <c r="H94" s="61">
        <f>VLOOKUP(F94,$A$12:$B$12,2,TRUE)</f>
        <v>1300</v>
      </c>
      <c r="I94" s="58">
        <f t="shared" si="1"/>
        <v>0</v>
      </c>
      <c r="J94" s="60"/>
      <c r="K94" s="33"/>
      <c r="L94" s="33"/>
      <c r="M94" s="33"/>
      <c r="N94" s="33"/>
    </row>
    <row r="95" ht="15.75" customHeight="1">
      <c r="A95" s="52"/>
      <c r="B95" s="52"/>
      <c r="C95" s="52"/>
      <c r="D95" s="60"/>
      <c r="E95" s="60"/>
      <c r="F95" s="55" t="s">
        <v>31</v>
      </c>
      <c r="G95" s="56"/>
      <c r="H95" s="61">
        <f>VLOOKUP(F95,$A$13:$B$13,2,TRUE)</f>
        <v>1000</v>
      </c>
      <c r="I95" s="58">
        <f t="shared" si="1"/>
        <v>0</v>
      </c>
      <c r="J95" s="60"/>
      <c r="K95" s="33"/>
      <c r="L95" s="33"/>
      <c r="M95" s="33"/>
      <c r="N95" s="33"/>
    </row>
    <row r="96" ht="15.75" customHeight="1">
      <c r="A96" s="52"/>
      <c r="B96" s="52"/>
      <c r="C96" s="52"/>
      <c r="D96" s="60"/>
      <c r="E96" s="60"/>
      <c r="F96" s="55" t="s">
        <v>32</v>
      </c>
      <c r="G96" s="56">
        <v>0.5</v>
      </c>
      <c r="H96" s="61">
        <f>VLOOKUP(F96,$A$14:$B$14,2,TRUE)</f>
        <v>500</v>
      </c>
      <c r="I96" s="58">
        <f t="shared" si="1"/>
        <v>250</v>
      </c>
      <c r="J96" s="60"/>
      <c r="K96" s="33"/>
      <c r="L96" s="33"/>
      <c r="M96" s="33"/>
      <c r="N96" s="33"/>
    </row>
    <row r="97" ht="15.75" customHeight="1">
      <c r="A97" s="52"/>
      <c r="B97" s="52"/>
      <c r="C97" s="52"/>
      <c r="D97" s="60"/>
      <c r="E97" s="60"/>
      <c r="F97" s="55" t="s">
        <v>33</v>
      </c>
      <c r="G97" s="56"/>
      <c r="H97" s="61">
        <f>VLOOKUP(F97,$A$15:$B$15,2,TRUE)</f>
        <v>7500</v>
      </c>
      <c r="I97" s="58">
        <f t="shared" si="1"/>
        <v>0</v>
      </c>
      <c r="J97" s="60"/>
      <c r="K97" s="33"/>
      <c r="L97" s="33"/>
      <c r="M97" s="33"/>
      <c r="N97" s="33"/>
    </row>
    <row r="98" ht="15.75" customHeight="1">
      <c r="A98" s="52"/>
      <c r="B98" s="52"/>
      <c r="C98" s="52"/>
      <c r="D98" s="60"/>
      <c r="E98" s="60"/>
      <c r="F98" s="55" t="s">
        <v>34</v>
      </c>
      <c r="G98" s="56"/>
      <c r="H98" s="61">
        <f>VLOOKUP(F98,$A$16:$B$16,2,TRUE)</f>
        <v>2000</v>
      </c>
      <c r="I98" s="58">
        <f t="shared" si="1"/>
        <v>0</v>
      </c>
      <c r="J98" s="60"/>
      <c r="K98" s="33"/>
      <c r="L98" s="33"/>
      <c r="M98" s="33"/>
      <c r="N98" s="33"/>
    </row>
    <row r="99" ht="15.75" customHeight="1">
      <c r="A99" s="52"/>
      <c r="B99" s="52"/>
      <c r="C99" s="52"/>
      <c r="D99" s="60"/>
      <c r="E99" s="60"/>
      <c r="F99" s="55" t="s">
        <v>35</v>
      </c>
      <c r="G99" s="56"/>
      <c r="H99" s="61">
        <f>VLOOKUP(F99,$A$17:$B$17,2,TRUE)</f>
        <v>1000</v>
      </c>
      <c r="I99" s="58">
        <f t="shared" si="1"/>
        <v>0</v>
      </c>
      <c r="J99" s="60"/>
      <c r="K99" s="33"/>
      <c r="L99" s="33"/>
      <c r="M99" s="33"/>
      <c r="N99" s="33"/>
    </row>
    <row r="100" ht="15.75" customHeight="1">
      <c r="A100" s="52"/>
      <c r="B100" s="52"/>
      <c r="C100" s="52"/>
      <c r="D100" s="60"/>
      <c r="E100" s="60"/>
      <c r="F100" s="55" t="s">
        <v>36</v>
      </c>
      <c r="G100" s="56"/>
      <c r="H100" s="61">
        <f>VLOOKUP(F100,$A$18:$B$18,2,TRUE)</f>
        <v>5000</v>
      </c>
      <c r="I100" s="58">
        <f t="shared" si="1"/>
        <v>0</v>
      </c>
      <c r="J100" s="60"/>
      <c r="K100" s="33"/>
      <c r="L100" s="33"/>
      <c r="M100" s="33"/>
      <c r="N100" s="33"/>
    </row>
    <row r="101" ht="15.75" customHeight="1">
      <c r="A101" s="52"/>
      <c r="B101" s="52"/>
      <c r="C101" s="52"/>
      <c r="D101" s="60"/>
      <c r="E101" s="60"/>
      <c r="F101" s="55" t="s">
        <v>37</v>
      </c>
      <c r="G101" s="56"/>
      <c r="H101" s="61">
        <f>VLOOKUP(F101,$A$19:$B$19,2,TRUE)</f>
        <v>2700</v>
      </c>
      <c r="I101" s="58">
        <f t="shared" si="1"/>
        <v>0</v>
      </c>
      <c r="J101" s="60"/>
      <c r="K101" s="33"/>
      <c r="L101" s="33"/>
      <c r="M101" s="33"/>
      <c r="N101" s="33"/>
    </row>
    <row r="102" ht="15.75" customHeight="1">
      <c r="A102" s="52"/>
      <c r="B102" s="52"/>
      <c r="C102" s="52"/>
      <c r="D102" s="60"/>
      <c r="E102" s="60"/>
      <c r="F102" s="55" t="s">
        <v>38</v>
      </c>
      <c r="G102" s="56"/>
      <c r="H102" s="61">
        <f>VLOOKUP(F102,$A$20:$B$20,2,TRUE)</f>
        <v>50000</v>
      </c>
      <c r="I102" s="58">
        <f t="shared" si="1"/>
        <v>0</v>
      </c>
      <c r="J102" s="60"/>
      <c r="K102" s="33"/>
      <c r="L102" s="33"/>
      <c r="M102" s="33"/>
      <c r="N102" s="33"/>
    </row>
    <row r="103" ht="15.75" customHeight="1">
      <c r="A103" s="52"/>
      <c r="B103" s="52"/>
      <c r="C103" s="52"/>
      <c r="D103" s="60"/>
      <c r="E103" s="60"/>
      <c r="F103" s="55" t="s">
        <v>39</v>
      </c>
      <c r="G103" s="56"/>
      <c r="H103" s="61">
        <f>VLOOKUP(F103,$A$21:$B$21,2,TRUE)</f>
        <v>10000</v>
      </c>
      <c r="I103" s="58">
        <f t="shared" si="1"/>
        <v>0</v>
      </c>
      <c r="J103" s="60"/>
      <c r="K103" s="33"/>
      <c r="L103" s="33"/>
      <c r="M103" s="33"/>
      <c r="N103" s="33"/>
    </row>
    <row r="104" ht="15.75" customHeight="1">
      <c r="A104" s="52"/>
      <c r="B104" s="52"/>
      <c r="C104" s="52"/>
      <c r="D104" s="60"/>
      <c r="E104" s="60"/>
      <c r="F104" s="55" t="s">
        <v>40</v>
      </c>
      <c r="G104" s="56"/>
      <c r="H104" s="61">
        <f>VLOOKUP(F104,$A$22:$B$22,2,TRUE)</f>
        <v>1000</v>
      </c>
      <c r="I104" s="58">
        <f t="shared" si="1"/>
        <v>0</v>
      </c>
      <c r="J104" s="60"/>
      <c r="K104" s="33"/>
      <c r="L104" s="33"/>
      <c r="M104" s="33"/>
      <c r="N104" s="33"/>
    </row>
    <row r="105" ht="15.75" customHeight="1">
      <c r="A105" s="52"/>
      <c r="B105" s="52"/>
      <c r="C105" s="52"/>
      <c r="D105" s="60"/>
      <c r="E105" s="60"/>
      <c r="F105" s="55" t="s">
        <v>41</v>
      </c>
      <c r="G105" s="56"/>
      <c r="H105" s="61">
        <f>VLOOKUP(F105,$A$23:$B$23,2,TRUE)</f>
        <v>500</v>
      </c>
      <c r="I105" s="58">
        <f t="shared" si="1"/>
        <v>0</v>
      </c>
      <c r="J105" s="60"/>
      <c r="K105" s="33"/>
      <c r="L105" s="33"/>
      <c r="M105" s="33"/>
      <c r="N105" s="33"/>
    </row>
    <row r="106" ht="15.75" customHeight="1">
      <c r="A106" s="52"/>
      <c r="B106" s="52"/>
      <c r="C106" s="52"/>
      <c r="D106" s="60"/>
      <c r="E106" s="60"/>
      <c r="F106" s="55" t="s">
        <v>42</v>
      </c>
      <c r="G106" s="56"/>
      <c r="H106" s="61">
        <f>VLOOKUP(F106,$A$24:$B$24,2,TRUE)</f>
        <v>200</v>
      </c>
      <c r="I106" s="58">
        <f t="shared" si="1"/>
        <v>0</v>
      </c>
      <c r="J106" s="60"/>
      <c r="K106" s="33"/>
      <c r="L106" s="33"/>
      <c r="M106" s="33"/>
      <c r="N106" s="33"/>
    </row>
    <row r="107" ht="15.75" customHeight="1">
      <c r="A107" s="52"/>
      <c r="B107" s="52"/>
      <c r="C107" s="52"/>
      <c r="D107" s="60"/>
      <c r="E107" s="60"/>
      <c r="F107" s="55" t="s">
        <v>43</v>
      </c>
      <c r="G107" s="56"/>
      <c r="H107" s="61">
        <f>VLOOKUP(F107,$A$25:$B$25,2,TRUE)</f>
        <v>1000</v>
      </c>
      <c r="I107" s="58">
        <f t="shared" si="1"/>
        <v>0</v>
      </c>
      <c r="J107" s="60"/>
      <c r="K107" s="33"/>
      <c r="L107" s="33"/>
      <c r="M107" s="33"/>
      <c r="N107" s="33"/>
    </row>
    <row r="108" ht="15.75" customHeight="1">
      <c r="A108" s="52"/>
      <c r="B108" s="52"/>
      <c r="C108" s="52"/>
      <c r="D108" s="60"/>
      <c r="E108" s="60"/>
      <c r="F108" s="55" t="s">
        <v>18</v>
      </c>
      <c r="G108" s="56"/>
      <c r="H108" s="61">
        <f>VLOOKUP(F108,$A$26:$B$26,2,TRUE)</f>
        <v>300</v>
      </c>
      <c r="I108" s="58">
        <f t="shared" si="1"/>
        <v>0</v>
      </c>
      <c r="J108" s="60"/>
      <c r="K108" s="33"/>
      <c r="L108" s="33"/>
      <c r="M108" s="33"/>
      <c r="N108" s="33"/>
    </row>
    <row r="109" ht="15.75" customHeight="1">
      <c r="A109" s="52"/>
      <c r="B109" s="52"/>
      <c r="C109" s="52"/>
      <c r="D109" s="60"/>
      <c r="E109" s="60"/>
      <c r="F109" s="55" t="s">
        <v>44</v>
      </c>
      <c r="G109" s="56"/>
      <c r="H109" s="61">
        <f>VLOOKUP(F109,$A$27:$B$27,2,TRUE)</f>
        <v>100</v>
      </c>
      <c r="I109" s="58">
        <f t="shared" si="1"/>
        <v>0</v>
      </c>
      <c r="J109" s="60"/>
      <c r="K109" s="33"/>
      <c r="L109" s="33"/>
      <c r="M109" s="33"/>
      <c r="N109" s="33"/>
    </row>
    <row r="110" ht="15.75" customHeight="1">
      <c r="A110" s="52"/>
      <c r="B110" s="52"/>
      <c r="C110" s="52"/>
      <c r="D110" s="60"/>
      <c r="E110" s="60"/>
      <c r="F110" s="55" t="s">
        <v>13</v>
      </c>
      <c r="G110" s="56"/>
      <c r="H110" s="61">
        <f>VLOOKUP(F109,$A$28:$B$28,2,TRUE)</f>
        <v>1500</v>
      </c>
      <c r="I110" s="58">
        <f t="shared" si="1"/>
        <v>0</v>
      </c>
      <c r="J110" s="60"/>
      <c r="K110" s="33"/>
      <c r="L110" s="33"/>
      <c r="M110" s="33"/>
      <c r="N110" s="33"/>
    </row>
    <row r="111" ht="15.75" customHeight="1">
      <c r="A111" s="52"/>
      <c r="B111" s="52"/>
      <c r="C111" s="52"/>
      <c r="D111" s="60"/>
      <c r="E111" s="60"/>
      <c r="F111" s="55" t="s">
        <v>20</v>
      </c>
      <c r="G111" s="56"/>
      <c r="H111" s="61">
        <f>VLOOKUP(F110,$A$29:$B$29,2,TRUE)</f>
        <v>4000</v>
      </c>
      <c r="I111" s="58">
        <f t="shared" si="1"/>
        <v>0</v>
      </c>
      <c r="J111" s="60"/>
      <c r="K111" s="33"/>
      <c r="L111" s="33"/>
      <c r="M111" s="33"/>
      <c r="N111" s="33"/>
    </row>
    <row r="112" ht="15.75" customHeight="1">
      <c r="A112" s="52"/>
      <c r="B112" s="52"/>
      <c r="C112" s="52"/>
      <c r="D112" s="18"/>
      <c r="E112" s="18"/>
      <c r="F112" s="55" t="s">
        <v>59</v>
      </c>
      <c r="G112" s="56">
        <v>2.0</v>
      </c>
      <c r="H112" s="61">
        <f>VLOOKUP(F111,$A$30:$B$30,2,TRUE)</f>
        <v>0</v>
      </c>
      <c r="I112" s="58">
        <f t="shared" si="1"/>
        <v>0</v>
      </c>
      <c r="J112" s="18"/>
      <c r="K112" s="33"/>
      <c r="L112" s="33"/>
      <c r="M112" s="33"/>
      <c r="N112" s="33"/>
    </row>
    <row r="113" ht="15.75" customHeight="1">
      <c r="A113" s="52"/>
      <c r="B113" s="52"/>
      <c r="C113" s="52"/>
      <c r="D113" s="53">
        <v>5.0</v>
      </c>
      <c r="E113" s="65" t="s">
        <v>69</v>
      </c>
      <c r="F113" s="55" t="s">
        <v>22</v>
      </c>
      <c r="G113" s="56"/>
      <c r="H113" s="57">
        <f>VLOOKUP(F113,$A$4:$B$4,2,TRUE)</f>
        <v>4000</v>
      </c>
      <c r="I113" s="58">
        <f t="shared" si="1"/>
        <v>0</v>
      </c>
      <c r="J113" s="59">
        <f>SUM(I113:I139)</f>
        <v>5500</v>
      </c>
      <c r="K113" s="33"/>
      <c r="L113" s="33"/>
      <c r="M113" s="33"/>
      <c r="N113" s="33"/>
    </row>
    <row r="114" ht="15.75" customHeight="1">
      <c r="A114" s="52"/>
      <c r="B114" s="52"/>
      <c r="C114" s="52"/>
      <c r="D114" s="60"/>
      <c r="E114" s="60"/>
      <c r="F114" s="55" t="s">
        <v>57</v>
      </c>
      <c r="G114" s="56"/>
      <c r="H114" s="61">
        <f>VLOOKUP(F114,$A$5:$B$5,2,TRUE)</f>
        <v>3000</v>
      </c>
      <c r="I114" s="58">
        <f t="shared" si="1"/>
        <v>0</v>
      </c>
      <c r="J114" s="60"/>
      <c r="K114" s="33"/>
      <c r="L114" s="33"/>
      <c r="M114" s="33"/>
      <c r="N114" s="33"/>
    </row>
    <row r="115" ht="15.75" customHeight="1">
      <c r="A115" s="52"/>
      <c r="B115" s="52"/>
      <c r="C115" s="52"/>
      <c r="D115" s="60"/>
      <c r="E115" s="60"/>
      <c r="F115" s="55" t="s">
        <v>58</v>
      </c>
      <c r="G115" s="56"/>
      <c r="H115" s="61">
        <f>VLOOKUP(F115,$A$6:$B$6,2,TRUE)</f>
        <v>1000</v>
      </c>
      <c r="I115" s="58">
        <f t="shared" si="1"/>
        <v>0</v>
      </c>
      <c r="J115" s="60"/>
      <c r="K115" s="33"/>
      <c r="L115" s="33"/>
      <c r="M115" s="33"/>
      <c r="N115" s="33"/>
    </row>
    <row r="116" ht="15.75" customHeight="1">
      <c r="A116" s="52"/>
      <c r="B116" s="52"/>
      <c r="C116" s="52"/>
      <c r="D116" s="60"/>
      <c r="E116" s="60"/>
      <c r="F116" s="55" t="s">
        <v>25</v>
      </c>
      <c r="G116" s="56"/>
      <c r="H116" s="61">
        <f>VLOOKUP(F116,$A$7:$B$7,2,TRUE)</f>
        <v>2800</v>
      </c>
      <c r="I116" s="58">
        <f t="shared" si="1"/>
        <v>0</v>
      </c>
      <c r="J116" s="60"/>
      <c r="K116" s="33"/>
      <c r="L116" s="33"/>
      <c r="M116" s="33"/>
      <c r="N116" s="33"/>
    </row>
    <row r="117" ht="15.75" customHeight="1">
      <c r="A117" s="52"/>
      <c r="B117" s="52"/>
      <c r="C117" s="52"/>
      <c r="D117" s="60"/>
      <c r="E117" s="60"/>
      <c r="F117" s="55" t="s">
        <v>26</v>
      </c>
      <c r="G117" s="56"/>
      <c r="H117" s="61">
        <f>VLOOKUP(F117,$A$8:$B$8,2,TRUE)</f>
        <v>3500</v>
      </c>
      <c r="I117" s="58">
        <f t="shared" si="1"/>
        <v>0</v>
      </c>
      <c r="J117" s="60"/>
      <c r="K117" s="33"/>
      <c r="L117" s="33"/>
      <c r="M117" s="33"/>
      <c r="N117" s="33"/>
    </row>
    <row r="118" ht="15.75" customHeight="1">
      <c r="A118" s="52"/>
      <c r="B118" s="52"/>
      <c r="C118" s="52"/>
      <c r="D118" s="60"/>
      <c r="E118" s="60"/>
      <c r="F118" s="55" t="s">
        <v>27</v>
      </c>
      <c r="G118" s="56">
        <v>0.5</v>
      </c>
      <c r="H118" s="61">
        <f>VLOOKUP(F118,$A$9:$B$9,2,TRUE)</f>
        <v>1000</v>
      </c>
      <c r="I118" s="58">
        <f t="shared" si="1"/>
        <v>500</v>
      </c>
      <c r="J118" s="60"/>
      <c r="K118" s="33"/>
      <c r="L118" s="33"/>
      <c r="M118" s="33"/>
      <c r="N118" s="33"/>
    </row>
    <row r="119" ht="15.75" customHeight="1">
      <c r="A119" s="52"/>
      <c r="B119" s="52"/>
      <c r="C119" s="52"/>
      <c r="D119" s="60"/>
      <c r="E119" s="60"/>
      <c r="F119" s="55" t="s">
        <v>28</v>
      </c>
      <c r="G119" s="56">
        <v>2.5</v>
      </c>
      <c r="H119" s="61">
        <f>VLOOKUP(F119,$A$10:$B$10,2,TRUE)</f>
        <v>2000</v>
      </c>
      <c r="I119" s="58">
        <f t="shared" si="1"/>
        <v>5000</v>
      </c>
      <c r="J119" s="60"/>
      <c r="K119" s="33"/>
      <c r="L119" s="33"/>
      <c r="M119" s="33"/>
      <c r="N119" s="33"/>
    </row>
    <row r="120" ht="15.75" customHeight="1">
      <c r="A120" s="52"/>
      <c r="B120" s="52"/>
      <c r="C120" s="52"/>
      <c r="D120" s="60"/>
      <c r="E120" s="60"/>
      <c r="F120" s="55" t="s">
        <v>29</v>
      </c>
      <c r="G120" s="56"/>
      <c r="H120" s="61">
        <f>VLOOKUP(F120,$A$11:$B$11,2,TRUE)</f>
        <v>1500</v>
      </c>
      <c r="I120" s="58">
        <f t="shared" si="1"/>
        <v>0</v>
      </c>
      <c r="J120" s="60"/>
      <c r="K120" s="33"/>
      <c r="L120" s="33"/>
      <c r="M120" s="33"/>
      <c r="N120" s="33"/>
    </row>
    <row r="121" ht="15.75" customHeight="1">
      <c r="A121" s="52"/>
      <c r="B121" s="52"/>
      <c r="C121" s="52"/>
      <c r="D121" s="60"/>
      <c r="E121" s="60"/>
      <c r="F121" s="55" t="s">
        <v>30</v>
      </c>
      <c r="G121" s="56"/>
      <c r="H121" s="61">
        <f>VLOOKUP(F121,$A$12:$B$12,2,TRUE)</f>
        <v>1300</v>
      </c>
      <c r="I121" s="58">
        <f t="shared" si="1"/>
        <v>0</v>
      </c>
      <c r="J121" s="60"/>
      <c r="K121" s="33"/>
      <c r="L121" s="33"/>
      <c r="M121" s="33"/>
      <c r="N121" s="33"/>
    </row>
    <row r="122" ht="15.75" customHeight="1">
      <c r="A122" s="52"/>
      <c r="B122" s="52"/>
      <c r="C122" s="52"/>
      <c r="D122" s="60"/>
      <c r="E122" s="60"/>
      <c r="F122" s="55" t="s">
        <v>31</v>
      </c>
      <c r="G122" s="56"/>
      <c r="H122" s="61">
        <f>VLOOKUP(F122,$A$13:$B$13,2,TRUE)</f>
        <v>1000</v>
      </c>
      <c r="I122" s="58">
        <f t="shared" si="1"/>
        <v>0</v>
      </c>
      <c r="J122" s="60"/>
      <c r="K122" s="33"/>
      <c r="L122" s="33"/>
      <c r="M122" s="33"/>
      <c r="N122" s="33"/>
    </row>
    <row r="123" ht="15.75" customHeight="1">
      <c r="A123" s="52"/>
      <c r="B123" s="52"/>
      <c r="C123" s="52"/>
      <c r="D123" s="60"/>
      <c r="E123" s="60"/>
      <c r="F123" s="55" t="s">
        <v>32</v>
      </c>
      <c r="G123" s="56"/>
      <c r="H123" s="61">
        <f>VLOOKUP(F123,$A$14:$B$14,2,TRUE)</f>
        <v>500</v>
      </c>
      <c r="I123" s="58">
        <f t="shared" si="1"/>
        <v>0</v>
      </c>
      <c r="J123" s="60"/>
      <c r="K123" s="33"/>
      <c r="L123" s="33"/>
      <c r="M123" s="33"/>
      <c r="N123" s="33"/>
    </row>
    <row r="124" ht="15.75" customHeight="1">
      <c r="A124" s="52"/>
      <c r="B124" s="52"/>
      <c r="C124" s="52"/>
      <c r="D124" s="60"/>
      <c r="E124" s="60"/>
      <c r="F124" s="55" t="s">
        <v>33</v>
      </c>
      <c r="G124" s="56"/>
      <c r="H124" s="61">
        <f>VLOOKUP(F124,$A$15:$B$15,2,TRUE)</f>
        <v>7500</v>
      </c>
      <c r="I124" s="58">
        <f t="shared" si="1"/>
        <v>0</v>
      </c>
      <c r="J124" s="60"/>
      <c r="K124" s="33"/>
      <c r="L124" s="33"/>
      <c r="M124" s="33"/>
      <c r="N124" s="33"/>
    </row>
    <row r="125" ht="15.75" customHeight="1">
      <c r="A125" s="52"/>
      <c r="B125" s="52"/>
      <c r="C125" s="52"/>
      <c r="D125" s="60"/>
      <c r="E125" s="60"/>
      <c r="F125" s="55" t="s">
        <v>34</v>
      </c>
      <c r="G125" s="56"/>
      <c r="H125" s="61">
        <f>VLOOKUP(F125,$A$16:$B$16,2,TRUE)</f>
        <v>2000</v>
      </c>
      <c r="I125" s="58">
        <f t="shared" si="1"/>
        <v>0</v>
      </c>
      <c r="J125" s="60"/>
      <c r="K125" s="33"/>
      <c r="L125" s="33"/>
      <c r="M125" s="33"/>
      <c r="N125" s="33"/>
    </row>
    <row r="126" ht="15.75" customHeight="1">
      <c r="A126" s="52"/>
      <c r="B126" s="52"/>
      <c r="C126" s="52"/>
      <c r="D126" s="60"/>
      <c r="E126" s="60"/>
      <c r="F126" s="55" t="s">
        <v>35</v>
      </c>
      <c r="G126" s="56"/>
      <c r="H126" s="61">
        <f>VLOOKUP(F126,$A$17:$B$17,2,TRUE)</f>
        <v>1000</v>
      </c>
      <c r="I126" s="58">
        <f t="shared" si="1"/>
        <v>0</v>
      </c>
      <c r="J126" s="60"/>
      <c r="K126" s="33"/>
      <c r="L126" s="33"/>
      <c r="M126" s="33"/>
      <c r="N126" s="33"/>
    </row>
    <row r="127" ht="15.75" customHeight="1">
      <c r="A127" s="52"/>
      <c r="B127" s="52"/>
      <c r="C127" s="52"/>
      <c r="D127" s="60"/>
      <c r="E127" s="60"/>
      <c r="F127" s="55" t="s">
        <v>36</v>
      </c>
      <c r="G127" s="56"/>
      <c r="H127" s="61">
        <f>VLOOKUP(F127,$A$18:$B$18,2,TRUE)</f>
        <v>5000</v>
      </c>
      <c r="I127" s="58">
        <f t="shared" si="1"/>
        <v>0</v>
      </c>
      <c r="J127" s="60"/>
      <c r="K127" s="33"/>
      <c r="L127" s="33"/>
      <c r="M127" s="33"/>
      <c r="N127" s="33"/>
    </row>
    <row r="128" ht="15.75" customHeight="1">
      <c r="A128" s="52"/>
      <c r="B128" s="52"/>
      <c r="C128" s="52"/>
      <c r="D128" s="60"/>
      <c r="E128" s="60"/>
      <c r="F128" s="55" t="s">
        <v>37</v>
      </c>
      <c r="G128" s="56"/>
      <c r="H128" s="61">
        <f>VLOOKUP(F128,$A$19:$B$19,2,TRUE)</f>
        <v>2700</v>
      </c>
      <c r="I128" s="58">
        <f t="shared" si="1"/>
        <v>0</v>
      </c>
      <c r="J128" s="60"/>
      <c r="K128" s="33"/>
      <c r="L128" s="33"/>
      <c r="M128" s="33"/>
      <c r="N128" s="33"/>
    </row>
    <row r="129" ht="15.75" customHeight="1">
      <c r="A129" s="52"/>
      <c r="B129" s="52"/>
      <c r="C129" s="52"/>
      <c r="D129" s="60"/>
      <c r="E129" s="60"/>
      <c r="F129" s="55" t="s">
        <v>38</v>
      </c>
      <c r="G129" s="56"/>
      <c r="H129" s="61">
        <f>VLOOKUP(F129,$A$20:$B$20,2,TRUE)</f>
        <v>50000</v>
      </c>
      <c r="I129" s="58">
        <f t="shared" si="1"/>
        <v>0</v>
      </c>
      <c r="J129" s="60"/>
      <c r="K129" s="33"/>
      <c r="L129" s="33"/>
      <c r="M129" s="33"/>
      <c r="N129" s="33"/>
    </row>
    <row r="130" ht="15.75" customHeight="1">
      <c r="A130" s="52"/>
      <c r="B130" s="52"/>
      <c r="C130" s="52"/>
      <c r="D130" s="60"/>
      <c r="E130" s="60"/>
      <c r="F130" s="55" t="s">
        <v>39</v>
      </c>
      <c r="G130" s="56"/>
      <c r="H130" s="61">
        <f>VLOOKUP(F130,$A$21:$B$21,2,TRUE)</f>
        <v>10000</v>
      </c>
      <c r="I130" s="58">
        <f t="shared" si="1"/>
        <v>0</v>
      </c>
      <c r="J130" s="60"/>
      <c r="K130" s="33"/>
      <c r="L130" s="33"/>
      <c r="M130" s="33"/>
      <c r="N130" s="33"/>
    </row>
    <row r="131" ht="15.75" customHeight="1">
      <c r="A131" s="52"/>
      <c r="B131" s="52"/>
      <c r="C131" s="52"/>
      <c r="D131" s="60"/>
      <c r="E131" s="60"/>
      <c r="F131" s="55" t="s">
        <v>40</v>
      </c>
      <c r="G131" s="56"/>
      <c r="H131" s="61">
        <f>VLOOKUP(F131,$A$22:$B$22,2,TRUE)</f>
        <v>1000</v>
      </c>
      <c r="I131" s="58">
        <f t="shared" si="1"/>
        <v>0</v>
      </c>
      <c r="J131" s="60"/>
      <c r="K131" s="33"/>
      <c r="L131" s="33"/>
      <c r="M131" s="33"/>
      <c r="N131" s="33"/>
    </row>
    <row r="132" ht="15.75" customHeight="1">
      <c r="A132" s="52"/>
      <c r="B132" s="52"/>
      <c r="C132" s="52"/>
      <c r="D132" s="60"/>
      <c r="E132" s="60"/>
      <c r="F132" s="55" t="s">
        <v>41</v>
      </c>
      <c r="G132" s="56"/>
      <c r="H132" s="61">
        <f>VLOOKUP(F132,$A$23:$B$23,2,TRUE)</f>
        <v>500</v>
      </c>
      <c r="I132" s="58">
        <f t="shared" si="1"/>
        <v>0</v>
      </c>
      <c r="J132" s="60"/>
      <c r="K132" s="33"/>
      <c r="L132" s="33"/>
      <c r="M132" s="33"/>
      <c r="N132" s="33"/>
    </row>
    <row r="133" ht="15.75" customHeight="1">
      <c r="A133" s="52"/>
      <c r="B133" s="52"/>
      <c r="C133" s="52"/>
      <c r="D133" s="60"/>
      <c r="E133" s="60"/>
      <c r="F133" s="55" t="s">
        <v>42</v>
      </c>
      <c r="G133" s="56"/>
      <c r="H133" s="61">
        <f>VLOOKUP(F133,$A$24:$B$24,2,TRUE)</f>
        <v>200</v>
      </c>
      <c r="I133" s="58">
        <f t="shared" si="1"/>
        <v>0</v>
      </c>
      <c r="J133" s="60"/>
      <c r="K133" s="33"/>
      <c r="L133" s="33"/>
      <c r="M133" s="33"/>
      <c r="N133" s="33"/>
    </row>
    <row r="134" ht="15.75" customHeight="1">
      <c r="A134" s="52"/>
      <c r="B134" s="52"/>
      <c r="C134" s="52"/>
      <c r="D134" s="60"/>
      <c r="E134" s="60"/>
      <c r="F134" s="55" t="s">
        <v>43</v>
      </c>
      <c r="G134" s="56"/>
      <c r="H134" s="61">
        <f>VLOOKUP(F134,$A$25:$B$25,2,TRUE)</f>
        <v>1000</v>
      </c>
      <c r="I134" s="58">
        <f t="shared" si="1"/>
        <v>0</v>
      </c>
      <c r="J134" s="60"/>
      <c r="K134" s="33"/>
      <c r="L134" s="33"/>
      <c r="M134" s="33"/>
      <c r="N134" s="33"/>
    </row>
    <row r="135" ht="15.75" customHeight="1">
      <c r="A135" s="52"/>
      <c r="B135" s="52"/>
      <c r="C135" s="52"/>
      <c r="D135" s="60"/>
      <c r="E135" s="60"/>
      <c r="F135" s="55" t="s">
        <v>18</v>
      </c>
      <c r="G135" s="56"/>
      <c r="H135" s="61">
        <f>VLOOKUP(F135,$A$26:$B$26,2,TRUE)</f>
        <v>300</v>
      </c>
      <c r="I135" s="58">
        <f t="shared" si="1"/>
        <v>0</v>
      </c>
      <c r="J135" s="60"/>
      <c r="K135" s="33"/>
      <c r="L135" s="33"/>
      <c r="M135" s="33"/>
      <c r="N135" s="33"/>
    </row>
    <row r="136" ht="15.75" customHeight="1">
      <c r="A136" s="52"/>
      <c r="B136" s="52"/>
      <c r="C136" s="52"/>
      <c r="D136" s="60"/>
      <c r="E136" s="60"/>
      <c r="F136" s="55" t="s">
        <v>44</v>
      </c>
      <c r="G136" s="56"/>
      <c r="H136" s="61">
        <f>VLOOKUP(F136,$A$27:$B$27,2,TRUE)</f>
        <v>100</v>
      </c>
      <c r="I136" s="58">
        <f t="shared" si="1"/>
        <v>0</v>
      </c>
      <c r="J136" s="60"/>
      <c r="K136" s="33"/>
      <c r="L136" s="33"/>
      <c r="M136" s="33"/>
      <c r="N136" s="33"/>
    </row>
    <row r="137" ht="15.75" customHeight="1">
      <c r="A137" s="52"/>
      <c r="B137" s="52"/>
      <c r="C137" s="52"/>
      <c r="D137" s="60"/>
      <c r="E137" s="60"/>
      <c r="F137" s="55" t="s">
        <v>13</v>
      </c>
      <c r="G137" s="56"/>
      <c r="H137" s="61">
        <f>VLOOKUP(F136,$A$28:$B$28,2,TRUE)</f>
        <v>1500</v>
      </c>
      <c r="I137" s="58">
        <f t="shared" si="1"/>
        <v>0</v>
      </c>
      <c r="J137" s="60"/>
      <c r="K137" s="33"/>
      <c r="L137" s="33"/>
      <c r="M137" s="33"/>
      <c r="N137" s="33"/>
    </row>
    <row r="138" ht="15.75" customHeight="1">
      <c r="A138" s="52"/>
      <c r="B138" s="52"/>
      <c r="C138" s="52"/>
      <c r="D138" s="60"/>
      <c r="E138" s="60"/>
      <c r="F138" s="55" t="s">
        <v>20</v>
      </c>
      <c r="G138" s="56"/>
      <c r="H138" s="61">
        <f>VLOOKUP(F137,$A$29:$B$29,2,TRUE)</f>
        <v>4000</v>
      </c>
      <c r="I138" s="58">
        <f t="shared" si="1"/>
        <v>0</v>
      </c>
      <c r="J138" s="60"/>
      <c r="K138" s="33"/>
      <c r="L138" s="33"/>
      <c r="M138" s="33"/>
      <c r="N138" s="33"/>
    </row>
    <row r="139" ht="15.75" customHeight="1">
      <c r="A139" s="52"/>
      <c r="B139" s="52"/>
      <c r="C139" s="52"/>
      <c r="D139" s="18"/>
      <c r="E139" s="18"/>
      <c r="F139" s="55" t="s">
        <v>59</v>
      </c>
      <c r="G139" s="56"/>
      <c r="H139" s="61">
        <f>VLOOKUP(F138,$A$30:$B$30,2,TRUE)</f>
        <v>0</v>
      </c>
      <c r="I139" s="58">
        <f t="shared" si="1"/>
        <v>0</v>
      </c>
      <c r="J139" s="18"/>
      <c r="K139" s="33"/>
      <c r="L139" s="33"/>
      <c r="M139" s="33"/>
      <c r="N139" s="33"/>
    </row>
    <row r="140" ht="15.75" customHeight="1">
      <c r="A140" s="52"/>
      <c r="B140" s="52"/>
      <c r="C140" s="52"/>
      <c r="D140" s="53">
        <v>6.0</v>
      </c>
      <c r="E140" s="65" t="s">
        <v>70</v>
      </c>
      <c r="F140" s="55" t="s">
        <v>22</v>
      </c>
      <c r="G140" s="56"/>
      <c r="H140" s="57">
        <f>VLOOKUP(F140,$A$4:$B$4,2,TRUE)</f>
        <v>4000</v>
      </c>
      <c r="I140" s="58">
        <f t="shared" si="1"/>
        <v>0</v>
      </c>
      <c r="J140" s="59">
        <f>SUM(I140:I166)</f>
        <v>0</v>
      </c>
      <c r="K140" s="33"/>
      <c r="L140" s="33"/>
      <c r="M140" s="33"/>
      <c r="N140" s="33"/>
    </row>
    <row r="141" ht="15.75" customHeight="1">
      <c r="A141" s="52"/>
      <c r="B141" s="52"/>
      <c r="C141" s="52"/>
      <c r="D141" s="60"/>
      <c r="E141" s="60"/>
      <c r="F141" s="55" t="s">
        <v>57</v>
      </c>
      <c r="G141" s="56"/>
      <c r="H141" s="61">
        <f>VLOOKUP(F141,$A$5:$B$5,2,TRUE)</f>
        <v>3000</v>
      </c>
      <c r="I141" s="58">
        <f t="shared" si="1"/>
        <v>0</v>
      </c>
      <c r="J141" s="60"/>
      <c r="K141" s="33"/>
      <c r="L141" s="33"/>
      <c r="M141" s="33"/>
      <c r="N141" s="33"/>
    </row>
    <row r="142" ht="15.75" customHeight="1">
      <c r="A142" s="52"/>
      <c r="B142" s="52"/>
      <c r="C142" s="52"/>
      <c r="D142" s="60"/>
      <c r="E142" s="60"/>
      <c r="F142" s="55" t="s">
        <v>58</v>
      </c>
      <c r="G142" s="56"/>
      <c r="H142" s="61">
        <f>VLOOKUP(F142,$A$6:$B$6,2,TRUE)</f>
        <v>1000</v>
      </c>
      <c r="I142" s="58">
        <f t="shared" si="1"/>
        <v>0</v>
      </c>
      <c r="J142" s="60"/>
      <c r="K142" s="33"/>
      <c r="L142" s="33"/>
      <c r="M142" s="33"/>
      <c r="N142" s="33"/>
    </row>
    <row r="143" ht="15.75" customHeight="1">
      <c r="A143" s="52"/>
      <c r="B143" s="52"/>
      <c r="C143" s="52"/>
      <c r="D143" s="60"/>
      <c r="E143" s="60"/>
      <c r="F143" s="55" t="s">
        <v>25</v>
      </c>
      <c r="G143" s="56"/>
      <c r="H143" s="61">
        <f>VLOOKUP(F143,$A$7:$B$7,2,TRUE)</f>
        <v>2800</v>
      </c>
      <c r="I143" s="58">
        <f t="shared" si="1"/>
        <v>0</v>
      </c>
      <c r="J143" s="60"/>
      <c r="K143" s="33"/>
      <c r="L143" s="33"/>
      <c r="M143" s="33"/>
      <c r="N143" s="33"/>
    </row>
    <row r="144" ht="15.75" customHeight="1">
      <c r="A144" s="52"/>
      <c r="B144" s="52"/>
      <c r="C144" s="52"/>
      <c r="D144" s="60"/>
      <c r="E144" s="60"/>
      <c r="F144" s="55" t="s">
        <v>26</v>
      </c>
      <c r="G144" s="56"/>
      <c r="H144" s="61">
        <f>VLOOKUP(F144,$A$8:$B$8,2,TRUE)</f>
        <v>3500</v>
      </c>
      <c r="I144" s="58">
        <f t="shared" si="1"/>
        <v>0</v>
      </c>
      <c r="J144" s="60"/>
      <c r="K144" s="33"/>
      <c r="L144" s="33"/>
      <c r="M144" s="33"/>
      <c r="N144" s="33"/>
    </row>
    <row r="145" ht="15.75" customHeight="1">
      <c r="A145" s="52"/>
      <c r="B145" s="52"/>
      <c r="C145" s="52"/>
      <c r="D145" s="60"/>
      <c r="E145" s="60"/>
      <c r="F145" s="55" t="s">
        <v>27</v>
      </c>
      <c r="G145" s="56"/>
      <c r="H145" s="61">
        <f>VLOOKUP(F145,$A$9:$B$9,2,TRUE)</f>
        <v>1000</v>
      </c>
      <c r="I145" s="58">
        <f t="shared" si="1"/>
        <v>0</v>
      </c>
      <c r="J145" s="60"/>
      <c r="K145" s="33"/>
      <c r="L145" s="33"/>
      <c r="M145" s="33"/>
      <c r="N145" s="33"/>
    </row>
    <row r="146" ht="15.75" customHeight="1">
      <c r="A146" s="52"/>
      <c r="B146" s="52"/>
      <c r="C146" s="52"/>
      <c r="D146" s="60"/>
      <c r="E146" s="60"/>
      <c r="F146" s="55" t="s">
        <v>28</v>
      </c>
      <c r="G146" s="56"/>
      <c r="H146" s="61">
        <f>VLOOKUP(F146,$A$10:$B$10,2,TRUE)</f>
        <v>2000</v>
      </c>
      <c r="I146" s="58">
        <f t="shared" si="1"/>
        <v>0</v>
      </c>
      <c r="J146" s="60"/>
      <c r="K146" s="33"/>
      <c r="L146" s="33"/>
      <c r="M146" s="33"/>
      <c r="N146" s="33"/>
    </row>
    <row r="147" ht="15.75" customHeight="1">
      <c r="A147" s="52"/>
      <c r="B147" s="52"/>
      <c r="C147" s="52"/>
      <c r="D147" s="60"/>
      <c r="E147" s="60"/>
      <c r="F147" s="55" t="s">
        <v>29</v>
      </c>
      <c r="G147" s="56"/>
      <c r="H147" s="61">
        <f>VLOOKUP(F147,$A$11:$B$11,2,TRUE)</f>
        <v>1500</v>
      </c>
      <c r="I147" s="58">
        <f t="shared" si="1"/>
        <v>0</v>
      </c>
      <c r="J147" s="60"/>
      <c r="K147" s="33"/>
      <c r="L147" s="33"/>
      <c r="M147" s="33"/>
      <c r="N147" s="33"/>
    </row>
    <row r="148" ht="15.75" customHeight="1">
      <c r="A148" s="52"/>
      <c r="B148" s="52"/>
      <c r="C148" s="52"/>
      <c r="D148" s="60"/>
      <c r="E148" s="60"/>
      <c r="F148" s="55" t="s">
        <v>30</v>
      </c>
      <c r="G148" s="56"/>
      <c r="H148" s="61">
        <f>VLOOKUP(F148,$A$12:$B$12,2,TRUE)</f>
        <v>1300</v>
      </c>
      <c r="I148" s="58">
        <f t="shared" si="1"/>
        <v>0</v>
      </c>
      <c r="J148" s="60"/>
      <c r="K148" s="33"/>
      <c r="L148" s="33"/>
      <c r="M148" s="33"/>
      <c r="N148" s="33"/>
    </row>
    <row r="149" ht="15.75" customHeight="1">
      <c r="A149" s="52"/>
      <c r="B149" s="52"/>
      <c r="C149" s="52"/>
      <c r="D149" s="60"/>
      <c r="E149" s="60"/>
      <c r="F149" s="55" t="s">
        <v>31</v>
      </c>
      <c r="G149" s="56"/>
      <c r="H149" s="61">
        <f>VLOOKUP(F149,$A$13:$B$13,2,TRUE)</f>
        <v>1000</v>
      </c>
      <c r="I149" s="58">
        <f t="shared" si="1"/>
        <v>0</v>
      </c>
      <c r="J149" s="60"/>
      <c r="K149" s="33"/>
      <c r="L149" s="33"/>
      <c r="M149" s="33"/>
      <c r="N149" s="33"/>
    </row>
    <row r="150" ht="15.75" customHeight="1">
      <c r="A150" s="52"/>
      <c r="B150" s="52"/>
      <c r="C150" s="52"/>
      <c r="D150" s="60"/>
      <c r="E150" s="60"/>
      <c r="F150" s="55" t="s">
        <v>32</v>
      </c>
      <c r="G150" s="56"/>
      <c r="H150" s="61">
        <f>VLOOKUP(F150,$A$14:$B$14,2,TRUE)</f>
        <v>500</v>
      </c>
      <c r="I150" s="58">
        <f t="shared" si="1"/>
        <v>0</v>
      </c>
      <c r="J150" s="60"/>
      <c r="K150" s="33"/>
      <c r="L150" s="33"/>
      <c r="M150" s="33"/>
      <c r="N150" s="33"/>
    </row>
    <row r="151" ht="15.75" customHeight="1">
      <c r="A151" s="52"/>
      <c r="B151" s="52"/>
      <c r="C151" s="52"/>
      <c r="D151" s="60"/>
      <c r="E151" s="60"/>
      <c r="F151" s="55" t="s">
        <v>33</v>
      </c>
      <c r="G151" s="56"/>
      <c r="H151" s="61">
        <f>VLOOKUP(F151,$A$15:$B$15,2,TRUE)</f>
        <v>7500</v>
      </c>
      <c r="I151" s="58">
        <f t="shared" si="1"/>
        <v>0</v>
      </c>
      <c r="J151" s="60"/>
      <c r="K151" s="33"/>
      <c r="L151" s="33"/>
      <c r="M151" s="33"/>
      <c r="N151" s="33"/>
    </row>
    <row r="152" ht="15.75" customHeight="1">
      <c r="A152" s="52"/>
      <c r="B152" s="52"/>
      <c r="C152" s="52"/>
      <c r="D152" s="60"/>
      <c r="E152" s="60"/>
      <c r="F152" s="55" t="s">
        <v>34</v>
      </c>
      <c r="G152" s="56"/>
      <c r="H152" s="61">
        <f>VLOOKUP(F152,$A$16:$B$16,2,TRUE)</f>
        <v>2000</v>
      </c>
      <c r="I152" s="58">
        <f t="shared" si="1"/>
        <v>0</v>
      </c>
      <c r="J152" s="60"/>
      <c r="K152" s="33"/>
      <c r="L152" s="33"/>
      <c r="M152" s="33"/>
      <c r="N152" s="33"/>
    </row>
    <row r="153" ht="15.75" customHeight="1">
      <c r="A153" s="52"/>
      <c r="B153" s="52"/>
      <c r="C153" s="52"/>
      <c r="D153" s="60"/>
      <c r="E153" s="60"/>
      <c r="F153" s="55" t="s">
        <v>35</v>
      </c>
      <c r="G153" s="56"/>
      <c r="H153" s="61">
        <f>VLOOKUP(F153,$A$17:$B$17,2,TRUE)</f>
        <v>1000</v>
      </c>
      <c r="I153" s="58">
        <f t="shared" si="1"/>
        <v>0</v>
      </c>
      <c r="J153" s="60"/>
      <c r="K153" s="33"/>
      <c r="L153" s="33"/>
      <c r="M153" s="33"/>
      <c r="N153" s="33"/>
    </row>
    <row r="154" ht="15.75" customHeight="1">
      <c r="A154" s="52"/>
      <c r="B154" s="52"/>
      <c r="C154" s="52"/>
      <c r="D154" s="60"/>
      <c r="E154" s="60"/>
      <c r="F154" s="55" t="s">
        <v>36</v>
      </c>
      <c r="G154" s="56"/>
      <c r="H154" s="61">
        <f>VLOOKUP(F154,$A$18:$B$18,2,TRUE)</f>
        <v>5000</v>
      </c>
      <c r="I154" s="58">
        <f t="shared" si="1"/>
        <v>0</v>
      </c>
      <c r="J154" s="60"/>
      <c r="K154" s="33"/>
      <c r="L154" s="33"/>
      <c r="M154" s="33"/>
      <c r="N154" s="33"/>
    </row>
    <row r="155" ht="15.75" customHeight="1">
      <c r="A155" s="52"/>
      <c r="B155" s="52"/>
      <c r="C155" s="52"/>
      <c r="D155" s="60"/>
      <c r="E155" s="60"/>
      <c r="F155" s="55" t="s">
        <v>37</v>
      </c>
      <c r="G155" s="56"/>
      <c r="H155" s="61">
        <f>VLOOKUP(F155,$A$19:$B$19,2,TRUE)</f>
        <v>2700</v>
      </c>
      <c r="I155" s="58">
        <f t="shared" si="1"/>
        <v>0</v>
      </c>
      <c r="J155" s="60"/>
      <c r="K155" s="33"/>
      <c r="L155" s="33"/>
      <c r="M155" s="33"/>
      <c r="N155" s="33"/>
    </row>
    <row r="156" ht="15.75" customHeight="1">
      <c r="A156" s="52"/>
      <c r="B156" s="52"/>
      <c r="C156" s="52"/>
      <c r="D156" s="60"/>
      <c r="E156" s="60"/>
      <c r="F156" s="55" t="s">
        <v>38</v>
      </c>
      <c r="G156" s="56"/>
      <c r="H156" s="61">
        <f>VLOOKUP(F156,$A$20:$B$20,2,TRUE)</f>
        <v>50000</v>
      </c>
      <c r="I156" s="58">
        <f t="shared" si="1"/>
        <v>0</v>
      </c>
      <c r="J156" s="60"/>
      <c r="K156" s="33"/>
      <c r="L156" s="33"/>
      <c r="M156" s="33"/>
      <c r="N156" s="33"/>
    </row>
    <row r="157" ht="15.75" customHeight="1">
      <c r="A157" s="52"/>
      <c r="B157" s="52"/>
      <c r="C157" s="52"/>
      <c r="D157" s="60"/>
      <c r="E157" s="60"/>
      <c r="F157" s="55" t="s">
        <v>39</v>
      </c>
      <c r="G157" s="56"/>
      <c r="H157" s="61">
        <f>VLOOKUP(F157,$A$21:$B$21,2,TRUE)</f>
        <v>10000</v>
      </c>
      <c r="I157" s="58">
        <f t="shared" si="1"/>
        <v>0</v>
      </c>
      <c r="J157" s="60"/>
      <c r="K157" s="33"/>
      <c r="L157" s="33"/>
      <c r="M157" s="33"/>
      <c r="N157" s="33"/>
    </row>
    <row r="158" ht="15.75" customHeight="1">
      <c r="A158" s="52"/>
      <c r="B158" s="52"/>
      <c r="C158" s="52"/>
      <c r="D158" s="60"/>
      <c r="E158" s="60"/>
      <c r="F158" s="55" t="s">
        <v>40</v>
      </c>
      <c r="G158" s="56"/>
      <c r="H158" s="61">
        <f>VLOOKUP(F158,$A$22:$B$22,2,TRUE)</f>
        <v>1000</v>
      </c>
      <c r="I158" s="58">
        <f t="shared" si="1"/>
        <v>0</v>
      </c>
      <c r="J158" s="60"/>
      <c r="K158" s="33"/>
      <c r="L158" s="33"/>
      <c r="M158" s="33"/>
      <c r="N158" s="33"/>
    </row>
    <row r="159" ht="15.75" customHeight="1">
      <c r="A159" s="52"/>
      <c r="B159" s="52"/>
      <c r="C159" s="52"/>
      <c r="D159" s="60"/>
      <c r="E159" s="60"/>
      <c r="F159" s="55" t="s">
        <v>41</v>
      </c>
      <c r="G159" s="56"/>
      <c r="H159" s="61">
        <f>VLOOKUP(F159,$A$23:$B$23,2,TRUE)</f>
        <v>500</v>
      </c>
      <c r="I159" s="58">
        <f t="shared" si="1"/>
        <v>0</v>
      </c>
      <c r="J159" s="60"/>
      <c r="K159" s="33"/>
      <c r="L159" s="33"/>
      <c r="M159" s="33"/>
      <c r="N159" s="33"/>
    </row>
    <row r="160" ht="15.75" customHeight="1">
      <c r="A160" s="52"/>
      <c r="B160" s="52"/>
      <c r="C160" s="52"/>
      <c r="D160" s="60"/>
      <c r="E160" s="60"/>
      <c r="F160" s="55" t="s">
        <v>42</v>
      </c>
      <c r="G160" s="56"/>
      <c r="H160" s="61">
        <f>VLOOKUP(F160,$A$24:$B$24,2,TRUE)</f>
        <v>200</v>
      </c>
      <c r="I160" s="58">
        <f t="shared" si="1"/>
        <v>0</v>
      </c>
      <c r="J160" s="60"/>
      <c r="K160" s="33"/>
      <c r="L160" s="33"/>
      <c r="M160" s="33"/>
      <c r="N160" s="33"/>
    </row>
    <row r="161" ht="15.75" customHeight="1">
      <c r="A161" s="52"/>
      <c r="B161" s="52"/>
      <c r="C161" s="52"/>
      <c r="D161" s="60"/>
      <c r="E161" s="60"/>
      <c r="F161" s="55" t="s">
        <v>43</v>
      </c>
      <c r="G161" s="56"/>
      <c r="H161" s="61">
        <f>VLOOKUP(F161,$A$25:$B$25,2,TRUE)</f>
        <v>1000</v>
      </c>
      <c r="I161" s="58">
        <f t="shared" si="1"/>
        <v>0</v>
      </c>
      <c r="J161" s="60"/>
      <c r="K161" s="33"/>
      <c r="L161" s="33"/>
      <c r="M161" s="33"/>
      <c r="N161" s="33"/>
    </row>
    <row r="162" ht="15.75" customHeight="1">
      <c r="A162" s="52"/>
      <c r="B162" s="52"/>
      <c r="C162" s="52"/>
      <c r="D162" s="60"/>
      <c r="E162" s="60"/>
      <c r="F162" s="55" t="s">
        <v>18</v>
      </c>
      <c r="G162" s="56"/>
      <c r="H162" s="61">
        <f>VLOOKUP(F162,$A$26:$B$26,2,TRUE)</f>
        <v>300</v>
      </c>
      <c r="I162" s="58">
        <f t="shared" si="1"/>
        <v>0</v>
      </c>
      <c r="J162" s="60"/>
      <c r="K162" s="33"/>
      <c r="L162" s="33"/>
      <c r="M162" s="33"/>
      <c r="N162" s="33"/>
    </row>
    <row r="163" ht="15.75" customHeight="1">
      <c r="A163" s="52"/>
      <c r="B163" s="52"/>
      <c r="C163" s="52"/>
      <c r="D163" s="60"/>
      <c r="E163" s="60"/>
      <c r="F163" s="55" t="s">
        <v>44</v>
      </c>
      <c r="G163" s="56"/>
      <c r="H163" s="61">
        <f>VLOOKUP(F163,$A$27:$B$27,2,TRUE)</f>
        <v>100</v>
      </c>
      <c r="I163" s="58">
        <f t="shared" si="1"/>
        <v>0</v>
      </c>
      <c r="J163" s="60"/>
      <c r="K163" s="33"/>
      <c r="L163" s="33"/>
      <c r="M163" s="33"/>
      <c r="N163" s="33"/>
    </row>
    <row r="164" ht="15.75" customHeight="1">
      <c r="A164" s="52"/>
      <c r="B164" s="52"/>
      <c r="C164" s="52"/>
      <c r="D164" s="60"/>
      <c r="E164" s="60"/>
      <c r="F164" s="55" t="s">
        <v>13</v>
      </c>
      <c r="G164" s="56"/>
      <c r="H164" s="61">
        <f>VLOOKUP(F163,$A$28:$B$28,2,TRUE)</f>
        <v>1500</v>
      </c>
      <c r="I164" s="58">
        <f t="shared" si="1"/>
        <v>0</v>
      </c>
      <c r="J164" s="60"/>
      <c r="K164" s="33"/>
      <c r="L164" s="33"/>
      <c r="M164" s="33"/>
      <c r="N164" s="33"/>
    </row>
    <row r="165" ht="15.75" customHeight="1">
      <c r="A165" s="52"/>
      <c r="B165" s="52"/>
      <c r="C165" s="52"/>
      <c r="D165" s="60"/>
      <c r="E165" s="60"/>
      <c r="F165" s="55" t="s">
        <v>20</v>
      </c>
      <c r="G165" s="56"/>
      <c r="H165" s="61">
        <f>VLOOKUP(F164,$A$29:$B$29,2,TRUE)</f>
        <v>4000</v>
      </c>
      <c r="I165" s="58">
        <f t="shared" si="1"/>
        <v>0</v>
      </c>
      <c r="J165" s="60"/>
      <c r="K165" s="33"/>
      <c r="L165" s="33"/>
      <c r="M165" s="33"/>
      <c r="N165" s="33"/>
    </row>
    <row r="166" ht="15.75" customHeight="1">
      <c r="A166" s="52"/>
      <c r="B166" s="52"/>
      <c r="C166" s="52"/>
      <c r="D166" s="18"/>
      <c r="E166" s="18"/>
      <c r="F166" s="55" t="s">
        <v>59</v>
      </c>
      <c r="G166" s="56">
        <v>6.5</v>
      </c>
      <c r="H166" s="61">
        <f>VLOOKUP(F165,$A$30:$B$30,2,TRUE)</f>
        <v>0</v>
      </c>
      <c r="I166" s="58">
        <f t="shared" si="1"/>
        <v>0</v>
      </c>
      <c r="J166" s="18"/>
      <c r="K166" s="33"/>
      <c r="L166" s="33"/>
      <c r="M166" s="33"/>
      <c r="N166" s="33"/>
    </row>
    <row r="167" ht="15.75" customHeight="1">
      <c r="A167" s="52"/>
      <c r="B167" s="52"/>
      <c r="C167" s="52"/>
      <c r="D167" s="53">
        <v>7.0</v>
      </c>
      <c r="E167" s="65" t="s">
        <v>71</v>
      </c>
      <c r="F167" s="55" t="s">
        <v>22</v>
      </c>
      <c r="G167" s="56"/>
      <c r="H167" s="57">
        <f>VLOOKUP(F167,$A$4:$B$4,2,TRUE)</f>
        <v>4000</v>
      </c>
      <c r="I167" s="58">
        <f t="shared" si="1"/>
        <v>0</v>
      </c>
      <c r="J167" s="59">
        <f>SUM(I167:I193)</f>
        <v>5500</v>
      </c>
      <c r="K167" s="33"/>
      <c r="L167" s="33"/>
      <c r="M167" s="33"/>
      <c r="N167" s="33"/>
    </row>
    <row r="168" ht="15.75" customHeight="1">
      <c r="A168" s="52"/>
      <c r="B168" s="52"/>
      <c r="C168" s="52"/>
      <c r="D168" s="60"/>
      <c r="E168" s="60"/>
      <c r="F168" s="55" t="s">
        <v>57</v>
      </c>
      <c r="G168" s="56">
        <v>0.5</v>
      </c>
      <c r="H168" s="61">
        <f>VLOOKUP(F168,$A$5:$B$5,2,TRUE)</f>
        <v>3000</v>
      </c>
      <c r="I168" s="58">
        <f t="shared" si="1"/>
        <v>1500</v>
      </c>
      <c r="J168" s="60"/>
      <c r="K168" s="33"/>
      <c r="L168" s="33"/>
      <c r="M168" s="33"/>
      <c r="N168" s="33"/>
    </row>
    <row r="169" ht="15.75" customHeight="1">
      <c r="A169" s="52"/>
      <c r="B169" s="52"/>
      <c r="C169" s="52"/>
      <c r="D169" s="60"/>
      <c r="E169" s="60"/>
      <c r="F169" s="55" t="s">
        <v>58</v>
      </c>
      <c r="G169" s="56"/>
      <c r="H169" s="61">
        <f>VLOOKUP(F169,$A$6:$B$6,2,TRUE)</f>
        <v>1000</v>
      </c>
      <c r="I169" s="58">
        <f t="shared" si="1"/>
        <v>0</v>
      </c>
      <c r="J169" s="60"/>
      <c r="K169" s="33"/>
      <c r="L169" s="33"/>
      <c r="M169" s="33"/>
      <c r="N169" s="33"/>
    </row>
    <row r="170" ht="15.75" customHeight="1">
      <c r="A170" s="52"/>
      <c r="B170" s="52"/>
      <c r="C170" s="52"/>
      <c r="D170" s="60"/>
      <c r="E170" s="60"/>
      <c r="F170" s="55" t="s">
        <v>25</v>
      </c>
      <c r="G170" s="56"/>
      <c r="H170" s="61">
        <f>VLOOKUP(F170,$A$7:$B$7,2,TRUE)</f>
        <v>2800</v>
      </c>
      <c r="I170" s="58">
        <f t="shared" si="1"/>
        <v>0</v>
      </c>
      <c r="J170" s="60"/>
      <c r="K170" s="33"/>
      <c r="L170" s="33"/>
      <c r="M170" s="33"/>
      <c r="N170" s="33"/>
    </row>
    <row r="171" ht="15.75" customHeight="1">
      <c r="A171" s="52"/>
      <c r="B171" s="52"/>
      <c r="C171" s="52"/>
      <c r="D171" s="60"/>
      <c r="E171" s="60"/>
      <c r="F171" s="55" t="s">
        <v>26</v>
      </c>
      <c r="G171" s="56"/>
      <c r="H171" s="61">
        <f>VLOOKUP(F171,$A$8:$B$8,2,TRUE)</f>
        <v>3500</v>
      </c>
      <c r="I171" s="58">
        <f t="shared" si="1"/>
        <v>0</v>
      </c>
      <c r="J171" s="60"/>
      <c r="K171" s="33"/>
      <c r="L171" s="33"/>
      <c r="M171" s="33"/>
      <c r="N171" s="33"/>
    </row>
    <row r="172" ht="15.75" customHeight="1">
      <c r="A172" s="52"/>
      <c r="B172" s="52"/>
      <c r="C172" s="52"/>
      <c r="D172" s="60"/>
      <c r="E172" s="60"/>
      <c r="F172" s="55" t="s">
        <v>27</v>
      </c>
      <c r="G172" s="56"/>
      <c r="H172" s="61">
        <f>VLOOKUP(F172,$A$9:$B$9,2,TRUE)</f>
        <v>1000</v>
      </c>
      <c r="I172" s="58">
        <f t="shared" si="1"/>
        <v>0</v>
      </c>
      <c r="J172" s="60"/>
      <c r="K172" s="33"/>
      <c r="L172" s="33"/>
      <c r="M172" s="33"/>
      <c r="N172" s="33"/>
    </row>
    <row r="173" ht="15.75" customHeight="1">
      <c r="A173" s="52"/>
      <c r="B173" s="52"/>
      <c r="C173" s="52"/>
      <c r="D173" s="60"/>
      <c r="E173" s="60"/>
      <c r="F173" s="55" t="s">
        <v>28</v>
      </c>
      <c r="G173" s="56">
        <v>2.0</v>
      </c>
      <c r="H173" s="61">
        <f>VLOOKUP(F173,$A$10:$B$10,2,TRUE)</f>
        <v>2000</v>
      </c>
      <c r="I173" s="58">
        <f t="shared" si="1"/>
        <v>4000</v>
      </c>
      <c r="J173" s="60"/>
      <c r="K173" s="33"/>
      <c r="L173" s="33"/>
      <c r="M173" s="33"/>
      <c r="N173" s="33"/>
    </row>
    <row r="174" ht="15.75" customHeight="1">
      <c r="A174" s="52"/>
      <c r="B174" s="52"/>
      <c r="C174" s="52"/>
      <c r="D174" s="60"/>
      <c r="E174" s="60"/>
      <c r="F174" s="55" t="s">
        <v>29</v>
      </c>
      <c r="G174" s="56"/>
      <c r="H174" s="61">
        <f>VLOOKUP(F174,$A$11:$B$11,2,TRUE)</f>
        <v>1500</v>
      </c>
      <c r="I174" s="58">
        <f t="shared" si="1"/>
        <v>0</v>
      </c>
      <c r="J174" s="60"/>
      <c r="K174" s="33"/>
      <c r="L174" s="33"/>
      <c r="M174" s="33"/>
      <c r="N174" s="33"/>
    </row>
    <row r="175" ht="15.75" customHeight="1">
      <c r="A175" s="52"/>
      <c r="B175" s="52"/>
      <c r="C175" s="52"/>
      <c r="D175" s="60"/>
      <c r="E175" s="60"/>
      <c r="F175" s="55" t="s">
        <v>30</v>
      </c>
      <c r="G175" s="56"/>
      <c r="H175" s="61">
        <f>VLOOKUP(F175,$A$12:$B$12,2,TRUE)</f>
        <v>1300</v>
      </c>
      <c r="I175" s="58">
        <f t="shared" si="1"/>
        <v>0</v>
      </c>
      <c r="J175" s="60"/>
      <c r="K175" s="33"/>
      <c r="L175" s="33"/>
      <c r="M175" s="33"/>
      <c r="N175" s="33"/>
    </row>
    <row r="176" ht="15.75" customHeight="1">
      <c r="A176" s="52"/>
      <c r="B176" s="52"/>
      <c r="C176" s="52"/>
      <c r="D176" s="60"/>
      <c r="E176" s="60"/>
      <c r="F176" s="55" t="s">
        <v>31</v>
      </c>
      <c r="G176" s="56"/>
      <c r="H176" s="61">
        <f>VLOOKUP(F176,$A$13:$B$13,2,TRUE)</f>
        <v>1000</v>
      </c>
      <c r="I176" s="58">
        <f t="shared" si="1"/>
        <v>0</v>
      </c>
      <c r="J176" s="60"/>
      <c r="K176" s="33"/>
      <c r="L176" s="33"/>
      <c r="M176" s="33"/>
      <c r="N176" s="33"/>
    </row>
    <row r="177" ht="15.75" customHeight="1">
      <c r="A177" s="52"/>
      <c r="B177" s="52"/>
      <c r="C177" s="52"/>
      <c r="D177" s="60"/>
      <c r="E177" s="60"/>
      <c r="F177" s="55" t="s">
        <v>32</v>
      </c>
      <c r="G177" s="56"/>
      <c r="H177" s="61">
        <f>VLOOKUP(F177,$A$14:$B$14,2,TRUE)</f>
        <v>500</v>
      </c>
      <c r="I177" s="58">
        <f t="shared" si="1"/>
        <v>0</v>
      </c>
      <c r="J177" s="60"/>
      <c r="K177" s="33"/>
      <c r="L177" s="33"/>
      <c r="M177" s="33"/>
      <c r="N177" s="33"/>
    </row>
    <row r="178" ht="15.75" customHeight="1">
      <c r="A178" s="52"/>
      <c r="B178" s="52"/>
      <c r="C178" s="52"/>
      <c r="D178" s="60"/>
      <c r="E178" s="60"/>
      <c r="F178" s="55" t="s">
        <v>33</v>
      </c>
      <c r="G178" s="56"/>
      <c r="H178" s="61">
        <f>VLOOKUP(F178,$A$15:$B$15,2,TRUE)</f>
        <v>7500</v>
      </c>
      <c r="I178" s="58">
        <f t="shared" si="1"/>
        <v>0</v>
      </c>
      <c r="J178" s="60"/>
      <c r="K178" s="33"/>
      <c r="L178" s="33"/>
      <c r="M178" s="33"/>
      <c r="N178" s="33"/>
    </row>
    <row r="179" ht="15.75" customHeight="1">
      <c r="A179" s="52"/>
      <c r="B179" s="52"/>
      <c r="C179" s="52"/>
      <c r="D179" s="60"/>
      <c r="E179" s="60"/>
      <c r="F179" s="55" t="s">
        <v>34</v>
      </c>
      <c r="G179" s="56"/>
      <c r="H179" s="61">
        <f>VLOOKUP(F179,$A$16:$B$16,2,TRUE)</f>
        <v>2000</v>
      </c>
      <c r="I179" s="58">
        <f t="shared" si="1"/>
        <v>0</v>
      </c>
      <c r="J179" s="60"/>
      <c r="K179" s="33"/>
      <c r="L179" s="33"/>
      <c r="M179" s="33"/>
      <c r="N179" s="33"/>
    </row>
    <row r="180" ht="15.75" customHeight="1">
      <c r="A180" s="52"/>
      <c r="B180" s="52"/>
      <c r="C180" s="52"/>
      <c r="D180" s="60"/>
      <c r="E180" s="60"/>
      <c r="F180" s="55" t="s">
        <v>35</v>
      </c>
      <c r="G180" s="56"/>
      <c r="H180" s="61">
        <f>VLOOKUP(F180,$A$17:$B$17,2,TRUE)</f>
        <v>1000</v>
      </c>
      <c r="I180" s="58">
        <f t="shared" si="1"/>
        <v>0</v>
      </c>
      <c r="J180" s="60"/>
      <c r="K180" s="33"/>
      <c r="L180" s="33"/>
      <c r="M180" s="33"/>
      <c r="N180" s="33"/>
    </row>
    <row r="181" ht="15.75" customHeight="1">
      <c r="A181" s="52"/>
      <c r="B181" s="52"/>
      <c r="C181" s="52"/>
      <c r="D181" s="60"/>
      <c r="E181" s="60"/>
      <c r="F181" s="55" t="s">
        <v>36</v>
      </c>
      <c r="G181" s="56"/>
      <c r="H181" s="61">
        <f>VLOOKUP(F181,$A$18:$B$18,2,TRUE)</f>
        <v>5000</v>
      </c>
      <c r="I181" s="58">
        <f t="shared" si="1"/>
        <v>0</v>
      </c>
      <c r="J181" s="60"/>
      <c r="K181" s="33"/>
      <c r="L181" s="33"/>
      <c r="M181" s="33"/>
      <c r="N181" s="33"/>
    </row>
    <row r="182" ht="15.75" customHeight="1">
      <c r="A182" s="52"/>
      <c r="B182" s="52"/>
      <c r="C182" s="52"/>
      <c r="D182" s="60"/>
      <c r="E182" s="60"/>
      <c r="F182" s="55" t="s">
        <v>37</v>
      </c>
      <c r="G182" s="56"/>
      <c r="H182" s="61">
        <f>VLOOKUP(F182,$A$19:$B$19,2,TRUE)</f>
        <v>2700</v>
      </c>
      <c r="I182" s="58">
        <f t="shared" si="1"/>
        <v>0</v>
      </c>
      <c r="J182" s="60"/>
      <c r="K182" s="33"/>
      <c r="L182" s="33"/>
      <c r="M182" s="33"/>
      <c r="N182" s="33"/>
    </row>
    <row r="183" ht="15.75" customHeight="1">
      <c r="A183" s="52"/>
      <c r="B183" s="52"/>
      <c r="C183" s="52"/>
      <c r="D183" s="60"/>
      <c r="E183" s="60"/>
      <c r="F183" s="55" t="s">
        <v>38</v>
      </c>
      <c r="G183" s="56"/>
      <c r="H183" s="61">
        <f>VLOOKUP(F183,$A$20:$B$20,2,TRUE)</f>
        <v>50000</v>
      </c>
      <c r="I183" s="58">
        <f t="shared" si="1"/>
        <v>0</v>
      </c>
      <c r="J183" s="60"/>
      <c r="K183" s="33"/>
      <c r="L183" s="33"/>
      <c r="M183" s="33"/>
      <c r="N183" s="33"/>
    </row>
    <row r="184" ht="15.75" customHeight="1">
      <c r="A184" s="52"/>
      <c r="B184" s="52"/>
      <c r="C184" s="52"/>
      <c r="D184" s="60"/>
      <c r="E184" s="60"/>
      <c r="F184" s="55" t="s">
        <v>39</v>
      </c>
      <c r="G184" s="56"/>
      <c r="H184" s="61">
        <f>VLOOKUP(F184,$A$21:$B$21,2,TRUE)</f>
        <v>10000</v>
      </c>
      <c r="I184" s="58">
        <f t="shared" si="1"/>
        <v>0</v>
      </c>
      <c r="J184" s="60"/>
      <c r="K184" s="33"/>
      <c r="L184" s="33"/>
      <c r="M184" s="33"/>
      <c r="N184" s="33"/>
    </row>
    <row r="185" ht="15.75" customHeight="1">
      <c r="A185" s="52"/>
      <c r="B185" s="52"/>
      <c r="C185" s="52"/>
      <c r="D185" s="60"/>
      <c r="E185" s="60"/>
      <c r="F185" s="55" t="s">
        <v>40</v>
      </c>
      <c r="G185" s="56"/>
      <c r="H185" s="61">
        <f>VLOOKUP(F185,$A$22:$B$22,2,TRUE)</f>
        <v>1000</v>
      </c>
      <c r="I185" s="58">
        <f t="shared" si="1"/>
        <v>0</v>
      </c>
      <c r="J185" s="60"/>
      <c r="K185" s="33"/>
      <c r="L185" s="33"/>
      <c r="M185" s="33"/>
      <c r="N185" s="33"/>
    </row>
    <row r="186" ht="15.75" customHeight="1">
      <c r="A186" s="52"/>
      <c r="B186" s="52"/>
      <c r="C186" s="52"/>
      <c r="D186" s="60"/>
      <c r="E186" s="60"/>
      <c r="F186" s="55" t="s">
        <v>41</v>
      </c>
      <c r="G186" s="56"/>
      <c r="H186" s="61">
        <f>VLOOKUP(F186,$A$23:$B$23,2,TRUE)</f>
        <v>500</v>
      </c>
      <c r="I186" s="58">
        <f t="shared" si="1"/>
        <v>0</v>
      </c>
      <c r="J186" s="60"/>
      <c r="K186" s="33"/>
      <c r="L186" s="33"/>
      <c r="M186" s="33"/>
      <c r="N186" s="33"/>
    </row>
    <row r="187" ht="15.75" customHeight="1">
      <c r="A187" s="52"/>
      <c r="B187" s="52"/>
      <c r="C187" s="52"/>
      <c r="D187" s="60"/>
      <c r="E187" s="60"/>
      <c r="F187" s="55" t="s">
        <v>42</v>
      </c>
      <c r="G187" s="56"/>
      <c r="H187" s="61">
        <f>VLOOKUP(F187,$A$24:$B$24,2,TRUE)</f>
        <v>200</v>
      </c>
      <c r="I187" s="58">
        <f t="shared" si="1"/>
        <v>0</v>
      </c>
      <c r="J187" s="60"/>
      <c r="K187" s="33"/>
      <c r="L187" s="33"/>
      <c r="M187" s="33"/>
      <c r="N187" s="33"/>
    </row>
    <row r="188" ht="15.75" customHeight="1">
      <c r="A188" s="52"/>
      <c r="B188" s="52"/>
      <c r="C188" s="52"/>
      <c r="D188" s="60"/>
      <c r="E188" s="60"/>
      <c r="F188" s="55" t="s">
        <v>43</v>
      </c>
      <c r="G188" s="56"/>
      <c r="H188" s="61">
        <f>VLOOKUP(F188,$A$25:$B$25,2,TRUE)</f>
        <v>1000</v>
      </c>
      <c r="I188" s="58">
        <f t="shared" si="1"/>
        <v>0</v>
      </c>
      <c r="J188" s="60"/>
      <c r="K188" s="33"/>
      <c r="L188" s="33"/>
      <c r="M188" s="33"/>
      <c r="N188" s="33"/>
    </row>
    <row r="189" ht="15.75" customHeight="1">
      <c r="A189" s="52"/>
      <c r="B189" s="52"/>
      <c r="C189" s="52"/>
      <c r="D189" s="60"/>
      <c r="E189" s="60"/>
      <c r="F189" s="55" t="s">
        <v>18</v>
      </c>
      <c r="G189" s="56"/>
      <c r="H189" s="61">
        <f>VLOOKUP(F189,$A$26:$B$26,2,TRUE)</f>
        <v>300</v>
      </c>
      <c r="I189" s="58">
        <f t="shared" si="1"/>
        <v>0</v>
      </c>
      <c r="J189" s="60"/>
      <c r="K189" s="33"/>
      <c r="L189" s="33"/>
      <c r="M189" s="33"/>
      <c r="N189" s="33"/>
    </row>
    <row r="190" ht="15.75" customHeight="1">
      <c r="A190" s="52"/>
      <c r="B190" s="52"/>
      <c r="C190" s="52"/>
      <c r="D190" s="60"/>
      <c r="E190" s="60"/>
      <c r="F190" s="55" t="s">
        <v>44</v>
      </c>
      <c r="G190" s="56"/>
      <c r="H190" s="61">
        <f>VLOOKUP(F190,$A$27:$B$27,2,TRUE)</f>
        <v>100</v>
      </c>
      <c r="I190" s="58">
        <f t="shared" si="1"/>
        <v>0</v>
      </c>
      <c r="J190" s="60"/>
      <c r="K190" s="33"/>
      <c r="L190" s="33"/>
      <c r="M190" s="33"/>
      <c r="N190" s="33"/>
    </row>
    <row r="191" ht="15.75" customHeight="1">
      <c r="A191" s="52"/>
      <c r="B191" s="52"/>
      <c r="C191" s="52"/>
      <c r="D191" s="60"/>
      <c r="E191" s="60"/>
      <c r="F191" s="55" t="s">
        <v>13</v>
      </c>
      <c r="G191" s="56"/>
      <c r="H191" s="61">
        <f>VLOOKUP(F190,$A$28:$B$28,2,TRUE)</f>
        <v>1500</v>
      </c>
      <c r="I191" s="58">
        <f t="shared" si="1"/>
        <v>0</v>
      </c>
      <c r="J191" s="60"/>
      <c r="K191" s="33"/>
      <c r="L191" s="33"/>
      <c r="M191" s="33"/>
      <c r="N191" s="33"/>
    </row>
    <row r="192" ht="15.75" customHeight="1">
      <c r="A192" s="52"/>
      <c r="B192" s="52"/>
      <c r="C192" s="52"/>
      <c r="D192" s="60"/>
      <c r="E192" s="60"/>
      <c r="F192" s="55" t="s">
        <v>20</v>
      </c>
      <c r="G192" s="56"/>
      <c r="H192" s="61">
        <f>VLOOKUP(F191,$A$29:$B$29,2,TRUE)</f>
        <v>4000</v>
      </c>
      <c r="I192" s="58">
        <f t="shared" si="1"/>
        <v>0</v>
      </c>
      <c r="J192" s="60"/>
      <c r="K192" s="33"/>
      <c r="L192" s="33"/>
      <c r="M192" s="33"/>
      <c r="N192" s="33"/>
    </row>
    <row r="193" ht="15.75" customHeight="1">
      <c r="A193" s="52"/>
      <c r="B193" s="52"/>
      <c r="C193" s="52"/>
      <c r="D193" s="18"/>
      <c r="E193" s="18"/>
      <c r="F193" s="55" t="s">
        <v>59</v>
      </c>
      <c r="G193" s="56"/>
      <c r="H193" s="61">
        <f>VLOOKUP(F192,$A$30:$B$30,2,TRUE)</f>
        <v>0</v>
      </c>
      <c r="I193" s="58">
        <f t="shared" si="1"/>
        <v>0</v>
      </c>
      <c r="J193" s="18"/>
      <c r="K193" s="33"/>
      <c r="L193" s="33"/>
      <c r="M193" s="33"/>
      <c r="N193" s="33"/>
    </row>
    <row r="194" ht="15.75" customHeight="1">
      <c r="A194" s="52"/>
      <c r="B194" s="52"/>
      <c r="C194" s="52"/>
      <c r="D194" s="63" t="s">
        <v>60</v>
      </c>
      <c r="E194" s="6"/>
      <c r="F194" s="6"/>
      <c r="G194" s="6"/>
      <c r="H194" s="6"/>
      <c r="I194" s="7"/>
      <c r="J194" s="64">
        <f>SUM(J5:J193)</f>
        <v>119150</v>
      </c>
      <c r="K194" s="33"/>
      <c r="L194" s="33"/>
      <c r="M194" s="33"/>
      <c r="N194" s="33"/>
    </row>
    <row r="195" ht="15.75" customHeight="1">
      <c r="A195" s="32"/>
      <c r="B195" s="32"/>
      <c r="C195" s="32"/>
      <c r="D195" s="32"/>
      <c r="E195" s="32"/>
      <c r="F195" s="33"/>
      <c r="G195" s="33"/>
      <c r="H195" s="33"/>
      <c r="I195" s="33"/>
      <c r="J195" s="34"/>
      <c r="K195" s="33"/>
      <c r="L195" s="33"/>
      <c r="M195" s="33"/>
      <c r="N195" s="33"/>
    </row>
    <row r="196" ht="15.75" customHeight="1">
      <c r="A196" s="32"/>
      <c r="B196" s="32"/>
      <c r="C196" s="32"/>
      <c r="D196" s="32"/>
      <c r="E196" s="32"/>
      <c r="F196" s="33"/>
      <c r="G196" s="33"/>
      <c r="H196" s="33"/>
      <c r="I196" s="33"/>
      <c r="J196" s="34"/>
      <c r="K196" s="33"/>
      <c r="L196" s="33"/>
      <c r="M196" s="33"/>
      <c r="N196" s="33"/>
    </row>
    <row r="197" ht="15.75" customHeight="1">
      <c r="A197" s="32"/>
      <c r="B197" s="32"/>
      <c r="C197" s="32"/>
      <c r="D197" s="32"/>
      <c r="E197" s="32"/>
      <c r="F197" s="33"/>
      <c r="G197" s="33"/>
      <c r="H197" s="33"/>
      <c r="I197" s="33"/>
      <c r="J197" s="34"/>
      <c r="K197" s="33"/>
      <c r="L197" s="33"/>
      <c r="M197" s="33"/>
      <c r="N197" s="33"/>
    </row>
    <row r="198" ht="15.75" customHeight="1">
      <c r="A198" s="32"/>
      <c r="B198" s="32"/>
      <c r="C198" s="32"/>
      <c r="D198" s="32"/>
      <c r="E198" s="32"/>
      <c r="F198" s="33"/>
      <c r="G198" s="33"/>
      <c r="H198" s="33"/>
      <c r="I198" s="33"/>
      <c r="J198" s="34"/>
      <c r="K198" s="33"/>
      <c r="L198" s="33"/>
      <c r="M198" s="33"/>
      <c r="N198" s="33"/>
    </row>
    <row r="199" ht="15.75" customHeight="1">
      <c r="A199" s="32"/>
      <c r="B199" s="32"/>
      <c r="C199" s="32"/>
      <c r="D199" s="32"/>
      <c r="E199" s="32"/>
      <c r="F199" s="33"/>
      <c r="G199" s="33"/>
      <c r="H199" s="33"/>
      <c r="I199" s="33"/>
      <c r="J199" s="34"/>
      <c r="K199" s="33"/>
      <c r="L199" s="33"/>
      <c r="M199" s="33"/>
      <c r="N199" s="33"/>
    </row>
    <row r="200" ht="15.75" customHeight="1">
      <c r="A200" s="32"/>
      <c r="B200" s="32"/>
      <c r="C200" s="32"/>
      <c r="D200" s="32"/>
      <c r="E200" s="32"/>
      <c r="F200" s="33"/>
      <c r="G200" s="33"/>
      <c r="H200" s="33"/>
      <c r="I200" s="33"/>
      <c r="J200" s="34"/>
      <c r="K200" s="33"/>
      <c r="L200" s="33"/>
      <c r="M200" s="33"/>
      <c r="N200" s="33"/>
    </row>
    <row r="201" ht="15.75" customHeight="1">
      <c r="A201" s="32"/>
      <c r="B201" s="32"/>
      <c r="C201" s="32"/>
      <c r="D201" s="32"/>
      <c r="E201" s="32"/>
      <c r="F201" s="33"/>
      <c r="G201" s="33"/>
      <c r="H201" s="33"/>
      <c r="I201" s="33"/>
      <c r="J201" s="34"/>
      <c r="K201" s="33"/>
      <c r="L201" s="33"/>
      <c r="M201" s="33"/>
      <c r="N201" s="33"/>
    </row>
    <row r="202" ht="15.75" customHeight="1">
      <c r="A202" s="32"/>
      <c r="B202" s="32"/>
      <c r="C202" s="32"/>
      <c r="D202" s="32"/>
      <c r="E202" s="32"/>
      <c r="F202" s="33"/>
      <c r="G202" s="33"/>
      <c r="H202" s="33"/>
      <c r="I202" s="33"/>
      <c r="J202" s="34"/>
      <c r="K202" s="33"/>
      <c r="L202" s="33"/>
      <c r="M202" s="33"/>
      <c r="N202" s="33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A238" s="32"/>
      <c r="B238" s="32"/>
      <c r="C238" s="32"/>
      <c r="D238" s="32"/>
      <c r="E238" s="32"/>
      <c r="J238" s="34"/>
    </row>
    <row r="239" ht="15.75" customHeight="1">
      <c r="A239" s="32"/>
      <c r="B239" s="32"/>
      <c r="C239" s="32"/>
      <c r="D239" s="32"/>
      <c r="E239" s="32"/>
      <c r="J239" s="34"/>
    </row>
    <row r="240" ht="15.75" customHeight="1">
      <c r="A240" s="32"/>
      <c r="B240" s="32"/>
      <c r="C240" s="32"/>
      <c r="D240" s="32"/>
      <c r="E240" s="32"/>
      <c r="J240" s="34"/>
    </row>
    <row r="241" ht="15.75" customHeight="1">
      <c r="A241" s="32"/>
      <c r="B241" s="32"/>
      <c r="C241" s="32"/>
      <c r="D241" s="32"/>
      <c r="E241" s="32"/>
      <c r="J241" s="34"/>
    </row>
    <row r="242" ht="15.75" customHeight="1">
      <c r="A242" s="32"/>
      <c r="B242" s="32"/>
      <c r="C242" s="32"/>
      <c r="D242" s="32"/>
      <c r="E242" s="32"/>
      <c r="J242" s="34"/>
    </row>
    <row r="243" ht="15.75" customHeight="1">
      <c r="A243" s="32"/>
      <c r="B243" s="32"/>
      <c r="C243" s="32"/>
      <c r="D243" s="32"/>
      <c r="E243" s="32"/>
      <c r="J243" s="34"/>
    </row>
    <row r="244" ht="15.75" customHeight="1">
      <c r="A244" s="32"/>
      <c r="B244" s="32"/>
      <c r="C244" s="32"/>
      <c r="D244" s="32"/>
      <c r="E244" s="32"/>
      <c r="J244" s="34"/>
    </row>
    <row r="245" ht="15.75" customHeight="1">
      <c r="A245" s="32"/>
      <c r="B245" s="32"/>
      <c r="C245" s="32"/>
      <c r="D245" s="32"/>
      <c r="E245" s="32"/>
      <c r="J245" s="34"/>
    </row>
    <row r="246" ht="15.75" customHeight="1">
      <c r="A246" s="32"/>
      <c r="B246" s="32"/>
      <c r="C246" s="32"/>
      <c r="D246" s="32"/>
      <c r="E246" s="32"/>
      <c r="J246" s="34"/>
    </row>
    <row r="247" ht="15.75" customHeight="1">
      <c r="A247" s="32"/>
      <c r="B247" s="32"/>
      <c r="C247" s="32"/>
      <c r="D247" s="32"/>
      <c r="E247" s="32"/>
      <c r="J247" s="34"/>
    </row>
    <row r="248" ht="15.75" customHeight="1">
      <c r="A248" s="32"/>
      <c r="B248" s="32"/>
      <c r="C248" s="32"/>
      <c r="D248" s="32"/>
      <c r="E248" s="32"/>
      <c r="J248" s="34"/>
    </row>
    <row r="249" ht="15.75" customHeight="1">
      <c r="A249" s="32"/>
      <c r="B249" s="32"/>
      <c r="C249" s="32"/>
      <c r="D249" s="32"/>
      <c r="E249" s="32"/>
      <c r="J249" s="34"/>
    </row>
    <row r="250" ht="15.75" customHeight="1">
      <c r="A250" s="32"/>
      <c r="B250" s="32"/>
      <c r="C250" s="32"/>
      <c r="D250" s="32"/>
      <c r="E250" s="32"/>
      <c r="J250" s="34"/>
    </row>
    <row r="251" ht="15.75" customHeight="1">
      <c r="A251" s="32"/>
      <c r="B251" s="32"/>
      <c r="C251" s="32"/>
      <c r="D251" s="32"/>
      <c r="E251" s="32"/>
      <c r="J251" s="34"/>
    </row>
    <row r="252" ht="15.75" customHeight="1">
      <c r="A252" s="32"/>
      <c r="B252" s="32"/>
      <c r="C252" s="32"/>
      <c r="D252" s="32"/>
      <c r="E252" s="32"/>
      <c r="J252" s="34"/>
    </row>
    <row r="253" ht="15.75" customHeight="1">
      <c r="A253" s="32"/>
      <c r="B253" s="32"/>
      <c r="C253" s="32"/>
      <c r="D253" s="32"/>
      <c r="E253" s="32"/>
      <c r="J253" s="34"/>
    </row>
    <row r="254" ht="15.75" customHeight="1">
      <c r="A254" s="32"/>
      <c r="B254" s="32"/>
      <c r="C254" s="32"/>
      <c r="D254" s="32"/>
      <c r="E254" s="32"/>
      <c r="J254" s="34"/>
    </row>
    <row r="255" ht="15.75" customHeight="1">
      <c r="A255" s="32"/>
      <c r="B255" s="32"/>
      <c r="C255" s="32"/>
      <c r="D255" s="32"/>
      <c r="E255" s="32"/>
      <c r="J255" s="34"/>
    </row>
    <row r="256" ht="15.75" customHeight="1">
      <c r="A256" s="32"/>
      <c r="B256" s="32"/>
      <c r="C256" s="32"/>
      <c r="D256" s="32"/>
      <c r="E256" s="32"/>
      <c r="J256" s="34"/>
    </row>
    <row r="257" ht="15.75" customHeight="1">
      <c r="A257" s="32"/>
      <c r="B257" s="32"/>
      <c r="C257" s="32"/>
      <c r="D257" s="32"/>
      <c r="E257" s="32"/>
      <c r="J257" s="34"/>
    </row>
    <row r="258" ht="15.75" customHeight="1">
      <c r="A258" s="32"/>
      <c r="B258" s="32"/>
      <c r="C258" s="32"/>
      <c r="D258" s="32"/>
      <c r="E258" s="32"/>
      <c r="J258" s="34"/>
    </row>
    <row r="259" ht="15.75" customHeight="1">
      <c r="A259" s="32"/>
      <c r="B259" s="32"/>
      <c r="C259" s="32"/>
      <c r="D259" s="32"/>
      <c r="E259" s="32"/>
      <c r="J259" s="34"/>
    </row>
    <row r="260" ht="15.75" customHeight="1">
      <c r="A260" s="32"/>
      <c r="B260" s="32"/>
      <c r="C260" s="32"/>
      <c r="D260" s="32"/>
      <c r="E260" s="32"/>
      <c r="J260" s="34"/>
    </row>
    <row r="261" ht="15.75" customHeight="1">
      <c r="A261" s="32"/>
      <c r="B261" s="32"/>
      <c r="C261" s="32"/>
      <c r="D261" s="32"/>
      <c r="E261" s="32"/>
      <c r="J261" s="34"/>
    </row>
    <row r="262" ht="15.75" customHeight="1">
      <c r="A262" s="32"/>
      <c r="B262" s="32"/>
      <c r="C262" s="32"/>
      <c r="D262" s="32"/>
      <c r="E262" s="32"/>
      <c r="J262" s="34"/>
    </row>
    <row r="263" ht="15.75" customHeight="1">
      <c r="A263" s="32"/>
      <c r="B263" s="32"/>
      <c r="C263" s="32"/>
      <c r="D263" s="32"/>
      <c r="E263" s="32"/>
      <c r="J263" s="34"/>
    </row>
    <row r="264" ht="15.75" customHeight="1">
      <c r="A264" s="32"/>
      <c r="B264" s="32"/>
      <c r="C264" s="32"/>
      <c r="D264" s="32"/>
      <c r="E264" s="32"/>
      <c r="J264" s="34"/>
    </row>
    <row r="265" ht="15.75" customHeight="1">
      <c r="A265" s="32"/>
      <c r="B265" s="32"/>
      <c r="C265" s="32"/>
      <c r="D265" s="32"/>
      <c r="E265" s="32"/>
      <c r="J265" s="34"/>
    </row>
    <row r="266" ht="15.75" customHeight="1">
      <c r="A266" s="32"/>
      <c r="B266" s="32"/>
      <c r="C266" s="32"/>
      <c r="D266" s="32"/>
      <c r="E266" s="32"/>
      <c r="J266" s="34"/>
    </row>
    <row r="267" ht="15.75" customHeight="1">
      <c r="A267" s="32"/>
      <c r="B267" s="32"/>
      <c r="C267" s="32"/>
      <c r="D267" s="32"/>
      <c r="E267" s="32"/>
      <c r="J267" s="34"/>
    </row>
    <row r="268" ht="15.75" customHeight="1">
      <c r="A268" s="32"/>
      <c r="B268" s="32"/>
      <c r="C268" s="32"/>
      <c r="D268" s="32"/>
      <c r="E268" s="32"/>
      <c r="J268" s="34"/>
    </row>
    <row r="269" ht="15.75" customHeight="1">
      <c r="A269" s="32"/>
      <c r="B269" s="32"/>
      <c r="C269" s="32"/>
      <c r="D269" s="32"/>
      <c r="E269" s="32"/>
      <c r="J269" s="34"/>
    </row>
    <row r="270" ht="15.75" customHeight="1">
      <c r="A270" s="32"/>
      <c r="B270" s="32"/>
      <c r="C270" s="32"/>
      <c r="D270" s="32"/>
      <c r="E270" s="32"/>
      <c r="J270" s="34"/>
    </row>
    <row r="271" ht="15.75" customHeight="1">
      <c r="A271" s="32"/>
      <c r="B271" s="32"/>
      <c r="C271" s="32"/>
      <c r="D271" s="32"/>
      <c r="E271" s="32"/>
      <c r="J271" s="34"/>
    </row>
    <row r="272" ht="15.75" customHeight="1">
      <c r="A272" s="32"/>
      <c r="B272" s="32"/>
      <c r="C272" s="32"/>
      <c r="D272" s="32"/>
      <c r="E272" s="32"/>
      <c r="J272" s="34"/>
    </row>
    <row r="273" ht="15.75" customHeight="1">
      <c r="A273" s="32"/>
      <c r="B273" s="32"/>
      <c r="C273" s="32"/>
      <c r="D273" s="32"/>
      <c r="E273" s="32"/>
      <c r="J273" s="34"/>
    </row>
    <row r="274" ht="15.75" customHeight="1">
      <c r="A274" s="32"/>
      <c r="B274" s="32"/>
      <c r="C274" s="32"/>
      <c r="D274" s="32"/>
      <c r="E274" s="32"/>
      <c r="J274" s="34"/>
    </row>
    <row r="275" ht="15.75" customHeight="1">
      <c r="A275" s="32"/>
      <c r="B275" s="32"/>
      <c r="C275" s="32"/>
      <c r="D275" s="32"/>
      <c r="E275" s="32"/>
      <c r="J275" s="34"/>
    </row>
    <row r="276" ht="15.75" customHeight="1">
      <c r="A276" s="32"/>
      <c r="B276" s="32"/>
      <c r="C276" s="32"/>
      <c r="D276" s="32"/>
      <c r="E276" s="32"/>
      <c r="J276" s="34"/>
    </row>
    <row r="277" ht="15.75" customHeight="1">
      <c r="A277" s="32"/>
      <c r="B277" s="32"/>
      <c r="C277" s="32"/>
      <c r="D277" s="32"/>
      <c r="E277" s="32"/>
      <c r="J277" s="34"/>
    </row>
    <row r="278" ht="15.75" customHeight="1">
      <c r="A278" s="32"/>
      <c r="B278" s="32"/>
      <c r="C278" s="32"/>
      <c r="D278" s="32"/>
      <c r="E278" s="32"/>
      <c r="J278" s="34"/>
    </row>
    <row r="279" ht="15.75" customHeight="1">
      <c r="A279" s="32"/>
      <c r="B279" s="32"/>
      <c r="C279" s="32"/>
      <c r="D279" s="32"/>
      <c r="E279" s="32"/>
      <c r="J279" s="34"/>
    </row>
    <row r="280" ht="15.75" customHeight="1">
      <c r="A280" s="32"/>
      <c r="B280" s="32"/>
      <c r="C280" s="32"/>
      <c r="D280" s="32"/>
      <c r="E280" s="32"/>
      <c r="J280" s="34"/>
    </row>
    <row r="281" ht="15.75" customHeight="1">
      <c r="A281" s="32"/>
      <c r="B281" s="32"/>
      <c r="C281" s="32"/>
      <c r="D281" s="32"/>
      <c r="E281" s="32"/>
      <c r="J281" s="34"/>
    </row>
    <row r="282" ht="15.75" customHeight="1">
      <c r="A282" s="32"/>
      <c r="B282" s="32"/>
      <c r="C282" s="32"/>
      <c r="D282" s="32"/>
      <c r="E282" s="32"/>
      <c r="J282" s="34"/>
    </row>
    <row r="283" ht="15.75" customHeight="1">
      <c r="A283" s="32"/>
      <c r="B283" s="32"/>
      <c r="C283" s="32"/>
      <c r="D283" s="32"/>
      <c r="E283" s="32"/>
      <c r="J283" s="34"/>
    </row>
    <row r="284" ht="15.75" customHeight="1">
      <c r="A284" s="32"/>
      <c r="B284" s="32"/>
      <c r="C284" s="32"/>
      <c r="D284" s="32"/>
      <c r="E284" s="32"/>
      <c r="J284" s="34"/>
    </row>
    <row r="285" ht="15.75" customHeight="1">
      <c r="A285" s="32"/>
      <c r="B285" s="32"/>
      <c r="C285" s="32"/>
      <c r="D285" s="32"/>
      <c r="E285" s="32"/>
      <c r="J285" s="34"/>
    </row>
    <row r="286" ht="15.75" customHeight="1">
      <c r="A286" s="32"/>
      <c r="B286" s="32"/>
      <c r="C286" s="32"/>
      <c r="D286" s="32"/>
      <c r="E286" s="32"/>
      <c r="J286" s="34"/>
    </row>
    <row r="287" ht="15.75" customHeight="1">
      <c r="A287" s="32"/>
      <c r="B287" s="32"/>
      <c r="C287" s="32"/>
      <c r="D287" s="32"/>
      <c r="E287" s="32"/>
      <c r="J287" s="34"/>
    </row>
    <row r="288" ht="15.75" customHeight="1">
      <c r="A288" s="32"/>
      <c r="B288" s="32"/>
      <c r="C288" s="32"/>
      <c r="D288" s="32"/>
      <c r="E288" s="32"/>
      <c r="J288" s="34"/>
    </row>
    <row r="289" ht="15.75" customHeight="1">
      <c r="A289" s="32"/>
      <c r="B289" s="32"/>
      <c r="C289" s="32"/>
      <c r="D289" s="32"/>
      <c r="E289" s="32"/>
      <c r="J289" s="34"/>
    </row>
    <row r="290" ht="15.75" customHeight="1">
      <c r="A290" s="32"/>
      <c r="B290" s="32"/>
      <c r="C290" s="32"/>
      <c r="D290" s="32"/>
      <c r="E290" s="32"/>
      <c r="J290" s="34"/>
    </row>
    <row r="291" ht="15.75" customHeight="1">
      <c r="A291" s="32"/>
      <c r="B291" s="32"/>
      <c r="C291" s="32"/>
      <c r="D291" s="32"/>
      <c r="E291" s="32"/>
      <c r="J291" s="34"/>
    </row>
    <row r="292" ht="15.75" customHeight="1">
      <c r="A292" s="32"/>
      <c r="B292" s="32"/>
      <c r="C292" s="32"/>
      <c r="D292" s="32"/>
      <c r="E292" s="32"/>
      <c r="J292" s="34"/>
    </row>
    <row r="293" ht="15.75" customHeight="1">
      <c r="A293" s="32"/>
      <c r="B293" s="32"/>
      <c r="C293" s="32"/>
      <c r="D293" s="32"/>
      <c r="E293" s="32"/>
      <c r="J293" s="34"/>
    </row>
    <row r="294" ht="15.75" customHeight="1">
      <c r="A294" s="32"/>
      <c r="B294" s="32"/>
      <c r="C294" s="32"/>
      <c r="D294" s="32"/>
      <c r="E294" s="32"/>
      <c r="J294" s="34"/>
    </row>
    <row r="295" ht="15.75" customHeight="1">
      <c r="A295" s="32"/>
      <c r="B295" s="32"/>
      <c r="C295" s="32"/>
      <c r="D295" s="32"/>
      <c r="E295" s="32"/>
      <c r="J295" s="34"/>
    </row>
    <row r="296" ht="15.75" customHeight="1">
      <c r="A296" s="32"/>
      <c r="B296" s="32"/>
      <c r="C296" s="32"/>
      <c r="D296" s="32"/>
      <c r="E296" s="32"/>
      <c r="J296" s="34"/>
    </row>
    <row r="297" ht="15.75" customHeight="1">
      <c r="A297" s="32"/>
      <c r="B297" s="32"/>
      <c r="C297" s="32"/>
      <c r="D297" s="32"/>
      <c r="E297" s="32"/>
      <c r="J297" s="34"/>
    </row>
    <row r="298" ht="15.75" customHeight="1">
      <c r="A298" s="32"/>
      <c r="B298" s="32"/>
      <c r="C298" s="32"/>
      <c r="D298" s="32"/>
      <c r="E298" s="32"/>
      <c r="J298" s="34"/>
    </row>
    <row r="299" ht="15.75" customHeight="1">
      <c r="A299" s="32"/>
      <c r="B299" s="32"/>
      <c r="C299" s="32"/>
      <c r="D299" s="32"/>
      <c r="E299" s="32"/>
      <c r="J299" s="34"/>
    </row>
    <row r="300" ht="15.75" customHeight="1">
      <c r="A300" s="32"/>
      <c r="B300" s="32"/>
      <c r="C300" s="32"/>
      <c r="D300" s="32"/>
      <c r="E300" s="32"/>
      <c r="J300" s="34"/>
    </row>
    <row r="301" ht="15.75" customHeight="1">
      <c r="A301" s="32"/>
      <c r="B301" s="32"/>
      <c r="C301" s="32"/>
      <c r="D301" s="32"/>
      <c r="E301" s="32"/>
      <c r="J301" s="34"/>
    </row>
    <row r="302" ht="15.75" customHeight="1">
      <c r="A302" s="32"/>
      <c r="B302" s="32"/>
      <c r="C302" s="32"/>
      <c r="D302" s="32"/>
      <c r="E302" s="32"/>
      <c r="J302" s="34"/>
    </row>
    <row r="303" ht="15.75" customHeight="1">
      <c r="A303" s="32"/>
      <c r="B303" s="32"/>
      <c r="C303" s="32"/>
      <c r="D303" s="32"/>
      <c r="E303" s="32"/>
      <c r="J303" s="34"/>
    </row>
    <row r="304" ht="15.75" customHeight="1">
      <c r="A304" s="32"/>
      <c r="B304" s="32"/>
      <c r="C304" s="32"/>
      <c r="D304" s="32"/>
      <c r="E304" s="32"/>
      <c r="J304" s="34"/>
    </row>
    <row r="305" ht="15.75" customHeight="1">
      <c r="A305" s="32"/>
      <c r="B305" s="32"/>
      <c r="C305" s="32"/>
      <c r="D305" s="32"/>
      <c r="E305" s="32"/>
      <c r="J305" s="34"/>
    </row>
    <row r="306" ht="15.75" customHeight="1">
      <c r="A306" s="32"/>
      <c r="B306" s="32"/>
      <c r="C306" s="32"/>
      <c r="D306" s="32"/>
      <c r="E306" s="32"/>
      <c r="J306" s="34"/>
    </row>
    <row r="307" ht="15.75" customHeight="1">
      <c r="A307" s="32"/>
      <c r="B307" s="32"/>
      <c r="C307" s="32"/>
      <c r="D307" s="32"/>
      <c r="E307" s="32"/>
      <c r="J307" s="34"/>
    </row>
    <row r="308" ht="15.75" customHeight="1">
      <c r="A308" s="32"/>
      <c r="B308" s="32"/>
      <c r="C308" s="32"/>
      <c r="D308" s="32"/>
      <c r="E308" s="32"/>
      <c r="J308" s="34"/>
    </row>
    <row r="309" ht="15.75" customHeight="1">
      <c r="A309" s="32"/>
      <c r="B309" s="32"/>
      <c r="C309" s="32"/>
      <c r="D309" s="32"/>
      <c r="E309" s="32"/>
      <c r="J309" s="34"/>
    </row>
    <row r="310" ht="15.75" customHeight="1">
      <c r="A310" s="32"/>
      <c r="B310" s="32"/>
      <c r="C310" s="32"/>
      <c r="D310" s="32"/>
      <c r="E310" s="32"/>
      <c r="J310" s="34"/>
    </row>
    <row r="311" ht="15.75" customHeight="1">
      <c r="A311" s="32"/>
      <c r="B311" s="32"/>
      <c r="C311" s="32"/>
      <c r="D311" s="32"/>
      <c r="E311" s="32"/>
      <c r="J311" s="34"/>
    </row>
    <row r="312" ht="15.75" customHeight="1">
      <c r="A312" s="32"/>
      <c r="B312" s="32"/>
      <c r="C312" s="32"/>
      <c r="D312" s="32"/>
      <c r="E312" s="32"/>
      <c r="J312" s="34"/>
    </row>
    <row r="313" ht="15.75" customHeight="1">
      <c r="A313" s="32"/>
      <c r="B313" s="32"/>
      <c r="C313" s="32"/>
      <c r="D313" s="32"/>
      <c r="E313" s="32"/>
      <c r="J313" s="34"/>
    </row>
    <row r="314" ht="15.75" customHeight="1">
      <c r="A314" s="32"/>
      <c r="B314" s="32"/>
      <c r="C314" s="32"/>
      <c r="D314" s="32"/>
      <c r="E314" s="32"/>
      <c r="J314" s="34"/>
    </row>
    <row r="315" ht="15.75" customHeight="1">
      <c r="A315" s="32"/>
      <c r="B315" s="32"/>
      <c r="C315" s="32"/>
      <c r="D315" s="32"/>
      <c r="E315" s="32"/>
      <c r="J315" s="34"/>
    </row>
    <row r="316" ht="15.75" customHeight="1">
      <c r="A316" s="32"/>
      <c r="B316" s="32"/>
      <c r="C316" s="32"/>
      <c r="D316" s="32"/>
      <c r="E316" s="32"/>
      <c r="J316" s="34"/>
    </row>
    <row r="317" ht="15.75" customHeight="1">
      <c r="A317" s="32"/>
      <c r="B317" s="32"/>
      <c r="C317" s="32"/>
      <c r="D317" s="32"/>
      <c r="E317" s="32"/>
      <c r="J317" s="34"/>
    </row>
    <row r="318" ht="15.75" customHeight="1">
      <c r="A318" s="32"/>
      <c r="B318" s="32"/>
      <c r="C318" s="32"/>
      <c r="D318" s="32"/>
      <c r="E318" s="32"/>
      <c r="J318" s="34"/>
    </row>
    <row r="319" ht="15.75" customHeight="1">
      <c r="A319" s="32"/>
      <c r="B319" s="32"/>
      <c r="C319" s="32"/>
      <c r="D319" s="32"/>
      <c r="E319" s="32"/>
      <c r="J319" s="34"/>
    </row>
    <row r="320" ht="15.75" customHeight="1">
      <c r="A320" s="32"/>
      <c r="B320" s="32"/>
      <c r="C320" s="32"/>
      <c r="D320" s="32"/>
      <c r="E320" s="32"/>
      <c r="J320" s="34"/>
    </row>
    <row r="321" ht="15.75" customHeight="1">
      <c r="A321" s="32"/>
      <c r="B321" s="32"/>
      <c r="C321" s="32"/>
      <c r="D321" s="32"/>
      <c r="E321" s="32"/>
      <c r="J321" s="34"/>
    </row>
    <row r="322" ht="15.75" customHeight="1">
      <c r="A322" s="32"/>
      <c r="B322" s="32"/>
      <c r="C322" s="32"/>
      <c r="D322" s="32"/>
      <c r="E322" s="32"/>
      <c r="J322" s="34"/>
    </row>
    <row r="323" ht="15.75" customHeight="1">
      <c r="A323" s="32"/>
      <c r="B323" s="32"/>
      <c r="C323" s="32"/>
      <c r="D323" s="32"/>
      <c r="E323" s="32"/>
      <c r="J323" s="34"/>
    </row>
    <row r="324" ht="15.75" customHeight="1">
      <c r="A324" s="32"/>
      <c r="B324" s="32"/>
      <c r="C324" s="32"/>
      <c r="D324" s="32"/>
      <c r="E324" s="32"/>
      <c r="J324" s="34"/>
    </row>
    <row r="325" ht="15.75" customHeight="1">
      <c r="A325" s="32"/>
      <c r="B325" s="32"/>
      <c r="C325" s="32"/>
      <c r="D325" s="32"/>
      <c r="E325" s="32"/>
      <c r="J325" s="34"/>
    </row>
    <row r="326" ht="15.75" customHeight="1">
      <c r="A326" s="32"/>
      <c r="B326" s="32"/>
      <c r="C326" s="32"/>
      <c r="D326" s="32"/>
      <c r="E326" s="32"/>
      <c r="J326" s="34"/>
    </row>
    <row r="327" ht="15.75" customHeight="1">
      <c r="A327" s="32"/>
      <c r="B327" s="32"/>
      <c r="C327" s="32"/>
      <c r="D327" s="32"/>
      <c r="E327" s="32"/>
      <c r="J327" s="34"/>
    </row>
    <row r="328" ht="15.75" customHeight="1">
      <c r="A328" s="32"/>
      <c r="B328" s="32"/>
      <c r="C328" s="32"/>
      <c r="D328" s="32"/>
      <c r="E328" s="32"/>
      <c r="J328" s="34"/>
    </row>
    <row r="329" ht="15.75" customHeight="1">
      <c r="A329" s="32"/>
      <c r="B329" s="32"/>
      <c r="C329" s="32"/>
      <c r="D329" s="32"/>
      <c r="E329" s="32"/>
      <c r="J329" s="34"/>
    </row>
    <row r="330" ht="15.75" customHeight="1">
      <c r="A330" s="32"/>
      <c r="B330" s="32"/>
      <c r="C330" s="32"/>
      <c r="D330" s="32"/>
      <c r="E330" s="32"/>
      <c r="J330" s="34"/>
    </row>
    <row r="331" ht="15.75" customHeight="1">
      <c r="A331" s="32"/>
      <c r="B331" s="32"/>
      <c r="C331" s="32"/>
      <c r="D331" s="32"/>
      <c r="E331" s="32"/>
      <c r="J331" s="34"/>
    </row>
    <row r="332" ht="15.75" customHeight="1">
      <c r="A332" s="32"/>
      <c r="B332" s="32"/>
      <c r="C332" s="32"/>
      <c r="D332" s="32"/>
      <c r="E332" s="32"/>
      <c r="J332" s="34"/>
    </row>
    <row r="333" ht="15.75" customHeight="1">
      <c r="A333" s="32"/>
      <c r="B333" s="32"/>
      <c r="C333" s="32"/>
      <c r="D333" s="32"/>
      <c r="E333" s="32"/>
      <c r="J333" s="34"/>
    </row>
    <row r="334" ht="15.75" customHeight="1">
      <c r="A334" s="32"/>
      <c r="B334" s="32"/>
      <c r="C334" s="32"/>
      <c r="D334" s="32"/>
      <c r="E334" s="32"/>
      <c r="J334" s="34"/>
    </row>
    <row r="335" ht="15.75" customHeight="1">
      <c r="A335" s="32"/>
      <c r="B335" s="32"/>
      <c r="C335" s="32"/>
      <c r="D335" s="32"/>
      <c r="E335" s="32"/>
      <c r="J335" s="34"/>
    </row>
    <row r="336" ht="15.75" customHeight="1">
      <c r="A336" s="32"/>
      <c r="B336" s="32"/>
      <c r="C336" s="32"/>
      <c r="D336" s="32"/>
      <c r="E336" s="32"/>
      <c r="J336" s="34"/>
    </row>
    <row r="337" ht="15.75" customHeight="1">
      <c r="A337" s="32"/>
      <c r="B337" s="32"/>
      <c r="C337" s="32"/>
      <c r="D337" s="32"/>
      <c r="E337" s="32"/>
      <c r="J337" s="34"/>
    </row>
    <row r="338" ht="15.75" customHeight="1">
      <c r="A338" s="32"/>
      <c r="B338" s="32"/>
      <c r="C338" s="32"/>
      <c r="D338" s="32"/>
      <c r="E338" s="32"/>
      <c r="J338" s="34"/>
    </row>
    <row r="339" ht="15.75" customHeight="1">
      <c r="A339" s="32"/>
      <c r="B339" s="32"/>
      <c r="C339" s="32"/>
      <c r="D339" s="32"/>
      <c r="E339" s="32"/>
      <c r="J339" s="34"/>
    </row>
    <row r="340" ht="15.75" customHeight="1">
      <c r="A340" s="32"/>
      <c r="B340" s="32"/>
      <c r="C340" s="32"/>
      <c r="D340" s="32"/>
      <c r="E340" s="32"/>
      <c r="J340" s="34"/>
    </row>
    <row r="341" ht="15.75" customHeight="1">
      <c r="A341" s="32"/>
      <c r="B341" s="32"/>
      <c r="C341" s="32"/>
      <c r="D341" s="32"/>
      <c r="E341" s="32"/>
      <c r="J341" s="34"/>
    </row>
    <row r="342" ht="15.75" customHeight="1">
      <c r="A342" s="32"/>
      <c r="B342" s="32"/>
      <c r="C342" s="32"/>
      <c r="D342" s="32"/>
      <c r="E342" s="32"/>
      <c r="J342" s="34"/>
    </row>
    <row r="343" ht="15.75" customHeight="1">
      <c r="A343" s="32"/>
      <c r="B343" s="32"/>
      <c r="C343" s="32"/>
      <c r="D343" s="32"/>
      <c r="E343" s="32"/>
      <c r="J343" s="34"/>
    </row>
    <row r="344" ht="15.75" customHeight="1">
      <c r="A344" s="32"/>
      <c r="B344" s="32"/>
      <c r="C344" s="32"/>
      <c r="D344" s="32"/>
      <c r="E344" s="32"/>
      <c r="J344" s="34"/>
    </row>
    <row r="345" ht="15.75" customHeight="1">
      <c r="A345" s="32"/>
      <c r="B345" s="32"/>
      <c r="C345" s="32"/>
      <c r="D345" s="32"/>
      <c r="E345" s="32"/>
      <c r="J345" s="34"/>
    </row>
    <row r="346" ht="15.75" customHeight="1">
      <c r="J346" s="34"/>
    </row>
    <row r="347" ht="15.75" customHeight="1">
      <c r="J347" s="34"/>
    </row>
    <row r="348" ht="15.75" customHeight="1">
      <c r="J348" s="34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J5:J31"/>
    <mergeCell ref="J32:J58"/>
    <mergeCell ref="J59:J85"/>
    <mergeCell ref="J86:J112"/>
    <mergeCell ref="J113:J139"/>
    <mergeCell ref="J140:J166"/>
    <mergeCell ref="J167:J193"/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I194"/>
    <mergeCell ref="D59:D85"/>
    <mergeCell ref="E59:E85"/>
    <mergeCell ref="D86:D112"/>
    <mergeCell ref="E86:E112"/>
    <mergeCell ref="D113:D139"/>
    <mergeCell ref="E113:E139"/>
    <mergeCell ref="E140:E166"/>
    <mergeCell ref="E167:E19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72</v>
      </c>
      <c r="F5" s="55" t="s">
        <v>22</v>
      </c>
      <c r="G5" s="56"/>
      <c r="H5" s="57">
        <f>VLOOKUP(F5,$A$4:$B$4,2,TRUE)</f>
        <v>4000</v>
      </c>
      <c r="I5" s="58">
        <f t="shared" ref="I5:I166" si="1">G5*H5</f>
        <v>0</v>
      </c>
      <c r="J5" s="59">
        <f>SUM(I5:I31)</f>
        <v>16250</v>
      </c>
      <c r="K5" s="33"/>
      <c r="L5" s="55" t="s">
        <v>22</v>
      </c>
      <c r="M5" s="51">
        <f>SUMIF(F5:F166,"Gelas bersih",G5:G166)</f>
        <v>2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/>
      <c r="H6" s="61">
        <f>VLOOKUP(F6,$A$5:$B$5,2,TRUE)</f>
        <v>3000</v>
      </c>
      <c r="I6" s="58">
        <f t="shared" si="1"/>
        <v>0</v>
      </c>
      <c r="J6" s="60"/>
      <c r="K6" s="33"/>
      <c r="L6" s="55" t="s">
        <v>57</v>
      </c>
      <c r="M6" s="51">
        <f>SUMIF(F6:F167,"Botol bersih",G6:G167)</f>
        <v>6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SUMIF(F7:F167,"Botol Warna",G7:G167)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SUMIF(F8:F168,"Tutup botol",G8:G168)</f>
        <v>2.5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>
        <v>1.0</v>
      </c>
      <c r="H9" s="61">
        <f>VLOOKUP(F9,$A$8:$B$8,2,TRUE)</f>
        <v>3500</v>
      </c>
      <c r="I9" s="58">
        <f t="shared" si="1"/>
        <v>3500</v>
      </c>
      <c r="J9" s="60"/>
      <c r="K9" s="33"/>
      <c r="L9" s="55" t="s">
        <v>26</v>
      </c>
      <c r="M9" s="51">
        <f>SUMIF(F9:F169,"Tutup galon",G9:G169)</f>
        <v>3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3.0</v>
      </c>
      <c r="H10" s="61">
        <f>VLOOKUP(F10,$A$9:$B$9,2,TRUE)</f>
        <v>1000</v>
      </c>
      <c r="I10" s="58">
        <f t="shared" si="1"/>
        <v>3000</v>
      </c>
      <c r="J10" s="60"/>
      <c r="K10" s="33"/>
      <c r="L10" s="55" t="s">
        <v>27</v>
      </c>
      <c r="M10" s="51">
        <f>SUMIF(F10:F170,"Hitam",G10:G170)</f>
        <v>17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SUMIF(F11:F171,"Plastik Campur",G11:G171)</f>
        <v>8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SUMIF(F12:F172,"Kardus",G12:G172)</f>
        <v>17.5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>
        <f>2.5+5</f>
        <v>7.5</v>
      </c>
      <c r="H13" s="61">
        <f>VLOOKUP(F13,$A$12:$B$12,2,TRUE)</f>
        <v>1300</v>
      </c>
      <c r="I13" s="58">
        <f t="shared" si="1"/>
        <v>9750</v>
      </c>
      <c r="J13" s="60"/>
      <c r="K13" s="33"/>
      <c r="L13" s="55" t="s">
        <v>30</v>
      </c>
      <c r="M13" s="51">
        <f>SUMIF(F13:F173,"Kertas Putihan/ HVS",G13:G173)</f>
        <v>8.5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SUMIF(F14:F174,"Koran/Buku",G14:G174)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SUMIF(F15:F175,"Duplex",G15:G175)</f>
        <v>18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SUMIF(F16:F176,"Alumunium",G16:G176)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SUMIF(F17:F177,"Besi",G17:G177)</f>
        <v>2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SUMIF(F18:F178,"Kaleng kue/susu",G18:G178)</f>
        <v>4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SUMIF(F19:F179,"Kaleng Minuman",G19:G179)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SUMIF(F20:F180,"Stanless",G20:G180)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SUMIF(F21:F181,"Tembaga",G21:G181)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SUMIF(F22:F182,"Aki Motor",G22:G182)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SUMIF(F23:F183,"Paralon",G23:G183)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SUMIF(F24:F184,"Plastik bening",G24:G184)</f>
        <v>5.5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SUMIF(F25:F185,"Plastik Warna",G25:G185)</f>
        <v>3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SUMIF(F26:F186,"Selang",G26:G186)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SUMIF(F27:F187,"Beling",G27:G187)</f>
        <v>18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SUMIF(F28:F188,"Pecahan",G28:G188)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SUMIF(F29:F190,"Paku",G29:G190)</f>
        <v>0</v>
      </c>
      <c r="N29" s="33"/>
    </row>
    <row r="30" ht="15.75" customHeight="1">
      <c r="A30" s="44" t="s">
        <v>59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SUMIF(F30:F191,"Minyak Jelantah",G30:G191)</f>
        <v>2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1.0</v>
      </c>
      <c r="H31" s="61">
        <v>0.0</v>
      </c>
      <c r="I31" s="58">
        <f t="shared" si="1"/>
        <v>0</v>
      </c>
      <c r="J31" s="18"/>
      <c r="K31" s="33"/>
      <c r="L31" s="55" t="s">
        <v>59</v>
      </c>
      <c r="M31" s="51">
        <f>SUMIF(F31:F192,"Lainnya",G31:G192)</f>
        <v>5</v>
      </c>
      <c r="N31" s="33"/>
    </row>
    <row r="32" ht="15.75" customHeight="1">
      <c r="A32" s="52"/>
      <c r="B32" s="52"/>
      <c r="C32" s="52"/>
      <c r="D32" s="53">
        <v>2.0</v>
      </c>
      <c r="E32" s="65" t="s">
        <v>73</v>
      </c>
      <c r="F32" s="55" t="s">
        <v>22</v>
      </c>
      <c r="G32" s="56">
        <v>0.5</v>
      </c>
      <c r="H32" s="57">
        <f>VLOOKUP(F32,$A$4:$B$4,2,TRUE)</f>
        <v>4000</v>
      </c>
      <c r="I32" s="58">
        <f t="shared" si="1"/>
        <v>2000</v>
      </c>
      <c r="J32" s="59">
        <f>SUM(I32:I58)</f>
        <v>25950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>
        <v>1.0</v>
      </c>
      <c r="H33" s="61">
        <f>VLOOKUP(F33,$A$5:$B$5,2,TRUE)</f>
        <v>3000</v>
      </c>
      <c r="I33" s="58">
        <f t="shared" si="1"/>
        <v>3000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>
        <v>1.0</v>
      </c>
      <c r="H35" s="61">
        <f>VLOOKUP(F35,$A$7:$B$7,2,TRUE)</f>
        <v>2800</v>
      </c>
      <c r="I35" s="58">
        <f t="shared" si="1"/>
        <v>2800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>
        <v>0.5</v>
      </c>
      <c r="H36" s="61">
        <f>VLOOKUP(F36,$A$8:$B$8,2,TRUE)</f>
        <v>3500</v>
      </c>
      <c r="I36" s="58">
        <f t="shared" si="1"/>
        <v>1750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2.0</v>
      </c>
      <c r="H37" s="61">
        <f>VLOOKUP(F37,$A$9:$B$9,2,TRUE)</f>
        <v>1000</v>
      </c>
      <c r="I37" s="58">
        <f t="shared" si="1"/>
        <v>2000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1">
        <f>VLOOKUP(F38,$A$10:$B$10,2,TRUE)</f>
        <v>2000</v>
      </c>
      <c r="I38" s="58">
        <f t="shared" si="1"/>
        <v>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>
        <v>4.0</v>
      </c>
      <c r="H39" s="61">
        <f>VLOOKUP(F39,$A$11:$B$11,2,TRUE)</f>
        <v>1500</v>
      </c>
      <c r="I39" s="58">
        <f t="shared" si="1"/>
        <v>6000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>
        <f>6+2+3</f>
        <v>11</v>
      </c>
      <c r="H42" s="61">
        <f>VLOOKUP(F42,$A$14:$B$14,2,TRUE)</f>
        <v>500</v>
      </c>
      <c r="I42" s="58">
        <f t="shared" si="1"/>
        <v>5500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>
        <v>1.5</v>
      </c>
      <c r="H45" s="61">
        <f>VLOOKUP(F45,$A$17:$B$17,2,TRUE)</f>
        <v>1000</v>
      </c>
      <c r="I45" s="58">
        <f t="shared" si="1"/>
        <v>1500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>
        <v>1.0</v>
      </c>
      <c r="H51" s="61">
        <f>VLOOKUP(F51,$A$23:$B$23,2,TRUE)</f>
        <v>500</v>
      </c>
      <c r="I51" s="58">
        <f t="shared" si="1"/>
        <v>500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>
        <v>3.0</v>
      </c>
      <c r="H54" s="61">
        <f>VLOOKUP(F54,$A$26:$B$26,2,TRUE)</f>
        <v>300</v>
      </c>
      <c r="I54" s="58">
        <f t="shared" si="1"/>
        <v>900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>
        <v>1.0</v>
      </c>
      <c r="H58" s="61">
        <v>0.0</v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74</v>
      </c>
      <c r="F59" s="55" t="s">
        <v>22</v>
      </c>
      <c r="G59" s="56">
        <v>0.5</v>
      </c>
      <c r="H59" s="57">
        <f>VLOOKUP(F59,$A$4:$B$4,2,TRUE)</f>
        <v>4000</v>
      </c>
      <c r="I59" s="58">
        <f t="shared" si="1"/>
        <v>2000</v>
      </c>
      <c r="J59" s="59">
        <f>SUM(I59:I85)</f>
        <v>11550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/>
      <c r="H60" s="61">
        <f>VLOOKUP(F60,$A$5:$B$5,2,TRUE)</f>
        <v>3000</v>
      </c>
      <c r="I60" s="58">
        <f t="shared" si="1"/>
        <v>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>
        <v>0.5</v>
      </c>
      <c r="H63" s="61">
        <f>VLOOKUP(F63,$A$8:$B$8,2,TRUE)</f>
        <v>3500</v>
      </c>
      <c r="I63" s="58">
        <f t="shared" si="1"/>
        <v>1750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v>0.5</v>
      </c>
      <c r="H64" s="61">
        <f>VLOOKUP(F64,$A$9:$B$9,2,TRUE)</f>
        <v>1000</v>
      </c>
      <c r="I64" s="58">
        <f t="shared" si="1"/>
        <v>500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1">
        <f>VLOOKUP(F65,$A$10:$B$10,2,TRUE)</f>
        <v>2000</v>
      </c>
      <c r="I65" s="58">
        <f t="shared" si="1"/>
        <v>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3.5</v>
      </c>
      <c r="H66" s="61">
        <f>VLOOKUP(F66,$A$11:$B$11,2,TRUE)</f>
        <v>1500</v>
      </c>
      <c r="I66" s="58">
        <f t="shared" si="1"/>
        <v>5250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>
        <v>1.0</v>
      </c>
      <c r="H67" s="61">
        <f>VLOOKUP(F67,$A$12:$B$12,2,TRUE)</f>
        <v>1300</v>
      </c>
      <c r="I67" s="58">
        <f t="shared" si="1"/>
        <v>1300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>
        <v>0.5</v>
      </c>
      <c r="H69" s="61">
        <f>VLOOKUP(F69,$A$14:$B$14,2,TRUE)</f>
        <v>500</v>
      </c>
      <c r="I69" s="58">
        <f t="shared" si="1"/>
        <v>250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>
        <v>0.5</v>
      </c>
      <c r="H72" s="61">
        <f>VLOOKUP(F72,$A$17:$B$17,2,TRUE)</f>
        <v>1000</v>
      </c>
      <c r="I72" s="58">
        <f t="shared" si="1"/>
        <v>500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/>
      <c r="H84" s="61">
        <f>VLOOKUP(F83,$A$29:$B$29,2,TRUE)</f>
        <v>4000</v>
      </c>
      <c r="I84" s="58">
        <f t="shared" si="1"/>
        <v>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/>
      <c r="H85" s="61">
        <f>VLOOKUP(F84,$A$30:$B$30,2,TRUE)</f>
        <v>500</v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53">
        <v>4.0</v>
      </c>
      <c r="E86" s="65" t="s">
        <v>75</v>
      </c>
      <c r="F86" s="55" t="s">
        <v>22</v>
      </c>
      <c r="G86" s="56"/>
      <c r="H86" s="57">
        <f>VLOOKUP(F86,$A$4:$B$4,2,TRUE)</f>
        <v>4000</v>
      </c>
      <c r="I86" s="58">
        <f t="shared" si="1"/>
        <v>0</v>
      </c>
      <c r="J86" s="59">
        <f>SUM(I86:I112)</f>
        <v>32050</v>
      </c>
      <c r="K86" s="33"/>
      <c r="L86" s="33"/>
      <c r="M86" s="33"/>
      <c r="N86" s="33"/>
    </row>
    <row r="87" ht="15.75" customHeight="1">
      <c r="A87" s="52"/>
      <c r="B87" s="52"/>
      <c r="C87" s="52"/>
      <c r="D87" s="60"/>
      <c r="E87" s="60"/>
      <c r="F87" s="55" t="s">
        <v>57</v>
      </c>
      <c r="G87" s="56">
        <v>3.0</v>
      </c>
      <c r="H87" s="61">
        <f>VLOOKUP(F87,$A$5:$B$5,2,TRUE)</f>
        <v>3000</v>
      </c>
      <c r="I87" s="58">
        <f t="shared" si="1"/>
        <v>9000</v>
      </c>
      <c r="J87" s="60"/>
      <c r="K87" s="33"/>
      <c r="L87" s="33"/>
      <c r="M87" s="33"/>
      <c r="N87" s="33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1">
        <f>VLOOKUP(F88,$A$6:$B$6,2,TRUE)</f>
        <v>1000</v>
      </c>
      <c r="I88" s="58">
        <f t="shared" si="1"/>
        <v>0</v>
      </c>
      <c r="J88" s="60"/>
      <c r="K88" s="33"/>
      <c r="L88" s="33"/>
      <c r="M88" s="33"/>
      <c r="N88" s="33"/>
    </row>
    <row r="89" ht="15.75" customHeight="1">
      <c r="A89" s="52"/>
      <c r="B89" s="52"/>
      <c r="C89" s="52"/>
      <c r="D89" s="60"/>
      <c r="E89" s="60"/>
      <c r="F89" s="55" t="s">
        <v>25</v>
      </c>
      <c r="G89" s="56">
        <v>1.0</v>
      </c>
      <c r="H89" s="61">
        <f>VLOOKUP(F89,$A$7:$B$7,2,TRUE)</f>
        <v>2800</v>
      </c>
      <c r="I89" s="58">
        <f t="shared" si="1"/>
        <v>2800</v>
      </c>
      <c r="J89" s="60"/>
      <c r="K89" s="33"/>
      <c r="L89" s="33"/>
      <c r="M89" s="33"/>
      <c r="N89" s="33"/>
    </row>
    <row r="90" ht="15.75" customHeight="1">
      <c r="A90" s="52"/>
      <c r="B90" s="52"/>
      <c r="C90" s="52"/>
      <c r="D90" s="60"/>
      <c r="E90" s="60"/>
      <c r="F90" s="55" t="s">
        <v>26</v>
      </c>
      <c r="G90" s="56"/>
      <c r="H90" s="61">
        <f>VLOOKUP(F90,$A$8:$B$8,2,TRUE)</f>
        <v>3500</v>
      </c>
      <c r="I90" s="58">
        <f t="shared" si="1"/>
        <v>0</v>
      </c>
      <c r="J90" s="60"/>
      <c r="K90" s="33"/>
      <c r="L90" s="33"/>
      <c r="M90" s="33"/>
      <c r="N90" s="33"/>
    </row>
    <row r="91" ht="15.75" customHeight="1">
      <c r="A91" s="52"/>
      <c r="B91" s="52"/>
      <c r="C91" s="52"/>
      <c r="D91" s="60"/>
      <c r="E91" s="60"/>
      <c r="F91" s="55" t="s">
        <v>27</v>
      </c>
      <c r="G91" s="56">
        <v>3.5</v>
      </c>
      <c r="H91" s="61">
        <f>VLOOKUP(F91,$A$9:$B$9,2,TRUE)</f>
        <v>1000</v>
      </c>
      <c r="I91" s="58">
        <f t="shared" si="1"/>
        <v>3500</v>
      </c>
      <c r="J91" s="60"/>
      <c r="K91" s="33"/>
      <c r="L91" s="33"/>
      <c r="M91" s="33"/>
      <c r="N91" s="33"/>
    </row>
    <row r="92" ht="15.75" customHeight="1">
      <c r="A92" s="52"/>
      <c r="B92" s="52"/>
      <c r="C92" s="52"/>
      <c r="D92" s="60"/>
      <c r="E92" s="60"/>
      <c r="F92" s="55" t="s">
        <v>28</v>
      </c>
      <c r="G92" s="56"/>
      <c r="H92" s="61">
        <f>VLOOKUP(F92,$A$10:$B$10,2,TRUE)</f>
        <v>2000</v>
      </c>
      <c r="I92" s="58">
        <f t="shared" si="1"/>
        <v>0</v>
      </c>
      <c r="J92" s="60"/>
      <c r="K92" s="33"/>
      <c r="L92" s="33"/>
      <c r="M92" s="33"/>
      <c r="N92" s="33"/>
    </row>
    <row r="93" ht="15.75" customHeight="1">
      <c r="A93" s="52"/>
      <c r="B93" s="52"/>
      <c r="C93" s="52"/>
      <c r="D93" s="60"/>
      <c r="E93" s="60"/>
      <c r="F93" s="55" t="s">
        <v>29</v>
      </c>
      <c r="G93" s="56">
        <v>3.0</v>
      </c>
      <c r="H93" s="61">
        <f>VLOOKUP(F93,$A$11:$B$11,2,TRUE)</f>
        <v>1500</v>
      </c>
      <c r="I93" s="58">
        <f t="shared" si="1"/>
        <v>4500</v>
      </c>
      <c r="J93" s="60"/>
      <c r="K93" s="33"/>
      <c r="L93" s="33"/>
      <c r="M93" s="33"/>
      <c r="N93" s="33"/>
    </row>
    <row r="94" ht="15.75" customHeight="1">
      <c r="A94" s="52"/>
      <c r="B94" s="52"/>
      <c r="C94" s="52"/>
      <c r="D94" s="60"/>
      <c r="E94" s="60"/>
      <c r="F94" s="55" t="s">
        <v>30</v>
      </c>
      <c r="G94" s="56"/>
      <c r="H94" s="61">
        <f>VLOOKUP(F94,$A$12:$B$12,2,TRUE)</f>
        <v>1300</v>
      </c>
      <c r="I94" s="58">
        <f t="shared" si="1"/>
        <v>0</v>
      </c>
      <c r="J94" s="60"/>
      <c r="K94" s="33"/>
      <c r="L94" s="33"/>
      <c r="M94" s="33"/>
      <c r="N94" s="33"/>
    </row>
    <row r="95" ht="15.75" customHeight="1">
      <c r="A95" s="52"/>
      <c r="B95" s="52"/>
      <c r="C95" s="52"/>
      <c r="D95" s="60"/>
      <c r="E95" s="60"/>
      <c r="F95" s="55" t="s">
        <v>31</v>
      </c>
      <c r="G95" s="56"/>
      <c r="H95" s="61">
        <f>VLOOKUP(F95,$A$13:$B$13,2,TRUE)</f>
        <v>1000</v>
      </c>
      <c r="I95" s="58">
        <f t="shared" si="1"/>
        <v>0</v>
      </c>
      <c r="J95" s="60"/>
      <c r="K95" s="33"/>
      <c r="L95" s="33"/>
      <c r="M95" s="33"/>
      <c r="N95" s="33"/>
    </row>
    <row r="96" ht="15.75" customHeight="1">
      <c r="A96" s="52"/>
      <c r="B96" s="52"/>
      <c r="C96" s="52"/>
      <c r="D96" s="60"/>
      <c r="E96" s="60"/>
      <c r="F96" s="55" t="s">
        <v>32</v>
      </c>
      <c r="G96" s="56">
        <v>2.5</v>
      </c>
      <c r="H96" s="61">
        <f>VLOOKUP(F96,$A$14:$B$14,2,TRUE)</f>
        <v>500</v>
      </c>
      <c r="I96" s="58">
        <f t="shared" si="1"/>
        <v>1250</v>
      </c>
      <c r="J96" s="60"/>
      <c r="K96" s="33"/>
      <c r="L96" s="33"/>
      <c r="M96" s="33"/>
      <c r="N96" s="33"/>
    </row>
    <row r="97" ht="15.75" customHeight="1">
      <c r="A97" s="52"/>
      <c r="B97" s="52"/>
      <c r="C97" s="52"/>
      <c r="D97" s="60"/>
      <c r="E97" s="60"/>
      <c r="F97" s="55" t="s">
        <v>33</v>
      </c>
      <c r="G97" s="56"/>
      <c r="H97" s="61">
        <f>VLOOKUP(F97,$A$15:$B$15,2,TRUE)</f>
        <v>7500</v>
      </c>
      <c r="I97" s="58">
        <f t="shared" si="1"/>
        <v>0</v>
      </c>
      <c r="J97" s="60"/>
      <c r="K97" s="33"/>
      <c r="L97" s="33"/>
      <c r="M97" s="33"/>
      <c r="N97" s="33"/>
    </row>
    <row r="98" ht="15.75" customHeight="1">
      <c r="A98" s="52"/>
      <c r="B98" s="52"/>
      <c r="C98" s="52"/>
      <c r="D98" s="60"/>
      <c r="E98" s="60"/>
      <c r="F98" s="55" t="s">
        <v>34</v>
      </c>
      <c r="G98" s="56">
        <v>2.0</v>
      </c>
      <c r="H98" s="61">
        <f>VLOOKUP(F98,$A$16:$B$16,2,TRUE)</f>
        <v>2000</v>
      </c>
      <c r="I98" s="58">
        <f t="shared" si="1"/>
        <v>4000</v>
      </c>
      <c r="J98" s="60"/>
      <c r="K98" s="33"/>
      <c r="L98" s="33"/>
      <c r="M98" s="33"/>
      <c r="N98" s="33"/>
    </row>
    <row r="99" ht="15.75" customHeight="1">
      <c r="A99" s="52"/>
      <c r="B99" s="52"/>
      <c r="C99" s="52"/>
      <c r="D99" s="60"/>
      <c r="E99" s="60"/>
      <c r="F99" s="55" t="s">
        <v>35</v>
      </c>
      <c r="G99" s="56">
        <v>2.0</v>
      </c>
      <c r="H99" s="61">
        <f>VLOOKUP(F99,$A$17:$B$17,2,TRUE)</f>
        <v>1000</v>
      </c>
      <c r="I99" s="58">
        <f t="shared" si="1"/>
        <v>2000</v>
      </c>
      <c r="J99" s="60"/>
      <c r="K99" s="33"/>
      <c r="L99" s="33"/>
      <c r="M99" s="33"/>
      <c r="N99" s="33"/>
    </row>
    <row r="100" ht="15.75" customHeight="1">
      <c r="A100" s="52"/>
      <c r="B100" s="52"/>
      <c r="C100" s="52"/>
      <c r="D100" s="60"/>
      <c r="E100" s="60"/>
      <c r="F100" s="55" t="s">
        <v>36</v>
      </c>
      <c r="G100" s="56"/>
      <c r="H100" s="61">
        <f>VLOOKUP(F100,$A$18:$B$18,2,TRUE)</f>
        <v>5000</v>
      </c>
      <c r="I100" s="58">
        <f t="shared" si="1"/>
        <v>0</v>
      </c>
      <c r="J100" s="60"/>
      <c r="K100" s="33"/>
      <c r="L100" s="33"/>
      <c r="M100" s="33"/>
      <c r="N100" s="33"/>
    </row>
    <row r="101" ht="15.75" customHeight="1">
      <c r="A101" s="52"/>
      <c r="B101" s="52"/>
      <c r="C101" s="52"/>
      <c r="D101" s="60"/>
      <c r="E101" s="60"/>
      <c r="F101" s="55" t="s">
        <v>37</v>
      </c>
      <c r="G101" s="56"/>
      <c r="H101" s="61">
        <f>VLOOKUP(F101,$A$19:$B$19,2,TRUE)</f>
        <v>2700</v>
      </c>
      <c r="I101" s="58">
        <f t="shared" si="1"/>
        <v>0</v>
      </c>
      <c r="J101" s="60"/>
      <c r="K101" s="33"/>
      <c r="L101" s="33"/>
      <c r="M101" s="33"/>
      <c r="N101" s="33"/>
    </row>
    <row r="102" ht="15.75" customHeight="1">
      <c r="A102" s="52"/>
      <c r="B102" s="52"/>
      <c r="C102" s="52"/>
      <c r="D102" s="60"/>
      <c r="E102" s="60"/>
      <c r="F102" s="55" t="s">
        <v>38</v>
      </c>
      <c r="G102" s="56"/>
      <c r="H102" s="61">
        <f>VLOOKUP(F102,$A$20:$B$20,2,TRUE)</f>
        <v>50000</v>
      </c>
      <c r="I102" s="58">
        <f t="shared" si="1"/>
        <v>0</v>
      </c>
      <c r="J102" s="60"/>
      <c r="K102" s="33"/>
      <c r="L102" s="33"/>
      <c r="M102" s="33"/>
      <c r="N102" s="33"/>
    </row>
    <row r="103" ht="15.75" customHeight="1">
      <c r="A103" s="52"/>
      <c r="B103" s="52"/>
      <c r="C103" s="52"/>
      <c r="D103" s="60"/>
      <c r="E103" s="60"/>
      <c r="F103" s="55" t="s">
        <v>39</v>
      </c>
      <c r="G103" s="56"/>
      <c r="H103" s="61">
        <f>VLOOKUP(F103,$A$21:$B$21,2,TRUE)</f>
        <v>10000</v>
      </c>
      <c r="I103" s="58">
        <f t="shared" si="1"/>
        <v>0</v>
      </c>
      <c r="J103" s="60"/>
      <c r="K103" s="33"/>
      <c r="L103" s="33"/>
      <c r="M103" s="33"/>
      <c r="N103" s="33"/>
    </row>
    <row r="104" ht="15.75" customHeight="1">
      <c r="A104" s="52"/>
      <c r="B104" s="52"/>
      <c r="C104" s="52"/>
      <c r="D104" s="60"/>
      <c r="E104" s="60"/>
      <c r="F104" s="55" t="s">
        <v>40</v>
      </c>
      <c r="G104" s="56"/>
      <c r="H104" s="61">
        <f>VLOOKUP(F104,$A$22:$B$22,2,TRUE)</f>
        <v>1000</v>
      </c>
      <c r="I104" s="58">
        <f t="shared" si="1"/>
        <v>0</v>
      </c>
      <c r="J104" s="60"/>
      <c r="K104" s="33"/>
      <c r="L104" s="33"/>
      <c r="M104" s="33"/>
      <c r="N104" s="33"/>
    </row>
    <row r="105" ht="15.75" customHeight="1">
      <c r="A105" s="52"/>
      <c r="B105" s="52"/>
      <c r="C105" s="52"/>
      <c r="D105" s="60"/>
      <c r="E105" s="60"/>
      <c r="F105" s="55" t="s">
        <v>41</v>
      </c>
      <c r="G105" s="56">
        <v>1.0</v>
      </c>
      <c r="H105" s="61">
        <f>VLOOKUP(F105,$A$23:$B$23,2,TRUE)</f>
        <v>500</v>
      </c>
      <c r="I105" s="58">
        <f t="shared" si="1"/>
        <v>500</v>
      </c>
      <c r="J105" s="60"/>
      <c r="K105" s="33"/>
      <c r="L105" s="33"/>
      <c r="M105" s="33"/>
      <c r="N105" s="33"/>
    </row>
    <row r="106" ht="15.75" customHeight="1">
      <c r="A106" s="52"/>
      <c r="B106" s="52"/>
      <c r="C106" s="52"/>
      <c r="D106" s="60"/>
      <c r="E106" s="60"/>
      <c r="F106" s="55" t="s">
        <v>42</v>
      </c>
      <c r="G106" s="56"/>
      <c r="H106" s="61">
        <f>VLOOKUP(F106,$A$24:$B$24,2,TRUE)</f>
        <v>200</v>
      </c>
      <c r="I106" s="58">
        <f t="shared" si="1"/>
        <v>0</v>
      </c>
      <c r="J106" s="60"/>
      <c r="K106" s="33"/>
      <c r="L106" s="33"/>
      <c r="M106" s="33"/>
      <c r="N106" s="33"/>
    </row>
    <row r="107" ht="15.75" customHeight="1">
      <c r="A107" s="52"/>
      <c r="B107" s="52"/>
      <c r="C107" s="52"/>
      <c r="D107" s="60"/>
      <c r="E107" s="60"/>
      <c r="F107" s="55" t="s">
        <v>43</v>
      </c>
      <c r="G107" s="56"/>
      <c r="H107" s="61">
        <f>VLOOKUP(F107,$A$25:$B$25,2,TRUE)</f>
        <v>1000</v>
      </c>
      <c r="I107" s="58">
        <f t="shared" si="1"/>
        <v>0</v>
      </c>
      <c r="J107" s="60"/>
      <c r="K107" s="33"/>
      <c r="L107" s="33"/>
      <c r="M107" s="33"/>
      <c r="N107" s="33"/>
    </row>
    <row r="108" ht="15.75" customHeight="1">
      <c r="A108" s="52"/>
      <c r="B108" s="52"/>
      <c r="C108" s="52"/>
      <c r="D108" s="60"/>
      <c r="E108" s="60"/>
      <c r="F108" s="55" t="s">
        <v>18</v>
      </c>
      <c r="G108" s="56">
        <f>7+8</f>
        <v>15</v>
      </c>
      <c r="H108" s="61">
        <f>VLOOKUP(F108,$A$26:$B$26,2,TRUE)</f>
        <v>300</v>
      </c>
      <c r="I108" s="58">
        <f t="shared" si="1"/>
        <v>4500</v>
      </c>
      <c r="J108" s="60"/>
      <c r="K108" s="33"/>
      <c r="L108" s="33"/>
      <c r="M108" s="33"/>
      <c r="N108" s="33"/>
    </row>
    <row r="109" ht="15.75" customHeight="1">
      <c r="A109" s="52"/>
      <c r="B109" s="52"/>
      <c r="C109" s="52"/>
      <c r="D109" s="60"/>
      <c r="E109" s="60"/>
      <c r="F109" s="55" t="s">
        <v>44</v>
      </c>
      <c r="G109" s="56"/>
      <c r="H109" s="61">
        <f>VLOOKUP(F109,$A$27:$B$27,2,TRUE)</f>
        <v>100</v>
      </c>
      <c r="I109" s="58">
        <f t="shared" si="1"/>
        <v>0</v>
      </c>
      <c r="J109" s="60"/>
      <c r="K109" s="33"/>
      <c r="L109" s="33"/>
      <c r="M109" s="33"/>
      <c r="N109" s="33"/>
    </row>
    <row r="110" ht="15.75" customHeight="1">
      <c r="A110" s="52"/>
      <c r="B110" s="52"/>
      <c r="C110" s="52"/>
      <c r="D110" s="60"/>
      <c r="E110" s="60"/>
      <c r="F110" s="55" t="s">
        <v>13</v>
      </c>
      <c r="G110" s="56"/>
      <c r="H110" s="61">
        <f>VLOOKUP(F109,$A$28:$B$28,2,TRUE)</f>
        <v>1500</v>
      </c>
      <c r="I110" s="58">
        <f t="shared" si="1"/>
        <v>0</v>
      </c>
      <c r="J110" s="60"/>
      <c r="K110" s="33"/>
      <c r="L110" s="33"/>
      <c r="M110" s="33"/>
      <c r="N110" s="33"/>
    </row>
    <row r="111" ht="15.75" customHeight="1">
      <c r="A111" s="52"/>
      <c r="B111" s="52"/>
      <c r="C111" s="52"/>
      <c r="D111" s="60"/>
      <c r="E111" s="60"/>
      <c r="F111" s="55" t="s">
        <v>20</v>
      </c>
      <c r="G111" s="56"/>
      <c r="H111" s="61">
        <f>VLOOKUP(F110,$A$29:$B$29,2,TRUE)</f>
        <v>4000</v>
      </c>
      <c r="I111" s="58">
        <f t="shared" si="1"/>
        <v>0</v>
      </c>
      <c r="J111" s="60"/>
      <c r="K111" s="33"/>
      <c r="L111" s="33"/>
      <c r="M111" s="33"/>
      <c r="N111" s="33"/>
    </row>
    <row r="112" ht="15.75" customHeight="1">
      <c r="A112" s="52"/>
      <c r="B112" s="52"/>
      <c r="C112" s="52"/>
      <c r="D112" s="18"/>
      <c r="E112" s="18"/>
      <c r="F112" s="55" t="s">
        <v>59</v>
      </c>
      <c r="G112" s="56">
        <v>1.5</v>
      </c>
      <c r="H112" s="61">
        <v>0.0</v>
      </c>
      <c r="I112" s="58">
        <f t="shared" si="1"/>
        <v>0</v>
      </c>
      <c r="J112" s="18"/>
      <c r="K112" s="33"/>
      <c r="L112" s="33"/>
      <c r="M112" s="33"/>
      <c r="N112" s="33"/>
    </row>
    <row r="113" ht="15.75" customHeight="1">
      <c r="A113" s="52"/>
      <c r="B113" s="52"/>
      <c r="C113" s="52"/>
      <c r="D113" s="53">
        <v>5.0</v>
      </c>
      <c r="E113" s="65" t="s">
        <v>76</v>
      </c>
      <c r="F113" s="55" t="s">
        <v>22</v>
      </c>
      <c r="G113" s="56"/>
      <c r="H113" s="57">
        <f>VLOOKUP(F113,$A$4:$B$4,2,TRUE)</f>
        <v>4000</v>
      </c>
      <c r="I113" s="58">
        <f t="shared" si="1"/>
        <v>0</v>
      </c>
      <c r="J113" s="59">
        <f>SUM(I113:I139)</f>
        <v>22000</v>
      </c>
      <c r="K113" s="33"/>
      <c r="L113" s="33"/>
      <c r="M113" s="33"/>
      <c r="N113" s="33"/>
    </row>
    <row r="114" ht="15.75" customHeight="1">
      <c r="A114" s="52"/>
      <c r="B114" s="52"/>
      <c r="C114" s="52"/>
      <c r="D114" s="60"/>
      <c r="E114" s="60"/>
      <c r="F114" s="55" t="s">
        <v>57</v>
      </c>
      <c r="G114" s="56"/>
      <c r="H114" s="61">
        <f>VLOOKUP(F114,$A$5:$B$5,2,TRUE)</f>
        <v>3000</v>
      </c>
      <c r="I114" s="58">
        <f t="shared" si="1"/>
        <v>0</v>
      </c>
      <c r="J114" s="60"/>
      <c r="K114" s="33"/>
      <c r="L114" s="33"/>
      <c r="M114" s="33"/>
      <c r="N114" s="33"/>
    </row>
    <row r="115" ht="15.75" customHeight="1">
      <c r="A115" s="52"/>
      <c r="B115" s="52"/>
      <c r="C115" s="52"/>
      <c r="D115" s="60"/>
      <c r="E115" s="60"/>
      <c r="F115" s="55" t="s">
        <v>58</v>
      </c>
      <c r="G115" s="56"/>
      <c r="H115" s="61">
        <f>VLOOKUP(F115,$A$6:$B$6,2,TRUE)</f>
        <v>1000</v>
      </c>
      <c r="I115" s="58">
        <f t="shared" si="1"/>
        <v>0</v>
      </c>
      <c r="J115" s="60"/>
      <c r="K115" s="33"/>
      <c r="L115" s="33"/>
      <c r="M115" s="33"/>
      <c r="N115" s="33"/>
    </row>
    <row r="116" ht="15.75" customHeight="1">
      <c r="A116" s="52"/>
      <c r="B116" s="52"/>
      <c r="C116" s="52"/>
      <c r="D116" s="60"/>
      <c r="E116" s="60"/>
      <c r="F116" s="55" t="s">
        <v>25</v>
      </c>
      <c r="G116" s="56"/>
      <c r="H116" s="61">
        <f>VLOOKUP(F116,$A$7:$B$7,2,TRUE)</f>
        <v>2800</v>
      </c>
      <c r="I116" s="58">
        <f t="shared" si="1"/>
        <v>0</v>
      </c>
      <c r="J116" s="60"/>
      <c r="K116" s="33"/>
      <c r="L116" s="33"/>
      <c r="M116" s="33"/>
      <c r="N116" s="33"/>
    </row>
    <row r="117" ht="15.75" customHeight="1">
      <c r="A117" s="52"/>
      <c r="B117" s="52"/>
      <c r="C117" s="52"/>
      <c r="D117" s="60"/>
      <c r="E117" s="60"/>
      <c r="F117" s="55" t="s">
        <v>26</v>
      </c>
      <c r="G117" s="56"/>
      <c r="H117" s="61">
        <f>VLOOKUP(F117,$A$8:$B$8,2,TRUE)</f>
        <v>3500</v>
      </c>
      <c r="I117" s="58">
        <f t="shared" si="1"/>
        <v>0</v>
      </c>
      <c r="J117" s="60"/>
      <c r="K117" s="33"/>
      <c r="L117" s="33"/>
      <c r="M117" s="33"/>
      <c r="N117" s="33"/>
    </row>
    <row r="118" ht="15.75" customHeight="1">
      <c r="A118" s="52"/>
      <c r="B118" s="52"/>
      <c r="C118" s="52"/>
      <c r="D118" s="60"/>
      <c r="E118" s="60"/>
      <c r="F118" s="55" t="s">
        <v>27</v>
      </c>
      <c r="G118" s="56">
        <f>3+2.5+0.5</f>
        <v>6</v>
      </c>
      <c r="H118" s="61">
        <f>VLOOKUP(F118,$A$9:$B$9,2,TRUE)</f>
        <v>1000</v>
      </c>
      <c r="I118" s="58">
        <f t="shared" si="1"/>
        <v>6000</v>
      </c>
      <c r="J118" s="60"/>
      <c r="K118" s="33"/>
      <c r="L118" s="33"/>
      <c r="M118" s="33"/>
      <c r="N118" s="33"/>
    </row>
    <row r="119" ht="15.75" customHeight="1">
      <c r="A119" s="52"/>
      <c r="B119" s="52"/>
      <c r="C119" s="52"/>
      <c r="D119" s="60"/>
      <c r="E119" s="60"/>
      <c r="F119" s="55" t="s">
        <v>28</v>
      </c>
      <c r="G119" s="56">
        <f>1+1+1+1.5+1+2.5</f>
        <v>8</v>
      </c>
      <c r="H119" s="61">
        <f>VLOOKUP(F119,$A$10:$B$10,2,TRUE)</f>
        <v>2000</v>
      </c>
      <c r="I119" s="58">
        <f t="shared" si="1"/>
        <v>16000</v>
      </c>
      <c r="J119" s="60"/>
      <c r="K119" s="33"/>
      <c r="L119" s="33"/>
      <c r="M119" s="33"/>
      <c r="N119" s="33"/>
    </row>
    <row r="120" ht="15.75" customHeight="1">
      <c r="A120" s="52"/>
      <c r="B120" s="52"/>
      <c r="C120" s="52"/>
      <c r="D120" s="60"/>
      <c r="E120" s="60"/>
      <c r="F120" s="55" t="s">
        <v>29</v>
      </c>
      <c r="G120" s="56"/>
      <c r="H120" s="61">
        <f>VLOOKUP(F120,$A$11:$B$11,2,TRUE)</f>
        <v>1500</v>
      </c>
      <c r="I120" s="58">
        <f t="shared" si="1"/>
        <v>0</v>
      </c>
      <c r="J120" s="60"/>
      <c r="K120" s="33"/>
      <c r="L120" s="33"/>
      <c r="M120" s="33"/>
      <c r="N120" s="33"/>
    </row>
    <row r="121" ht="15.75" customHeight="1">
      <c r="A121" s="52"/>
      <c r="B121" s="52"/>
      <c r="C121" s="52"/>
      <c r="D121" s="60"/>
      <c r="E121" s="60"/>
      <c r="F121" s="55" t="s">
        <v>30</v>
      </c>
      <c r="G121" s="56"/>
      <c r="H121" s="61">
        <f>VLOOKUP(F121,$A$12:$B$12,2,TRUE)</f>
        <v>1300</v>
      </c>
      <c r="I121" s="58">
        <f t="shared" si="1"/>
        <v>0</v>
      </c>
      <c r="J121" s="60"/>
      <c r="K121" s="33"/>
      <c r="L121" s="33"/>
      <c r="M121" s="33"/>
      <c r="N121" s="33"/>
    </row>
    <row r="122" ht="15.75" customHeight="1">
      <c r="A122" s="52"/>
      <c r="B122" s="52"/>
      <c r="C122" s="52"/>
      <c r="D122" s="60"/>
      <c r="E122" s="60"/>
      <c r="F122" s="55" t="s">
        <v>31</v>
      </c>
      <c r="G122" s="56"/>
      <c r="H122" s="61">
        <f>VLOOKUP(F122,$A$13:$B$13,2,TRUE)</f>
        <v>1000</v>
      </c>
      <c r="I122" s="58">
        <f t="shared" si="1"/>
        <v>0</v>
      </c>
      <c r="J122" s="60"/>
      <c r="K122" s="33"/>
      <c r="L122" s="33"/>
      <c r="M122" s="33"/>
      <c r="N122" s="33"/>
    </row>
    <row r="123" ht="15.75" customHeight="1">
      <c r="A123" s="52"/>
      <c r="B123" s="52"/>
      <c r="C123" s="52"/>
      <c r="D123" s="60"/>
      <c r="E123" s="60"/>
      <c r="F123" s="55" t="s">
        <v>32</v>
      </c>
      <c r="G123" s="56"/>
      <c r="H123" s="61">
        <f>VLOOKUP(F123,$A$14:$B$14,2,TRUE)</f>
        <v>500</v>
      </c>
      <c r="I123" s="58">
        <f t="shared" si="1"/>
        <v>0</v>
      </c>
      <c r="J123" s="60"/>
      <c r="K123" s="33"/>
      <c r="L123" s="33"/>
      <c r="M123" s="33"/>
      <c r="N123" s="33"/>
    </row>
    <row r="124" ht="15.75" customHeight="1">
      <c r="A124" s="52"/>
      <c r="B124" s="52"/>
      <c r="C124" s="52"/>
      <c r="D124" s="60"/>
      <c r="E124" s="60"/>
      <c r="F124" s="55" t="s">
        <v>33</v>
      </c>
      <c r="G124" s="56"/>
      <c r="H124" s="61">
        <f>VLOOKUP(F124,$A$15:$B$15,2,TRUE)</f>
        <v>7500</v>
      </c>
      <c r="I124" s="58">
        <f t="shared" si="1"/>
        <v>0</v>
      </c>
      <c r="J124" s="60"/>
      <c r="K124" s="33"/>
      <c r="L124" s="33"/>
      <c r="M124" s="33"/>
      <c r="N124" s="33"/>
    </row>
    <row r="125" ht="15.75" customHeight="1">
      <c r="A125" s="52"/>
      <c r="B125" s="52"/>
      <c r="C125" s="52"/>
      <c r="D125" s="60"/>
      <c r="E125" s="60"/>
      <c r="F125" s="55" t="s">
        <v>34</v>
      </c>
      <c r="G125" s="56"/>
      <c r="H125" s="61">
        <f>VLOOKUP(F125,$A$16:$B$16,2,TRUE)</f>
        <v>2000</v>
      </c>
      <c r="I125" s="58">
        <f t="shared" si="1"/>
        <v>0</v>
      </c>
      <c r="J125" s="60"/>
      <c r="K125" s="33"/>
      <c r="L125" s="33"/>
      <c r="M125" s="33"/>
      <c r="N125" s="33"/>
    </row>
    <row r="126" ht="15.75" customHeight="1">
      <c r="A126" s="52"/>
      <c r="B126" s="52"/>
      <c r="C126" s="52"/>
      <c r="D126" s="60"/>
      <c r="E126" s="60"/>
      <c r="F126" s="55" t="s">
        <v>35</v>
      </c>
      <c r="G126" s="56"/>
      <c r="H126" s="61">
        <f>VLOOKUP(F126,$A$17:$B$17,2,TRUE)</f>
        <v>1000</v>
      </c>
      <c r="I126" s="58">
        <f t="shared" si="1"/>
        <v>0</v>
      </c>
      <c r="J126" s="60"/>
      <c r="K126" s="33"/>
      <c r="L126" s="33"/>
      <c r="M126" s="33"/>
      <c r="N126" s="33"/>
    </row>
    <row r="127" ht="15.75" customHeight="1">
      <c r="A127" s="52"/>
      <c r="B127" s="52"/>
      <c r="C127" s="52"/>
      <c r="D127" s="60"/>
      <c r="E127" s="60"/>
      <c r="F127" s="55" t="s">
        <v>36</v>
      </c>
      <c r="G127" s="56"/>
      <c r="H127" s="61">
        <f>VLOOKUP(F127,$A$18:$B$18,2,TRUE)</f>
        <v>5000</v>
      </c>
      <c r="I127" s="58">
        <f t="shared" si="1"/>
        <v>0</v>
      </c>
      <c r="J127" s="60"/>
      <c r="K127" s="33"/>
      <c r="L127" s="33"/>
      <c r="M127" s="33"/>
      <c r="N127" s="33"/>
    </row>
    <row r="128" ht="15.75" customHeight="1">
      <c r="A128" s="52"/>
      <c r="B128" s="52"/>
      <c r="C128" s="52"/>
      <c r="D128" s="60"/>
      <c r="E128" s="60"/>
      <c r="F128" s="55" t="s">
        <v>37</v>
      </c>
      <c r="G128" s="56"/>
      <c r="H128" s="61">
        <f>VLOOKUP(F128,$A$19:$B$19,2,TRUE)</f>
        <v>2700</v>
      </c>
      <c r="I128" s="58">
        <f t="shared" si="1"/>
        <v>0</v>
      </c>
      <c r="J128" s="60"/>
      <c r="K128" s="33"/>
      <c r="L128" s="33"/>
      <c r="M128" s="33"/>
      <c r="N128" s="33"/>
    </row>
    <row r="129" ht="15.75" customHeight="1">
      <c r="A129" s="52"/>
      <c r="B129" s="52"/>
      <c r="C129" s="52"/>
      <c r="D129" s="60"/>
      <c r="E129" s="60"/>
      <c r="F129" s="55" t="s">
        <v>38</v>
      </c>
      <c r="G129" s="56"/>
      <c r="H129" s="61">
        <f>VLOOKUP(F129,$A$20:$B$20,2,TRUE)</f>
        <v>50000</v>
      </c>
      <c r="I129" s="58">
        <f t="shared" si="1"/>
        <v>0</v>
      </c>
      <c r="J129" s="60"/>
      <c r="K129" s="33"/>
      <c r="L129" s="33"/>
      <c r="M129" s="33"/>
      <c r="N129" s="33"/>
    </row>
    <row r="130" ht="15.75" customHeight="1">
      <c r="A130" s="52"/>
      <c r="B130" s="52"/>
      <c r="C130" s="52"/>
      <c r="D130" s="60"/>
      <c r="E130" s="60"/>
      <c r="F130" s="55" t="s">
        <v>39</v>
      </c>
      <c r="G130" s="56"/>
      <c r="H130" s="61">
        <f>VLOOKUP(F130,$A$21:$B$21,2,TRUE)</f>
        <v>10000</v>
      </c>
      <c r="I130" s="58">
        <f t="shared" si="1"/>
        <v>0</v>
      </c>
      <c r="J130" s="60"/>
      <c r="K130" s="33"/>
      <c r="L130" s="33"/>
      <c r="M130" s="33"/>
      <c r="N130" s="33"/>
    </row>
    <row r="131" ht="15.75" customHeight="1">
      <c r="A131" s="52"/>
      <c r="B131" s="52"/>
      <c r="C131" s="52"/>
      <c r="D131" s="60"/>
      <c r="E131" s="60"/>
      <c r="F131" s="55" t="s">
        <v>40</v>
      </c>
      <c r="G131" s="56"/>
      <c r="H131" s="61">
        <f>VLOOKUP(F131,$A$22:$B$22,2,TRUE)</f>
        <v>1000</v>
      </c>
      <c r="I131" s="58">
        <f t="shared" si="1"/>
        <v>0</v>
      </c>
      <c r="J131" s="60"/>
      <c r="K131" s="33"/>
      <c r="L131" s="33"/>
      <c r="M131" s="33"/>
      <c r="N131" s="33"/>
    </row>
    <row r="132" ht="15.75" customHeight="1">
      <c r="A132" s="52"/>
      <c r="B132" s="52"/>
      <c r="C132" s="52"/>
      <c r="D132" s="60"/>
      <c r="E132" s="60"/>
      <c r="F132" s="55" t="s">
        <v>41</v>
      </c>
      <c r="G132" s="56"/>
      <c r="H132" s="61">
        <f>VLOOKUP(F132,$A$23:$B$23,2,TRUE)</f>
        <v>500</v>
      </c>
      <c r="I132" s="58">
        <f t="shared" si="1"/>
        <v>0</v>
      </c>
      <c r="J132" s="60"/>
      <c r="K132" s="33"/>
      <c r="L132" s="33"/>
      <c r="M132" s="33"/>
      <c r="N132" s="33"/>
    </row>
    <row r="133" ht="15.75" customHeight="1">
      <c r="A133" s="52"/>
      <c r="B133" s="52"/>
      <c r="C133" s="52"/>
      <c r="D133" s="60"/>
      <c r="E133" s="60"/>
      <c r="F133" s="55" t="s">
        <v>42</v>
      </c>
      <c r="G133" s="56"/>
      <c r="H133" s="61">
        <f>VLOOKUP(F133,$A$24:$B$24,2,TRUE)</f>
        <v>200</v>
      </c>
      <c r="I133" s="58">
        <f t="shared" si="1"/>
        <v>0</v>
      </c>
      <c r="J133" s="60"/>
      <c r="K133" s="33"/>
      <c r="L133" s="33"/>
      <c r="M133" s="33"/>
      <c r="N133" s="33"/>
    </row>
    <row r="134" ht="15.75" customHeight="1">
      <c r="A134" s="52"/>
      <c r="B134" s="52"/>
      <c r="C134" s="52"/>
      <c r="D134" s="60"/>
      <c r="E134" s="60"/>
      <c r="F134" s="55" t="s">
        <v>43</v>
      </c>
      <c r="G134" s="56"/>
      <c r="H134" s="61">
        <f>VLOOKUP(F134,$A$25:$B$25,2,TRUE)</f>
        <v>1000</v>
      </c>
      <c r="I134" s="58">
        <f t="shared" si="1"/>
        <v>0</v>
      </c>
      <c r="J134" s="60"/>
      <c r="K134" s="33"/>
      <c r="L134" s="33"/>
      <c r="M134" s="33"/>
      <c r="N134" s="33"/>
    </row>
    <row r="135" ht="15.75" customHeight="1">
      <c r="A135" s="52"/>
      <c r="B135" s="52"/>
      <c r="C135" s="52"/>
      <c r="D135" s="60"/>
      <c r="E135" s="60"/>
      <c r="F135" s="55" t="s">
        <v>18</v>
      </c>
      <c r="G135" s="56"/>
      <c r="H135" s="61">
        <f>VLOOKUP(F135,$A$26:$B$26,2,TRUE)</f>
        <v>300</v>
      </c>
      <c r="I135" s="58">
        <f t="shared" si="1"/>
        <v>0</v>
      </c>
      <c r="J135" s="60"/>
      <c r="K135" s="33"/>
      <c r="L135" s="33"/>
      <c r="M135" s="33"/>
      <c r="N135" s="33"/>
    </row>
    <row r="136" ht="15.75" customHeight="1">
      <c r="A136" s="52"/>
      <c r="B136" s="52"/>
      <c r="C136" s="52"/>
      <c r="D136" s="60"/>
      <c r="E136" s="60"/>
      <c r="F136" s="55" t="s">
        <v>44</v>
      </c>
      <c r="G136" s="56"/>
      <c r="H136" s="61">
        <f>VLOOKUP(F136,$A$27:$B$27,2,TRUE)</f>
        <v>100</v>
      </c>
      <c r="I136" s="58">
        <f t="shared" si="1"/>
        <v>0</v>
      </c>
      <c r="J136" s="60"/>
      <c r="K136" s="33"/>
      <c r="L136" s="33"/>
      <c r="M136" s="33"/>
      <c r="N136" s="33"/>
    </row>
    <row r="137" ht="15.75" customHeight="1">
      <c r="A137" s="52"/>
      <c r="B137" s="52"/>
      <c r="C137" s="52"/>
      <c r="D137" s="60"/>
      <c r="E137" s="60"/>
      <c r="F137" s="55" t="s">
        <v>13</v>
      </c>
      <c r="G137" s="56"/>
      <c r="H137" s="61">
        <f>VLOOKUP(F136,$A$28:$B$28,2,TRUE)</f>
        <v>1500</v>
      </c>
      <c r="I137" s="58">
        <f t="shared" si="1"/>
        <v>0</v>
      </c>
      <c r="J137" s="60"/>
      <c r="K137" s="33"/>
      <c r="L137" s="33"/>
      <c r="M137" s="33"/>
      <c r="N137" s="33"/>
    </row>
    <row r="138" ht="15.75" customHeight="1">
      <c r="A138" s="52"/>
      <c r="B138" s="52"/>
      <c r="C138" s="52"/>
      <c r="D138" s="60"/>
      <c r="E138" s="60"/>
      <c r="F138" s="55" t="s">
        <v>20</v>
      </c>
      <c r="G138" s="56"/>
      <c r="H138" s="61">
        <f>VLOOKUP(F137,$A$29:$B$29,2,TRUE)</f>
        <v>4000</v>
      </c>
      <c r="I138" s="58">
        <f t="shared" si="1"/>
        <v>0</v>
      </c>
      <c r="J138" s="60"/>
      <c r="K138" s="33"/>
      <c r="L138" s="33"/>
      <c r="M138" s="33"/>
      <c r="N138" s="33"/>
    </row>
    <row r="139" ht="15.75" customHeight="1">
      <c r="A139" s="52"/>
      <c r="B139" s="52"/>
      <c r="C139" s="52"/>
      <c r="D139" s="18"/>
      <c r="E139" s="18"/>
      <c r="F139" s="55" t="s">
        <v>59</v>
      </c>
      <c r="G139" s="56"/>
      <c r="H139" s="61">
        <f>VLOOKUP(F138,$A$30:$B$30,2,TRUE)</f>
        <v>500</v>
      </c>
      <c r="I139" s="58">
        <f t="shared" si="1"/>
        <v>0</v>
      </c>
      <c r="J139" s="18"/>
      <c r="K139" s="33"/>
      <c r="L139" s="33"/>
      <c r="M139" s="33"/>
      <c r="N139" s="33"/>
    </row>
    <row r="140" ht="15.75" customHeight="1">
      <c r="A140" s="52"/>
      <c r="B140" s="52"/>
      <c r="C140" s="52"/>
      <c r="D140" s="53">
        <v>6.0</v>
      </c>
      <c r="E140" s="65" t="s">
        <v>77</v>
      </c>
      <c r="F140" s="55" t="s">
        <v>22</v>
      </c>
      <c r="G140" s="56">
        <v>1.0</v>
      </c>
      <c r="H140" s="57">
        <f>VLOOKUP(F140,$A$4:$B$4,2,TRUE)</f>
        <v>4000</v>
      </c>
      <c r="I140" s="58">
        <f t="shared" si="1"/>
        <v>4000</v>
      </c>
      <c r="J140" s="59">
        <f>SUM(I140:I166)</f>
        <v>39750</v>
      </c>
      <c r="K140" s="33"/>
      <c r="L140" s="33"/>
      <c r="M140" s="33"/>
      <c r="N140" s="33"/>
    </row>
    <row r="141" ht="15.75" customHeight="1">
      <c r="A141" s="52"/>
      <c r="B141" s="52"/>
      <c r="C141" s="52"/>
      <c r="D141" s="60"/>
      <c r="E141" s="60"/>
      <c r="F141" s="55" t="s">
        <v>57</v>
      </c>
      <c r="G141" s="56">
        <v>2.0</v>
      </c>
      <c r="H141" s="61">
        <f>VLOOKUP(F141,$A$5:$B$5,2,TRUE)</f>
        <v>3000</v>
      </c>
      <c r="I141" s="58">
        <f t="shared" si="1"/>
        <v>6000</v>
      </c>
      <c r="J141" s="60"/>
      <c r="K141" s="33"/>
      <c r="L141" s="33"/>
      <c r="M141" s="33"/>
      <c r="N141" s="33"/>
    </row>
    <row r="142" ht="15.75" customHeight="1">
      <c r="A142" s="52"/>
      <c r="B142" s="52"/>
      <c r="C142" s="52"/>
      <c r="D142" s="60"/>
      <c r="E142" s="60"/>
      <c r="F142" s="55" t="s">
        <v>58</v>
      </c>
      <c r="G142" s="56"/>
      <c r="H142" s="61">
        <f>VLOOKUP(F142,$A$6:$B$6,2,TRUE)</f>
        <v>1000</v>
      </c>
      <c r="I142" s="58">
        <f t="shared" si="1"/>
        <v>0</v>
      </c>
      <c r="J142" s="60"/>
      <c r="K142" s="33"/>
      <c r="L142" s="33"/>
      <c r="M142" s="33"/>
      <c r="N142" s="33"/>
    </row>
    <row r="143" ht="15.75" customHeight="1">
      <c r="A143" s="52"/>
      <c r="B143" s="52"/>
      <c r="C143" s="52"/>
      <c r="D143" s="60"/>
      <c r="E143" s="60"/>
      <c r="F143" s="55" t="s">
        <v>25</v>
      </c>
      <c r="G143" s="56">
        <v>0.5</v>
      </c>
      <c r="H143" s="61">
        <f>VLOOKUP(F143,$A$7:$B$7,2,TRUE)</f>
        <v>2800</v>
      </c>
      <c r="I143" s="58">
        <f t="shared" si="1"/>
        <v>1400</v>
      </c>
      <c r="J143" s="60"/>
      <c r="K143" s="33"/>
      <c r="L143" s="33"/>
      <c r="M143" s="33"/>
      <c r="N143" s="33"/>
    </row>
    <row r="144" ht="15.75" customHeight="1">
      <c r="A144" s="52"/>
      <c r="B144" s="52"/>
      <c r="C144" s="52"/>
      <c r="D144" s="60"/>
      <c r="E144" s="60"/>
      <c r="F144" s="55" t="s">
        <v>26</v>
      </c>
      <c r="G144" s="56">
        <v>1.0</v>
      </c>
      <c r="H144" s="61">
        <f>VLOOKUP(F144,$A$8:$B$8,2,TRUE)</f>
        <v>3500</v>
      </c>
      <c r="I144" s="58">
        <f t="shared" si="1"/>
        <v>3500</v>
      </c>
      <c r="J144" s="60"/>
      <c r="K144" s="33"/>
      <c r="L144" s="33"/>
      <c r="M144" s="33"/>
      <c r="N144" s="33"/>
    </row>
    <row r="145" ht="15.75" customHeight="1">
      <c r="A145" s="52"/>
      <c r="B145" s="52"/>
      <c r="C145" s="52"/>
      <c r="D145" s="60"/>
      <c r="E145" s="60"/>
      <c r="F145" s="55" t="s">
        <v>27</v>
      </c>
      <c r="G145" s="56">
        <v>2.0</v>
      </c>
      <c r="H145" s="61">
        <f>VLOOKUP(F145,$A$9:$B$9,2,TRUE)</f>
        <v>1000</v>
      </c>
      <c r="I145" s="58">
        <f t="shared" si="1"/>
        <v>2000</v>
      </c>
      <c r="J145" s="60"/>
      <c r="K145" s="33"/>
      <c r="L145" s="33"/>
      <c r="M145" s="33"/>
      <c r="N145" s="33"/>
    </row>
    <row r="146" ht="15.75" customHeight="1">
      <c r="A146" s="52"/>
      <c r="B146" s="52"/>
      <c r="C146" s="52"/>
      <c r="D146" s="60"/>
      <c r="E146" s="60"/>
      <c r="F146" s="55" t="s">
        <v>28</v>
      </c>
      <c r="G146" s="56"/>
      <c r="H146" s="61">
        <f>VLOOKUP(F146,$A$10:$B$10,2,TRUE)</f>
        <v>2000</v>
      </c>
      <c r="I146" s="58">
        <f t="shared" si="1"/>
        <v>0</v>
      </c>
      <c r="J146" s="60"/>
      <c r="K146" s="33"/>
      <c r="L146" s="33"/>
      <c r="M146" s="33"/>
      <c r="N146" s="33"/>
    </row>
    <row r="147" ht="15.75" customHeight="1">
      <c r="A147" s="52"/>
      <c r="B147" s="52"/>
      <c r="C147" s="52"/>
      <c r="D147" s="60"/>
      <c r="E147" s="60"/>
      <c r="F147" s="55" t="s">
        <v>29</v>
      </c>
      <c r="G147" s="56">
        <v>7.0</v>
      </c>
      <c r="H147" s="61">
        <f>VLOOKUP(F147,$A$11:$B$11,2,TRUE)</f>
        <v>1500</v>
      </c>
      <c r="I147" s="58">
        <f t="shared" si="1"/>
        <v>10500</v>
      </c>
      <c r="J147" s="60"/>
      <c r="K147" s="33"/>
      <c r="L147" s="33"/>
      <c r="M147" s="33"/>
      <c r="N147" s="33"/>
    </row>
    <row r="148" ht="15.75" customHeight="1">
      <c r="A148" s="52"/>
      <c r="B148" s="52"/>
      <c r="C148" s="52"/>
      <c r="D148" s="60"/>
      <c r="E148" s="60"/>
      <c r="F148" s="55" t="s">
        <v>30</v>
      </c>
      <c r="G148" s="56"/>
      <c r="H148" s="61">
        <f>VLOOKUP(F148,$A$12:$B$12,2,TRUE)</f>
        <v>1300</v>
      </c>
      <c r="I148" s="58">
        <f t="shared" si="1"/>
        <v>0</v>
      </c>
      <c r="J148" s="60"/>
      <c r="K148" s="33"/>
      <c r="L148" s="33"/>
      <c r="M148" s="33"/>
      <c r="N148" s="33"/>
    </row>
    <row r="149" ht="15.75" customHeight="1">
      <c r="A149" s="52"/>
      <c r="B149" s="52"/>
      <c r="C149" s="52"/>
      <c r="D149" s="60"/>
      <c r="E149" s="60"/>
      <c r="F149" s="55" t="s">
        <v>31</v>
      </c>
      <c r="G149" s="56"/>
      <c r="H149" s="61">
        <f>VLOOKUP(F149,$A$13:$B$13,2,TRUE)</f>
        <v>1000</v>
      </c>
      <c r="I149" s="58">
        <f t="shared" si="1"/>
        <v>0</v>
      </c>
      <c r="J149" s="60"/>
      <c r="K149" s="33"/>
      <c r="L149" s="33"/>
      <c r="M149" s="33"/>
      <c r="N149" s="33"/>
    </row>
    <row r="150" ht="15.75" customHeight="1">
      <c r="A150" s="52"/>
      <c r="B150" s="52"/>
      <c r="C150" s="52"/>
      <c r="D150" s="60"/>
      <c r="E150" s="60"/>
      <c r="F150" s="55" t="s">
        <v>32</v>
      </c>
      <c r="G150" s="56">
        <v>4.0</v>
      </c>
      <c r="H150" s="61">
        <f>VLOOKUP(F150,$A$14:$B$14,2,TRUE)</f>
        <v>500</v>
      </c>
      <c r="I150" s="58">
        <f t="shared" si="1"/>
        <v>2000</v>
      </c>
      <c r="J150" s="60"/>
      <c r="K150" s="33"/>
      <c r="L150" s="33"/>
      <c r="M150" s="33"/>
      <c r="N150" s="33"/>
    </row>
    <row r="151" ht="15.75" customHeight="1">
      <c r="A151" s="52"/>
      <c r="B151" s="52"/>
      <c r="C151" s="52"/>
      <c r="D151" s="60"/>
      <c r="E151" s="60"/>
      <c r="F151" s="55" t="s">
        <v>33</v>
      </c>
      <c r="G151" s="56"/>
      <c r="H151" s="61">
        <f>VLOOKUP(F151,$A$15:$B$15,2,TRUE)</f>
        <v>7500</v>
      </c>
      <c r="I151" s="58">
        <f t="shared" si="1"/>
        <v>0</v>
      </c>
      <c r="J151" s="60"/>
      <c r="K151" s="33"/>
      <c r="L151" s="33"/>
      <c r="M151" s="33"/>
      <c r="N151" s="33"/>
    </row>
    <row r="152" ht="15.75" customHeight="1">
      <c r="A152" s="52"/>
      <c r="B152" s="52"/>
      <c r="C152" s="52"/>
      <c r="D152" s="60"/>
      <c r="E152" s="60"/>
      <c r="F152" s="55" t="s">
        <v>34</v>
      </c>
      <c r="G152" s="56"/>
      <c r="H152" s="61">
        <f>VLOOKUP(F152,$A$16:$B$16,2,TRUE)</f>
        <v>2000</v>
      </c>
      <c r="I152" s="58">
        <f t="shared" si="1"/>
        <v>0</v>
      </c>
      <c r="J152" s="60"/>
      <c r="K152" s="33"/>
      <c r="L152" s="33"/>
      <c r="M152" s="33"/>
      <c r="N152" s="33"/>
    </row>
    <row r="153" ht="15.75" customHeight="1">
      <c r="A153" s="52"/>
      <c r="B153" s="52"/>
      <c r="C153" s="52"/>
      <c r="D153" s="60"/>
      <c r="E153" s="60"/>
      <c r="F153" s="55" t="s">
        <v>35</v>
      </c>
      <c r="G153" s="56"/>
      <c r="H153" s="61">
        <f>VLOOKUP(F153,$A$17:$B$17,2,TRUE)</f>
        <v>1000</v>
      </c>
      <c r="I153" s="58">
        <f t="shared" si="1"/>
        <v>0</v>
      </c>
      <c r="J153" s="60"/>
      <c r="K153" s="33"/>
      <c r="L153" s="33"/>
      <c r="M153" s="33"/>
      <c r="N153" s="33"/>
    </row>
    <row r="154" ht="15.75" customHeight="1">
      <c r="A154" s="52"/>
      <c r="B154" s="52"/>
      <c r="C154" s="52"/>
      <c r="D154" s="60"/>
      <c r="E154" s="60"/>
      <c r="F154" s="55" t="s">
        <v>36</v>
      </c>
      <c r="G154" s="56"/>
      <c r="H154" s="61">
        <f>VLOOKUP(F154,$A$18:$B$18,2,TRUE)</f>
        <v>5000</v>
      </c>
      <c r="I154" s="58">
        <f t="shared" si="1"/>
        <v>0</v>
      </c>
      <c r="J154" s="60"/>
      <c r="K154" s="33"/>
      <c r="L154" s="33"/>
      <c r="M154" s="33"/>
      <c r="N154" s="33"/>
    </row>
    <row r="155" ht="15.75" customHeight="1">
      <c r="A155" s="52"/>
      <c r="B155" s="52"/>
      <c r="C155" s="52"/>
      <c r="D155" s="60"/>
      <c r="E155" s="60"/>
      <c r="F155" s="55" t="s">
        <v>37</v>
      </c>
      <c r="G155" s="56"/>
      <c r="H155" s="61">
        <f>VLOOKUP(F155,$A$19:$B$19,2,TRUE)</f>
        <v>2700</v>
      </c>
      <c r="I155" s="58">
        <f t="shared" si="1"/>
        <v>0</v>
      </c>
      <c r="J155" s="60"/>
      <c r="K155" s="33"/>
      <c r="L155" s="33"/>
      <c r="M155" s="33"/>
      <c r="N155" s="33"/>
    </row>
    <row r="156" ht="15.75" customHeight="1">
      <c r="A156" s="52"/>
      <c r="B156" s="52"/>
      <c r="C156" s="52"/>
      <c r="D156" s="60"/>
      <c r="E156" s="60"/>
      <c r="F156" s="55" t="s">
        <v>38</v>
      </c>
      <c r="G156" s="56"/>
      <c r="H156" s="61">
        <f>VLOOKUP(F156,$A$20:$B$20,2,TRUE)</f>
        <v>50000</v>
      </c>
      <c r="I156" s="58">
        <f t="shared" si="1"/>
        <v>0</v>
      </c>
      <c r="J156" s="60"/>
      <c r="K156" s="33"/>
      <c r="L156" s="33"/>
      <c r="M156" s="33"/>
      <c r="N156" s="33"/>
    </row>
    <row r="157" ht="15.75" customHeight="1">
      <c r="A157" s="52"/>
      <c r="B157" s="52"/>
      <c r="C157" s="52"/>
      <c r="D157" s="60"/>
      <c r="E157" s="60"/>
      <c r="F157" s="55" t="s">
        <v>39</v>
      </c>
      <c r="G157" s="56"/>
      <c r="H157" s="61">
        <f>VLOOKUP(F157,$A$21:$B$21,2,TRUE)</f>
        <v>10000</v>
      </c>
      <c r="I157" s="58">
        <f t="shared" si="1"/>
        <v>0</v>
      </c>
      <c r="J157" s="60"/>
      <c r="K157" s="33"/>
      <c r="L157" s="33"/>
      <c r="M157" s="33"/>
      <c r="N157" s="33"/>
    </row>
    <row r="158" ht="15.75" customHeight="1">
      <c r="A158" s="52"/>
      <c r="B158" s="52"/>
      <c r="C158" s="52"/>
      <c r="D158" s="60"/>
      <c r="E158" s="60"/>
      <c r="F158" s="55" t="s">
        <v>40</v>
      </c>
      <c r="G158" s="56"/>
      <c r="H158" s="61">
        <f>VLOOKUP(F158,$A$22:$B$22,2,TRUE)</f>
        <v>1000</v>
      </c>
      <c r="I158" s="58">
        <f t="shared" si="1"/>
        <v>0</v>
      </c>
      <c r="J158" s="60"/>
      <c r="K158" s="33"/>
      <c r="L158" s="33"/>
      <c r="M158" s="33"/>
      <c r="N158" s="33"/>
    </row>
    <row r="159" ht="15.75" customHeight="1">
      <c r="A159" s="52"/>
      <c r="B159" s="52"/>
      <c r="C159" s="52"/>
      <c r="D159" s="60"/>
      <c r="E159" s="60"/>
      <c r="F159" s="55" t="s">
        <v>41</v>
      </c>
      <c r="G159" s="56">
        <v>3.5</v>
      </c>
      <c r="H159" s="61">
        <f>VLOOKUP(F159,$A$23:$B$23,2,TRUE)</f>
        <v>500</v>
      </c>
      <c r="I159" s="58">
        <f t="shared" si="1"/>
        <v>1750</v>
      </c>
      <c r="J159" s="60"/>
      <c r="K159" s="33"/>
      <c r="L159" s="33"/>
      <c r="M159" s="33"/>
      <c r="N159" s="33"/>
    </row>
    <row r="160" ht="15.75" customHeight="1">
      <c r="A160" s="52"/>
      <c r="B160" s="52"/>
      <c r="C160" s="52"/>
      <c r="D160" s="60"/>
      <c r="E160" s="60"/>
      <c r="F160" s="55" t="s">
        <v>42</v>
      </c>
      <c r="G160" s="56">
        <v>3.0</v>
      </c>
      <c r="H160" s="61">
        <f>VLOOKUP(F160,$A$24:$B$24,2,TRUE)</f>
        <v>200</v>
      </c>
      <c r="I160" s="58">
        <f t="shared" si="1"/>
        <v>600</v>
      </c>
      <c r="J160" s="60"/>
      <c r="K160" s="33"/>
      <c r="L160" s="33"/>
      <c r="M160" s="33"/>
      <c r="N160" s="33"/>
    </row>
    <row r="161" ht="15.75" customHeight="1">
      <c r="A161" s="52"/>
      <c r="B161" s="52"/>
      <c r="C161" s="52"/>
      <c r="D161" s="60"/>
      <c r="E161" s="60"/>
      <c r="F161" s="55" t="s">
        <v>43</v>
      </c>
      <c r="G161" s="56"/>
      <c r="H161" s="61">
        <f>VLOOKUP(F161,$A$25:$B$25,2,TRUE)</f>
        <v>1000</v>
      </c>
      <c r="I161" s="58">
        <f t="shared" si="1"/>
        <v>0</v>
      </c>
      <c r="J161" s="60"/>
      <c r="K161" s="33"/>
      <c r="L161" s="33"/>
      <c r="M161" s="33"/>
      <c r="N161" s="33"/>
    </row>
    <row r="162" ht="15.75" customHeight="1">
      <c r="A162" s="52"/>
      <c r="B162" s="52"/>
      <c r="C162" s="52"/>
      <c r="D162" s="60"/>
      <c r="E162" s="60"/>
      <c r="F162" s="55" t="s">
        <v>18</v>
      </c>
      <c r="G162" s="56"/>
      <c r="H162" s="61">
        <f>VLOOKUP(F162,$A$26:$B$26,2,TRUE)</f>
        <v>300</v>
      </c>
      <c r="I162" s="58">
        <f t="shared" si="1"/>
        <v>0</v>
      </c>
      <c r="J162" s="60"/>
      <c r="K162" s="33"/>
      <c r="L162" s="33"/>
      <c r="M162" s="33"/>
      <c r="N162" s="33"/>
    </row>
    <row r="163" ht="15.75" customHeight="1">
      <c r="A163" s="52"/>
      <c r="B163" s="52"/>
      <c r="C163" s="52"/>
      <c r="D163" s="60"/>
      <c r="E163" s="60"/>
      <c r="F163" s="55" t="s">
        <v>44</v>
      </c>
      <c r="G163" s="56"/>
      <c r="H163" s="61">
        <f>VLOOKUP(F163,$A$27:$B$27,2,TRUE)</f>
        <v>100</v>
      </c>
      <c r="I163" s="58">
        <f t="shared" si="1"/>
        <v>0</v>
      </c>
      <c r="J163" s="60"/>
      <c r="K163" s="33"/>
      <c r="L163" s="33"/>
      <c r="M163" s="33"/>
      <c r="N163" s="33"/>
    </row>
    <row r="164" ht="15.75" customHeight="1">
      <c r="A164" s="52"/>
      <c r="B164" s="52"/>
      <c r="C164" s="52"/>
      <c r="D164" s="60"/>
      <c r="E164" s="60"/>
      <c r="F164" s="55" t="s">
        <v>13</v>
      </c>
      <c r="G164" s="56"/>
      <c r="H164" s="61">
        <f>VLOOKUP(F163,$A$28:$B$28,2,TRUE)</f>
        <v>1500</v>
      </c>
      <c r="I164" s="58">
        <f t="shared" si="1"/>
        <v>0</v>
      </c>
      <c r="J164" s="60"/>
      <c r="K164" s="33"/>
      <c r="L164" s="33"/>
      <c r="M164" s="33"/>
      <c r="N164" s="33"/>
    </row>
    <row r="165" ht="15.75" customHeight="1">
      <c r="A165" s="52"/>
      <c r="B165" s="52"/>
      <c r="C165" s="52"/>
      <c r="D165" s="60"/>
      <c r="E165" s="60"/>
      <c r="F165" s="55" t="s">
        <v>20</v>
      </c>
      <c r="G165" s="56">
        <v>2.0</v>
      </c>
      <c r="H165" s="61">
        <f>VLOOKUP(F164,$A$29:$B$29,2,TRUE)</f>
        <v>4000</v>
      </c>
      <c r="I165" s="58">
        <f t="shared" si="1"/>
        <v>8000</v>
      </c>
      <c r="J165" s="60"/>
      <c r="K165" s="33"/>
      <c r="L165" s="33"/>
      <c r="M165" s="33"/>
      <c r="N165" s="33"/>
    </row>
    <row r="166" ht="15.75" customHeight="1">
      <c r="A166" s="52"/>
      <c r="B166" s="52"/>
      <c r="C166" s="52"/>
      <c r="D166" s="18"/>
      <c r="E166" s="18"/>
      <c r="F166" s="55" t="s">
        <v>59</v>
      </c>
      <c r="G166" s="56">
        <v>1.5</v>
      </c>
      <c r="H166" s="61">
        <v>0.0</v>
      </c>
      <c r="I166" s="58">
        <f t="shared" si="1"/>
        <v>0</v>
      </c>
      <c r="J166" s="18"/>
      <c r="K166" s="33"/>
      <c r="L166" s="33"/>
      <c r="M166" s="33"/>
      <c r="N166" s="33"/>
    </row>
    <row r="167" ht="15.75" customHeight="1">
      <c r="A167" s="52"/>
      <c r="B167" s="52"/>
      <c r="C167" s="52"/>
      <c r="D167" s="63" t="s">
        <v>60</v>
      </c>
      <c r="E167" s="6"/>
      <c r="F167" s="6"/>
      <c r="G167" s="6"/>
      <c r="H167" s="6"/>
      <c r="I167" s="7"/>
      <c r="J167" s="64">
        <f>SUM(J5:J166)</f>
        <v>147550</v>
      </c>
      <c r="K167" s="33"/>
      <c r="L167" s="33"/>
      <c r="M167" s="33"/>
      <c r="N167" s="33"/>
    </row>
    <row r="168" ht="15.75" customHeight="1">
      <c r="A168" s="32"/>
      <c r="B168" s="32"/>
      <c r="C168" s="32"/>
      <c r="D168" s="32"/>
      <c r="E168" s="32"/>
      <c r="F168" s="33"/>
      <c r="G168" s="33"/>
      <c r="H168" s="33"/>
      <c r="I168" s="33"/>
      <c r="J168" s="34"/>
      <c r="K168" s="33"/>
      <c r="L168" s="33"/>
      <c r="M168" s="33"/>
      <c r="N168" s="33"/>
    </row>
    <row r="169" ht="15.75" customHeight="1">
      <c r="A169" s="32"/>
      <c r="B169" s="32"/>
      <c r="C169" s="32"/>
      <c r="D169" s="32"/>
      <c r="E169" s="32"/>
      <c r="F169" s="33"/>
      <c r="G169" s="33"/>
      <c r="H169" s="33"/>
      <c r="I169" s="33"/>
      <c r="J169" s="34"/>
      <c r="K169" s="33"/>
      <c r="L169" s="33"/>
      <c r="M169" s="33"/>
      <c r="N169" s="33"/>
    </row>
    <row r="170" ht="15.75" customHeight="1">
      <c r="A170" s="32"/>
      <c r="B170" s="32"/>
      <c r="C170" s="32"/>
      <c r="D170" s="32"/>
      <c r="E170" s="32"/>
      <c r="F170" s="33"/>
      <c r="G170" s="33"/>
      <c r="H170" s="33"/>
      <c r="I170" s="33"/>
      <c r="J170" s="34"/>
      <c r="K170" s="33"/>
      <c r="L170" s="33"/>
      <c r="M170" s="33"/>
      <c r="N170" s="33"/>
    </row>
    <row r="171" ht="15.75" customHeight="1">
      <c r="A171" s="32"/>
      <c r="B171" s="32"/>
      <c r="C171" s="32"/>
      <c r="D171" s="32"/>
      <c r="E171" s="32"/>
      <c r="F171" s="33"/>
      <c r="G171" s="33"/>
      <c r="H171" s="33"/>
      <c r="I171" s="33"/>
      <c r="J171" s="34"/>
      <c r="K171" s="33"/>
      <c r="L171" s="33"/>
      <c r="M171" s="33"/>
      <c r="N171" s="33"/>
    </row>
    <row r="172" ht="15.75" customHeight="1">
      <c r="A172" s="32"/>
      <c r="B172" s="32"/>
      <c r="C172" s="32"/>
      <c r="D172" s="32"/>
      <c r="E172" s="32"/>
      <c r="F172" s="33"/>
      <c r="G172" s="33"/>
      <c r="H172" s="33"/>
      <c r="I172" s="33"/>
      <c r="J172" s="34"/>
      <c r="K172" s="33"/>
      <c r="L172" s="33"/>
      <c r="M172" s="33"/>
      <c r="N172" s="33"/>
    </row>
    <row r="173" ht="15.75" customHeight="1">
      <c r="A173" s="32"/>
      <c r="B173" s="32"/>
      <c r="C173" s="32"/>
      <c r="D173" s="32"/>
      <c r="E173" s="32"/>
      <c r="F173" s="33"/>
      <c r="G173" s="33"/>
      <c r="H173" s="33"/>
      <c r="I173" s="33"/>
      <c r="J173" s="34"/>
      <c r="K173" s="33"/>
      <c r="L173" s="33"/>
      <c r="M173" s="33"/>
      <c r="N173" s="33"/>
    </row>
    <row r="174" ht="15.75" customHeight="1">
      <c r="A174" s="32"/>
      <c r="B174" s="32"/>
      <c r="C174" s="32"/>
      <c r="D174" s="32"/>
      <c r="E174" s="32"/>
      <c r="F174" s="33"/>
      <c r="G174" s="33"/>
      <c r="H174" s="33"/>
      <c r="I174" s="33"/>
      <c r="J174" s="34"/>
      <c r="K174" s="33"/>
      <c r="L174" s="33"/>
      <c r="M174" s="33"/>
      <c r="N174" s="33"/>
    </row>
    <row r="175" ht="15.75" customHeight="1">
      <c r="A175" s="32"/>
      <c r="B175" s="32"/>
      <c r="C175" s="32"/>
      <c r="D175" s="32"/>
      <c r="E175" s="32"/>
      <c r="F175" s="33"/>
      <c r="G175" s="33"/>
      <c r="H175" s="33"/>
      <c r="I175" s="33"/>
      <c r="J175" s="34"/>
      <c r="K175" s="33"/>
      <c r="L175" s="33"/>
      <c r="M175" s="33"/>
      <c r="N175" s="33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A184" s="32"/>
      <c r="B184" s="32"/>
      <c r="C184" s="32"/>
      <c r="D184" s="32"/>
      <c r="E184" s="32"/>
      <c r="J184" s="34"/>
    </row>
    <row r="185" ht="15.75" customHeight="1">
      <c r="A185" s="32"/>
      <c r="B185" s="32"/>
      <c r="C185" s="32"/>
      <c r="D185" s="32"/>
      <c r="E185" s="32"/>
      <c r="J185" s="34"/>
    </row>
    <row r="186" ht="15.75" customHeight="1">
      <c r="A186" s="32"/>
      <c r="B186" s="32"/>
      <c r="C186" s="32"/>
      <c r="D186" s="32"/>
      <c r="E186" s="32"/>
      <c r="J186" s="34"/>
    </row>
    <row r="187" ht="15.75" customHeight="1">
      <c r="A187" s="32"/>
      <c r="B187" s="32"/>
      <c r="C187" s="32"/>
      <c r="D187" s="32"/>
      <c r="E187" s="32"/>
      <c r="J187" s="34"/>
    </row>
    <row r="188" ht="15.75" customHeight="1">
      <c r="A188" s="32"/>
      <c r="B188" s="32"/>
      <c r="C188" s="32"/>
      <c r="D188" s="32"/>
      <c r="E188" s="32"/>
      <c r="J188" s="34"/>
    </row>
    <row r="189" ht="15.75" customHeight="1">
      <c r="A189" s="32"/>
      <c r="B189" s="32"/>
      <c r="C189" s="32"/>
      <c r="D189" s="32"/>
      <c r="E189" s="32"/>
      <c r="J189" s="34"/>
    </row>
    <row r="190" ht="15.75" customHeight="1">
      <c r="A190" s="32"/>
      <c r="B190" s="32"/>
      <c r="C190" s="32"/>
      <c r="D190" s="32"/>
      <c r="E190" s="32"/>
      <c r="J190" s="34"/>
    </row>
    <row r="191" ht="15.75" customHeight="1">
      <c r="A191" s="32"/>
      <c r="B191" s="32"/>
      <c r="C191" s="32"/>
      <c r="D191" s="32"/>
      <c r="E191" s="32"/>
      <c r="J191" s="34"/>
    </row>
    <row r="192" ht="15.75" customHeight="1">
      <c r="A192" s="32"/>
      <c r="B192" s="32"/>
      <c r="C192" s="32"/>
      <c r="D192" s="32"/>
      <c r="E192" s="32"/>
      <c r="J192" s="34"/>
    </row>
    <row r="193" ht="15.75" customHeight="1">
      <c r="A193" s="32"/>
      <c r="B193" s="32"/>
      <c r="C193" s="32"/>
      <c r="D193" s="32"/>
      <c r="E193" s="32"/>
      <c r="J193" s="34"/>
    </row>
    <row r="194" ht="15.75" customHeight="1">
      <c r="A194" s="32"/>
      <c r="B194" s="32"/>
      <c r="C194" s="32"/>
      <c r="D194" s="32"/>
      <c r="E194" s="32"/>
      <c r="J194" s="34"/>
    </row>
    <row r="195" ht="15.75" customHeight="1">
      <c r="A195" s="32"/>
      <c r="B195" s="32"/>
      <c r="C195" s="32"/>
      <c r="D195" s="32"/>
      <c r="E195" s="32"/>
      <c r="J195" s="34"/>
    </row>
    <row r="196" ht="15.75" customHeight="1">
      <c r="A196" s="32"/>
      <c r="B196" s="32"/>
      <c r="C196" s="32"/>
      <c r="D196" s="32"/>
      <c r="E196" s="32"/>
      <c r="J196" s="34"/>
    </row>
    <row r="197" ht="15.75" customHeight="1">
      <c r="A197" s="32"/>
      <c r="B197" s="32"/>
      <c r="C197" s="32"/>
      <c r="D197" s="32"/>
      <c r="E197" s="32"/>
      <c r="J197" s="34"/>
    </row>
    <row r="198" ht="15.75" customHeight="1">
      <c r="A198" s="32"/>
      <c r="B198" s="32"/>
      <c r="C198" s="32"/>
      <c r="D198" s="32"/>
      <c r="E198" s="32"/>
      <c r="J198" s="34"/>
    </row>
    <row r="199" ht="15.75" customHeight="1">
      <c r="A199" s="32"/>
      <c r="B199" s="32"/>
      <c r="C199" s="32"/>
      <c r="D199" s="32"/>
      <c r="E199" s="32"/>
      <c r="J199" s="34"/>
    </row>
    <row r="200" ht="15.75" customHeight="1">
      <c r="A200" s="32"/>
      <c r="B200" s="32"/>
      <c r="C200" s="32"/>
      <c r="D200" s="32"/>
      <c r="E200" s="32"/>
      <c r="J200" s="34"/>
    </row>
    <row r="201" ht="15.75" customHeight="1">
      <c r="A201" s="32"/>
      <c r="B201" s="32"/>
      <c r="C201" s="32"/>
      <c r="D201" s="32"/>
      <c r="E201" s="32"/>
      <c r="J201" s="34"/>
    </row>
    <row r="202" ht="15.75" customHeight="1">
      <c r="A202" s="32"/>
      <c r="B202" s="32"/>
      <c r="C202" s="32"/>
      <c r="D202" s="32"/>
      <c r="E202" s="32"/>
      <c r="J202" s="34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A238" s="32"/>
      <c r="B238" s="32"/>
      <c r="C238" s="32"/>
      <c r="D238" s="32"/>
      <c r="E238" s="32"/>
      <c r="J238" s="34"/>
    </row>
    <row r="239" ht="15.75" customHeight="1">
      <c r="A239" s="32"/>
      <c r="B239" s="32"/>
      <c r="C239" s="32"/>
      <c r="D239" s="32"/>
      <c r="E239" s="32"/>
      <c r="J239" s="34"/>
    </row>
    <row r="240" ht="15.75" customHeight="1">
      <c r="A240" s="32"/>
      <c r="B240" s="32"/>
      <c r="C240" s="32"/>
      <c r="D240" s="32"/>
      <c r="E240" s="32"/>
      <c r="J240" s="34"/>
    </row>
    <row r="241" ht="15.75" customHeight="1">
      <c r="A241" s="32"/>
      <c r="B241" s="32"/>
      <c r="C241" s="32"/>
      <c r="D241" s="32"/>
      <c r="E241" s="32"/>
      <c r="J241" s="34"/>
    </row>
    <row r="242" ht="15.75" customHeight="1">
      <c r="A242" s="32"/>
      <c r="B242" s="32"/>
      <c r="C242" s="32"/>
      <c r="D242" s="32"/>
      <c r="E242" s="32"/>
      <c r="J242" s="34"/>
    </row>
    <row r="243" ht="15.75" customHeight="1">
      <c r="A243" s="32"/>
      <c r="B243" s="32"/>
      <c r="C243" s="32"/>
      <c r="D243" s="32"/>
      <c r="E243" s="32"/>
      <c r="J243" s="34"/>
    </row>
    <row r="244" ht="15.75" customHeight="1">
      <c r="A244" s="32"/>
      <c r="B244" s="32"/>
      <c r="C244" s="32"/>
      <c r="D244" s="32"/>
      <c r="E244" s="32"/>
      <c r="J244" s="34"/>
    </row>
    <row r="245" ht="15.75" customHeight="1">
      <c r="A245" s="32"/>
      <c r="B245" s="32"/>
      <c r="C245" s="32"/>
      <c r="D245" s="32"/>
      <c r="E245" s="32"/>
      <c r="J245" s="34"/>
    </row>
    <row r="246" ht="15.75" customHeight="1">
      <c r="A246" s="32"/>
      <c r="B246" s="32"/>
      <c r="C246" s="32"/>
      <c r="D246" s="32"/>
      <c r="E246" s="32"/>
      <c r="J246" s="34"/>
    </row>
    <row r="247" ht="15.75" customHeight="1">
      <c r="A247" s="32"/>
      <c r="B247" s="32"/>
      <c r="C247" s="32"/>
      <c r="D247" s="32"/>
      <c r="E247" s="32"/>
      <c r="J247" s="34"/>
    </row>
    <row r="248" ht="15.75" customHeight="1">
      <c r="A248" s="32"/>
      <c r="B248" s="32"/>
      <c r="C248" s="32"/>
      <c r="D248" s="32"/>
      <c r="E248" s="32"/>
      <c r="J248" s="34"/>
    </row>
    <row r="249" ht="15.75" customHeight="1">
      <c r="A249" s="32"/>
      <c r="B249" s="32"/>
      <c r="C249" s="32"/>
      <c r="D249" s="32"/>
      <c r="E249" s="32"/>
      <c r="J249" s="34"/>
    </row>
    <row r="250" ht="15.75" customHeight="1">
      <c r="A250" s="32"/>
      <c r="B250" s="32"/>
      <c r="C250" s="32"/>
      <c r="D250" s="32"/>
      <c r="E250" s="32"/>
      <c r="J250" s="34"/>
    </row>
    <row r="251" ht="15.75" customHeight="1">
      <c r="A251" s="32"/>
      <c r="B251" s="32"/>
      <c r="C251" s="32"/>
      <c r="D251" s="32"/>
      <c r="E251" s="32"/>
      <c r="J251" s="34"/>
    </row>
    <row r="252" ht="15.75" customHeight="1">
      <c r="A252" s="32"/>
      <c r="B252" s="32"/>
      <c r="C252" s="32"/>
      <c r="D252" s="32"/>
      <c r="E252" s="32"/>
      <c r="J252" s="34"/>
    </row>
    <row r="253" ht="15.75" customHeight="1">
      <c r="A253" s="32"/>
      <c r="B253" s="32"/>
      <c r="C253" s="32"/>
      <c r="D253" s="32"/>
      <c r="E253" s="32"/>
      <c r="J253" s="34"/>
    </row>
    <row r="254" ht="15.75" customHeight="1">
      <c r="A254" s="32"/>
      <c r="B254" s="32"/>
      <c r="C254" s="32"/>
      <c r="D254" s="32"/>
      <c r="E254" s="32"/>
      <c r="J254" s="34"/>
    </row>
    <row r="255" ht="15.75" customHeight="1">
      <c r="A255" s="32"/>
      <c r="B255" s="32"/>
      <c r="C255" s="32"/>
      <c r="D255" s="32"/>
      <c r="E255" s="32"/>
      <c r="J255" s="34"/>
    </row>
    <row r="256" ht="15.75" customHeight="1">
      <c r="A256" s="32"/>
      <c r="B256" s="32"/>
      <c r="C256" s="32"/>
      <c r="D256" s="32"/>
      <c r="E256" s="32"/>
      <c r="J256" s="34"/>
    </row>
    <row r="257" ht="15.75" customHeight="1">
      <c r="A257" s="32"/>
      <c r="B257" s="32"/>
      <c r="C257" s="32"/>
      <c r="D257" s="32"/>
      <c r="E257" s="32"/>
      <c r="J257" s="34"/>
    </row>
    <row r="258" ht="15.75" customHeight="1">
      <c r="A258" s="32"/>
      <c r="B258" s="32"/>
      <c r="C258" s="32"/>
      <c r="D258" s="32"/>
      <c r="E258" s="32"/>
      <c r="J258" s="34"/>
    </row>
    <row r="259" ht="15.75" customHeight="1">
      <c r="A259" s="32"/>
      <c r="B259" s="32"/>
      <c r="C259" s="32"/>
      <c r="D259" s="32"/>
      <c r="E259" s="32"/>
      <c r="J259" s="34"/>
    </row>
    <row r="260" ht="15.75" customHeight="1">
      <c r="A260" s="32"/>
      <c r="B260" s="32"/>
      <c r="C260" s="32"/>
      <c r="D260" s="32"/>
      <c r="E260" s="32"/>
      <c r="J260" s="34"/>
    </row>
    <row r="261" ht="15.75" customHeight="1">
      <c r="A261" s="32"/>
      <c r="B261" s="32"/>
      <c r="C261" s="32"/>
      <c r="D261" s="32"/>
      <c r="E261" s="32"/>
      <c r="J261" s="34"/>
    </row>
    <row r="262" ht="15.75" customHeight="1">
      <c r="A262" s="32"/>
      <c r="B262" s="32"/>
      <c r="C262" s="32"/>
      <c r="D262" s="32"/>
      <c r="E262" s="32"/>
      <c r="J262" s="34"/>
    </row>
    <row r="263" ht="15.75" customHeight="1">
      <c r="A263" s="32"/>
      <c r="B263" s="32"/>
      <c r="C263" s="32"/>
      <c r="D263" s="32"/>
      <c r="E263" s="32"/>
      <c r="J263" s="34"/>
    </row>
    <row r="264" ht="15.75" customHeight="1">
      <c r="A264" s="32"/>
      <c r="B264" s="32"/>
      <c r="C264" s="32"/>
      <c r="D264" s="32"/>
      <c r="E264" s="32"/>
      <c r="J264" s="34"/>
    </row>
    <row r="265" ht="15.75" customHeight="1">
      <c r="A265" s="32"/>
      <c r="B265" s="32"/>
      <c r="C265" s="32"/>
      <c r="D265" s="32"/>
      <c r="E265" s="32"/>
      <c r="J265" s="34"/>
    </row>
    <row r="266" ht="15.75" customHeight="1">
      <c r="A266" s="32"/>
      <c r="B266" s="32"/>
      <c r="C266" s="32"/>
      <c r="D266" s="32"/>
      <c r="E266" s="32"/>
      <c r="J266" s="34"/>
    </row>
    <row r="267" ht="15.75" customHeight="1">
      <c r="A267" s="32"/>
      <c r="B267" s="32"/>
      <c r="C267" s="32"/>
      <c r="D267" s="32"/>
      <c r="E267" s="32"/>
      <c r="J267" s="34"/>
    </row>
    <row r="268" ht="15.75" customHeight="1">
      <c r="A268" s="32"/>
      <c r="B268" s="32"/>
      <c r="C268" s="32"/>
      <c r="D268" s="32"/>
      <c r="E268" s="32"/>
      <c r="J268" s="34"/>
    </row>
    <row r="269" ht="15.75" customHeight="1">
      <c r="A269" s="32"/>
      <c r="B269" s="32"/>
      <c r="C269" s="32"/>
      <c r="D269" s="32"/>
      <c r="E269" s="32"/>
      <c r="J269" s="34"/>
    </row>
    <row r="270" ht="15.75" customHeight="1">
      <c r="A270" s="32"/>
      <c r="B270" s="32"/>
      <c r="C270" s="32"/>
      <c r="D270" s="32"/>
      <c r="E270" s="32"/>
      <c r="J270" s="34"/>
    </row>
    <row r="271" ht="15.75" customHeight="1">
      <c r="A271" s="32"/>
      <c r="B271" s="32"/>
      <c r="C271" s="32"/>
      <c r="D271" s="32"/>
      <c r="E271" s="32"/>
      <c r="J271" s="34"/>
    </row>
    <row r="272" ht="15.75" customHeight="1">
      <c r="A272" s="32"/>
      <c r="B272" s="32"/>
      <c r="C272" s="32"/>
      <c r="D272" s="32"/>
      <c r="E272" s="32"/>
      <c r="J272" s="34"/>
    </row>
    <row r="273" ht="15.75" customHeight="1">
      <c r="A273" s="32"/>
      <c r="B273" s="32"/>
      <c r="C273" s="32"/>
      <c r="D273" s="32"/>
      <c r="E273" s="32"/>
      <c r="J273" s="34"/>
    </row>
    <row r="274" ht="15.75" customHeight="1">
      <c r="A274" s="32"/>
      <c r="B274" s="32"/>
      <c r="C274" s="32"/>
      <c r="D274" s="32"/>
      <c r="E274" s="32"/>
      <c r="J274" s="34"/>
    </row>
    <row r="275" ht="15.75" customHeight="1">
      <c r="A275" s="32"/>
      <c r="B275" s="32"/>
      <c r="C275" s="32"/>
      <c r="D275" s="32"/>
      <c r="E275" s="32"/>
      <c r="J275" s="34"/>
    </row>
    <row r="276" ht="15.75" customHeight="1">
      <c r="A276" s="32"/>
      <c r="B276" s="32"/>
      <c r="C276" s="32"/>
      <c r="D276" s="32"/>
      <c r="E276" s="32"/>
      <c r="J276" s="34"/>
    </row>
    <row r="277" ht="15.75" customHeight="1">
      <c r="A277" s="32"/>
      <c r="B277" s="32"/>
      <c r="C277" s="32"/>
      <c r="D277" s="32"/>
      <c r="E277" s="32"/>
      <c r="J277" s="34"/>
    </row>
    <row r="278" ht="15.75" customHeight="1">
      <c r="A278" s="32"/>
      <c r="B278" s="32"/>
      <c r="C278" s="32"/>
      <c r="D278" s="32"/>
      <c r="E278" s="32"/>
      <c r="J278" s="34"/>
    </row>
    <row r="279" ht="15.75" customHeight="1">
      <c r="A279" s="32"/>
      <c r="B279" s="32"/>
      <c r="C279" s="32"/>
      <c r="D279" s="32"/>
      <c r="E279" s="32"/>
      <c r="J279" s="34"/>
    </row>
    <row r="280" ht="15.75" customHeight="1">
      <c r="A280" s="32"/>
      <c r="B280" s="32"/>
      <c r="C280" s="32"/>
      <c r="D280" s="32"/>
      <c r="E280" s="32"/>
      <c r="J280" s="34"/>
    </row>
    <row r="281" ht="15.75" customHeight="1">
      <c r="A281" s="32"/>
      <c r="B281" s="32"/>
      <c r="C281" s="32"/>
      <c r="D281" s="32"/>
      <c r="E281" s="32"/>
      <c r="J281" s="34"/>
    </row>
    <row r="282" ht="15.75" customHeight="1">
      <c r="A282" s="32"/>
      <c r="B282" s="32"/>
      <c r="C282" s="32"/>
      <c r="D282" s="32"/>
      <c r="E282" s="32"/>
      <c r="J282" s="34"/>
    </row>
    <row r="283" ht="15.75" customHeight="1">
      <c r="A283" s="32"/>
      <c r="B283" s="32"/>
      <c r="C283" s="32"/>
      <c r="D283" s="32"/>
      <c r="E283" s="32"/>
      <c r="J283" s="34"/>
    </row>
    <row r="284" ht="15.75" customHeight="1">
      <c r="A284" s="32"/>
      <c r="B284" s="32"/>
      <c r="C284" s="32"/>
      <c r="D284" s="32"/>
      <c r="E284" s="32"/>
      <c r="J284" s="34"/>
    </row>
    <row r="285" ht="15.75" customHeight="1">
      <c r="A285" s="32"/>
      <c r="B285" s="32"/>
      <c r="C285" s="32"/>
      <c r="D285" s="32"/>
      <c r="E285" s="32"/>
      <c r="J285" s="34"/>
    </row>
    <row r="286" ht="15.75" customHeight="1">
      <c r="A286" s="32"/>
      <c r="B286" s="32"/>
      <c r="C286" s="32"/>
      <c r="D286" s="32"/>
      <c r="E286" s="32"/>
      <c r="J286" s="34"/>
    </row>
    <row r="287" ht="15.75" customHeight="1">
      <c r="A287" s="32"/>
      <c r="B287" s="32"/>
      <c r="C287" s="32"/>
      <c r="D287" s="32"/>
      <c r="E287" s="32"/>
      <c r="J287" s="34"/>
    </row>
    <row r="288" ht="15.75" customHeight="1">
      <c r="A288" s="32"/>
      <c r="B288" s="32"/>
      <c r="C288" s="32"/>
      <c r="D288" s="32"/>
      <c r="E288" s="32"/>
      <c r="J288" s="34"/>
    </row>
    <row r="289" ht="15.75" customHeight="1">
      <c r="A289" s="32"/>
      <c r="B289" s="32"/>
      <c r="C289" s="32"/>
      <c r="D289" s="32"/>
      <c r="E289" s="32"/>
      <c r="J289" s="34"/>
    </row>
    <row r="290" ht="15.75" customHeight="1">
      <c r="A290" s="32"/>
      <c r="B290" s="32"/>
      <c r="C290" s="32"/>
      <c r="D290" s="32"/>
      <c r="E290" s="32"/>
      <c r="J290" s="34"/>
    </row>
    <row r="291" ht="15.75" customHeight="1">
      <c r="A291" s="32"/>
      <c r="B291" s="32"/>
      <c r="C291" s="32"/>
      <c r="D291" s="32"/>
      <c r="E291" s="32"/>
      <c r="J291" s="34"/>
    </row>
    <row r="292" ht="15.75" customHeight="1">
      <c r="A292" s="32"/>
      <c r="B292" s="32"/>
      <c r="C292" s="32"/>
      <c r="D292" s="32"/>
      <c r="E292" s="32"/>
      <c r="J292" s="34"/>
    </row>
    <row r="293" ht="15.75" customHeight="1">
      <c r="A293" s="32"/>
      <c r="B293" s="32"/>
      <c r="C293" s="32"/>
      <c r="D293" s="32"/>
      <c r="E293" s="32"/>
      <c r="J293" s="34"/>
    </row>
    <row r="294" ht="15.75" customHeight="1">
      <c r="A294" s="32"/>
      <c r="B294" s="32"/>
      <c r="C294" s="32"/>
      <c r="D294" s="32"/>
      <c r="E294" s="32"/>
      <c r="J294" s="34"/>
    </row>
    <row r="295" ht="15.75" customHeight="1">
      <c r="A295" s="32"/>
      <c r="B295" s="32"/>
      <c r="C295" s="32"/>
      <c r="D295" s="32"/>
      <c r="E295" s="32"/>
      <c r="J295" s="34"/>
    </row>
    <row r="296" ht="15.75" customHeight="1">
      <c r="A296" s="32"/>
      <c r="B296" s="32"/>
      <c r="C296" s="32"/>
      <c r="D296" s="32"/>
      <c r="E296" s="32"/>
      <c r="J296" s="34"/>
    </row>
    <row r="297" ht="15.75" customHeight="1">
      <c r="A297" s="32"/>
      <c r="B297" s="32"/>
      <c r="C297" s="32"/>
      <c r="D297" s="32"/>
      <c r="E297" s="32"/>
      <c r="J297" s="34"/>
    </row>
    <row r="298" ht="15.75" customHeight="1">
      <c r="A298" s="32"/>
      <c r="B298" s="32"/>
      <c r="C298" s="32"/>
      <c r="D298" s="32"/>
      <c r="E298" s="32"/>
      <c r="J298" s="34"/>
    </row>
    <row r="299" ht="15.75" customHeight="1">
      <c r="A299" s="32"/>
      <c r="B299" s="32"/>
      <c r="C299" s="32"/>
      <c r="D299" s="32"/>
      <c r="E299" s="32"/>
      <c r="J299" s="34"/>
    </row>
    <row r="300" ht="15.75" customHeight="1">
      <c r="A300" s="32"/>
      <c r="B300" s="32"/>
      <c r="C300" s="32"/>
      <c r="D300" s="32"/>
      <c r="E300" s="32"/>
      <c r="J300" s="34"/>
    </row>
    <row r="301" ht="15.75" customHeight="1">
      <c r="A301" s="32"/>
      <c r="B301" s="32"/>
      <c r="C301" s="32"/>
      <c r="D301" s="32"/>
      <c r="E301" s="32"/>
      <c r="J301" s="34"/>
    </row>
    <row r="302" ht="15.75" customHeight="1">
      <c r="A302" s="32"/>
      <c r="B302" s="32"/>
      <c r="C302" s="32"/>
      <c r="D302" s="32"/>
      <c r="E302" s="32"/>
      <c r="J302" s="34"/>
    </row>
    <row r="303" ht="15.75" customHeight="1">
      <c r="A303" s="32"/>
      <c r="B303" s="32"/>
      <c r="C303" s="32"/>
      <c r="D303" s="32"/>
      <c r="E303" s="32"/>
      <c r="J303" s="34"/>
    </row>
    <row r="304" ht="15.75" customHeight="1">
      <c r="A304" s="32"/>
      <c r="B304" s="32"/>
      <c r="C304" s="32"/>
      <c r="D304" s="32"/>
      <c r="E304" s="32"/>
      <c r="J304" s="34"/>
    </row>
    <row r="305" ht="15.75" customHeight="1">
      <c r="A305" s="32"/>
      <c r="B305" s="32"/>
      <c r="C305" s="32"/>
      <c r="D305" s="32"/>
      <c r="E305" s="32"/>
      <c r="J305" s="34"/>
    </row>
    <row r="306" ht="15.75" customHeight="1">
      <c r="A306" s="32"/>
      <c r="B306" s="32"/>
      <c r="C306" s="32"/>
      <c r="D306" s="32"/>
      <c r="E306" s="32"/>
      <c r="J306" s="34"/>
    </row>
    <row r="307" ht="15.75" customHeight="1">
      <c r="A307" s="32"/>
      <c r="B307" s="32"/>
      <c r="C307" s="32"/>
      <c r="D307" s="32"/>
      <c r="E307" s="32"/>
      <c r="J307" s="34"/>
    </row>
    <row r="308" ht="15.75" customHeight="1">
      <c r="A308" s="32"/>
      <c r="B308" s="32"/>
      <c r="C308" s="32"/>
      <c r="D308" s="32"/>
      <c r="E308" s="32"/>
      <c r="J308" s="34"/>
    </row>
    <row r="309" ht="15.75" customHeight="1">
      <c r="A309" s="32"/>
      <c r="B309" s="32"/>
      <c r="C309" s="32"/>
      <c r="D309" s="32"/>
      <c r="E309" s="32"/>
      <c r="J309" s="34"/>
    </row>
    <row r="310" ht="15.75" customHeight="1">
      <c r="A310" s="32"/>
      <c r="B310" s="32"/>
      <c r="C310" s="32"/>
      <c r="D310" s="32"/>
      <c r="E310" s="32"/>
      <c r="J310" s="34"/>
    </row>
    <row r="311" ht="15.75" customHeight="1">
      <c r="A311" s="32"/>
      <c r="B311" s="32"/>
      <c r="C311" s="32"/>
      <c r="D311" s="32"/>
      <c r="E311" s="32"/>
      <c r="J311" s="34"/>
    </row>
    <row r="312" ht="15.75" customHeight="1">
      <c r="A312" s="32"/>
      <c r="B312" s="32"/>
      <c r="C312" s="32"/>
      <c r="D312" s="32"/>
      <c r="E312" s="32"/>
      <c r="J312" s="34"/>
    </row>
    <row r="313" ht="15.75" customHeight="1">
      <c r="A313" s="32"/>
      <c r="B313" s="32"/>
      <c r="C313" s="32"/>
      <c r="D313" s="32"/>
      <c r="E313" s="32"/>
      <c r="J313" s="34"/>
    </row>
    <row r="314" ht="15.75" customHeight="1">
      <c r="A314" s="32"/>
      <c r="B314" s="32"/>
      <c r="C314" s="32"/>
      <c r="D314" s="32"/>
      <c r="E314" s="32"/>
      <c r="J314" s="34"/>
    </row>
    <row r="315" ht="15.75" customHeight="1">
      <c r="A315" s="32"/>
      <c r="B315" s="32"/>
      <c r="C315" s="32"/>
      <c r="D315" s="32"/>
      <c r="E315" s="32"/>
      <c r="J315" s="34"/>
    </row>
    <row r="316" ht="15.75" customHeight="1">
      <c r="A316" s="32"/>
      <c r="B316" s="32"/>
      <c r="C316" s="32"/>
      <c r="D316" s="32"/>
      <c r="E316" s="32"/>
      <c r="J316" s="34"/>
    </row>
    <row r="317" ht="15.75" customHeight="1">
      <c r="A317" s="32"/>
      <c r="B317" s="32"/>
      <c r="C317" s="32"/>
      <c r="D317" s="32"/>
      <c r="E317" s="32"/>
      <c r="J317" s="34"/>
    </row>
    <row r="318" ht="15.75" customHeight="1">
      <c r="A318" s="32"/>
      <c r="B318" s="32"/>
      <c r="C318" s="32"/>
      <c r="D318" s="32"/>
      <c r="E318" s="32"/>
      <c r="J318" s="34"/>
    </row>
    <row r="319" ht="15.75" customHeight="1">
      <c r="J319" s="34"/>
    </row>
    <row r="320" ht="15.75" customHeight="1">
      <c r="J320" s="34"/>
    </row>
    <row r="321" ht="15.75" customHeight="1">
      <c r="J321" s="34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J5:J31"/>
    <mergeCell ref="J32:J58"/>
    <mergeCell ref="J59:J85"/>
    <mergeCell ref="J86:J112"/>
    <mergeCell ref="J113:J139"/>
    <mergeCell ref="J140:J166"/>
    <mergeCell ref="A2:B2"/>
    <mergeCell ref="D2:J2"/>
    <mergeCell ref="L2:M3"/>
    <mergeCell ref="D5:D31"/>
    <mergeCell ref="E5:E31"/>
    <mergeCell ref="D32:D58"/>
    <mergeCell ref="E32:E58"/>
    <mergeCell ref="E140:E166"/>
    <mergeCell ref="D167:I167"/>
    <mergeCell ref="D59:D85"/>
    <mergeCell ref="E59:E85"/>
    <mergeCell ref="D86:D112"/>
    <mergeCell ref="E86:E112"/>
    <mergeCell ref="D113:D139"/>
    <mergeCell ref="E113:E139"/>
    <mergeCell ref="D140:D16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78</v>
      </c>
      <c r="F5" s="55" t="s">
        <v>22</v>
      </c>
      <c r="G5" s="56">
        <v>0.25</v>
      </c>
      <c r="H5" s="57">
        <f>VLOOKUP(F5,$A$4:$B$4,2,TRUE)</f>
        <v>4000</v>
      </c>
      <c r="I5" s="58">
        <f t="shared" ref="I5:I301" si="1">G5*H5</f>
        <v>1000</v>
      </c>
      <c r="J5" s="59">
        <f>SUM(I5:I31)</f>
        <v>3000</v>
      </c>
      <c r="K5" s="33"/>
      <c r="L5" s="55" t="s">
        <v>22</v>
      </c>
      <c r="M5" s="51">
        <f>SUMIF(F5:F301,"Gelas bersih",G5:G301)</f>
        <v>0.75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/>
      <c r="H6" s="61">
        <f>VLOOKUP(F6,$A$5:$B$5,2,TRUE)</f>
        <v>3000</v>
      </c>
      <c r="I6" s="58">
        <f t="shared" si="1"/>
        <v>0</v>
      </c>
      <c r="J6" s="60"/>
      <c r="K6" s="33"/>
      <c r="L6" s="55" t="s">
        <v>57</v>
      </c>
      <c r="M6" s="51">
        <f>SUMIF(F6:F302,"Botol bersih",G6:G302)</f>
        <v>3.5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SUMIF(F7:F302,"Botol Warna",G7:G302)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SUMIF(F8:F303,"Tutup botol",G8:G303)</f>
        <v>0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SUMIF(F9:F304,"Tutup galon",G9:G304)</f>
        <v>0.5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1.5</v>
      </c>
      <c r="H10" s="61">
        <f>VLOOKUP(F10,$A$9:$B$9,2,TRUE)</f>
        <v>1000</v>
      </c>
      <c r="I10" s="58">
        <f t="shared" si="1"/>
        <v>1500</v>
      </c>
      <c r="J10" s="60"/>
      <c r="K10" s="33"/>
      <c r="L10" s="55" t="s">
        <v>27</v>
      </c>
      <c r="M10" s="51">
        <f>SUMIF(F10:F305,"Hitam",G10:G305)</f>
        <v>25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SUMIF(F11:F306,"Plastik Campur",G11:G306)</f>
        <v>16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SUMIF(F12:F307,"Kardus",G12:G307)</f>
        <v>43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SUMIF(F13:F308,"Kertas Putihan/ HVS",G13:G308)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SUMIF(F14:F309,"Koran/Buku",G14:G309)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v>1.0</v>
      </c>
      <c r="H15" s="61">
        <f>VLOOKUP(F15,$A$14:$B$14,2,TRUE)</f>
        <v>500</v>
      </c>
      <c r="I15" s="58">
        <f t="shared" si="1"/>
        <v>500</v>
      </c>
      <c r="J15" s="60"/>
      <c r="K15" s="33"/>
      <c r="L15" s="55" t="s">
        <v>32</v>
      </c>
      <c r="M15" s="51">
        <f>SUMIF(F15:F310,"Duplex",G15:G310)</f>
        <v>5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SUMIF(F16:F311,"Alumunium",G16:G311)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SUMIF(F17:F312,"Besi",G17:G312)</f>
        <v>6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SUMIF(F18:F313,"Kaleng kue/susu",G18:G313)</f>
        <v>3.5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SUMIF(F19:F314,"Kaleng Minuman",G19:G314)</f>
        <v>0.5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SUMIF(F20:F315,"Stanless",G20:G315)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SUMIF(F21:F316,"Tembaga",G21:G316)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SUMIF(F22:F317,"Aki Motor",G22:G317)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SUMIF(F23:F318,"Paralon",G23:G318)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SUMIF(F24:F319,"Plastik bening",G24:G319)</f>
        <v>9.5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SUMIF(F25:F320,"Plastik Warna",G25:G320)</f>
        <v>0.5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SUMIF(F26:F321,"Selang",G26:G321)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SUMIF(F27:F322,"Beling",G27:G322)</f>
        <v>11.5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SUMIF(F28:F323,"Pecahan",G28:G323)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SUMIF(F29:F325,"Paku",G29:G325)</f>
        <v>0</v>
      </c>
      <c r="N29" s="33"/>
    </row>
    <row r="30" ht="15.75" customHeight="1">
      <c r="A30" s="44" t="s">
        <v>59</v>
      </c>
      <c r="B30" s="45"/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SUMIF(F30:F326,"Minyak Jelantah",G30:G326)</f>
        <v>1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1.0</v>
      </c>
      <c r="H31" s="61" t="str">
        <f>VLOOKUP(F30,$A$30:$B$30,2,TRUE)</f>
        <v/>
      </c>
      <c r="I31" s="58">
        <f t="shared" si="1"/>
        <v>0</v>
      </c>
      <c r="J31" s="18"/>
      <c r="K31" s="33"/>
      <c r="L31" s="55" t="s">
        <v>59</v>
      </c>
      <c r="M31" s="51">
        <f>SUMIF(F31:F327,"Lainnya",G31:G327)</f>
        <v>42</v>
      </c>
      <c r="N31" s="33"/>
    </row>
    <row r="32" ht="15.75" customHeight="1">
      <c r="A32" s="52"/>
      <c r="B32" s="52"/>
      <c r="C32" s="52"/>
      <c r="D32" s="53">
        <v>2.0</v>
      </c>
      <c r="E32" s="65" t="s">
        <v>79</v>
      </c>
      <c r="F32" s="55" t="s">
        <v>22</v>
      </c>
      <c r="G32" s="56"/>
      <c r="H32" s="57">
        <f>VLOOKUP(F32,$A$4:$B$4,2,TRUE)</f>
        <v>4000</v>
      </c>
      <c r="I32" s="58">
        <f t="shared" si="1"/>
        <v>0</v>
      </c>
      <c r="J32" s="59">
        <f>SUM(I32:I58)</f>
        <v>17300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/>
      <c r="H33" s="61">
        <f>VLOOKUP(F33,$A$5:$B$5,2,TRUE)</f>
        <v>3000</v>
      </c>
      <c r="I33" s="58">
        <f t="shared" si="1"/>
        <v>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/>
      <c r="H37" s="61">
        <f>VLOOKUP(F37,$A$9:$B$9,2,TRUE)</f>
        <v>1000</v>
      </c>
      <c r="I37" s="58">
        <f t="shared" si="1"/>
        <v>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>
        <v>7.0</v>
      </c>
      <c r="H38" s="61">
        <f>VLOOKUP(F38,$A$10:$B$10,2,TRUE)</f>
        <v>2000</v>
      </c>
      <c r="I38" s="58">
        <f t="shared" si="1"/>
        <v>14000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1">
        <f>VLOOKUP(F39,$A$11:$B$11,2,TRUE)</f>
        <v>1500</v>
      </c>
      <c r="I39" s="58">
        <f t="shared" si="1"/>
        <v>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1">
        <f>VLOOKUP(F42,$A$14:$B$14,2,TRUE)</f>
        <v>500</v>
      </c>
      <c r="I42" s="58">
        <f t="shared" si="1"/>
        <v>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>
        <v>1.5</v>
      </c>
      <c r="H45" s="61">
        <f>VLOOKUP(F45,$A$17:$B$17,2,TRUE)</f>
        <v>1000</v>
      </c>
      <c r="I45" s="58">
        <f t="shared" si="1"/>
        <v>1500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1">
        <f>VLOOKUP(F51,$A$23:$B$23,2,TRUE)</f>
        <v>500</v>
      </c>
      <c r="I51" s="58">
        <f t="shared" si="1"/>
        <v>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>
        <v>6.0</v>
      </c>
      <c r="H54" s="61">
        <f>VLOOKUP(F54,$A$26:$B$26,2,TRUE)</f>
        <v>300</v>
      </c>
      <c r="I54" s="58">
        <f t="shared" si="1"/>
        <v>1800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/>
      <c r="H58" s="61" t="str">
        <f>VLOOKUP(F57,$A$30:$B$30,2,TRUE)</f>
        <v/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80</v>
      </c>
      <c r="F59" s="55" t="s">
        <v>22</v>
      </c>
      <c r="G59" s="56"/>
      <c r="H59" s="57">
        <f>VLOOKUP(F59,$A$4:$B$4,2,TRUE)</f>
        <v>4000</v>
      </c>
      <c r="I59" s="58">
        <f t="shared" si="1"/>
        <v>0</v>
      </c>
      <c r="J59" s="59">
        <f>SUM(I59:I85)</f>
        <v>32250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>
        <v>1.0</v>
      </c>
      <c r="H60" s="61">
        <f>VLOOKUP(F60,$A$5:$B$5,2,TRUE)</f>
        <v>3000</v>
      </c>
      <c r="I60" s="58">
        <f t="shared" si="1"/>
        <v>3000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1">
        <f>VLOOKUP(F63,$A$8:$B$8,2,TRUE)</f>
        <v>3500</v>
      </c>
      <c r="I63" s="58">
        <f t="shared" si="1"/>
        <v>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/>
      <c r="H64" s="61">
        <f>VLOOKUP(F64,$A$9:$B$9,2,TRUE)</f>
        <v>1000</v>
      </c>
      <c r="I64" s="58">
        <f t="shared" si="1"/>
        <v>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>
        <v>3.5</v>
      </c>
      <c r="H65" s="61">
        <f>VLOOKUP(F65,$A$10:$B$10,2,TRUE)</f>
        <v>2000</v>
      </c>
      <c r="I65" s="58">
        <f t="shared" si="1"/>
        <v>7000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v>11.0</v>
      </c>
      <c r="H66" s="61">
        <f>VLOOKUP(F66,$A$11:$B$11,2,TRUE)</f>
        <v>1500</v>
      </c>
      <c r="I66" s="58">
        <f t="shared" si="1"/>
        <v>16500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>
        <v>1.5</v>
      </c>
      <c r="H69" s="61">
        <f>VLOOKUP(F69,$A$14:$B$14,2,TRUE)</f>
        <v>500</v>
      </c>
      <c r="I69" s="58">
        <f t="shared" si="1"/>
        <v>750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1">
        <f>VLOOKUP(F72,$A$17:$B$17,2,TRUE)</f>
        <v>1000</v>
      </c>
      <c r="I72" s="58">
        <f t="shared" si="1"/>
        <v>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>
        <v>0.5</v>
      </c>
      <c r="H78" s="61">
        <f>VLOOKUP(F78,$A$23:$B$23,2,TRUE)</f>
        <v>500</v>
      </c>
      <c r="I78" s="58">
        <f t="shared" si="1"/>
        <v>250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>
        <v>2.5</v>
      </c>
      <c r="H81" s="61">
        <f>VLOOKUP(F81,$A$26:$B$26,2,TRUE)</f>
        <v>300</v>
      </c>
      <c r="I81" s="58">
        <f t="shared" si="1"/>
        <v>750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>
        <v>1.0</v>
      </c>
      <c r="H84" s="61">
        <f>VLOOKUP(F83,$A$29:$B$29,2,TRUE)</f>
        <v>4000</v>
      </c>
      <c r="I84" s="58">
        <f t="shared" si="1"/>
        <v>4000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>
        <v>1.0</v>
      </c>
      <c r="H85" s="61" t="str">
        <f>VLOOKUP(F84,$A$30:$B$30,2,TRUE)</f>
        <v/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53">
        <v>4.0</v>
      </c>
      <c r="E86" s="65" t="s">
        <v>81</v>
      </c>
      <c r="F86" s="55" t="s">
        <v>22</v>
      </c>
      <c r="G86" s="56"/>
      <c r="H86" s="57">
        <f>VLOOKUP(F86,$A$4:$B$4,2,TRUE)</f>
        <v>4000</v>
      </c>
      <c r="I86" s="58">
        <f t="shared" si="1"/>
        <v>0</v>
      </c>
      <c r="J86" s="59">
        <f>SUM(I86:I112)</f>
        <v>17000</v>
      </c>
      <c r="K86" s="33"/>
      <c r="L86" s="33"/>
      <c r="M86" s="33"/>
      <c r="N86" s="33"/>
    </row>
    <row r="87" ht="15.75" customHeight="1">
      <c r="A87" s="52"/>
      <c r="B87" s="52"/>
      <c r="C87" s="52"/>
      <c r="D87" s="60"/>
      <c r="E87" s="60"/>
      <c r="F87" s="55" t="s">
        <v>57</v>
      </c>
      <c r="G87" s="56"/>
      <c r="H87" s="61">
        <f>VLOOKUP(F87,$A$5:$B$5,2,TRUE)</f>
        <v>3000</v>
      </c>
      <c r="I87" s="58">
        <f t="shared" si="1"/>
        <v>0</v>
      </c>
      <c r="J87" s="60"/>
      <c r="K87" s="33"/>
      <c r="L87" s="33"/>
      <c r="M87" s="33"/>
      <c r="N87" s="33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1">
        <f>VLOOKUP(F88,$A$6:$B$6,2,TRUE)</f>
        <v>1000</v>
      </c>
      <c r="I88" s="58">
        <f t="shared" si="1"/>
        <v>0</v>
      </c>
      <c r="J88" s="60"/>
      <c r="K88" s="33"/>
      <c r="L88" s="33"/>
      <c r="M88" s="33"/>
      <c r="N88" s="33"/>
    </row>
    <row r="89" ht="15.75" customHeight="1">
      <c r="A89" s="52"/>
      <c r="B89" s="52"/>
      <c r="C89" s="52"/>
      <c r="D89" s="60"/>
      <c r="E89" s="60"/>
      <c r="F89" s="55" t="s">
        <v>25</v>
      </c>
      <c r="G89" s="56"/>
      <c r="H89" s="61">
        <f>VLOOKUP(F89,$A$7:$B$7,2,TRUE)</f>
        <v>2800</v>
      </c>
      <c r="I89" s="58">
        <f t="shared" si="1"/>
        <v>0</v>
      </c>
      <c r="J89" s="60"/>
      <c r="K89" s="33"/>
      <c r="L89" s="33"/>
      <c r="M89" s="33"/>
      <c r="N89" s="33"/>
    </row>
    <row r="90" ht="15.75" customHeight="1">
      <c r="A90" s="52"/>
      <c r="B90" s="52"/>
      <c r="C90" s="52"/>
      <c r="D90" s="60"/>
      <c r="E90" s="60"/>
      <c r="F90" s="55" t="s">
        <v>26</v>
      </c>
      <c r="G90" s="56"/>
      <c r="H90" s="61">
        <f>VLOOKUP(F90,$A$8:$B$8,2,TRUE)</f>
        <v>3500</v>
      </c>
      <c r="I90" s="58">
        <f t="shared" si="1"/>
        <v>0</v>
      </c>
      <c r="J90" s="60"/>
      <c r="K90" s="33"/>
      <c r="L90" s="33"/>
      <c r="M90" s="33"/>
      <c r="N90" s="33"/>
    </row>
    <row r="91" ht="15.75" customHeight="1">
      <c r="A91" s="52"/>
      <c r="B91" s="52"/>
      <c r="C91" s="52"/>
      <c r="D91" s="60"/>
      <c r="E91" s="60"/>
      <c r="F91" s="55" t="s">
        <v>27</v>
      </c>
      <c r="G91" s="56">
        <v>9.0</v>
      </c>
      <c r="H91" s="61">
        <f>VLOOKUP(F91,$A$9:$B$9,2,TRUE)</f>
        <v>1000</v>
      </c>
      <c r="I91" s="58">
        <f t="shared" si="1"/>
        <v>9000</v>
      </c>
      <c r="J91" s="60"/>
      <c r="K91" s="33"/>
      <c r="L91" s="33"/>
      <c r="M91" s="33"/>
      <c r="N91" s="33"/>
    </row>
    <row r="92" ht="15.75" customHeight="1">
      <c r="A92" s="52"/>
      <c r="B92" s="52"/>
      <c r="C92" s="52"/>
      <c r="D92" s="60"/>
      <c r="E92" s="60"/>
      <c r="F92" s="55" t="s">
        <v>28</v>
      </c>
      <c r="G92" s="56">
        <v>4.0</v>
      </c>
      <c r="H92" s="61">
        <f>VLOOKUP(F92,$A$10:$B$10,2,TRUE)</f>
        <v>2000</v>
      </c>
      <c r="I92" s="58">
        <f t="shared" si="1"/>
        <v>8000</v>
      </c>
      <c r="J92" s="60"/>
      <c r="K92" s="33"/>
      <c r="L92" s="33"/>
      <c r="M92" s="33"/>
      <c r="N92" s="33"/>
    </row>
    <row r="93" ht="15.75" customHeight="1">
      <c r="A93" s="52"/>
      <c r="B93" s="52"/>
      <c r="C93" s="52"/>
      <c r="D93" s="60"/>
      <c r="E93" s="60"/>
      <c r="F93" s="55" t="s">
        <v>29</v>
      </c>
      <c r="G93" s="56"/>
      <c r="H93" s="61">
        <f>VLOOKUP(F93,$A$11:$B$11,2,TRUE)</f>
        <v>1500</v>
      </c>
      <c r="I93" s="58">
        <f t="shared" si="1"/>
        <v>0</v>
      </c>
      <c r="J93" s="60"/>
      <c r="K93" s="33"/>
      <c r="L93" s="33"/>
      <c r="M93" s="33"/>
      <c r="N93" s="33"/>
    </row>
    <row r="94" ht="15.75" customHeight="1">
      <c r="A94" s="52"/>
      <c r="B94" s="52"/>
      <c r="C94" s="52"/>
      <c r="D94" s="60"/>
      <c r="E94" s="60"/>
      <c r="F94" s="55" t="s">
        <v>30</v>
      </c>
      <c r="G94" s="56"/>
      <c r="H94" s="61">
        <f>VLOOKUP(F94,$A$12:$B$12,2,TRUE)</f>
        <v>1300</v>
      </c>
      <c r="I94" s="58">
        <f t="shared" si="1"/>
        <v>0</v>
      </c>
      <c r="J94" s="60"/>
      <c r="K94" s="33"/>
      <c r="L94" s="33"/>
      <c r="M94" s="33"/>
      <c r="N94" s="33"/>
    </row>
    <row r="95" ht="15.75" customHeight="1">
      <c r="A95" s="52"/>
      <c r="B95" s="52"/>
      <c r="C95" s="52"/>
      <c r="D95" s="60"/>
      <c r="E95" s="60"/>
      <c r="F95" s="55" t="s">
        <v>31</v>
      </c>
      <c r="G95" s="56"/>
      <c r="H95" s="61">
        <f>VLOOKUP(F95,$A$13:$B$13,2,TRUE)</f>
        <v>1000</v>
      </c>
      <c r="I95" s="58">
        <f t="shared" si="1"/>
        <v>0</v>
      </c>
      <c r="J95" s="60"/>
      <c r="K95" s="33"/>
      <c r="L95" s="33"/>
      <c r="M95" s="33"/>
      <c r="N95" s="33"/>
    </row>
    <row r="96" ht="15.75" customHeight="1">
      <c r="A96" s="52"/>
      <c r="B96" s="52"/>
      <c r="C96" s="52"/>
      <c r="D96" s="60"/>
      <c r="E96" s="60"/>
      <c r="F96" s="55" t="s">
        <v>32</v>
      </c>
      <c r="G96" s="56"/>
      <c r="H96" s="61">
        <f>VLOOKUP(F96,$A$14:$B$14,2,TRUE)</f>
        <v>500</v>
      </c>
      <c r="I96" s="58">
        <f t="shared" si="1"/>
        <v>0</v>
      </c>
      <c r="J96" s="60"/>
      <c r="K96" s="33"/>
      <c r="L96" s="33"/>
      <c r="M96" s="33"/>
      <c r="N96" s="33"/>
    </row>
    <row r="97" ht="15.75" customHeight="1">
      <c r="A97" s="52"/>
      <c r="B97" s="52"/>
      <c r="C97" s="52"/>
      <c r="D97" s="60"/>
      <c r="E97" s="60"/>
      <c r="F97" s="55" t="s">
        <v>33</v>
      </c>
      <c r="G97" s="56"/>
      <c r="H97" s="61">
        <f>VLOOKUP(F97,$A$15:$B$15,2,TRUE)</f>
        <v>7500</v>
      </c>
      <c r="I97" s="58">
        <f t="shared" si="1"/>
        <v>0</v>
      </c>
      <c r="J97" s="60"/>
      <c r="K97" s="33"/>
      <c r="L97" s="33"/>
      <c r="M97" s="33"/>
      <c r="N97" s="33"/>
    </row>
    <row r="98" ht="15.75" customHeight="1">
      <c r="A98" s="52"/>
      <c r="B98" s="52"/>
      <c r="C98" s="52"/>
      <c r="D98" s="60"/>
      <c r="E98" s="60"/>
      <c r="F98" s="55" t="s">
        <v>34</v>
      </c>
      <c r="G98" s="56"/>
      <c r="H98" s="61">
        <f>VLOOKUP(F98,$A$16:$B$16,2,TRUE)</f>
        <v>2000</v>
      </c>
      <c r="I98" s="58">
        <f t="shared" si="1"/>
        <v>0</v>
      </c>
      <c r="J98" s="60"/>
      <c r="K98" s="33"/>
      <c r="L98" s="33"/>
      <c r="M98" s="33"/>
      <c r="N98" s="33"/>
    </row>
    <row r="99" ht="15.75" customHeight="1">
      <c r="A99" s="52"/>
      <c r="B99" s="52"/>
      <c r="C99" s="52"/>
      <c r="D99" s="60"/>
      <c r="E99" s="60"/>
      <c r="F99" s="55" t="s">
        <v>35</v>
      </c>
      <c r="G99" s="56"/>
      <c r="H99" s="61">
        <f>VLOOKUP(F99,$A$17:$B$17,2,TRUE)</f>
        <v>1000</v>
      </c>
      <c r="I99" s="58">
        <f t="shared" si="1"/>
        <v>0</v>
      </c>
      <c r="J99" s="60"/>
      <c r="K99" s="33"/>
      <c r="L99" s="33"/>
      <c r="M99" s="33"/>
      <c r="N99" s="33"/>
    </row>
    <row r="100" ht="15.75" customHeight="1">
      <c r="A100" s="52"/>
      <c r="B100" s="52"/>
      <c r="C100" s="52"/>
      <c r="D100" s="60"/>
      <c r="E100" s="60"/>
      <c r="F100" s="55" t="s">
        <v>36</v>
      </c>
      <c r="G100" s="56"/>
      <c r="H100" s="61">
        <f>VLOOKUP(F100,$A$18:$B$18,2,TRUE)</f>
        <v>5000</v>
      </c>
      <c r="I100" s="58">
        <f t="shared" si="1"/>
        <v>0</v>
      </c>
      <c r="J100" s="60"/>
      <c r="K100" s="33"/>
      <c r="L100" s="33"/>
      <c r="M100" s="33"/>
      <c r="N100" s="33"/>
    </row>
    <row r="101" ht="15.75" customHeight="1">
      <c r="A101" s="52"/>
      <c r="B101" s="52"/>
      <c r="C101" s="52"/>
      <c r="D101" s="60"/>
      <c r="E101" s="60"/>
      <c r="F101" s="55" t="s">
        <v>37</v>
      </c>
      <c r="G101" s="56"/>
      <c r="H101" s="61">
        <f>VLOOKUP(F101,$A$19:$B$19,2,TRUE)</f>
        <v>2700</v>
      </c>
      <c r="I101" s="58">
        <f t="shared" si="1"/>
        <v>0</v>
      </c>
      <c r="J101" s="60"/>
      <c r="K101" s="33"/>
      <c r="L101" s="33"/>
      <c r="M101" s="33"/>
      <c r="N101" s="33"/>
    </row>
    <row r="102" ht="15.75" customHeight="1">
      <c r="A102" s="52"/>
      <c r="B102" s="52"/>
      <c r="C102" s="52"/>
      <c r="D102" s="60"/>
      <c r="E102" s="60"/>
      <c r="F102" s="55" t="s">
        <v>38</v>
      </c>
      <c r="G102" s="56"/>
      <c r="H102" s="61">
        <f>VLOOKUP(F102,$A$20:$B$20,2,TRUE)</f>
        <v>50000</v>
      </c>
      <c r="I102" s="58">
        <f t="shared" si="1"/>
        <v>0</v>
      </c>
      <c r="J102" s="60"/>
      <c r="K102" s="33"/>
      <c r="L102" s="33"/>
      <c r="M102" s="33"/>
      <c r="N102" s="33"/>
    </row>
    <row r="103" ht="15.75" customHeight="1">
      <c r="A103" s="52"/>
      <c r="B103" s="52"/>
      <c r="C103" s="52"/>
      <c r="D103" s="60"/>
      <c r="E103" s="60"/>
      <c r="F103" s="55" t="s">
        <v>39</v>
      </c>
      <c r="G103" s="56"/>
      <c r="H103" s="61">
        <f>VLOOKUP(F103,$A$21:$B$21,2,TRUE)</f>
        <v>10000</v>
      </c>
      <c r="I103" s="58">
        <f t="shared" si="1"/>
        <v>0</v>
      </c>
      <c r="J103" s="60"/>
      <c r="K103" s="33"/>
      <c r="L103" s="33"/>
      <c r="M103" s="33"/>
      <c r="N103" s="33"/>
    </row>
    <row r="104" ht="15.75" customHeight="1">
      <c r="A104" s="52"/>
      <c r="B104" s="52"/>
      <c r="C104" s="52"/>
      <c r="D104" s="60"/>
      <c r="E104" s="60"/>
      <c r="F104" s="55" t="s">
        <v>40</v>
      </c>
      <c r="G104" s="56"/>
      <c r="H104" s="61">
        <f>VLOOKUP(F104,$A$22:$B$22,2,TRUE)</f>
        <v>1000</v>
      </c>
      <c r="I104" s="58">
        <f t="shared" si="1"/>
        <v>0</v>
      </c>
      <c r="J104" s="60"/>
      <c r="K104" s="33"/>
      <c r="L104" s="33"/>
      <c r="M104" s="33"/>
      <c r="N104" s="33"/>
    </row>
    <row r="105" ht="15.75" customHeight="1">
      <c r="A105" s="52"/>
      <c r="B105" s="52"/>
      <c r="C105" s="52"/>
      <c r="D105" s="60"/>
      <c r="E105" s="60"/>
      <c r="F105" s="55" t="s">
        <v>41</v>
      </c>
      <c r="G105" s="56"/>
      <c r="H105" s="61">
        <f>VLOOKUP(F105,$A$23:$B$23,2,TRUE)</f>
        <v>500</v>
      </c>
      <c r="I105" s="58">
        <f t="shared" si="1"/>
        <v>0</v>
      </c>
      <c r="J105" s="60"/>
      <c r="K105" s="33"/>
      <c r="L105" s="33"/>
      <c r="M105" s="33"/>
      <c r="N105" s="33"/>
    </row>
    <row r="106" ht="15.75" customHeight="1">
      <c r="A106" s="52"/>
      <c r="B106" s="52"/>
      <c r="C106" s="52"/>
      <c r="D106" s="60"/>
      <c r="E106" s="60"/>
      <c r="F106" s="55" t="s">
        <v>42</v>
      </c>
      <c r="G106" s="56"/>
      <c r="H106" s="61">
        <f>VLOOKUP(F106,$A$24:$B$24,2,TRUE)</f>
        <v>200</v>
      </c>
      <c r="I106" s="58">
        <f t="shared" si="1"/>
        <v>0</v>
      </c>
      <c r="J106" s="60"/>
      <c r="K106" s="33"/>
      <c r="L106" s="33"/>
      <c r="M106" s="33"/>
      <c r="N106" s="33"/>
    </row>
    <row r="107" ht="15.75" customHeight="1">
      <c r="A107" s="52"/>
      <c r="B107" s="52"/>
      <c r="C107" s="52"/>
      <c r="D107" s="60"/>
      <c r="E107" s="60"/>
      <c r="F107" s="55" t="s">
        <v>43</v>
      </c>
      <c r="G107" s="56"/>
      <c r="H107" s="61">
        <f>VLOOKUP(F107,$A$25:$B$25,2,TRUE)</f>
        <v>1000</v>
      </c>
      <c r="I107" s="58">
        <f t="shared" si="1"/>
        <v>0</v>
      </c>
      <c r="J107" s="60"/>
      <c r="K107" s="33"/>
      <c r="L107" s="33"/>
      <c r="M107" s="33"/>
      <c r="N107" s="33"/>
    </row>
    <row r="108" ht="15.75" customHeight="1">
      <c r="A108" s="52"/>
      <c r="B108" s="52"/>
      <c r="C108" s="52"/>
      <c r="D108" s="60"/>
      <c r="E108" s="60"/>
      <c r="F108" s="55" t="s">
        <v>18</v>
      </c>
      <c r="G108" s="56"/>
      <c r="H108" s="61">
        <f>VLOOKUP(F108,$A$26:$B$26,2,TRUE)</f>
        <v>300</v>
      </c>
      <c r="I108" s="58">
        <f t="shared" si="1"/>
        <v>0</v>
      </c>
      <c r="J108" s="60"/>
      <c r="K108" s="33"/>
      <c r="L108" s="33"/>
      <c r="M108" s="33"/>
      <c r="N108" s="33"/>
    </row>
    <row r="109" ht="15.75" customHeight="1">
      <c r="A109" s="52"/>
      <c r="B109" s="52"/>
      <c r="C109" s="52"/>
      <c r="D109" s="60"/>
      <c r="E109" s="60"/>
      <c r="F109" s="55" t="s">
        <v>44</v>
      </c>
      <c r="G109" s="56"/>
      <c r="H109" s="61">
        <f>VLOOKUP(F109,$A$27:$B$27,2,TRUE)</f>
        <v>100</v>
      </c>
      <c r="I109" s="58">
        <f t="shared" si="1"/>
        <v>0</v>
      </c>
      <c r="J109" s="60"/>
      <c r="K109" s="33"/>
      <c r="L109" s="33"/>
      <c r="M109" s="33"/>
      <c r="N109" s="33"/>
    </row>
    <row r="110" ht="15.75" customHeight="1">
      <c r="A110" s="52"/>
      <c r="B110" s="52"/>
      <c r="C110" s="52"/>
      <c r="D110" s="60"/>
      <c r="E110" s="60"/>
      <c r="F110" s="55" t="s">
        <v>13</v>
      </c>
      <c r="G110" s="56"/>
      <c r="H110" s="61">
        <f>VLOOKUP(F109,$A$28:$B$28,2,TRUE)</f>
        <v>1500</v>
      </c>
      <c r="I110" s="58">
        <f t="shared" si="1"/>
        <v>0</v>
      </c>
      <c r="J110" s="60"/>
      <c r="K110" s="33"/>
      <c r="L110" s="33"/>
      <c r="M110" s="33"/>
      <c r="N110" s="33"/>
    </row>
    <row r="111" ht="15.75" customHeight="1">
      <c r="A111" s="52"/>
      <c r="B111" s="52"/>
      <c r="C111" s="52"/>
      <c r="D111" s="60"/>
      <c r="E111" s="60"/>
      <c r="F111" s="55" t="s">
        <v>20</v>
      </c>
      <c r="G111" s="56"/>
      <c r="H111" s="61">
        <f>VLOOKUP(F110,$A$29:$B$29,2,TRUE)</f>
        <v>4000</v>
      </c>
      <c r="I111" s="58">
        <f t="shared" si="1"/>
        <v>0</v>
      </c>
      <c r="J111" s="60"/>
      <c r="K111" s="33"/>
      <c r="L111" s="33"/>
      <c r="M111" s="33"/>
      <c r="N111" s="33"/>
    </row>
    <row r="112" ht="15.75" customHeight="1">
      <c r="A112" s="52"/>
      <c r="B112" s="52"/>
      <c r="C112" s="52"/>
      <c r="D112" s="18"/>
      <c r="E112" s="18"/>
      <c r="F112" s="55" t="s">
        <v>59</v>
      </c>
      <c r="G112" s="56">
        <v>1.0</v>
      </c>
      <c r="H112" s="61" t="str">
        <f>VLOOKUP(F111,$A$30:$B$30,2,TRUE)</f>
        <v/>
      </c>
      <c r="I112" s="58">
        <f t="shared" si="1"/>
        <v>0</v>
      </c>
      <c r="J112" s="18"/>
      <c r="K112" s="33"/>
      <c r="L112" s="33"/>
      <c r="M112" s="33"/>
      <c r="N112" s="33"/>
    </row>
    <row r="113" ht="15.75" customHeight="1">
      <c r="A113" s="52"/>
      <c r="B113" s="52"/>
      <c r="C113" s="52"/>
      <c r="D113" s="53">
        <v>5.0</v>
      </c>
      <c r="E113" s="65" t="s">
        <v>82</v>
      </c>
      <c r="F113" s="55" t="s">
        <v>22</v>
      </c>
      <c r="G113" s="56"/>
      <c r="H113" s="57">
        <f>VLOOKUP(F113,$A$4:$B$4,2,TRUE)</f>
        <v>4000</v>
      </c>
      <c r="I113" s="58">
        <f t="shared" si="1"/>
        <v>0</v>
      </c>
      <c r="J113" s="59">
        <f>SUM(I113:I139)</f>
        <v>5500</v>
      </c>
      <c r="K113" s="33"/>
      <c r="L113" s="33"/>
      <c r="M113" s="33"/>
      <c r="N113" s="33"/>
    </row>
    <row r="114" ht="15.75" customHeight="1">
      <c r="A114" s="52"/>
      <c r="B114" s="52"/>
      <c r="C114" s="52"/>
      <c r="D114" s="60"/>
      <c r="E114" s="60"/>
      <c r="F114" s="55" t="s">
        <v>57</v>
      </c>
      <c r="G114" s="56"/>
      <c r="H114" s="61">
        <f>VLOOKUP(F114,$A$5:$B$5,2,TRUE)</f>
        <v>3000</v>
      </c>
      <c r="I114" s="58">
        <f t="shared" si="1"/>
        <v>0</v>
      </c>
      <c r="J114" s="60"/>
      <c r="K114" s="33"/>
      <c r="L114" s="33"/>
      <c r="M114" s="33"/>
      <c r="N114" s="33"/>
    </row>
    <row r="115" ht="15.75" customHeight="1">
      <c r="A115" s="52"/>
      <c r="B115" s="52"/>
      <c r="C115" s="52"/>
      <c r="D115" s="60"/>
      <c r="E115" s="60"/>
      <c r="F115" s="55" t="s">
        <v>58</v>
      </c>
      <c r="G115" s="56"/>
      <c r="H115" s="61">
        <f>VLOOKUP(F115,$A$6:$B$6,2,TRUE)</f>
        <v>1000</v>
      </c>
      <c r="I115" s="58">
        <f t="shared" si="1"/>
        <v>0</v>
      </c>
      <c r="J115" s="60"/>
      <c r="K115" s="33"/>
      <c r="L115" s="33"/>
      <c r="M115" s="33"/>
      <c r="N115" s="33"/>
    </row>
    <row r="116" ht="15.75" customHeight="1">
      <c r="A116" s="52"/>
      <c r="B116" s="52"/>
      <c r="C116" s="52"/>
      <c r="D116" s="60"/>
      <c r="E116" s="60"/>
      <c r="F116" s="55" t="s">
        <v>25</v>
      </c>
      <c r="G116" s="56"/>
      <c r="H116" s="61">
        <f>VLOOKUP(F116,$A$7:$B$7,2,TRUE)</f>
        <v>2800</v>
      </c>
      <c r="I116" s="58">
        <f t="shared" si="1"/>
        <v>0</v>
      </c>
      <c r="J116" s="60"/>
      <c r="K116" s="33"/>
      <c r="L116" s="33"/>
      <c r="M116" s="33"/>
      <c r="N116" s="33"/>
    </row>
    <row r="117" ht="15.75" customHeight="1">
      <c r="A117" s="52"/>
      <c r="B117" s="52"/>
      <c r="C117" s="52"/>
      <c r="D117" s="60"/>
      <c r="E117" s="60"/>
      <c r="F117" s="55" t="s">
        <v>26</v>
      </c>
      <c r="G117" s="56"/>
      <c r="H117" s="61">
        <f>VLOOKUP(F117,$A$8:$B$8,2,TRUE)</f>
        <v>3500</v>
      </c>
      <c r="I117" s="58">
        <f t="shared" si="1"/>
        <v>0</v>
      </c>
      <c r="J117" s="60"/>
      <c r="K117" s="33"/>
      <c r="L117" s="33"/>
      <c r="M117" s="33"/>
      <c r="N117" s="33"/>
    </row>
    <row r="118" ht="15.75" customHeight="1">
      <c r="A118" s="52"/>
      <c r="B118" s="52"/>
      <c r="C118" s="52"/>
      <c r="D118" s="60"/>
      <c r="E118" s="60"/>
      <c r="F118" s="55" t="s">
        <v>27</v>
      </c>
      <c r="G118" s="56"/>
      <c r="H118" s="61">
        <f>VLOOKUP(F118,$A$9:$B$9,2,TRUE)</f>
        <v>1000</v>
      </c>
      <c r="I118" s="58">
        <f t="shared" si="1"/>
        <v>0</v>
      </c>
      <c r="J118" s="60"/>
      <c r="K118" s="33"/>
      <c r="L118" s="33"/>
      <c r="M118" s="33"/>
      <c r="N118" s="33"/>
    </row>
    <row r="119" ht="15.75" customHeight="1">
      <c r="A119" s="52"/>
      <c r="B119" s="52"/>
      <c r="C119" s="52"/>
      <c r="D119" s="60"/>
      <c r="E119" s="60"/>
      <c r="F119" s="55" t="s">
        <v>28</v>
      </c>
      <c r="G119" s="56">
        <v>0.5</v>
      </c>
      <c r="H119" s="61">
        <f>VLOOKUP(F119,$A$10:$B$10,2,TRUE)</f>
        <v>2000</v>
      </c>
      <c r="I119" s="58">
        <f t="shared" si="1"/>
        <v>1000</v>
      </c>
      <c r="J119" s="60"/>
      <c r="K119" s="33"/>
      <c r="L119" s="33"/>
      <c r="M119" s="33"/>
      <c r="N119" s="33"/>
    </row>
    <row r="120" ht="15.75" customHeight="1">
      <c r="A120" s="52"/>
      <c r="B120" s="52"/>
      <c r="C120" s="52"/>
      <c r="D120" s="60"/>
      <c r="E120" s="60"/>
      <c r="F120" s="55" t="s">
        <v>29</v>
      </c>
      <c r="G120" s="56">
        <v>2.5</v>
      </c>
      <c r="H120" s="61">
        <f>VLOOKUP(F120,$A$11:$B$11,2,TRUE)</f>
        <v>1500</v>
      </c>
      <c r="I120" s="58">
        <f t="shared" si="1"/>
        <v>3750</v>
      </c>
      <c r="J120" s="60"/>
      <c r="K120" s="33"/>
      <c r="L120" s="33"/>
      <c r="M120" s="33"/>
      <c r="N120" s="33"/>
    </row>
    <row r="121" ht="15.75" customHeight="1">
      <c r="A121" s="52"/>
      <c r="B121" s="52"/>
      <c r="C121" s="52"/>
      <c r="D121" s="60"/>
      <c r="E121" s="60"/>
      <c r="F121" s="55" t="s">
        <v>30</v>
      </c>
      <c r="G121" s="56"/>
      <c r="H121" s="61">
        <f>VLOOKUP(F121,$A$12:$B$12,2,TRUE)</f>
        <v>1300</v>
      </c>
      <c r="I121" s="58">
        <f t="shared" si="1"/>
        <v>0</v>
      </c>
      <c r="J121" s="60"/>
      <c r="K121" s="33"/>
      <c r="L121" s="33"/>
      <c r="M121" s="33"/>
      <c r="N121" s="33"/>
    </row>
    <row r="122" ht="15.75" customHeight="1">
      <c r="A122" s="52"/>
      <c r="B122" s="52"/>
      <c r="C122" s="52"/>
      <c r="D122" s="60"/>
      <c r="E122" s="60"/>
      <c r="F122" s="55" t="s">
        <v>31</v>
      </c>
      <c r="G122" s="56"/>
      <c r="H122" s="61">
        <f>VLOOKUP(F122,$A$13:$B$13,2,TRUE)</f>
        <v>1000</v>
      </c>
      <c r="I122" s="58">
        <f t="shared" si="1"/>
        <v>0</v>
      </c>
      <c r="J122" s="60"/>
      <c r="K122" s="33"/>
      <c r="L122" s="33"/>
      <c r="M122" s="33"/>
      <c r="N122" s="33"/>
    </row>
    <row r="123" ht="15.75" customHeight="1">
      <c r="A123" s="52"/>
      <c r="B123" s="52"/>
      <c r="C123" s="52"/>
      <c r="D123" s="60"/>
      <c r="E123" s="60"/>
      <c r="F123" s="55" t="s">
        <v>32</v>
      </c>
      <c r="G123" s="56">
        <v>1.5</v>
      </c>
      <c r="H123" s="61">
        <f>VLOOKUP(F123,$A$14:$B$14,2,TRUE)</f>
        <v>500</v>
      </c>
      <c r="I123" s="58">
        <f t="shared" si="1"/>
        <v>750</v>
      </c>
      <c r="J123" s="60"/>
      <c r="K123" s="33"/>
      <c r="L123" s="33"/>
      <c r="M123" s="33"/>
      <c r="N123" s="33"/>
    </row>
    <row r="124" ht="15.75" customHeight="1">
      <c r="A124" s="52"/>
      <c r="B124" s="52"/>
      <c r="C124" s="52"/>
      <c r="D124" s="60"/>
      <c r="E124" s="60"/>
      <c r="F124" s="55" t="s">
        <v>33</v>
      </c>
      <c r="G124" s="56"/>
      <c r="H124" s="61">
        <f>VLOOKUP(F124,$A$15:$B$15,2,TRUE)</f>
        <v>7500</v>
      </c>
      <c r="I124" s="58">
        <f t="shared" si="1"/>
        <v>0</v>
      </c>
      <c r="J124" s="60"/>
      <c r="K124" s="33"/>
      <c r="L124" s="33"/>
      <c r="M124" s="33"/>
      <c r="N124" s="33"/>
    </row>
    <row r="125" ht="15.75" customHeight="1">
      <c r="A125" s="52"/>
      <c r="B125" s="52"/>
      <c r="C125" s="52"/>
      <c r="D125" s="60"/>
      <c r="E125" s="60"/>
      <c r="F125" s="55" t="s">
        <v>34</v>
      </c>
      <c r="G125" s="56"/>
      <c r="H125" s="61">
        <f>VLOOKUP(F125,$A$16:$B$16,2,TRUE)</f>
        <v>2000</v>
      </c>
      <c r="I125" s="58">
        <f t="shared" si="1"/>
        <v>0</v>
      </c>
      <c r="J125" s="60"/>
      <c r="K125" s="33"/>
      <c r="L125" s="33"/>
      <c r="M125" s="33"/>
      <c r="N125" s="33"/>
    </row>
    <row r="126" ht="15.75" customHeight="1">
      <c r="A126" s="52"/>
      <c r="B126" s="52"/>
      <c r="C126" s="52"/>
      <c r="D126" s="60"/>
      <c r="E126" s="60"/>
      <c r="F126" s="55" t="s">
        <v>35</v>
      </c>
      <c r="G126" s="56"/>
      <c r="H126" s="61">
        <f>VLOOKUP(F126,$A$17:$B$17,2,TRUE)</f>
        <v>1000</v>
      </c>
      <c r="I126" s="58">
        <f t="shared" si="1"/>
        <v>0</v>
      </c>
      <c r="J126" s="60"/>
      <c r="K126" s="33"/>
      <c r="L126" s="33"/>
      <c r="M126" s="33"/>
      <c r="N126" s="33"/>
    </row>
    <row r="127" ht="15.75" customHeight="1">
      <c r="A127" s="52"/>
      <c r="B127" s="52"/>
      <c r="C127" s="52"/>
      <c r="D127" s="60"/>
      <c r="E127" s="60"/>
      <c r="F127" s="55" t="s">
        <v>36</v>
      </c>
      <c r="G127" s="56"/>
      <c r="H127" s="61">
        <f>VLOOKUP(F127,$A$18:$B$18,2,TRUE)</f>
        <v>5000</v>
      </c>
      <c r="I127" s="58">
        <f t="shared" si="1"/>
        <v>0</v>
      </c>
      <c r="J127" s="60"/>
      <c r="K127" s="33"/>
      <c r="L127" s="33"/>
      <c r="M127" s="33"/>
      <c r="N127" s="33"/>
    </row>
    <row r="128" ht="15.75" customHeight="1">
      <c r="A128" s="52"/>
      <c r="B128" s="52"/>
      <c r="C128" s="52"/>
      <c r="D128" s="60"/>
      <c r="E128" s="60"/>
      <c r="F128" s="55" t="s">
        <v>37</v>
      </c>
      <c r="G128" s="56"/>
      <c r="H128" s="61">
        <f>VLOOKUP(F128,$A$19:$B$19,2,TRUE)</f>
        <v>2700</v>
      </c>
      <c r="I128" s="58">
        <f t="shared" si="1"/>
        <v>0</v>
      </c>
      <c r="J128" s="60"/>
      <c r="K128" s="33"/>
      <c r="L128" s="33"/>
      <c r="M128" s="33"/>
      <c r="N128" s="33"/>
    </row>
    <row r="129" ht="15.75" customHeight="1">
      <c r="A129" s="52"/>
      <c r="B129" s="52"/>
      <c r="C129" s="52"/>
      <c r="D129" s="60"/>
      <c r="E129" s="60"/>
      <c r="F129" s="55" t="s">
        <v>38</v>
      </c>
      <c r="G129" s="56"/>
      <c r="H129" s="61">
        <f>VLOOKUP(F129,$A$20:$B$20,2,TRUE)</f>
        <v>50000</v>
      </c>
      <c r="I129" s="58">
        <f t="shared" si="1"/>
        <v>0</v>
      </c>
      <c r="J129" s="60"/>
      <c r="K129" s="33"/>
      <c r="L129" s="33"/>
      <c r="M129" s="33"/>
      <c r="N129" s="33"/>
    </row>
    <row r="130" ht="15.75" customHeight="1">
      <c r="A130" s="52"/>
      <c r="B130" s="52"/>
      <c r="C130" s="52"/>
      <c r="D130" s="60"/>
      <c r="E130" s="60"/>
      <c r="F130" s="55" t="s">
        <v>39</v>
      </c>
      <c r="G130" s="56"/>
      <c r="H130" s="61">
        <f>VLOOKUP(F130,$A$21:$B$21,2,TRUE)</f>
        <v>10000</v>
      </c>
      <c r="I130" s="58">
        <f t="shared" si="1"/>
        <v>0</v>
      </c>
      <c r="J130" s="60"/>
      <c r="K130" s="33"/>
      <c r="L130" s="33"/>
      <c r="M130" s="33"/>
      <c r="N130" s="33"/>
    </row>
    <row r="131" ht="15.75" customHeight="1">
      <c r="A131" s="52"/>
      <c r="B131" s="52"/>
      <c r="C131" s="52"/>
      <c r="D131" s="60"/>
      <c r="E131" s="60"/>
      <c r="F131" s="55" t="s">
        <v>40</v>
      </c>
      <c r="G131" s="56"/>
      <c r="H131" s="61">
        <f>VLOOKUP(F131,$A$22:$B$22,2,TRUE)</f>
        <v>1000</v>
      </c>
      <c r="I131" s="58">
        <f t="shared" si="1"/>
        <v>0</v>
      </c>
      <c r="J131" s="60"/>
      <c r="K131" s="33"/>
      <c r="L131" s="33"/>
      <c r="M131" s="33"/>
      <c r="N131" s="33"/>
    </row>
    <row r="132" ht="15.75" customHeight="1">
      <c r="A132" s="52"/>
      <c r="B132" s="52"/>
      <c r="C132" s="52"/>
      <c r="D132" s="60"/>
      <c r="E132" s="60"/>
      <c r="F132" s="55" t="s">
        <v>41</v>
      </c>
      <c r="G132" s="56"/>
      <c r="H132" s="61">
        <f>VLOOKUP(F132,$A$23:$B$23,2,TRUE)</f>
        <v>500</v>
      </c>
      <c r="I132" s="58">
        <f t="shared" si="1"/>
        <v>0</v>
      </c>
      <c r="J132" s="60"/>
      <c r="K132" s="33"/>
      <c r="L132" s="33"/>
      <c r="M132" s="33"/>
      <c r="N132" s="33"/>
    </row>
    <row r="133" ht="15.75" customHeight="1">
      <c r="A133" s="52"/>
      <c r="B133" s="52"/>
      <c r="C133" s="52"/>
      <c r="D133" s="60"/>
      <c r="E133" s="60"/>
      <c r="F133" s="55" t="s">
        <v>42</v>
      </c>
      <c r="G133" s="56"/>
      <c r="H133" s="61">
        <f>VLOOKUP(F133,$A$24:$B$24,2,TRUE)</f>
        <v>200</v>
      </c>
      <c r="I133" s="58">
        <f t="shared" si="1"/>
        <v>0</v>
      </c>
      <c r="J133" s="60"/>
      <c r="K133" s="33"/>
      <c r="L133" s="33"/>
      <c r="M133" s="33"/>
      <c r="N133" s="33"/>
    </row>
    <row r="134" ht="15.75" customHeight="1">
      <c r="A134" s="52"/>
      <c r="B134" s="52"/>
      <c r="C134" s="52"/>
      <c r="D134" s="60"/>
      <c r="E134" s="60"/>
      <c r="F134" s="55" t="s">
        <v>43</v>
      </c>
      <c r="G134" s="56"/>
      <c r="H134" s="61">
        <f>VLOOKUP(F134,$A$25:$B$25,2,TRUE)</f>
        <v>1000</v>
      </c>
      <c r="I134" s="58">
        <f t="shared" si="1"/>
        <v>0</v>
      </c>
      <c r="J134" s="60"/>
      <c r="K134" s="33"/>
      <c r="L134" s="33"/>
      <c r="M134" s="33"/>
      <c r="N134" s="33"/>
    </row>
    <row r="135" ht="15.75" customHeight="1">
      <c r="A135" s="52"/>
      <c r="B135" s="52"/>
      <c r="C135" s="52"/>
      <c r="D135" s="60"/>
      <c r="E135" s="60"/>
      <c r="F135" s="55" t="s">
        <v>18</v>
      </c>
      <c r="G135" s="56"/>
      <c r="H135" s="61">
        <f>VLOOKUP(F135,$A$26:$B$26,2,TRUE)</f>
        <v>300</v>
      </c>
      <c r="I135" s="58">
        <f t="shared" si="1"/>
        <v>0</v>
      </c>
      <c r="J135" s="60"/>
      <c r="K135" s="33"/>
      <c r="L135" s="33"/>
      <c r="M135" s="33"/>
      <c r="N135" s="33"/>
    </row>
    <row r="136" ht="15.75" customHeight="1">
      <c r="A136" s="52"/>
      <c r="B136" s="52"/>
      <c r="C136" s="52"/>
      <c r="D136" s="60"/>
      <c r="E136" s="60"/>
      <c r="F136" s="55" t="s">
        <v>44</v>
      </c>
      <c r="G136" s="56"/>
      <c r="H136" s="61">
        <f>VLOOKUP(F136,$A$27:$B$27,2,TRUE)</f>
        <v>100</v>
      </c>
      <c r="I136" s="58">
        <f t="shared" si="1"/>
        <v>0</v>
      </c>
      <c r="J136" s="60"/>
      <c r="K136" s="33"/>
      <c r="L136" s="33"/>
      <c r="M136" s="33"/>
      <c r="N136" s="33"/>
    </row>
    <row r="137" ht="15.75" customHeight="1">
      <c r="A137" s="52"/>
      <c r="B137" s="52"/>
      <c r="C137" s="52"/>
      <c r="D137" s="60"/>
      <c r="E137" s="60"/>
      <c r="F137" s="55" t="s">
        <v>13</v>
      </c>
      <c r="G137" s="56"/>
      <c r="H137" s="61">
        <f>VLOOKUP(F136,$A$28:$B$28,2,TRUE)</f>
        <v>1500</v>
      </c>
      <c r="I137" s="58">
        <f t="shared" si="1"/>
        <v>0</v>
      </c>
      <c r="J137" s="60"/>
      <c r="K137" s="33"/>
      <c r="L137" s="33"/>
      <c r="M137" s="33"/>
      <c r="N137" s="33"/>
    </row>
    <row r="138" ht="15.75" customHeight="1">
      <c r="A138" s="52"/>
      <c r="B138" s="52"/>
      <c r="C138" s="52"/>
      <c r="D138" s="60"/>
      <c r="E138" s="60"/>
      <c r="F138" s="55" t="s">
        <v>20</v>
      </c>
      <c r="G138" s="56"/>
      <c r="H138" s="61">
        <f>VLOOKUP(F137,$A$29:$B$29,2,TRUE)</f>
        <v>4000</v>
      </c>
      <c r="I138" s="58">
        <f t="shared" si="1"/>
        <v>0</v>
      </c>
      <c r="J138" s="60"/>
      <c r="K138" s="33"/>
      <c r="L138" s="33"/>
      <c r="M138" s="33"/>
      <c r="N138" s="33"/>
    </row>
    <row r="139" ht="15.75" customHeight="1">
      <c r="A139" s="52"/>
      <c r="B139" s="52"/>
      <c r="C139" s="52"/>
      <c r="D139" s="18"/>
      <c r="E139" s="18"/>
      <c r="F139" s="55" t="s">
        <v>59</v>
      </c>
      <c r="G139" s="56"/>
      <c r="H139" s="61" t="str">
        <f>VLOOKUP(F138,$A$30:$B$30,2,TRUE)</f>
        <v/>
      </c>
      <c r="I139" s="58">
        <f t="shared" si="1"/>
        <v>0</v>
      </c>
      <c r="J139" s="18"/>
      <c r="K139" s="33"/>
      <c r="L139" s="33"/>
      <c r="M139" s="33"/>
      <c r="N139" s="33"/>
    </row>
    <row r="140" ht="15.75" customHeight="1">
      <c r="A140" s="52"/>
      <c r="B140" s="52"/>
      <c r="C140" s="52"/>
      <c r="D140" s="53">
        <v>6.0</v>
      </c>
      <c r="E140" s="65" t="s">
        <v>83</v>
      </c>
      <c r="F140" s="55" t="s">
        <v>22</v>
      </c>
      <c r="G140" s="56"/>
      <c r="H140" s="57">
        <f>VLOOKUP(F140,$A$4:$B$4,2,TRUE)</f>
        <v>4000</v>
      </c>
      <c r="I140" s="58">
        <f t="shared" si="1"/>
        <v>0</v>
      </c>
      <c r="J140" s="59">
        <f>SUM(I140:I166)</f>
        <v>5250</v>
      </c>
      <c r="K140" s="33"/>
      <c r="L140" s="33"/>
      <c r="M140" s="33"/>
      <c r="N140" s="33"/>
    </row>
    <row r="141" ht="15.75" customHeight="1">
      <c r="A141" s="52"/>
      <c r="B141" s="52"/>
      <c r="C141" s="52"/>
      <c r="D141" s="60"/>
      <c r="E141" s="60"/>
      <c r="F141" s="55" t="s">
        <v>57</v>
      </c>
      <c r="G141" s="56"/>
      <c r="H141" s="61">
        <f>VLOOKUP(F141,$A$5:$B$5,2,TRUE)</f>
        <v>3000</v>
      </c>
      <c r="I141" s="58">
        <f t="shared" si="1"/>
        <v>0</v>
      </c>
      <c r="J141" s="60"/>
      <c r="K141" s="33"/>
      <c r="L141" s="33"/>
      <c r="M141" s="33"/>
      <c r="N141" s="33"/>
    </row>
    <row r="142" ht="15.75" customHeight="1">
      <c r="A142" s="52"/>
      <c r="B142" s="52"/>
      <c r="C142" s="52"/>
      <c r="D142" s="60"/>
      <c r="E142" s="60"/>
      <c r="F142" s="55" t="s">
        <v>58</v>
      </c>
      <c r="G142" s="56"/>
      <c r="H142" s="61">
        <f>VLOOKUP(F142,$A$6:$B$6,2,TRUE)</f>
        <v>1000</v>
      </c>
      <c r="I142" s="58">
        <f t="shared" si="1"/>
        <v>0</v>
      </c>
      <c r="J142" s="60"/>
      <c r="K142" s="33"/>
      <c r="L142" s="33"/>
      <c r="M142" s="33"/>
      <c r="N142" s="33"/>
    </row>
    <row r="143" ht="15.75" customHeight="1">
      <c r="A143" s="52"/>
      <c r="B143" s="52"/>
      <c r="C143" s="52"/>
      <c r="D143" s="60"/>
      <c r="E143" s="60"/>
      <c r="F143" s="55" t="s">
        <v>25</v>
      </c>
      <c r="G143" s="56"/>
      <c r="H143" s="61">
        <f>VLOOKUP(F143,$A$7:$B$7,2,TRUE)</f>
        <v>2800</v>
      </c>
      <c r="I143" s="58">
        <f t="shared" si="1"/>
        <v>0</v>
      </c>
      <c r="J143" s="60"/>
      <c r="K143" s="33"/>
      <c r="L143" s="33"/>
      <c r="M143" s="33"/>
      <c r="N143" s="33"/>
    </row>
    <row r="144" ht="15.75" customHeight="1">
      <c r="A144" s="52"/>
      <c r="B144" s="52"/>
      <c r="C144" s="52"/>
      <c r="D144" s="60"/>
      <c r="E144" s="60"/>
      <c r="F144" s="55" t="s">
        <v>26</v>
      </c>
      <c r="G144" s="56"/>
      <c r="H144" s="61">
        <f>VLOOKUP(F144,$A$8:$B$8,2,TRUE)</f>
        <v>3500</v>
      </c>
      <c r="I144" s="58">
        <f t="shared" si="1"/>
        <v>0</v>
      </c>
      <c r="J144" s="60"/>
      <c r="K144" s="33"/>
      <c r="L144" s="33"/>
      <c r="M144" s="33"/>
      <c r="N144" s="33"/>
    </row>
    <row r="145" ht="15.75" customHeight="1">
      <c r="A145" s="52"/>
      <c r="B145" s="52"/>
      <c r="C145" s="52"/>
      <c r="D145" s="60"/>
      <c r="E145" s="60"/>
      <c r="F145" s="55" t="s">
        <v>27</v>
      </c>
      <c r="G145" s="56">
        <v>3.0</v>
      </c>
      <c r="H145" s="61">
        <f>VLOOKUP(F145,$A$9:$B$9,2,TRUE)</f>
        <v>1000</v>
      </c>
      <c r="I145" s="58">
        <f t="shared" si="1"/>
        <v>3000</v>
      </c>
      <c r="J145" s="60"/>
      <c r="K145" s="33"/>
      <c r="L145" s="33"/>
      <c r="M145" s="33"/>
      <c r="N145" s="33"/>
    </row>
    <row r="146" ht="15.75" customHeight="1">
      <c r="A146" s="52"/>
      <c r="B146" s="52"/>
      <c r="C146" s="52"/>
      <c r="D146" s="60"/>
      <c r="E146" s="60"/>
      <c r="F146" s="55" t="s">
        <v>28</v>
      </c>
      <c r="G146" s="56">
        <v>1.0</v>
      </c>
      <c r="H146" s="61">
        <f>VLOOKUP(F146,$A$10:$B$10,2,TRUE)</f>
        <v>2000</v>
      </c>
      <c r="I146" s="58">
        <f t="shared" si="1"/>
        <v>2000</v>
      </c>
      <c r="J146" s="60"/>
      <c r="K146" s="33"/>
      <c r="L146" s="33"/>
      <c r="M146" s="33"/>
      <c r="N146" s="33"/>
    </row>
    <row r="147" ht="15.75" customHeight="1">
      <c r="A147" s="52"/>
      <c r="B147" s="52"/>
      <c r="C147" s="52"/>
      <c r="D147" s="60"/>
      <c r="E147" s="60"/>
      <c r="F147" s="55" t="s">
        <v>29</v>
      </c>
      <c r="G147" s="56"/>
      <c r="H147" s="61">
        <f>VLOOKUP(F147,$A$11:$B$11,2,TRUE)</f>
        <v>1500</v>
      </c>
      <c r="I147" s="58">
        <f t="shared" si="1"/>
        <v>0</v>
      </c>
      <c r="J147" s="60"/>
      <c r="K147" s="33"/>
      <c r="L147" s="33"/>
      <c r="M147" s="33"/>
      <c r="N147" s="33"/>
    </row>
    <row r="148" ht="15.75" customHeight="1">
      <c r="A148" s="52"/>
      <c r="B148" s="52"/>
      <c r="C148" s="52"/>
      <c r="D148" s="60"/>
      <c r="E148" s="60"/>
      <c r="F148" s="55" t="s">
        <v>30</v>
      </c>
      <c r="G148" s="56"/>
      <c r="H148" s="61">
        <f>VLOOKUP(F148,$A$12:$B$12,2,TRUE)</f>
        <v>1300</v>
      </c>
      <c r="I148" s="58">
        <f t="shared" si="1"/>
        <v>0</v>
      </c>
      <c r="J148" s="60"/>
      <c r="K148" s="33"/>
      <c r="L148" s="33"/>
      <c r="M148" s="33"/>
      <c r="N148" s="33"/>
    </row>
    <row r="149" ht="15.75" customHeight="1">
      <c r="A149" s="52"/>
      <c r="B149" s="52"/>
      <c r="C149" s="52"/>
      <c r="D149" s="60"/>
      <c r="E149" s="60"/>
      <c r="F149" s="55" t="s">
        <v>31</v>
      </c>
      <c r="G149" s="56"/>
      <c r="H149" s="61">
        <f>VLOOKUP(F149,$A$13:$B$13,2,TRUE)</f>
        <v>1000</v>
      </c>
      <c r="I149" s="58">
        <f t="shared" si="1"/>
        <v>0</v>
      </c>
      <c r="J149" s="60"/>
      <c r="K149" s="33"/>
      <c r="L149" s="33"/>
      <c r="M149" s="33"/>
      <c r="N149" s="33"/>
    </row>
    <row r="150" ht="15.75" customHeight="1">
      <c r="A150" s="52"/>
      <c r="B150" s="52"/>
      <c r="C150" s="52"/>
      <c r="D150" s="60"/>
      <c r="E150" s="60"/>
      <c r="F150" s="55" t="s">
        <v>32</v>
      </c>
      <c r="G150" s="56"/>
      <c r="H150" s="61">
        <f>VLOOKUP(F150,$A$14:$B$14,2,TRUE)</f>
        <v>500</v>
      </c>
      <c r="I150" s="58">
        <f t="shared" si="1"/>
        <v>0</v>
      </c>
      <c r="J150" s="60"/>
      <c r="K150" s="33"/>
      <c r="L150" s="33"/>
      <c r="M150" s="33"/>
      <c r="N150" s="33"/>
    </row>
    <row r="151" ht="15.75" customHeight="1">
      <c r="A151" s="52"/>
      <c r="B151" s="52"/>
      <c r="C151" s="52"/>
      <c r="D151" s="60"/>
      <c r="E151" s="60"/>
      <c r="F151" s="55" t="s">
        <v>33</v>
      </c>
      <c r="G151" s="56"/>
      <c r="H151" s="61">
        <f>VLOOKUP(F151,$A$15:$B$15,2,TRUE)</f>
        <v>7500</v>
      </c>
      <c r="I151" s="58">
        <f t="shared" si="1"/>
        <v>0</v>
      </c>
      <c r="J151" s="60"/>
      <c r="K151" s="33"/>
      <c r="L151" s="33"/>
      <c r="M151" s="33"/>
      <c r="N151" s="33"/>
    </row>
    <row r="152" ht="15.75" customHeight="1">
      <c r="A152" s="52"/>
      <c r="B152" s="52"/>
      <c r="C152" s="52"/>
      <c r="D152" s="60"/>
      <c r="E152" s="60"/>
      <c r="F152" s="55" t="s">
        <v>34</v>
      </c>
      <c r="G152" s="56"/>
      <c r="H152" s="61">
        <f>VLOOKUP(F152,$A$16:$B$16,2,TRUE)</f>
        <v>2000</v>
      </c>
      <c r="I152" s="58">
        <f t="shared" si="1"/>
        <v>0</v>
      </c>
      <c r="J152" s="60"/>
      <c r="K152" s="33"/>
      <c r="L152" s="33"/>
      <c r="M152" s="33"/>
      <c r="N152" s="33"/>
    </row>
    <row r="153" ht="15.75" customHeight="1">
      <c r="A153" s="52"/>
      <c r="B153" s="52"/>
      <c r="C153" s="52"/>
      <c r="D153" s="60"/>
      <c r="E153" s="60"/>
      <c r="F153" s="55" t="s">
        <v>35</v>
      </c>
      <c r="G153" s="56"/>
      <c r="H153" s="61">
        <f>VLOOKUP(F153,$A$17:$B$17,2,TRUE)</f>
        <v>1000</v>
      </c>
      <c r="I153" s="58">
        <f t="shared" si="1"/>
        <v>0</v>
      </c>
      <c r="J153" s="60"/>
      <c r="K153" s="33"/>
      <c r="L153" s="33"/>
      <c r="M153" s="33"/>
      <c r="N153" s="33"/>
    </row>
    <row r="154" ht="15.75" customHeight="1">
      <c r="A154" s="52"/>
      <c r="B154" s="52"/>
      <c r="C154" s="52"/>
      <c r="D154" s="60"/>
      <c r="E154" s="60"/>
      <c r="F154" s="55" t="s">
        <v>36</v>
      </c>
      <c r="G154" s="56"/>
      <c r="H154" s="61">
        <f>VLOOKUP(F154,$A$18:$B$18,2,TRUE)</f>
        <v>5000</v>
      </c>
      <c r="I154" s="58">
        <f t="shared" si="1"/>
        <v>0</v>
      </c>
      <c r="J154" s="60"/>
      <c r="K154" s="33"/>
      <c r="L154" s="33"/>
      <c r="M154" s="33"/>
      <c r="N154" s="33"/>
    </row>
    <row r="155" ht="15.75" customHeight="1">
      <c r="A155" s="52"/>
      <c r="B155" s="52"/>
      <c r="C155" s="52"/>
      <c r="D155" s="60"/>
      <c r="E155" s="60"/>
      <c r="F155" s="55" t="s">
        <v>37</v>
      </c>
      <c r="G155" s="56"/>
      <c r="H155" s="61">
        <f>VLOOKUP(F155,$A$19:$B$19,2,TRUE)</f>
        <v>2700</v>
      </c>
      <c r="I155" s="58">
        <f t="shared" si="1"/>
        <v>0</v>
      </c>
      <c r="J155" s="60"/>
      <c r="K155" s="33"/>
      <c r="L155" s="33"/>
      <c r="M155" s="33"/>
      <c r="N155" s="33"/>
    </row>
    <row r="156" ht="15.75" customHeight="1">
      <c r="A156" s="52"/>
      <c r="B156" s="52"/>
      <c r="C156" s="52"/>
      <c r="D156" s="60"/>
      <c r="E156" s="60"/>
      <c r="F156" s="55" t="s">
        <v>38</v>
      </c>
      <c r="G156" s="56"/>
      <c r="H156" s="61">
        <f>VLOOKUP(F156,$A$20:$B$20,2,TRUE)</f>
        <v>50000</v>
      </c>
      <c r="I156" s="58">
        <f t="shared" si="1"/>
        <v>0</v>
      </c>
      <c r="J156" s="60"/>
      <c r="K156" s="33"/>
      <c r="L156" s="33"/>
      <c r="M156" s="33"/>
      <c r="N156" s="33"/>
    </row>
    <row r="157" ht="15.75" customHeight="1">
      <c r="A157" s="52"/>
      <c r="B157" s="52"/>
      <c r="C157" s="52"/>
      <c r="D157" s="60"/>
      <c r="E157" s="60"/>
      <c r="F157" s="55" t="s">
        <v>39</v>
      </c>
      <c r="G157" s="56"/>
      <c r="H157" s="61">
        <f>VLOOKUP(F157,$A$21:$B$21,2,TRUE)</f>
        <v>10000</v>
      </c>
      <c r="I157" s="58">
        <f t="shared" si="1"/>
        <v>0</v>
      </c>
      <c r="J157" s="60"/>
      <c r="K157" s="33"/>
      <c r="L157" s="33"/>
      <c r="M157" s="33"/>
      <c r="N157" s="33"/>
    </row>
    <row r="158" ht="15.75" customHeight="1">
      <c r="A158" s="52"/>
      <c r="B158" s="52"/>
      <c r="C158" s="52"/>
      <c r="D158" s="60"/>
      <c r="E158" s="60"/>
      <c r="F158" s="55" t="s">
        <v>40</v>
      </c>
      <c r="G158" s="56"/>
      <c r="H158" s="61">
        <f>VLOOKUP(F158,$A$22:$B$22,2,TRUE)</f>
        <v>1000</v>
      </c>
      <c r="I158" s="58">
        <f t="shared" si="1"/>
        <v>0</v>
      </c>
      <c r="J158" s="60"/>
      <c r="K158" s="33"/>
      <c r="L158" s="33"/>
      <c r="M158" s="33"/>
      <c r="N158" s="33"/>
    </row>
    <row r="159" ht="15.75" customHeight="1">
      <c r="A159" s="52"/>
      <c r="B159" s="52"/>
      <c r="C159" s="52"/>
      <c r="D159" s="60"/>
      <c r="E159" s="60"/>
      <c r="F159" s="55" t="s">
        <v>41</v>
      </c>
      <c r="G159" s="56">
        <v>0.5</v>
      </c>
      <c r="H159" s="61">
        <f>VLOOKUP(F159,$A$23:$B$23,2,TRUE)</f>
        <v>500</v>
      </c>
      <c r="I159" s="58">
        <f t="shared" si="1"/>
        <v>250</v>
      </c>
      <c r="J159" s="60"/>
      <c r="K159" s="33"/>
      <c r="L159" s="33"/>
      <c r="M159" s="33"/>
      <c r="N159" s="33"/>
    </row>
    <row r="160" ht="15.75" customHeight="1">
      <c r="A160" s="52"/>
      <c r="B160" s="52"/>
      <c r="C160" s="52"/>
      <c r="D160" s="60"/>
      <c r="E160" s="60"/>
      <c r="F160" s="55" t="s">
        <v>42</v>
      </c>
      <c r="G160" s="56"/>
      <c r="H160" s="61">
        <f>VLOOKUP(F160,$A$24:$B$24,2,TRUE)</f>
        <v>200</v>
      </c>
      <c r="I160" s="58">
        <f t="shared" si="1"/>
        <v>0</v>
      </c>
      <c r="J160" s="60"/>
      <c r="K160" s="33"/>
      <c r="L160" s="33"/>
      <c r="M160" s="33"/>
      <c r="N160" s="33"/>
    </row>
    <row r="161" ht="15.75" customHeight="1">
      <c r="A161" s="52"/>
      <c r="B161" s="52"/>
      <c r="C161" s="52"/>
      <c r="D161" s="60"/>
      <c r="E161" s="60"/>
      <c r="F161" s="55" t="s">
        <v>43</v>
      </c>
      <c r="G161" s="56"/>
      <c r="H161" s="61">
        <f>VLOOKUP(F161,$A$25:$B$25,2,TRUE)</f>
        <v>1000</v>
      </c>
      <c r="I161" s="58">
        <f t="shared" si="1"/>
        <v>0</v>
      </c>
      <c r="J161" s="60"/>
      <c r="K161" s="33"/>
      <c r="L161" s="33"/>
      <c r="M161" s="33"/>
      <c r="N161" s="33"/>
    </row>
    <row r="162" ht="15.75" customHeight="1">
      <c r="A162" s="52"/>
      <c r="B162" s="52"/>
      <c r="C162" s="52"/>
      <c r="D162" s="60"/>
      <c r="E162" s="60"/>
      <c r="F162" s="55" t="s">
        <v>18</v>
      </c>
      <c r="G162" s="56"/>
      <c r="H162" s="61">
        <f>VLOOKUP(F162,$A$26:$B$26,2,TRUE)</f>
        <v>300</v>
      </c>
      <c r="I162" s="58">
        <f t="shared" si="1"/>
        <v>0</v>
      </c>
      <c r="J162" s="60"/>
      <c r="K162" s="33"/>
      <c r="L162" s="33"/>
      <c r="M162" s="33"/>
      <c r="N162" s="33"/>
    </row>
    <row r="163" ht="15.75" customHeight="1">
      <c r="A163" s="52"/>
      <c r="B163" s="52"/>
      <c r="C163" s="52"/>
      <c r="D163" s="60"/>
      <c r="E163" s="60"/>
      <c r="F163" s="55" t="s">
        <v>44</v>
      </c>
      <c r="G163" s="56"/>
      <c r="H163" s="61">
        <f>VLOOKUP(F163,$A$27:$B$27,2,TRUE)</f>
        <v>100</v>
      </c>
      <c r="I163" s="58">
        <f t="shared" si="1"/>
        <v>0</v>
      </c>
      <c r="J163" s="60"/>
      <c r="K163" s="33"/>
      <c r="L163" s="33"/>
      <c r="M163" s="33"/>
      <c r="N163" s="33"/>
    </row>
    <row r="164" ht="15.75" customHeight="1">
      <c r="A164" s="52"/>
      <c r="B164" s="52"/>
      <c r="C164" s="52"/>
      <c r="D164" s="60"/>
      <c r="E164" s="60"/>
      <c r="F164" s="55" t="s">
        <v>13</v>
      </c>
      <c r="G164" s="56"/>
      <c r="H164" s="61">
        <f>VLOOKUP(F163,$A$28:$B$28,2,TRUE)</f>
        <v>1500</v>
      </c>
      <c r="I164" s="58">
        <f t="shared" si="1"/>
        <v>0</v>
      </c>
      <c r="J164" s="60"/>
      <c r="K164" s="33"/>
      <c r="L164" s="33"/>
      <c r="M164" s="33"/>
      <c r="N164" s="33"/>
    </row>
    <row r="165" ht="15.75" customHeight="1">
      <c r="A165" s="52"/>
      <c r="B165" s="52"/>
      <c r="C165" s="52"/>
      <c r="D165" s="60"/>
      <c r="E165" s="60"/>
      <c r="F165" s="55" t="s">
        <v>20</v>
      </c>
      <c r="G165" s="56"/>
      <c r="H165" s="61">
        <f>VLOOKUP(F164,$A$29:$B$29,2,TRUE)</f>
        <v>4000</v>
      </c>
      <c r="I165" s="58">
        <f t="shared" si="1"/>
        <v>0</v>
      </c>
      <c r="J165" s="60"/>
      <c r="K165" s="33"/>
      <c r="L165" s="33"/>
      <c r="M165" s="33"/>
      <c r="N165" s="33"/>
    </row>
    <row r="166" ht="15.75" customHeight="1">
      <c r="A166" s="52"/>
      <c r="B166" s="52"/>
      <c r="C166" s="52"/>
      <c r="D166" s="18"/>
      <c r="E166" s="18"/>
      <c r="F166" s="55" t="s">
        <v>59</v>
      </c>
      <c r="G166" s="56">
        <v>6.5</v>
      </c>
      <c r="H166" s="61" t="str">
        <f>VLOOKUP(F165,$A$30:$B$30,2,TRUE)</f>
        <v/>
      </c>
      <c r="I166" s="58">
        <f t="shared" si="1"/>
        <v>0</v>
      </c>
      <c r="J166" s="18"/>
      <c r="K166" s="33"/>
      <c r="L166" s="33"/>
      <c r="M166" s="33"/>
      <c r="N166" s="33"/>
    </row>
    <row r="167" ht="15.75" customHeight="1">
      <c r="A167" s="52"/>
      <c r="B167" s="52"/>
      <c r="C167" s="52"/>
      <c r="D167" s="53">
        <v>7.0</v>
      </c>
      <c r="E167" s="65" t="s">
        <v>84</v>
      </c>
      <c r="F167" s="55" t="s">
        <v>22</v>
      </c>
      <c r="G167" s="56">
        <v>0.5</v>
      </c>
      <c r="H167" s="57">
        <f>VLOOKUP(F167,$A$4:$B$4,2,TRUE)</f>
        <v>4000</v>
      </c>
      <c r="I167" s="58">
        <f t="shared" si="1"/>
        <v>2000</v>
      </c>
      <c r="J167" s="59">
        <f>SUM(I167:I193)</f>
        <v>13250</v>
      </c>
      <c r="K167" s="33"/>
      <c r="L167" s="33"/>
      <c r="M167" s="33"/>
      <c r="N167" s="33"/>
    </row>
    <row r="168" ht="15.75" customHeight="1">
      <c r="A168" s="52"/>
      <c r="B168" s="52"/>
      <c r="C168" s="52"/>
      <c r="D168" s="60"/>
      <c r="E168" s="60"/>
      <c r="F168" s="55" t="s">
        <v>57</v>
      </c>
      <c r="G168" s="56"/>
      <c r="H168" s="61">
        <f>VLOOKUP(F168,$A$5:$B$5,2,TRUE)</f>
        <v>3000</v>
      </c>
      <c r="I168" s="58">
        <f t="shared" si="1"/>
        <v>0</v>
      </c>
      <c r="J168" s="60"/>
      <c r="K168" s="33"/>
      <c r="L168" s="33"/>
      <c r="M168" s="33"/>
      <c r="N168" s="33"/>
    </row>
    <row r="169" ht="15.75" customHeight="1">
      <c r="A169" s="52"/>
      <c r="B169" s="52"/>
      <c r="C169" s="52"/>
      <c r="D169" s="60"/>
      <c r="E169" s="60"/>
      <c r="F169" s="55" t="s">
        <v>58</v>
      </c>
      <c r="G169" s="56"/>
      <c r="H169" s="61">
        <f>VLOOKUP(F169,$A$6:$B$6,2,TRUE)</f>
        <v>1000</v>
      </c>
      <c r="I169" s="58">
        <f t="shared" si="1"/>
        <v>0</v>
      </c>
      <c r="J169" s="60"/>
      <c r="K169" s="33"/>
      <c r="L169" s="33"/>
      <c r="M169" s="33"/>
      <c r="N169" s="33"/>
    </row>
    <row r="170" ht="15.75" customHeight="1">
      <c r="A170" s="52"/>
      <c r="B170" s="52"/>
      <c r="C170" s="52"/>
      <c r="D170" s="60"/>
      <c r="E170" s="60"/>
      <c r="F170" s="55" t="s">
        <v>25</v>
      </c>
      <c r="G170" s="56"/>
      <c r="H170" s="61">
        <f>VLOOKUP(F170,$A$7:$B$7,2,TRUE)</f>
        <v>2800</v>
      </c>
      <c r="I170" s="58">
        <f t="shared" si="1"/>
        <v>0</v>
      </c>
      <c r="J170" s="60"/>
      <c r="K170" s="33"/>
      <c r="L170" s="33"/>
      <c r="M170" s="33"/>
      <c r="N170" s="33"/>
    </row>
    <row r="171" ht="15.75" customHeight="1">
      <c r="A171" s="52"/>
      <c r="B171" s="52"/>
      <c r="C171" s="52"/>
      <c r="D171" s="60"/>
      <c r="E171" s="60"/>
      <c r="F171" s="55" t="s">
        <v>26</v>
      </c>
      <c r="G171" s="56">
        <v>0.5</v>
      </c>
      <c r="H171" s="61">
        <f>VLOOKUP(F171,$A$8:$B$8,2,TRUE)</f>
        <v>3500</v>
      </c>
      <c r="I171" s="58">
        <f t="shared" si="1"/>
        <v>1750</v>
      </c>
      <c r="J171" s="60"/>
      <c r="K171" s="33"/>
      <c r="L171" s="33"/>
      <c r="M171" s="33"/>
      <c r="N171" s="33"/>
    </row>
    <row r="172" ht="15.75" customHeight="1">
      <c r="A172" s="52"/>
      <c r="B172" s="52"/>
      <c r="C172" s="52"/>
      <c r="D172" s="60"/>
      <c r="E172" s="60"/>
      <c r="F172" s="55" t="s">
        <v>27</v>
      </c>
      <c r="G172" s="56">
        <v>1.5</v>
      </c>
      <c r="H172" s="61">
        <f>VLOOKUP(F172,$A$9:$B$9,2,TRUE)</f>
        <v>1000</v>
      </c>
      <c r="I172" s="58">
        <f t="shared" si="1"/>
        <v>1500</v>
      </c>
      <c r="J172" s="60"/>
      <c r="K172" s="33"/>
      <c r="L172" s="33"/>
      <c r="M172" s="33"/>
      <c r="N172" s="33"/>
    </row>
    <row r="173" ht="15.75" customHeight="1">
      <c r="A173" s="52"/>
      <c r="B173" s="52"/>
      <c r="C173" s="52"/>
      <c r="D173" s="60"/>
      <c r="E173" s="60"/>
      <c r="F173" s="55" t="s">
        <v>28</v>
      </c>
      <c r="G173" s="56"/>
      <c r="H173" s="61">
        <f>VLOOKUP(F173,$A$10:$B$10,2,TRUE)</f>
        <v>2000</v>
      </c>
      <c r="I173" s="58">
        <f t="shared" si="1"/>
        <v>0</v>
      </c>
      <c r="J173" s="60"/>
      <c r="K173" s="33"/>
      <c r="L173" s="33"/>
      <c r="M173" s="33"/>
      <c r="N173" s="33"/>
    </row>
    <row r="174" ht="15.75" customHeight="1">
      <c r="A174" s="52"/>
      <c r="B174" s="52"/>
      <c r="C174" s="52"/>
      <c r="D174" s="60"/>
      <c r="E174" s="60"/>
      <c r="F174" s="55" t="s">
        <v>29</v>
      </c>
      <c r="G174" s="56">
        <v>4.0</v>
      </c>
      <c r="H174" s="61">
        <f>VLOOKUP(F174,$A$11:$B$11,2,TRUE)</f>
        <v>1500</v>
      </c>
      <c r="I174" s="58">
        <f t="shared" si="1"/>
        <v>6000</v>
      </c>
      <c r="J174" s="60"/>
      <c r="K174" s="33"/>
      <c r="L174" s="33"/>
      <c r="M174" s="33"/>
      <c r="N174" s="33"/>
    </row>
    <row r="175" ht="15.75" customHeight="1">
      <c r="A175" s="52"/>
      <c r="B175" s="52"/>
      <c r="C175" s="52"/>
      <c r="D175" s="60"/>
      <c r="E175" s="60"/>
      <c r="F175" s="55" t="s">
        <v>30</v>
      </c>
      <c r="G175" s="56"/>
      <c r="H175" s="61">
        <f>VLOOKUP(F175,$A$12:$B$12,2,TRUE)</f>
        <v>1300</v>
      </c>
      <c r="I175" s="58">
        <f t="shared" si="1"/>
        <v>0</v>
      </c>
      <c r="J175" s="60"/>
      <c r="K175" s="33"/>
      <c r="L175" s="33"/>
      <c r="M175" s="33"/>
      <c r="N175" s="33"/>
    </row>
    <row r="176" ht="15.75" customHeight="1">
      <c r="A176" s="52"/>
      <c r="B176" s="52"/>
      <c r="C176" s="52"/>
      <c r="D176" s="60"/>
      <c r="E176" s="60"/>
      <c r="F176" s="55" t="s">
        <v>31</v>
      </c>
      <c r="G176" s="56"/>
      <c r="H176" s="61">
        <f>VLOOKUP(F176,$A$13:$B$13,2,TRUE)</f>
        <v>1000</v>
      </c>
      <c r="I176" s="58">
        <f t="shared" si="1"/>
        <v>0</v>
      </c>
      <c r="J176" s="60"/>
      <c r="K176" s="33"/>
      <c r="L176" s="33"/>
      <c r="M176" s="33"/>
      <c r="N176" s="33"/>
    </row>
    <row r="177" ht="15.75" customHeight="1">
      <c r="A177" s="52"/>
      <c r="B177" s="52"/>
      <c r="C177" s="52"/>
      <c r="D177" s="60"/>
      <c r="E177" s="60"/>
      <c r="F177" s="55" t="s">
        <v>32</v>
      </c>
      <c r="G177" s="56"/>
      <c r="H177" s="61">
        <f>VLOOKUP(F177,$A$14:$B$14,2,TRUE)</f>
        <v>500</v>
      </c>
      <c r="I177" s="58">
        <f t="shared" si="1"/>
        <v>0</v>
      </c>
      <c r="J177" s="60"/>
      <c r="K177" s="33"/>
      <c r="L177" s="33"/>
      <c r="M177" s="33"/>
      <c r="N177" s="33"/>
    </row>
    <row r="178" ht="15.75" customHeight="1">
      <c r="A178" s="52"/>
      <c r="B178" s="52"/>
      <c r="C178" s="52"/>
      <c r="D178" s="60"/>
      <c r="E178" s="60"/>
      <c r="F178" s="55" t="s">
        <v>33</v>
      </c>
      <c r="G178" s="56"/>
      <c r="H178" s="61">
        <f>VLOOKUP(F178,$A$15:$B$15,2,TRUE)</f>
        <v>7500</v>
      </c>
      <c r="I178" s="58">
        <f t="shared" si="1"/>
        <v>0</v>
      </c>
      <c r="J178" s="60"/>
      <c r="K178" s="33"/>
      <c r="L178" s="33"/>
      <c r="M178" s="33"/>
      <c r="N178" s="33"/>
    </row>
    <row r="179" ht="15.75" customHeight="1">
      <c r="A179" s="52"/>
      <c r="B179" s="52"/>
      <c r="C179" s="52"/>
      <c r="D179" s="60"/>
      <c r="E179" s="60"/>
      <c r="F179" s="55" t="s">
        <v>34</v>
      </c>
      <c r="G179" s="56">
        <v>1.0</v>
      </c>
      <c r="H179" s="61">
        <f>VLOOKUP(F179,$A$16:$B$16,2,TRUE)</f>
        <v>2000</v>
      </c>
      <c r="I179" s="58">
        <f t="shared" si="1"/>
        <v>2000</v>
      </c>
      <c r="J179" s="60"/>
      <c r="K179" s="33"/>
      <c r="L179" s="33"/>
      <c r="M179" s="33"/>
      <c r="N179" s="33"/>
    </row>
    <row r="180" ht="15.75" customHeight="1">
      <c r="A180" s="52"/>
      <c r="B180" s="52"/>
      <c r="C180" s="52"/>
      <c r="D180" s="60"/>
      <c r="E180" s="60"/>
      <c r="F180" s="55" t="s">
        <v>35</v>
      </c>
      <c r="G180" s="56"/>
      <c r="H180" s="61">
        <f>VLOOKUP(F180,$A$17:$B$17,2,TRUE)</f>
        <v>1000</v>
      </c>
      <c r="I180" s="58">
        <f t="shared" si="1"/>
        <v>0</v>
      </c>
      <c r="J180" s="60"/>
      <c r="K180" s="33"/>
      <c r="L180" s="33"/>
      <c r="M180" s="33"/>
      <c r="N180" s="33"/>
    </row>
    <row r="181" ht="15.75" customHeight="1">
      <c r="A181" s="52"/>
      <c r="B181" s="52"/>
      <c r="C181" s="52"/>
      <c r="D181" s="60"/>
      <c r="E181" s="60"/>
      <c r="F181" s="55" t="s">
        <v>36</v>
      </c>
      <c r="G181" s="56"/>
      <c r="H181" s="61">
        <f>VLOOKUP(F181,$A$18:$B$18,2,TRUE)</f>
        <v>5000</v>
      </c>
      <c r="I181" s="58">
        <f t="shared" si="1"/>
        <v>0</v>
      </c>
      <c r="J181" s="60"/>
      <c r="K181" s="33"/>
      <c r="L181" s="33"/>
      <c r="M181" s="33"/>
      <c r="N181" s="33"/>
    </row>
    <row r="182" ht="15.75" customHeight="1">
      <c r="A182" s="52"/>
      <c r="B182" s="52"/>
      <c r="C182" s="52"/>
      <c r="D182" s="60"/>
      <c r="E182" s="60"/>
      <c r="F182" s="55" t="s">
        <v>37</v>
      </c>
      <c r="G182" s="56"/>
      <c r="H182" s="61">
        <f>VLOOKUP(F182,$A$19:$B$19,2,TRUE)</f>
        <v>2700</v>
      </c>
      <c r="I182" s="58">
        <f t="shared" si="1"/>
        <v>0</v>
      </c>
      <c r="J182" s="60"/>
      <c r="K182" s="33"/>
      <c r="L182" s="33"/>
      <c r="M182" s="33"/>
      <c r="N182" s="33"/>
    </row>
    <row r="183" ht="15.75" customHeight="1">
      <c r="A183" s="52"/>
      <c r="B183" s="52"/>
      <c r="C183" s="52"/>
      <c r="D183" s="60"/>
      <c r="E183" s="60"/>
      <c r="F183" s="55" t="s">
        <v>38</v>
      </c>
      <c r="G183" s="56"/>
      <c r="H183" s="61">
        <f>VLOOKUP(F183,$A$20:$B$20,2,TRUE)</f>
        <v>50000</v>
      </c>
      <c r="I183" s="58">
        <f t="shared" si="1"/>
        <v>0</v>
      </c>
      <c r="J183" s="60"/>
      <c r="K183" s="33"/>
      <c r="L183" s="33"/>
      <c r="M183" s="33"/>
      <c r="N183" s="33"/>
    </row>
    <row r="184" ht="15.75" customHeight="1">
      <c r="A184" s="52"/>
      <c r="B184" s="52"/>
      <c r="C184" s="52"/>
      <c r="D184" s="60"/>
      <c r="E184" s="60"/>
      <c r="F184" s="55" t="s">
        <v>39</v>
      </c>
      <c r="G184" s="56"/>
      <c r="H184" s="61">
        <f>VLOOKUP(F184,$A$21:$B$21,2,TRUE)</f>
        <v>10000</v>
      </c>
      <c r="I184" s="58">
        <f t="shared" si="1"/>
        <v>0</v>
      </c>
      <c r="J184" s="60"/>
      <c r="K184" s="33"/>
      <c r="L184" s="33"/>
      <c r="M184" s="33"/>
      <c r="N184" s="33"/>
    </row>
    <row r="185" ht="15.75" customHeight="1">
      <c r="A185" s="52"/>
      <c r="B185" s="52"/>
      <c r="C185" s="52"/>
      <c r="D185" s="60"/>
      <c r="E185" s="60"/>
      <c r="F185" s="55" t="s">
        <v>40</v>
      </c>
      <c r="G185" s="56"/>
      <c r="H185" s="61">
        <f>VLOOKUP(F185,$A$22:$B$22,2,TRUE)</f>
        <v>1000</v>
      </c>
      <c r="I185" s="58">
        <f t="shared" si="1"/>
        <v>0</v>
      </c>
      <c r="J185" s="60"/>
      <c r="K185" s="33"/>
      <c r="L185" s="33"/>
      <c r="M185" s="33"/>
      <c r="N185" s="33"/>
    </row>
    <row r="186" ht="15.75" customHeight="1">
      <c r="A186" s="52"/>
      <c r="B186" s="52"/>
      <c r="C186" s="52"/>
      <c r="D186" s="60"/>
      <c r="E186" s="60"/>
      <c r="F186" s="55" t="s">
        <v>41</v>
      </c>
      <c r="G186" s="56"/>
      <c r="H186" s="61">
        <f>VLOOKUP(F186,$A$23:$B$23,2,TRUE)</f>
        <v>500</v>
      </c>
      <c r="I186" s="58">
        <f t="shared" si="1"/>
        <v>0</v>
      </c>
      <c r="J186" s="60"/>
      <c r="K186" s="33"/>
      <c r="L186" s="33"/>
      <c r="M186" s="33"/>
      <c r="N186" s="33"/>
    </row>
    <row r="187" ht="15.75" customHeight="1">
      <c r="A187" s="52"/>
      <c r="B187" s="52"/>
      <c r="C187" s="52"/>
      <c r="D187" s="60"/>
      <c r="E187" s="60"/>
      <c r="F187" s="55" t="s">
        <v>42</v>
      </c>
      <c r="G187" s="56"/>
      <c r="H187" s="61">
        <f>VLOOKUP(F187,$A$24:$B$24,2,TRUE)</f>
        <v>200</v>
      </c>
      <c r="I187" s="58">
        <f t="shared" si="1"/>
        <v>0</v>
      </c>
      <c r="J187" s="60"/>
      <c r="K187" s="33"/>
      <c r="L187" s="33"/>
      <c r="M187" s="33"/>
      <c r="N187" s="33"/>
    </row>
    <row r="188" ht="15.75" customHeight="1">
      <c r="A188" s="52"/>
      <c r="B188" s="52"/>
      <c r="C188" s="52"/>
      <c r="D188" s="60"/>
      <c r="E188" s="60"/>
      <c r="F188" s="55" t="s">
        <v>43</v>
      </c>
      <c r="G188" s="56"/>
      <c r="H188" s="61">
        <f>VLOOKUP(F188,$A$25:$B$25,2,TRUE)</f>
        <v>1000</v>
      </c>
      <c r="I188" s="58">
        <f t="shared" si="1"/>
        <v>0</v>
      </c>
      <c r="J188" s="60"/>
      <c r="K188" s="33"/>
      <c r="L188" s="33"/>
      <c r="M188" s="33"/>
      <c r="N188" s="33"/>
    </row>
    <row r="189" ht="15.75" customHeight="1">
      <c r="A189" s="52"/>
      <c r="B189" s="52"/>
      <c r="C189" s="52"/>
      <c r="D189" s="60"/>
      <c r="E189" s="60"/>
      <c r="F189" s="55" t="s">
        <v>18</v>
      </c>
      <c r="G189" s="56"/>
      <c r="H189" s="61">
        <f>VLOOKUP(F189,$A$26:$B$26,2,TRUE)</f>
        <v>300</v>
      </c>
      <c r="I189" s="58">
        <f t="shared" si="1"/>
        <v>0</v>
      </c>
      <c r="J189" s="60"/>
      <c r="K189" s="33"/>
      <c r="L189" s="33"/>
      <c r="M189" s="33"/>
      <c r="N189" s="33"/>
    </row>
    <row r="190" ht="15.75" customHeight="1">
      <c r="A190" s="52"/>
      <c r="B190" s="52"/>
      <c r="C190" s="52"/>
      <c r="D190" s="60"/>
      <c r="E190" s="60"/>
      <c r="F190" s="55" t="s">
        <v>44</v>
      </c>
      <c r="G190" s="56"/>
      <c r="H190" s="61">
        <f>VLOOKUP(F190,$A$27:$B$27,2,TRUE)</f>
        <v>100</v>
      </c>
      <c r="I190" s="58">
        <f t="shared" si="1"/>
        <v>0</v>
      </c>
      <c r="J190" s="60"/>
      <c r="K190" s="33"/>
      <c r="L190" s="33"/>
      <c r="M190" s="33"/>
      <c r="N190" s="33"/>
    </row>
    <row r="191" ht="15.75" customHeight="1">
      <c r="A191" s="52"/>
      <c r="B191" s="52"/>
      <c r="C191" s="52"/>
      <c r="D191" s="60"/>
      <c r="E191" s="60"/>
      <c r="F191" s="55" t="s">
        <v>13</v>
      </c>
      <c r="G191" s="56"/>
      <c r="H191" s="61">
        <f>VLOOKUP(F190,$A$28:$B$28,2,TRUE)</f>
        <v>1500</v>
      </c>
      <c r="I191" s="58">
        <f t="shared" si="1"/>
        <v>0</v>
      </c>
      <c r="J191" s="60"/>
      <c r="K191" s="33"/>
      <c r="L191" s="33"/>
      <c r="M191" s="33"/>
      <c r="N191" s="33"/>
    </row>
    <row r="192" ht="15.75" customHeight="1">
      <c r="A192" s="52"/>
      <c r="B192" s="52"/>
      <c r="C192" s="52"/>
      <c r="D192" s="60"/>
      <c r="E192" s="60"/>
      <c r="F192" s="55" t="s">
        <v>20</v>
      </c>
      <c r="G192" s="56"/>
      <c r="H192" s="61">
        <f>VLOOKUP(F191,$A$29:$B$29,2,TRUE)</f>
        <v>4000</v>
      </c>
      <c r="I192" s="58">
        <f t="shared" si="1"/>
        <v>0</v>
      </c>
      <c r="J192" s="60"/>
      <c r="K192" s="33"/>
      <c r="L192" s="33"/>
      <c r="M192" s="33"/>
      <c r="N192" s="33"/>
    </row>
    <row r="193" ht="15.75" customHeight="1">
      <c r="A193" s="52"/>
      <c r="B193" s="52"/>
      <c r="C193" s="52"/>
      <c r="D193" s="18"/>
      <c r="E193" s="18"/>
      <c r="F193" s="55" t="s">
        <v>59</v>
      </c>
      <c r="G193" s="56"/>
      <c r="H193" s="61" t="str">
        <f>VLOOKUP(F192,$A$30:$B$30,2,TRUE)</f>
        <v/>
      </c>
      <c r="I193" s="58">
        <f t="shared" si="1"/>
        <v>0</v>
      </c>
      <c r="J193" s="18"/>
      <c r="K193" s="33"/>
      <c r="L193" s="33"/>
      <c r="M193" s="33"/>
      <c r="N193" s="33"/>
    </row>
    <row r="194" ht="15.75" customHeight="1">
      <c r="A194" s="52"/>
      <c r="B194" s="52"/>
      <c r="C194" s="52"/>
      <c r="D194" s="53">
        <v>8.0</v>
      </c>
      <c r="E194" s="65" t="s">
        <v>85</v>
      </c>
      <c r="F194" s="55" t="s">
        <v>22</v>
      </c>
      <c r="G194" s="56"/>
      <c r="H194" s="57">
        <f>VLOOKUP(F194,$A$4:$B$4,2,TRUE)</f>
        <v>4000</v>
      </c>
      <c r="I194" s="58">
        <f t="shared" si="1"/>
        <v>0</v>
      </c>
      <c r="J194" s="59">
        <f>SUM(I194:I220)</f>
        <v>27000</v>
      </c>
      <c r="K194" s="33"/>
      <c r="L194" s="33"/>
      <c r="M194" s="33"/>
      <c r="N194" s="33"/>
    </row>
    <row r="195" ht="15.75" customHeight="1">
      <c r="A195" s="52"/>
      <c r="B195" s="52"/>
      <c r="C195" s="52"/>
      <c r="D195" s="60"/>
      <c r="E195" s="60"/>
      <c r="F195" s="55" t="s">
        <v>57</v>
      </c>
      <c r="G195" s="56"/>
      <c r="H195" s="61">
        <f>VLOOKUP(F195,$A$5:$B$5,2,TRUE)</f>
        <v>3000</v>
      </c>
      <c r="I195" s="58">
        <f t="shared" si="1"/>
        <v>0</v>
      </c>
      <c r="J195" s="60"/>
      <c r="K195" s="33"/>
      <c r="L195" s="33"/>
      <c r="M195" s="33"/>
      <c r="N195" s="33"/>
    </row>
    <row r="196" ht="15.75" customHeight="1">
      <c r="A196" s="52"/>
      <c r="B196" s="52"/>
      <c r="C196" s="52"/>
      <c r="D196" s="60"/>
      <c r="E196" s="60"/>
      <c r="F196" s="55" t="s">
        <v>58</v>
      </c>
      <c r="G196" s="56"/>
      <c r="H196" s="61">
        <f>VLOOKUP(F196,$A$6:$B$6,2,TRUE)</f>
        <v>1000</v>
      </c>
      <c r="I196" s="58">
        <f t="shared" si="1"/>
        <v>0</v>
      </c>
      <c r="J196" s="60"/>
      <c r="K196" s="33"/>
      <c r="L196" s="33"/>
      <c r="M196" s="33"/>
      <c r="N196" s="33"/>
    </row>
    <row r="197" ht="15.75" customHeight="1">
      <c r="A197" s="52"/>
      <c r="B197" s="52"/>
      <c r="C197" s="52"/>
      <c r="D197" s="60"/>
      <c r="E197" s="60"/>
      <c r="F197" s="55" t="s">
        <v>25</v>
      </c>
      <c r="G197" s="56"/>
      <c r="H197" s="61">
        <f>VLOOKUP(F197,$A$7:$B$7,2,TRUE)</f>
        <v>2800</v>
      </c>
      <c r="I197" s="58">
        <f t="shared" si="1"/>
        <v>0</v>
      </c>
      <c r="J197" s="60"/>
      <c r="K197" s="33"/>
      <c r="L197" s="33"/>
      <c r="M197" s="33"/>
      <c r="N197" s="33"/>
    </row>
    <row r="198" ht="15.75" customHeight="1">
      <c r="A198" s="52"/>
      <c r="B198" s="52"/>
      <c r="C198" s="52"/>
      <c r="D198" s="60"/>
      <c r="E198" s="60"/>
      <c r="F198" s="55" t="s">
        <v>26</v>
      </c>
      <c r="G198" s="56"/>
      <c r="H198" s="61">
        <f>VLOOKUP(F198,$A$8:$B$8,2,TRUE)</f>
        <v>3500</v>
      </c>
      <c r="I198" s="58">
        <f t="shared" si="1"/>
        <v>0</v>
      </c>
      <c r="J198" s="60"/>
      <c r="K198" s="33"/>
      <c r="L198" s="33"/>
      <c r="M198" s="33"/>
      <c r="N198" s="33"/>
    </row>
    <row r="199" ht="15.75" customHeight="1">
      <c r="A199" s="52"/>
      <c r="B199" s="52"/>
      <c r="C199" s="52"/>
      <c r="D199" s="60"/>
      <c r="E199" s="60"/>
      <c r="F199" s="55" t="s">
        <v>27</v>
      </c>
      <c r="G199" s="56"/>
      <c r="H199" s="61">
        <f>VLOOKUP(F199,$A$9:$B$9,2,TRUE)</f>
        <v>1000</v>
      </c>
      <c r="I199" s="58">
        <f t="shared" si="1"/>
        <v>0</v>
      </c>
      <c r="J199" s="60"/>
      <c r="K199" s="33"/>
      <c r="L199" s="33"/>
      <c r="M199" s="33"/>
      <c r="N199" s="33"/>
    </row>
    <row r="200" ht="15.75" customHeight="1">
      <c r="A200" s="52"/>
      <c r="B200" s="52"/>
      <c r="C200" s="52"/>
      <c r="D200" s="60"/>
      <c r="E200" s="60"/>
      <c r="F200" s="55" t="s">
        <v>28</v>
      </c>
      <c r="G200" s="56"/>
      <c r="H200" s="61">
        <f>VLOOKUP(F200,$A$10:$B$10,2,TRUE)</f>
        <v>2000</v>
      </c>
      <c r="I200" s="58">
        <f t="shared" si="1"/>
        <v>0</v>
      </c>
      <c r="J200" s="60"/>
      <c r="K200" s="33"/>
      <c r="L200" s="33"/>
      <c r="M200" s="33"/>
      <c r="N200" s="33"/>
    </row>
    <row r="201" ht="15.75" customHeight="1">
      <c r="A201" s="52"/>
      <c r="B201" s="52"/>
      <c r="C201" s="52"/>
      <c r="D201" s="60"/>
      <c r="E201" s="60"/>
      <c r="F201" s="55" t="s">
        <v>29</v>
      </c>
      <c r="G201" s="56">
        <v>18.0</v>
      </c>
      <c r="H201" s="61">
        <f>VLOOKUP(F201,$A$11:$B$11,2,TRUE)</f>
        <v>1500</v>
      </c>
      <c r="I201" s="58">
        <f t="shared" si="1"/>
        <v>27000</v>
      </c>
      <c r="J201" s="60"/>
      <c r="K201" s="33"/>
      <c r="L201" s="33"/>
      <c r="M201" s="33"/>
      <c r="N201" s="33"/>
    </row>
    <row r="202" ht="15.75" customHeight="1">
      <c r="A202" s="52"/>
      <c r="B202" s="52"/>
      <c r="C202" s="52"/>
      <c r="D202" s="60"/>
      <c r="E202" s="60"/>
      <c r="F202" s="55" t="s">
        <v>30</v>
      </c>
      <c r="G202" s="56"/>
      <c r="H202" s="61">
        <f>VLOOKUP(F202,$A$12:$B$12,2,TRUE)</f>
        <v>1300</v>
      </c>
      <c r="I202" s="58">
        <f t="shared" si="1"/>
        <v>0</v>
      </c>
      <c r="J202" s="60"/>
      <c r="K202" s="33"/>
      <c r="L202" s="33"/>
      <c r="M202" s="33"/>
      <c r="N202" s="33"/>
    </row>
    <row r="203" ht="15.75" customHeight="1">
      <c r="A203" s="52"/>
      <c r="B203" s="52"/>
      <c r="C203" s="52"/>
      <c r="D203" s="60"/>
      <c r="E203" s="60"/>
      <c r="F203" s="55" t="s">
        <v>31</v>
      </c>
      <c r="G203" s="56"/>
      <c r="H203" s="61">
        <f>VLOOKUP(F203,$A$13:$B$13,2,TRUE)</f>
        <v>1000</v>
      </c>
      <c r="I203" s="58">
        <f t="shared" si="1"/>
        <v>0</v>
      </c>
      <c r="J203" s="60"/>
      <c r="K203" s="33"/>
      <c r="L203" s="33"/>
      <c r="M203" s="33"/>
      <c r="N203" s="33"/>
    </row>
    <row r="204" ht="15.75" customHeight="1">
      <c r="A204" s="52"/>
      <c r="B204" s="52"/>
      <c r="C204" s="52"/>
      <c r="D204" s="60"/>
      <c r="E204" s="60"/>
      <c r="F204" s="55" t="s">
        <v>32</v>
      </c>
      <c r="G204" s="56"/>
      <c r="H204" s="61">
        <f>VLOOKUP(F204,$A$14:$B$14,2,TRUE)</f>
        <v>500</v>
      </c>
      <c r="I204" s="58">
        <f t="shared" si="1"/>
        <v>0</v>
      </c>
      <c r="J204" s="60"/>
      <c r="K204" s="33"/>
      <c r="L204" s="33"/>
      <c r="M204" s="33"/>
      <c r="N204" s="33"/>
    </row>
    <row r="205" ht="15.75" customHeight="1">
      <c r="A205" s="52"/>
      <c r="B205" s="52"/>
      <c r="C205" s="52"/>
      <c r="D205" s="60"/>
      <c r="E205" s="60"/>
      <c r="F205" s="55" t="s">
        <v>33</v>
      </c>
      <c r="G205" s="56"/>
      <c r="H205" s="61">
        <f>VLOOKUP(F205,$A$15:$B$15,2,TRUE)</f>
        <v>7500</v>
      </c>
      <c r="I205" s="58">
        <f t="shared" si="1"/>
        <v>0</v>
      </c>
      <c r="J205" s="60"/>
      <c r="K205" s="33"/>
      <c r="L205" s="33"/>
      <c r="M205" s="33"/>
      <c r="N205" s="33"/>
    </row>
    <row r="206" ht="15.75" customHeight="1">
      <c r="A206" s="52"/>
      <c r="B206" s="52"/>
      <c r="C206" s="52"/>
      <c r="D206" s="60"/>
      <c r="E206" s="60"/>
      <c r="F206" s="55" t="s">
        <v>34</v>
      </c>
      <c r="G206" s="56"/>
      <c r="H206" s="61">
        <f>VLOOKUP(F206,$A$16:$B$16,2,TRUE)</f>
        <v>2000</v>
      </c>
      <c r="I206" s="58">
        <f t="shared" si="1"/>
        <v>0</v>
      </c>
      <c r="J206" s="60"/>
      <c r="K206" s="33"/>
      <c r="L206" s="33"/>
      <c r="M206" s="33"/>
      <c r="N206" s="33"/>
    </row>
    <row r="207" ht="15.75" customHeight="1">
      <c r="A207" s="52"/>
      <c r="B207" s="52"/>
      <c r="C207" s="52"/>
      <c r="D207" s="60"/>
      <c r="E207" s="60"/>
      <c r="F207" s="55" t="s">
        <v>35</v>
      </c>
      <c r="G207" s="56"/>
      <c r="H207" s="61">
        <f>VLOOKUP(F207,$A$17:$B$17,2,TRUE)</f>
        <v>1000</v>
      </c>
      <c r="I207" s="58">
        <f t="shared" si="1"/>
        <v>0</v>
      </c>
      <c r="J207" s="60"/>
      <c r="K207" s="33"/>
      <c r="L207" s="33"/>
      <c r="M207" s="33"/>
      <c r="N207" s="33"/>
    </row>
    <row r="208" ht="15.75" customHeight="1">
      <c r="A208" s="52"/>
      <c r="B208" s="52"/>
      <c r="C208" s="52"/>
      <c r="D208" s="60"/>
      <c r="E208" s="60"/>
      <c r="F208" s="55" t="s">
        <v>36</v>
      </c>
      <c r="G208" s="56"/>
      <c r="H208" s="61">
        <f>VLOOKUP(F208,$A$18:$B$18,2,TRUE)</f>
        <v>5000</v>
      </c>
      <c r="I208" s="58">
        <f t="shared" si="1"/>
        <v>0</v>
      </c>
      <c r="J208" s="60"/>
      <c r="K208" s="33"/>
      <c r="L208" s="33"/>
      <c r="M208" s="33"/>
      <c r="N208" s="33"/>
    </row>
    <row r="209" ht="15.75" customHeight="1">
      <c r="A209" s="52"/>
      <c r="B209" s="52"/>
      <c r="C209" s="52"/>
      <c r="D209" s="60"/>
      <c r="E209" s="60"/>
      <c r="F209" s="55" t="s">
        <v>37</v>
      </c>
      <c r="G209" s="56"/>
      <c r="H209" s="61">
        <f>VLOOKUP(F209,$A$19:$B$19,2,TRUE)</f>
        <v>2700</v>
      </c>
      <c r="I209" s="58">
        <f t="shared" si="1"/>
        <v>0</v>
      </c>
      <c r="J209" s="60"/>
      <c r="K209" s="33"/>
      <c r="L209" s="33"/>
      <c r="M209" s="33"/>
      <c r="N209" s="33"/>
    </row>
    <row r="210" ht="15.75" customHeight="1">
      <c r="A210" s="52"/>
      <c r="B210" s="52"/>
      <c r="C210" s="52"/>
      <c r="D210" s="60"/>
      <c r="E210" s="60"/>
      <c r="F210" s="55" t="s">
        <v>38</v>
      </c>
      <c r="G210" s="56"/>
      <c r="H210" s="61">
        <f>VLOOKUP(F210,$A$20:$B$20,2,TRUE)</f>
        <v>50000</v>
      </c>
      <c r="I210" s="58">
        <f t="shared" si="1"/>
        <v>0</v>
      </c>
      <c r="J210" s="60"/>
      <c r="K210" s="33"/>
      <c r="L210" s="33"/>
      <c r="M210" s="33"/>
      <c r="N210" s="33"/>
    </row>
    <row r="211" ht="15.75" customHeight="1">
      <c r="A211" s="52"/>
      <c r="B211" s="52"/>
      <c r="C211" s="52"/>
      <c r="D211" s="60"/>
      <c r="E211" s="60"/>
      <c r="F211" s="55" t="s">
        <v>39</v>
      </c>
      <c r="G211" s="56"/>
      <c r="H211" s="61">
        <f>VLOOKUP(F211,$A$21:$B$21,2,TRUE)</f>
        <v>10000</v>
      </c>
      <c r="I211" s="58">
        <f t="shared" si="1"/>
        <v>0</v>
      </c>
      <c r="J211" s="60"/>
      <c r="K211" s="33"/>
      <c r="L211" s="33"/>
      <c r="M211" s="33"/>
      <c r="N211" s="33"/>
    </row>
    <row r="212" ht="15.75" customHeight="1">
      <c r="A212" s="52"/>
      <c r="B212" s="52"/>
      <c r="C212" s="52"/>
      <c r="D212" s="60"/>
      <c r="E212" s="60"/>
      <c r="F212" s="55" t="s">
        <v>40</v>
      </c>
      <c r="G212" s="56"/>
      <c r="H212" s="61">
        <f>VLOOKUP(F212,$A$22:$B$22,2,TRUE)</f>
        <v>1000</v>
      </c>
      <c r="I212" s="58">
        <f t="shared" si="1"/>
        <v>0</v>
      </c>
      <c r="J212" s="60"/>
      <c r="K212" s="33"/>
      <c r="L212" s="33"/>
      <c r="M212" s="33"/>
      <c r="N212" s="33"/>
    </row>
    <row r="213" ht="15.75" customHeight="1">
      <c r="A213" s="52"/>
      <c r="B213" s="52"/>
      <c r="C213" s="52"/>
      <c r="D213" s="60"/>
      <c r="E213" s="60"/>
      <c r="F213" s="55" t="s">
        <v>41</v>
      </c>
      <c r="G213" s="56"/>
      <c r="H213" s="61">
        <f>VLOOKUP(F213,$A$23:$B$23,2,TRUE)</f>
        <v>500</v>
      </c>
      <c r="I213" s="58">
        <f t="shared" si="1"/>
        <v>0</v>
      </c>
      <c r="J213" s="60"/>
      <c r="K213" s="33"/>
      <c r="L213" s="33"/>
      <c r="M213" s="33"/>
      <c r="N213" s="33"/>
    </row>
    <row r="214" ht="15.75" customHeight="1">
      <c r="A214" s="52"/>
      <c r="B214" s="52"/>
      <c r="C214" s="52"/>
      <c r="D214" s="60"/>
      <c r="E214" s="60"/>
      <c r="F214" s="55" t="s">
        <v>42</v>
      </c>
      <c r="G214" s="56"/>
      <c r="H214" s="61">
        <f>VLOOKUP(F214,$A$24:$B$24,2,TRUE)</f>
        <v>200</v>
      </c>
      <c r="I214" s="58">
        <f t="shared" si="1"/>
        <v>0</v>
      </c>
      <c r="J214" s="60"/>
      <c r="K214" s="33"/>
      <c r="L214" s="33"/>
      <c r="M214" s="33"/>
      <c r="N214" s="33"/>
    </row>
    <row r="215" ht="15.75" customHeight="1">
      <c r="A215" s="52"/>
      <c r="B215" s="52"/>
      <c r="C215" s="52"/>
      <c r="D215" s="60"/>
      <c r="E215" s="60"/>
      <c r="F215" s="55" t="s">
        <v>43</v>
      </c>
      <c r="G215" s="56"/>
      <c r="H215" s="61">
        <f>VLOOKUP(F215,$A$25:$B$25,2,TRUE)</f>
        <v>1000</v>
      </c>
      <c r="I215" s="58">
        <f t="shared" si="1"/>
        <v>0</v>
      </c>
      <c r="J215" s="60"/>
      <c r="K215" s="33"/>
      <c r="L215" s="33"/>
      <c r="M215" s="33"/>
      <c r="N215" s="33"/>
    </row>
    <row r="216" ht="15.75" customHeight="1">
      <c r="A216" s="52"/>
      <c r="B216" s="52"/>
      <c r="C216" s="52"/>
      <c r="D216" s="60"/>
      <c r="E216" s="60"/>
      <c r="F216" s="55" t="s">
        <v>18</v>
      </c>
      <c r="G216" s="56"/>
      <c r="H216" s="61">
        <f>VLOOKUP(F216,$A$26:$B$26,2,TRUE)</f>
        <v>300</v>
      </c>
      <c r="I216" s="58">
        <f t="shared" si="1"/>
        <v>0</v>
      </c>
      <c r="J216" s="60"/>
      <c r="K216" s="33"/>
      <c r="L216" s="33"/>
      <c r="M216" s="33"/>
      <c r="N216" s="33"/>
    </row>
    <row r="217" ht="15.75" customHeight="1">
      <c r="A217" s="52"/>
      <c r="B217" s="52"/>
      <c r="C217" s="52"/>
      <c r="D217" s="60"/>
      <c r="E217" s="60"/>
      <c r="F217" s="55" t="s">
        <v>44</v>
      </c>
      <c r="G217" s="56"/>
      <c r="H217" s="61">
        <f>VLOOKUP(F217,$A$27:$B$27,2,TRUE)</f>
        <v>100</v>
      </c>
      <c r="I217" s="58">
        <f t="shared" si="1"/>
        <v>0</v>
      </c>
      <c r="J217" s="60"/>
      <c r="K217" s="33"/>
      <c r="L217" s="33"/>
      <c r="M217" s="33"/>
      <c r="N217" s="33"/>
    </row>
    <row r="218" ht="15.75" customHeight="1">
      <c r="A218" s="52"/>
      <c r="B218" s="52"/>
      <c r="C218" s="52"/>
      <c r="D218" s="60"/>
      <c r="E218" s="60"/>
      <c r="F218" s="55" t="s">
        <v>13</v>
      </c>
      <c r="G218" s="56"/>
      <c r="H218" s="61">
        <f>VLOOKUP(F217,$A$28:$B$28,2,TRUE)</f>
        <v>1500</v>
      </c>
      <c r="I218" s="58">
        <f t="shared" si="1"/>
        <v>0</v>
      </c>
      <c r="J218" s="60"/>
      <c r="K218" s="33"/>
      <c r="L218" s="33"/>
      <c r="M218" s="33"/>
      <c r="N218" s="33"/>
    </row>
    <row r="219" ht="15.75" customHeight="1">
      <c r="A219" s="52"/>
      <c r="B219" s="52"/>
      <c r="C219" s="52"/>
      <c r="D219" s="60"/>
      <c r="E219" s="60"/>
      <c r="F219" s="55" t="s">
        <v>20</v>
      </c>
      <c r="G219" s="56"/>
      <c r="H219" s="61">
        <f>VLOOKUP(F218,$A$29:$B$29,2,TRUE)</f>
        <v>4000</v>
      </c>
      <c r="I219" s="58">
        <f t="shared" si="1"/>
        <v>0</v>
      </c>
      <c r="J219" s="60"/>
      <c r="K219" s="33"/>
      <c r="L219" s="33"/>
      <c r="M219" s="33"/>
      <c r="N219" s="33"/>
    </row>
    <row r="220" ht="15.75" customHeight="1">
      <c r="A220" s="52"/>
      <c r="B220" s="52"/>
      <c r="C220" s="52"/>
      <c r="D220" s="18"/>
      <c r="E220" s="18"/>
      <c r="F220" s="55" t="s">
        <v>59</v>
      </c>
      <c r="G220" s="56"/>
      <c r="H220" s="61" t="str">
        <f>VLOOKUP(F219,$A$30:$B$30,2,TRUE)</f>
        <v/>
      </c>
      <c r="I220" s="58">
        <f t="shared" si="1"/>
        <v>0</v>
      </c>
      <c r="J220" s="18"/>
      <c r="K220" s="33"/>
      <c r="L220" s="33"/>
      <c r="M220" s="33"/>
      <c r="N220" s="33"/>
    </row>
    <row r="221" ht="15.75" customHeight="1">
      <c r="A221" s="52"/>
      <c r="B221" s="52"/>
      <c r="C221" s="52"/>
      <c r="D221" s="53">
        <v>9.0</v>
      </c>
      <c r="E221" s="65" t="s">
        <v>86</v>
      </c>
      <c r="F221" s="55" t="s">
        <v>22</v>
      </c>
      <c r="G221" s="56"/>
      <c r="H221" s="57">
        <f>VLOOKUP(F221,$A$4:$B$4,2,TRUE)</f>
        <v>4000</v>
      </c>
      <c r="I221" s="58">
        <f t="shared" si="1"/>
        <v>0</v>
      </c>
      <c r="J221" s="59">
        <f>SUM(I221:I247)</f>
        <v>16750</v>
      </c>
      <c r="K221" s="33"/>
      <c r="L221" s="33"/>
      <c r="M221" s="33"/>
      <c r="N221" s="33"/>
    </row>
    <row r="222" ht="15.75" customHeight="1">
      <c r="A222" s="52"/>
      <c r="B222" s="52"/>
      <c r="C222" s="52"/>
      <c r="D222" s="60"/>
      <c r="E222" s="60"/>
      <c r="F222" s="55" t="s">
        <v>57</v>
      </c>
      <c r="G222" s="56">
        <v>1.0</v>
      </c>
      <c r="H222" s="61">
        <f>VLOOKUP(F222,$A$5:$B$5,2,TRUE)</f>
        <v>3000</v>
      </c>
      <c r="I222" s="58">
        <f t="shared" si="1"/>
        <v>3000</v>
      </c>
      <c r="J222" s="60"/>
      <c r="K222" s="33"/>
      <c r="L222" s="33"/>
      <c r="M222" s="33"/>
      <c r="N222" s="33"/>
    </row>
    <row r="223" ht="15.75" customHeight="1">
      <c r="A223" s="52"/>
      <c r="B223" s="52"/>
      <c r="C223" s="52"/>
      <c r="D223" s="60"/>
      <c r="E223" s="60"/>
      <c r="F223" s="55" t="s">
        <v>58</v>
      </c>
      <c r="G223" s="56"/>
      <c r="H223" s="61">
        <f>VLOOKUP(F223,$A$6:$B$6,2,TRUE)</f>
        <v>1000</v>
      </c>
      <c r="I223" s="58">
        <f t="shared" si="1"/>
        <v>0</v>
      </c>
      <c r="J223" s="60"/>
      <c r="K223" s="33"/>
      <c r="L223" s="33"/>
      <c r="M223" s="33"/>
      <c r="N223" s="33"/>
    </row>
    <row r="224" ht="15.75" customHeight="1">
      <c r="A224" s="52"/>
      <c r="B224" s="52"/>
      <c r="C224" s="52"/>
      <c r="D224" s="60"/>
      <c r="E224" s="60"/>
      <c r="F224" s="55" t="s">
        <v>25</v>
      </c>
      <c r="G224" s="56"/>
      <c r="H224" s="61">
        <f>VLOOKUP(F224,$A$7:$B$7,2,TRUE)</f>
        <v>2800</v>
      </c>
      <c r="I224" s="58">
        <f t="shared" si="1"/>
        <v>0</v>
      </c>
      <c r="J224" s="60"/>
      <c r="K224" s="33"/>
      <c r="L224" s="33"/>
      <c r="M224" s="33"/>
      <c r="N224" s="33"/>
    </row>
    <row r="225" ht="15.75" customHeight="1">
      <c r="A225" s="52"/>
      <c r="B225" s="52"/>
      <c r="C225" s="52"/>
      <c r="D225" s="60"/>
      <c r="E225" s="60"/>
      <c r="F225" s="55" t="s">
        <v>26</v>
      </c>
      <c r="G225" s="56"/>
      <c r="H225" s="61">
        <f>VLOOKUP(F225,$A$8:$B$8,2,TRUE)</f>
        <v>3500</v>
      </c>
      <c r="I225" s="58">
        <f t="shared" si="1"/>
        <v>0</v>
      </c>
      <c r="J225" s="60"/>
      <c r="K225" s="33"/>
      <c r="L225" s="33"/>
      <c r="M225" s="33"/>
      <c r="N225" s="33"/>
    </row>
    <row r="226" ht="15.75" customHeight="1">
      <c r="A226" s="52"/>
      <c r="B226" s="52"/>
      <c r="C226" s="52"/>
      <c r="D226" s="60"/>
      <c r="E226" s="60"/>
      <c r="F226" s="55" t="s">
        <v>27</v>
      </c>
      <c r="G226" s="56">
        <v>6.5</v>
      </c>
      <c r="H226" s="61">
        <f>VLOOKUP(F226,$A$9:$B$9,2,TRUE)</f>
        <v>1000</v>
      </c>
      <c r="I226" s="58">
        <f t="shared" si="1"/>
        <v>6500</v>
      </c>
      <c r="J226" s="60"/>
      <c r="K226" s="33"/>
      <c r="L226" s="33"/>
      <c r="M226" s="33"/>
      <c r="N226" s="33"/>
    </row>
    <row r="227" ht="15.75" customHeight="1">
      <c r="A227" s="52"/>
      <c r="B227" s="52"/>
      <c r="C227" s="52"/>
      <c r="D227" s="60"/>
      <c r="E227" s="60"/>
      <c r="F227" s="55" t="s">
        <v>28</v>
      </c>
      <c r="G227" s="56"/>
      <c r="H227" s="61">
        <f>VLOOKUP(F227,$A$10:$B$10,2,TRUE)</f>
        <v>2000</v>
      </c>
      <c r="I227" s="58">
        <f t="shared" si="1"/>
        <v>0</v>
      </c>
      <c r="J227" s="60"/>
      <c r="K227" s="33"/>
      <c r="L227" s="33"/>
      <c r="M227" s="33"/>
      <c r="N227" s="33"/>
    </row>
    <row r="228" ht="15.75" customHeight="1">
      <c r="A228" s="52"/>
      <c r="B228" s="52"/>
      <c r="C228" s="52"/>
      <c r="D228" s="60"/>
      <c r="E228" s="60"/>
      <c r="F228" s="55" t="s">
        <v>29</v>
      </c>
      <c r="G228" s="56">
        <v>1.5</v>
      </c>
      <c r="H228" s="61">
        <f>VLOOKUP(F228,$A$11:$B$11,2,TRUE)</f>
        <v>1500</v>
      </c>
      <c r="I228" s="58">
        <f t="shared" si="1"/>
        <v>2250</v>
      </c>
      <c r="J228" s="60"/>
      <c r="K228" s="33"/>
      <c r="L228" s="33"/>
      <c r="M228" s="33"/>
      <c r="N228" s="33"/>
    </row>
    <row r="229" ht="15.75" customHeight="1">
      <c r="A229" s="52"/>
      <c r="B229" s="52"/>
      <c r="C229" s="52"/>
      <c r="D229" s="60"/>
      <c r="E229" s="60"/>
      <c r="F229" s="55" t="s">
        <v>30</v>
      </c>
      <c r="G229" s="56"/>
      <c r="H229" s="61">
        <f>VLOOKUP(F229,$A$12:$B$12,2,TRUE)</f>
        <v>1300</v>
      </c>
      <c r="I229" s="58">
        <f t="shared" si="1"/>
        <v>0</v>
      </c>
      <c r="J229" s="60"/>
      <c r="K229" s="33"/>
      <c r="L229" s="33"/>
      <c r="M229" s="33"/>
      <c r="N229" s="33"/>
    </row>
    <row r="230" ht="15.75" customHeight="1">
      <c r="A230" s="52"/>
      <c r="B230" s="52"/>
      <c r="C230" s="52"/>
      <c r="D230" s="60"/>
      <c r="E230" s="60"/>
      <c r="F230" s="55" t="s">
        <v>31</v>
      </c>
      <c r="G230" s="56"/>
      <c r="H230" s="61">
        <f>VLOOKUP(F230,$A$13:$B$13,2,TRUE)</f>
        <v>1000</v>
      </c>
      <c r="I230" s="58">
        <f t="shared" si="1"/>
        <v>0</v>
      </c>
      <c r="J230" s="60"/>
      <c r="K230" s="33"/>
      <c r="L230" s="33"/>
      <c r="M230" s="33"/>
      <c r="N230" s="33"/>
    </row>
    <row r="231" ht="15.75" customHeight="1">
      <c r="A231" s="52"/>
      <c r="B231" s="52"/>
      <c r="C231" s="52"/>
      <c r="D231" s="60"/>
      <c r="E231" s="60"/>
      <c r="F231" s="55" t="s">
        <v>32</v>
      </c>
      <c r="G231" s="56"/>
      <c r="H231" s="61">
        <f>VLOOKUP(F231,$A$14:$B$14,2,TRUE)</f>
        <v>500</v>
      </c>
      <c r="I231" s="58">
        <f t="shared" si="1"/>
        <v>0</v>
      </c>
      <c r="J231" s="60"/>
      <c r="K231" s="33"/>
      <c r="L231" s="33"/>
      <c r="M231" s="33"/>
      <c r="N231" s="33"/>
    </row>
    <row r="232" ht="15.75" customHeight="1">
      <c r="A232" s="52"/>
      <c r="B232" s="52"/>
      <c r="C232" s="52"/>
      <c r="D232" s="60"/>
      <c r="E232" s="60"/>
      <c r="F232" s="55" t="s">
        <v>33</v>
      </c>
      <c r="G232" s="56"/>
      <c r="H232" s="61">
        <f>VLOOKUP(F232,$A$15:$B$15,2,TRUE)</f>
        <v>7500</v>
      </c>
      <c r="I232" s="58">
        <f t="shared" si="1"/>
        <v>0</v>
      </c>
      <c r="J232" s="60"/>
      <c r="K232" s="33"/>
      <c r="L232" s="33"/>
      <c r="M232" s="33"/>
      <c r="N232" s="33"/>
    </row>
    <row r="233" ht="15.75" customHeight="1">
      <c r="A233" s="52"/>
      <c r="B233" s="52"/>
      <c r="C233" s="52"/>
      <c r="D233" s="60"/>
      <c r="E233" s="60"/>
      <c r="F233" s="55" t="s">
        <v>34</v>
      </c>
      <c r="G233" s="56"/>
      <c r="H233" s="61">
        <f>VLOOKUP(F233,$A$16:$B$16,2,TRUE)</f>
        <v>2000</v>
      </c>
      <c r="I233" s="58">
        <f t="shared" si="1"/>
        <v>0</v>
      </c>
      <c r="J233" s="60"/>
      <c r="K233" s="33"/>
      <c r="L233" s="33"/>
      <c r="M233" s="33"/>
      <c r="N233" s="33"/>
    </row>
    <row r="234" ht="15.75" customHeight="1">
      <c r="A234" s="52"/>
      <c r="B234" s="52"/>
      <c r="C234" s="52"/>
      <c r="D234" s="60"/>
      <c r="E234" s="60"/>
      <c r="F234" s="55" t="s">
        <v>35</v>
      </c>
      <c r="G234" s="56"/>
      <c r="H234" s="61">
        <f>VLOOKUP(F234,$A$17:$B$17,2,TRUE)</f>
        <v>1000</v>
      </c>
      <c r="I234" s="58">
        <f t="shared" si="1"/>
        <v>0</v>
      </c>
      <c r="J234" s="60"/>
      <c r="K234" s="33"/>
      <c r="L234" s="33"/>
      <c r="M234" s="33"/>
      <c r="N234" s="33"/>
    </row>
    <row r="235" ht="15.75" customHeight="1">
      <c r="A235" s="52"/>
      <c r="B235" s="52"/>
      <c r="C235" s="52"/>
      <c r="D235" s="60"/>
      <c r="E235" s="60"/>
      <c r="F235" s="55" t="s">
        <v>36</v>
      </c>
      <c r="G235" s="56"/>
      <c r="H235" s="61">
        <f>VLOOKUP(F235,$A$18:$B$18,2,TRUE)</f>
        <v>5000</v>
      </c>
      <c r="I235" s="58">
        <f t="shared" si="1"/>
        <v>0</v>
      </c>
      <c r="J235" s="60"/>
      <c r="K235" s="33"/>
      <c r="L235" s="33"/>
      <c r="M235" s="33"/>
      <c r="N235" s="33"/>
    </row>
    <row r="236" ht="15.75" customHeight="1">
      <c r="A236" s="52"/>
      <c r="B236" s="52"/>
      <c r="C236" s="52"/>
      <c r="D236" s="60"/>
      <c r="E236" s="60"/>
      <c r="F236" s="55" t="s">
        <v>37</v>
      </c>
      <c r="G236" s="56"/>
      <c r="H236" s="61">
        <f>VLOOKUP(F236,$A$19:$B$19,2,TRUE)</f>
        <v>2700</v>
      </c>
      <c r="I236" s="58">
        <f t="shared" si="1"/>
        <v>0</v>
      </c>
      <c r="J236" s="60"/>
      <c r="K236" s="33"/>
      <c r="L236" s="33"/>
      <c r="M236" s="33"/>
      <c r="N236" s="33"/>
    </row>
    <row r="237" ht="15.75" customHeight="1">
      <c r="A237" s="52"/>
      <c r="B237" s="52"/>
      <c r="C237" s="52"/>
      <c r="D237" s="60"/>
      <c r="E237" s="60"/>
      <c r="F237" s="55" t="s">
        <v>38</v>
      </c>
      <c r="G237" s="56"/>
      <c r="H237" s="61">
        <f>VLOOKUP(F237,$A$20:$B$20,2,TRUE)</f>
        <v>50000</v>
      </c>
      <c r="I237" s="58">
        <f t="shared" si="1"/>
        <v>0</v>
      </c>
      <c r="J237" s="60"/>
      <c r="K237" s="33"/>
      <c r="L237" s="33"/>
      <c r="M237" s="33"/>
      <c r="N237" s="33"/>
    </row>
    <row r="238" ht="15.75" customHeight="1">
      <c r="A238" s="52"/>
      <c r="B238" s="52"/>
      <c r="C238" s="52"/>
      <c r="D238" s="60"/>
      <c r="E238" s="60"/>
      <c r="F238" s="55" t="s">
        <v>39</v>
      </c>
      <c r="G238" s="56"/>
      <c r="H238" s="61">
        <f>VLOOKUP(F238,$A$21:$B$21,2,TRUE)</f>
        <v>10000</v>
      </c>
      <c r="I238" s="58">
        <f t="shared" si="1"/>
        <v>0</v>
      </c>
      <c r="J238" s="60"/>
      <c r="K238" s="33"/>
      <c r="L238" s="33"/>
      <c r="M238" s="33"/>
      <c r="N238" s="33"/>
    </row>
    <row r="239" ht="15.75" customHeight="1">
      <c r="A239" s="52"/>
      <c r="B239" s="52"/>
      <c r="C239" s="52"/>
      <c r="D239" s="60"/>
      <c r="E239" s="60"/>
      <c r="F239" s="55" t="s">
        <v>40</v>
      </c>
      <c r="G239" s="56"/>
      <c r="H239" s="61">
        <f>VLOOKUP(F239,$A$22:$B$22,2,TRUE)</f>
        <v>1000</v>
      </c>
      <c r="I239" s="58">
        <f t="shared" si="1"/>
        <v>0</v>
      </c>
      <c r="J239" s="60"/>
      <c r="K239" s="33"/>
      <c r="L239" s="33"/>
      <c r="M239" s="33"/>
      <c r="N239" s="33"/>
    </row>
    <row r="240" ht="15.75" customHeight="1">
      <c r="A240" s="52"/>
      <c r="B240" s="52"/>
      <c r="C240" s="52"/>
      <c r="D240" s="60"/>
      <c r="E240" s="60"/>
      <c r="F240" s="55" t="s">
        <v>41</v>
      </c>
      <c r="G240" s="56">
        <v>8.0</v>
      </c>
      <c r="H240" s="61">
        <f>VLOOKUP(F240,$A$23:$B$23,2,TRUE)</f>
        <v>500</v>
      </c>
      <c r="I240" s="58">
        <f t="shared" si="1"/>
        <v>4000</v>
      </c>
      <c r="J240" s="60"/>
      <c r="K240" s="33"/>
      <c r="L240" s="33"/>
      <c r="M240" s="33"/>
      <c r="N240" s="33"/>
    </row>
    <row r="241" ht="15.75" customHeight="1">
      <c r="A241" s="52"/>
      <c r="B241" s="52"/>
      <c r="C241" s="52"/>
      <c r="D241" s="60"/>
      <c r="E241" s="60"/>
      <c r="F241" s="55" t="s">
        <v>42</v>
      </c>
      <c r="G241" s="56">
        <v>0.5</v>
      </c>
      <c r="H241" s="61">
        <f>VLOOKUP(F241,$A$24:$B$24,2,TRUE)</f>
        <v>200</v>
      </c>
      <c r="I241" s="58">
        <f t="shared" si="1"/>
        <v>100</v>
      </c>
      <c r="J241" s="60"/>
      <c r="K241" s="33"/>
      <c r="L241" s="33"/>
      <c r="M241" s="33"/>
      <c r="N241" s="33"/>
    </row>
    <row r="242" ht="15.75" customHeight="1">
      <c r="A242" s="52"/>
      <c r="B242" s="52"/>
      <c r="C242" s="52"/>
      <c r="D242" s="60"/>
      <c r="E242" s="60"/>
      <c r="F242" s="55" t="s">
        <v>43</v>
      </c>
      <c r="G242" s="56"/>
      <c r="H242" s="61">
        <f>VLOOKUP(F242,$A$25:$B$25,2,TRUE)</f>
        <v>1000</v>
      </c>
      <c r="I242" s="58">
        <f t="shared" si="1"/>
        <v>0</v>
      </c>
      <c r="J242" s="60"/>
      <c r="K242" s="33"/>
      <c r="L242" s="33"/>
      <c r="M242" s="33"/>
      <c r="N242" s="33"/>
    </row>
    <row r="243" ht="15.75" customHeight="1">
      <c r="A243" s="52"/>
      <c r="B243" s="52"/>
      <c r="C243" s="52"/>
      <c r="D243" s="60"/>
      <c r="E243" s="60"/>
      <c r="F243" s="55" t="s">
        <v>18</v>
      </c>
      <c r="G243" s="56">
        <v>3.0</v>
      </c>
      <c r="H243" s="61">
        <f>VLOOKUP(F243,$A$26:$B$26,2,TRUE)</f>
        <v>300</v>
      </c>
      <c r="I243" s="58">
        <f t="shared" si="1"/>
        <v>900</v>
      </c>
      <c r="J243" s="60"/>
      <c r="K243" s="33"/>
      <c r="L243" s="33"/>
      <c r="M243" s="33"/>
      <c r="N243" s="33"/>
    </row>
    <row r="244" ht="15.75" customHeight="1">
      <c r="A244" s="52"/>
      <c r="B244" s="52"/>
      <c r="C244" s="52"/>
      <c r="D244" s="60"/>
      <c r="E244" s="60"/>
      <c r="F244" s="55" t="s">
        <v>44</v>
      </c>
      <c r="G244" s="56"/>
      <c r="H244" s="61">
        <f>VLOOKUP(F244,$A$27:$B$27,2,TRUE)</f>
        <v>100</v>
      </c>
      <c r="I244" s="58">
        <f t="shared" si="1"/>
        <v>0</v>
      </c>
      <c r="J244" s="60"/>
      <c r="K244" s="33"/>
      <c r="L244" s="33"/>
      <c r="M244" s="33"/>
      <c r="N244" s="33"/>
    </row>
    <row r="245" ht="15.75" customHeight="1">
      <c r="A245" s="52"/>
      <c r="B245" s="52"/>
      <c r="C245" s="52"/>
      <c r="D245" s="60"/>
      <c r="E245" s="60"/>
      <c r="F245" s="55" t="s">
        <v>13</v>
      </c>
      <c r="G245" s="56"/>
      <c r="H245" s="61">
        <f>VLOOKUP(F244,$A$28:$B$28,2,TRUE)</f>
        <v>1500</v>
      </c>
      <c r="I245" s="58">
        <f t="shared" si="1"/>
        <v>0</v>
      </c>
      <c r="J245" s="60"/>
      <c r="K245" s="33"/>
      <c r="L245" s="33"/>
      <c r="M245" s="33"/>
      <c r="N245" s="33"/>
    </row>
    <row r="246" ht="15.75" customHeight="1">
      <c r="A246" s="52"/>
      <c r="B246" s="52"/>
      <c r="C246" s="52"/>
      <c r="D246" s="60"/>
      <c r="E246" s="60"/>
      <c r="F246" s="55" t="s">
        <v>20</v>
      </c>
      <c r="G246" s="56"/>
      <c r="H246" s="61">
        <f>VLOOKUP(F245,$A$29:$B$29,2,TRUE)</f>
        <v>4000</v>
      </c>
      <c r="I246" s="58">
        <f t="shared" si="1"/>
        <v>0</v>
      </c>
      <c r="J246" s="60"/>
      <c r="K246" s="33"/>
      <c r="L246" s="33"/>
      <c r="M246" s="33"/>
      <c r="N246" s="33"/>
    </row>
    <row r="247" ht="15.75" customHeight="1">
      <c r="A247" s="52"/>
      <c r="B247" s="52"/>
      <c r="C247" s="52"/>
      <c r="D247" s="18"/>
      <c r="E247" s="18"/>
      <c r="F247" s="55" t="s">
        <v>59</v>
      </c>
      <c r="G247" s="56">
        <v>25.5</v>
      </c>
      <c r="H247" s="61" t="str">
        <f>VLOOKUP(F246,$A$30:$B$30,2,TRUE)</f>
        <v/>
      </c>
      <c r="I247" s="58">
        <f t="shared" si="1"/>
        <v>0</v>
      </c>
      <c r="J247" s="18"/>
      <c r="K247" s="33"/>
      <c r="L247" s="33"/>
      <c r="M247" s="33"/>
      <c r="N247" s="33"/>
    </row>
    <row r="248" ht="15.75" customHeight="1">
      <c r="A248" s="52"/>
      <c r="B248" s="52"/>
      <c r="C248" s="52"/>
      <c r="D248" s="53">
        <v>10.0</v>
      </c>
      <c r="E248" s="65" t="s">
        <v>87</v>
      </c>
      <c r="F248" s="55" t="s">
        <v>22</v>
      </c>
      <c r="G248" s="56"/>
      <c r="H248" s="57">
        <f>VLOOKUP(F248,$A$4:$B$4,2,TRUE)</f>
        <v>4000</v>
      </c>
      <c r="I248" s="58">
        <f t="shared" si="1"/>
        <v>0</v>
      </c>
      <c r="J248" s="59">
        <f>SUM(I248:I274)</f>
        <v>12500</v>
      </c>
      <c r="K248" s="33"/>
      <c r="L248" s="33"/>
      <c r="M248" s="33"/>
      <c r="N248" s="33"/>
    </row>
    <row r="249" ht="15.75" customHeight="1">
      <c r="A249" s="52"/>
      <c r="B249" s="52"/>
      <c r="C249" s="52"/>
      <c r="D249" s="60"/>
      <c r="E249" s="60"/>
      <c r="F249" s="55" t="s">
        <v>57</v>
      </c>
      <c r="G249" s="56"/>
      <c r="H249" s="61">
        <f>VLOOKUP(F249,$A$5:$B$5,2,TRUE)</f>
        <v>3000</v>
      </c>
      <c r="I249" s="58">
        <f t="shared" si="1"/>
        <v>0</v>
      </c>
      <c r="J249" s="60"/>
      <c r="K249" s="33"/>
      <c r="L249" s="33"/>
      <c r="M249" s="33"/>
      <c r="N249" s="33"/>
    </row>
    <row r="250" ht="15.75" customHeight="1">
      <c r="A250" s="52"/>
      <c r="B250" s="52"/>
      <c r="C250" s="52"/>
      <c r="D250" s="60"/>
      <c r="E250" s="60"/>
      <c r="F250" s="55" t="s">
        <v>58</v>
      </c>
      <c r="G250" s="56"/>
      <c r="H250" s="61">
        <f>VLOOKUP(F250,$A$6:$B$6,2,TRUE)</f>
        <v>1000</v>
      </c>
      <c r="I250" s="58">
        <f t="shared" si="1"/>
        <v>0</v>
      </c>
      <c r="J250" s="60"/>
      <c r="K250" s="33"/>
      <c r="L250" s="33"/>
      <c r="M250" s="33"/>
      <c r="N250" s="33"/>
    </row>
    <row r="251" ht="15.75" customHeight="1">
      <c r="A251" s="52"/>
      <c r="B251" s="52"/>
      <c r="C251" s="52"/>
      <c r="D251" s="60"/>
      <c r="E251" s="60"/>
      <c r="F251" s="55" t="s">
        <v>25</v>
      </c>
      <c r="G251" s="56"/>
      <c r="H251" s="61">
        <f>VLOOKUP(F251,$A$7:$B$7,2,TRUE)</f>
        <v>2800</v>
      </c>
      <c r="I251" s="58">
        <f t="shared" si="1"/>
        <v>0</v>
      </c>
      <c r="J251" s="60"/>
      <c r="K251" s="33"/>
      <c r="L251" s="33"/>
      <c r="M251" s="33"/>
      <c r="N251" s="33"/>
    </row>
    <row r="252" ht="15.75" customHeight="1">
      <c r="A252" s="52"/>
      <c r="B252" s="52"/>
      <c r="C252" s="52"/>
      <c r="D252" s="60"/>
      <c r="E252" s="60"/>
      <c r="F252" s="55" t="s">
        <v>26</v>
      </c>
      <c r="G252" s="56"/>
      <c r="H252" s="61">
        <f>VLOOKUP(F252,$A$8:$B$8,2,TRUE)</f>
        <v>3500</v>
      </c>
      <c r="I252" s="58">
        <f t="shared" si="1"/>
        <v>0</v>
      </c>
      <c r="J252" s="60"/>
      <c r="K252" s="33"/>
      <c r="L252" s="33"/>
      <c r="M252" s="33"/>
      <c r="N252" s="33"/>
    </row>
    <row r="253" ht="15.75" customHeight="1">
      <c r="A253" s="52"/>
      <c r="B253" s="52"/>
      <c r="C253" s="52"/>
      <c r="D253" s="60"/>
      <c r="E253" s="60"/>
      <c r="F253" s="55" t="s">
        <v>27</v>
      </c>
      <c r="G253" s="56">
        <v>2.5</v>
      </c>
      <c r="H253" s="61">
        <f>VLOOKUP(F253,$A$9:$B$9,2,TRUE)</f>
        <v>1000</v>
      </c>
      <c r="I253" s="58">
        <f t="shared" si="1"/>
        <v>2500</v>
      </c>
      <c r="J253" s="60"/>
      <c r="K253" s="33"/>
      <c r="L253" s="33"/>
      <c r="M253" s="33"/>
      <c r="N253" s="33"/>
    </row>
    <row r="254" ht="15.75" customHeight="1">
      <c r="A254" s="52"/>
      <c r="B254" s="52"/>
      <c r="C254" s="52"/>
      <c r="D254" s="60"/>
      <c r="E254" s="60"/>
      <c r="F254" s="55" t="s">
        <v>28</v>
      </c>
      <c r="G254" s="56"/>
      <c r="H254" s="61">
        <f>VLOOKUP(F254,$A$10:$B$10,2,TRUE)</f>
        <v>2000</v>
      </c>
      <c r="I254" s="58">
        <f t="shared" si="1"/>
        <v>0</v>
      </c>
      <c r="J254" s="60"/>
      <c r="K254" s="33"/>
      <c r="L254" s="33"/>
      <c r="M254" s="33"/>
      <c r="N254" s="33"/>
    </row>
    <row r="255" ht="15.75" customHeight="1">
      <c r="A255" s="52"/>
      <c r="B255" s="52"/>
      <c r="C255" s="52"/>
      <c r="D255" s="60"/>
      <c r="E255" s="60"/>
      <c r="F255" s="55" t="s">
        <v>29</v>
      </c>
      <c r="G255" s="56"/>
      <c r="H255" s="61">
        <f>VLOOKUP(F255,$A$11:$B$11,2,TRUE)</f>
        <v>1500</v>
      </c>
      <c r="I255" s="58">
        <f t="shared" si="1"/>
        <v>0</v>
      </c>
      <c r="J255" s="60"/>
      <c r="K255" s="33"/>
      <c r="L255" s="33"/>
      <c r="M255" s="33"/>
      <c r="N255" s="33"/>
    </row>
    <row r="256" ht="15.75" customHeight="1">
      <c r="A256" s="52"/>
      <c r="B256" s="52"/>
      <c r="C256" s="52"/>
      <c r="D256" s="60"/>
      <c r="E256" s="60"/>
      <c r="F256" s="55" t="s">
        <v>30</v>
      </c>
      <c r="G256" s="56"/>
      <c r="H256" s="61">
        <f>VLOOKUP(F256,$A$12:$B$12,2,TRUE)</f>
        <v>1300</v>
      </c>
      <c r="I256" s="58">
        <f t="shared" si="1"/>
        <v>0</v>
      </c>
      <c r="J256" s="60"/>
      <c r="K256" s="33"/>
      <c r="L256" s="33"/>
      <c r="M256" s="33"/>
      <c r="N256" s="33"/>
    </row>
    <row r="257" ht="15.75" customHeight="1">
      <c r="A257" s="52"/>
      <c r="B257" s="52"/>
      <c r="C257" s="52"/>
      <c r="D257" s="60"/>
      <c r="E257" s="60"/>
      <c r="F257" s="55" t="s">
        <v>31</v>
      </c>
      <c r="G257" s="56"/>
      <c r="H257" s="61">
        <f>VLOOKUP(F257,$A$13:$B$13,2,TRUE)</f>
        <v>1000</v>
      </c>
      <c r="I257" s="58">
        <f t="shared" si="1"/>
        <v>0</v>
      </c>
      <c r="J257" s="60"/>
      <c r="K257" s="33"/>
      <c r="L257" s="33"/>
      <c r="M257" s="33"/>
      <c r="N257" s="33"/>
    </row>
    <row r="258" ht="15.75" customHeight="1">
      <c r="A258" s="52"/>
      <c r="B258" s="52"/>
      <c r="C258" s="52"/>
      <c r="D258" s="60"/>
      <c r="E258" s="60"/>
      <c r="F258" s="55" t="s">
        <v>32</v>
      </c>
      <c r="G258" s="56"/>
      <c r="H258" s="61">
        <f>VLOOKUP(F258,$A$14:$B$14,2,TRUE)</f>
        <v>500</v>
      </c>
      <c r="I258" s="58">
        <f t="shared" si="1"/>
        <v>0</v>
      </c>
      <c r="J258" s="60"/>
      <c r="K258" s="33"/>
      <c r="L258" s="33"/>
      <c r="M258" s="33"/>
      <c r="N258" s="33"/>
    </row>
    <row r="259" ht="15.75" customHeight="1">
      <c r="A259" s="52"/>
      <c r="B259" s="52"/>
      <c r="C259" s="52"/>
      <c r="D259" s="60"/>
      <c r="E259" s="60"/>
      <c r="F259" s="55" t="s">
        <v>33</v>
      </c>
      <c r="G259" s="56"/>
      <c r="H259" s="61">
        <f>VLOOKUP(F259,$A$15:$B$15,2,TRUE)</f>
        <v>7500</v>
      </c>
      <c r="I259" s="58">
        <f t="shared" si="1"/>
        <v>0</v>
      </c>
      <c r="J259" s="60"/>
      <c r="K259" s="33"/>
      <c r="L259" s="33"/>
      <c r="M259" s="33"/>
      <c r="N259" s="33"/>
    </row>
    <row r="260" ht="15.75" customHeight="1">
      <c r="A260" s="52"/>
      <c r="B260" s="52"/>
      <c r="C260" s="52"/>
      <c r="D260" s="60"/>
      <c r="E260" s="60"/>
      <c r="F260" s="55" t="s">
        <v>34</v>
      </c>
      <c r="G260" s="56">
        <v>5.0</v>
      </c>
      <c r="H260" s="61">
        <f>VLOOKUP(F260,$A$16:$B$16,2,TRUE)</f>
        <v>2000</v>
      </c>
      <c r="I260" s="58">
        <f t="shared" si="1"/>
        <v>10000</v>
      </c>
      <c r="J260" s="60"/>
      <c r="K260" s="33"/>
      <c r="L260" s="33"/>
      <c r="M260" s="33"/>
      <c r="N260" s="33"/>
    </row>
    <row r="261" ht="15.75" customHeight="1">
      <c r="A261" s="52"/>
      <c r="B261" s="52"/>
      <c r="C261" s="52"/>
      <c r="D261" s="60"/>
      <c r="E261" s="60"/>
      <c r="F261" s="55" t="s">
        <v>35</v>
      </c>
      <c r="G261" s="56"/>
      <c r="H261" s="61">
        <f>VLOOKUP(F261,$A$17:$B$17,2,TRUE)</f>
        <v>1000</v>
      </c>
      <c r="I261" s="58">
        <f t="shared" si="1"/>
        <v>0</v>
      </c>
      <c r="J261" s="60"/>
      <c r="K261" s="33"/>
      <c r="L261" s="33"/>
      <c r="M261" s="33"/>
      <c r="N261" s="33"/>
    </row>
    <row r="262" ht="15.75" customHeight="1">
      <c r="A262" s="52"/>
      <c r="B262" s="52"/>
      <c r="C262" s="52"/>
      <c r="D262" s="60"/>
      <c r="E262" s="60"/>
      <c r="F262" s="55" t="s">
        <v>36</v>
      </c>
      <c r="G262" s="56"/>
      <c r="H262" s="61">
        <f>VLOOKUP(F262,$A$18:$B$18,2,TRUE)</f>
        <v>5000</v>
      </c>
      <c r="I262" s="58">
        <f t="shared" si="1"/>
        <v>0</v>
      </c>
      <c r="J262" s="60"/>
      <c r="K262" s="33"/>
      <c r="L262" s="33"/>
      <c r="M262" s="33"/>
      <c r="N262" s="33"/>
    </row>
    <row r="263" ht="15.75" customHeight="1">
      <c r="A263" s="52"/>
      <c r="B263" s="52"/>
      <c r="C263" s="52"/>
      <c r="D263" s="60"/>
      <c r="E263" s="60"/>
      <c r="F263" s="55" t="s">
        <v>37</v>
      </c>
      <c r="G263" s="56"/>
      <c r="H263" s="61">
        <f>VLOOKUP(F263,$A$19:$B$19,2,TRUE)</f>
        <v>2700</v>
      </c>
      <c r="I263" s="58">
        <f t="shared" si="1"/>
        <v>0</v>
      </c>
      <c r="J263" s="60"/>
      <c r="K263" s="33"/>
      <c r="L263" s="33"/>
      <c r="M263" s="33"/>
      <c r="N263" s="33"/>
    </row>
    <row r="264" ht="15.75" customHeight="1">
      <c r="A264" s="52"/>
      <c r="B264" s="52"/>
      <c r="C264" s="52"/>
      <c r="D264" s="60"/>
      <c r="E264" s="60"/>
      <c r="F264" s="55" t="s">
        <v>38</v>
      </c>
      <c r="G264" s="56"/>
      <c r="H264" s="61">
        <f>VLOOKUP(F264,$A$20:$B$20,2,TRUE)</f>
        <v>50000</v>
      </c>
      <c r="I264" s="58">
        <f t="shared" si="1"/>
        <v>0</v>
      </c>
      <c r="J264" s="60"/>
      <c r="K264" s="33"/>
      <c r="L264" s="33"/>
      <c r="M264" s="33"/>
      <c r="N264" s="33"/>
    </row>
    <row r="265" ht="15.75" customHeight="1">
      <c r="A265" s="52"/>
      <c r="B265" s="52"/>
      <c r="C265" s="52"/>
      <c r="D265" s="60"/>
      <c r="E265" s="60"/>
      <c r="F265" s="55" t="s">
        <v>39</v>
      </c>
      <c r="G265" s="56"/>
      <c r="H265" s="61">
        <f>VLOOKUP(F265,$A$21:$B$21,2,TRUE)</f>
        <v>10000</v>
      </c>
      <c r="I265" s="58">
        <f t="shared" si="1"/>
        <v>0</v>
      </c>
      <c r="J265" s="60"/>
      <c r="K265" s="33"/>
      <c r="L265" s="33"/>
      <c r="M265" s="33"/>
      <c r="N265" s="33"/>
    </row>
    <row r="266" ht="15.75" customHeight="1">
      <c r="A266" s="52"/>
      <c r="B266" s="52"/>
      <c r="C266" s="52"/>
      <c r="D266" s="60"/>
      <c r="E266" s="60"/>
      <c r="F266" s="55" t="s">
        <v>40</v>
      </c>
      <c r="G266" s="56"/>
      <c r="H266" s="61">
        <f>VLOOKUP(F266,$A$22:$B$22,2,TRUE)</f>
        <v>1000</v>
      </c>
      <c r="I266" s="58">
        <f t="shared" si="1"/>
        <v>0</v>
      </c>
      <c r="J266" s="60"/>
      <c r="K266" s="33"/>
      <c r="L266" s="33"/>
      <c r="M266" s="33"/>
      <c r="N266" s="33"/>
    </row>
    <row r="267" ht="15.75" customHeight="1">
      <c r="A267" s="52"/>
      <c r="B267" s="52"/>
      <c r="C267" s="52"/>
      <c r="D267" s="60"/>
      <c r="E267" s="60"/>
      <c r="F267" s="55" t="s">
        <v>41</v>
      </c>
      <c r="G267" s="56"/>
      <c r="H267" s="61">
        <f>VLOOKUP(F267,$A$23:$B$23,2,TRUE)</f>
        <v>500</v>
      </c>
      <c r="I267" s="58">
        <f t="shared" si="1"/>
        <v>0</v>
      </c>
      <c r="J267" s="60"/>
      <c r="K267" s="33"/>
      <c r="L267" s="33"/>
      <c r="M267" s="33"/>
      <c r="N267" s="33"/>
    </row>
    <row r="268" ht="15.75" customHeight="1">
      <c r="A268" s="52"/>
      <c r="B268" s="52"/>
      <c r="C268" s="52"/>
      <c r="D268" s="60"/>
      <c r="E268" s="60"/>
      <c r="F268" s="55" t="s">
        <v>42</v>
      </c>
      <c r="G268" s="56"/>
      <c r="H268" s="61">
        <f>VLOOKUP(F268,$A$24:$B$24,2,TRUE)</f>
        <v>200</v>
      </c>
      <c r="I268" s="58">
        <f t="shared" si="1"/>
        <v>0</v>
      </c>
      <c r="J268" s="60"/>
      <c r="K268" s="33"/>
      <c r="L268" s="33"/>
      <c r="M268" s="33"/>
      <c r="N268" s="33"/>
    </row>
    <row r="269" ht="15.75" customHeight="1">
      <c r="A269" s="52"/>
      <c r="B269" s="52"/>
      <c r="C269" s="52"/>
      <c r="D269" s="60"/>
      <c r="E269" s="60"/>
      <c r="F269" s="55" t="s">
        <v>43</v>
      </c>
      <c r="G269" s="56"/>
      <c r="H269" s="61">
        <f>VLOOKUP(F269,$A$25:$B$25,2,TRUE)</f>
        <v>1000</v>
      </c>
      <c r="I269" s="58">
        <f t="shared" si="1"/>
        <v>0</v>
      </c>
      <c r="J269" s="60"/>
      <c r="K269" s="33"/>
      <c r="L269" s="33"/>
      <c r="M269" s="33"/>
      <c r="N269" s="33"/>
    </row>
    <row r="270" ht="15.75" customHeight="1">
      <c r="A270" s="52"/>
      <c r="B270" s="52"/>
      <c r="C270" s="52"/>
      <c r="D270" s="60"/>
      <c r="E270" s="60"/>
      <c r="F270" s="55" t="s">
        <v>18</v>
      </c>
      <c r="G270" s="56"/>
      <c r="H270" s="61">
        <f>VLOOKUP(F270,$A$26:$B$26,2,TRUE)</f>
        <v>300</v>
      </c>
      <c r="I270" s="58">
        <f t="shared" si="1"/>
        <v>0</v>
      </c>
      <c r="J270" s="60"/>
      <c r="K270" s="33"/>
      <c r="L270" s="33"/>
      <c r="M270" s="33"/>
      <c r="N270" s="33"/>
    </row>
    <row r="271" ht="15.75" customHeight="1">
      <c r="A271" s="52"/>
      <c r="B271" s="52"/>
      <c r="C271" s="52"/>
      <c r="D271" s="60"/>
      <c r="E271" s="60"/>
      <c r="F271" s="55" t="s">
        <v>44</v>
      </c>
      <c r="G271" s="56"/>
      <c r="H271" s="61">
        <f>VLOOKUP(F271,$A$27:$B$27,2,TRUE)</f>
        <v>100</v>
      </c>
      <c r="I271" s="58">
        <f t="shared" si="1"/>
        <v>0</v>
      </c>
      <c r="J271" s="60"/>
      <c r="K271" s="33"/>
      <c r="L271" s="33"/>
      <c r="M271" s="33"/>
      <c r="N271" s="33"/>
    </row>
    <row r="272" ht="15.75" customHeight="1">
      <c r="A272" s="52"/>
      <c r="B272" s="52"/>
      <c r="C272" s="52"/>
      <c r="D272" s="60"/>
      <c r="E272" s="60"/>
      <c r="F272" s="55" t="s">
        <v>13</v>
      </c>
      <c r="G272" s="56"/>
      <c r="H272" s="61">
        <f>VLOOKUP(F271,$A$28:$B$28,2,TRUE)</f>
        <v>1500</v>
      </c>
      <c r="I272" s="58">
        <f t="shared" si="1"/>
        <v>0</v>
      </c>
      <c r="J272" s="60"/>
      <c r="K272" s="33"/>
      <c r="L272" s="33"/>
      <c r="M272" s="33"/>
      <c r="N272" s="33"/>
    </row>
    <row r="273" ht="15.75" customHeight="1">
      <c r="A273" s="52"/>
      <c r="B273" s="52"/>
      <c r="C273" s="52"/>
      <c r="D273" s="60"/>
      <c r="E273" s="60"/>
      <c r="F273" s="55" t="s">
        <v>20</v>
      </c>
      <c r="G273" s="56"/>
      <c r="H273" s="61">
        <f>VLOOKUP(F272,$A$29:$B$29,2,TRUE)</f>
        <v>4000</v>
      </c>
      <c r="I273" s="58">
        <f t="shared" si="1"/>
        <v>0</v>
      </c>
      <c r="J273" s="60"/>
      <c r="K273" s="33"/>
      <c r="L273" s="33"/>
      <c r="M273" s="33"/>
      <c r="N273" s="33"/>
    </row>
    <row r="274" ht="15.75" customHeight="1">
      <c r="A274" s="52"/>
      <c r="B274" s="52"/>
      <c r="C274" s="52"/>
      <c r="D274" s="18"/>
      <c r="E274" s="18"/>
      <c r="F274" s="55" t="s">
        <v>59</v>
      </c>
      <c r="G274" s="56">
        <v>4.0</v>
      </c>
      <c r="H274" s="61" t="str">
        <f>VLOOKUP(F273,$A$30:$B$30,2,TRUE)</f>
        <v/>
      </c>
      <c r="I274" s="58">
        <f t="shared" si="1"/>
        <v>0</v>
      </c>
      <c r="J274" s="18"/>
      <c r="K274" s="33"/>
      <c r="L274" s="33"/>
      <c r="M274" s="33"/>
      <c r="N274" s="33"/>
    </row>
    <row r="275" ht="15.75" customHeight="1">
      <c r="A275" s="52"/>
      <c r="B275" s="52"/>
      <c r="C275" s="52"/>
      <c r="D275" s="53">
        <v>11.0</v>
      </c>
      <c r="E275" s="65" t="s">
        <v>88</v>
      </c>
      <c r="F275" s="55" t="s">
        <v>22</v>
      </c>
      <c r="G275" s="56"/>
      <c r="H275" s="57">
        <f>VLOOKUP(F275,$A$4:$B$4,2,TRUE)</f>
        <v>4000</v>
      </c>
      <c r="I275" s="58">
        <f t="shared" si="1"/>
        <v>0</v>
      </c>
      <c r="J275" s="59">
        <f>SUM(I275:I301)</f>
        <v>19750</v>
      </c>
      <c r="K275" s="33"/>
      <c r="L275" s="33"/>
      <c r="M275" s="33"/>
      <c r="N275" s="33"/>
    </row>
    <row r="276" ht="15.75" customHeight="1">
      <c r="A276" s="52"/>
      <c r="B276" s="52"/>
      <c r="C276" s="52"/>
      <c r="D276" s="60"/>
      <c r="E276" s="60"/>
      <c r="F276" s="55" t="s">
        <v>57</v>
      </c>
      <c r="G276" s="56">
        <v>1.5</v>
      </c>
      <c r="H276" s="61">
        <f>VLOOKUP(F276,$A$5:$B$5,2,TRUE)</f>
        <v>3000</v>
      </c>
      <c r="I276" s="58">
        <f t="shared" si="1"/>
        <v>4500</v>
      </c>
      <c r="J276" s="60"/>
      <c r="K276" s="33"/>
      <c r="L276" s="33"/>
      <c r="M276" s="33"/>
      <c r="N276" s="33"/>
    </row>
    <row r="277" ht="15.75" customHeight="1">
      <c r="A277" s="52"/>
      <c r="B277" s="52"/>
      <c r="C277" s="52"/>
      <c r="D277" s="60"/>
      <c r="E277" s="60"/>
      <c r="F277" s="55" t="s">
        <v>58</v>
      </c>
      <c r="G277" s="56"/>
      <c r="H277" s="61">
        <f>VLOOKUP(F277,$A$6:$B$6,2,TRUE)</f>
        <v>1000</v>
      </c>
      <c r="I277" s="58">
        <f t="shared" si="1"/>
        <v>0</v>
      </c>
      <c r="J277" s="60"/>
      <c r="K277" s="33"/>
      <c r="L277" s="33"/>
      <c r="M277" s="33"/>
      <c r="N277" s="33"/>
    </row>
    <row r="278" ht="15.75" customHeight="1">
      <c r="A278" s="52"/>
      <c r="B278" s="52"/>
      <c r="C278" s="52"/>
      <c r="D278" s="60"/>
      <c r="E278" s="60"/>
      <c r="F278" s="55" t="s">
        <v>25</v>
      </c>
      <c r="G278" s="56"/>
      <c r="H278" s="61">
        <f>VLOOKUP(F278,$A$7:$B$7,2,TRUE)</f>
        <v>2800</v>
      </c>
      <c r="I278" s="58">
        <f t="shared" si="1"/>
        <v>0</v>
      </c>
      <c r="J278" s="60"/>
      <c r="K278" s="33"/>
      <c r="L278" s="33"/>
      <c r="M278" s="33"/>
      <c r="N278" s="33"/>
    </row>
    <row r="279" ht="15.75" customHeight="1">
      <c r="A279" s="52"/>
      <c r="B279" s="52"/>
      <c r="C279" s="52"/>
      <c r="D279" s="60"/>
      <c r="E279" s="60"/>
      <c r="F279" s="55" t="s">
        <v>26</v>
      </c>
      <c r="G279" s="56"/>
      <c r="H279" s="61">
        <f>VLOOKUP(F279,$A$8:$B$8,2,TRUE)</f>
        <v>3500</v>
      </c>
      <c r="I279" s="58">
        <f t="shared" si="1"/>
        <v>0</v>
      </c>
      <c r="J279" s="60"/>
      <c r="K279" s="33"/>
      <c r="L279" s="33"/>
      <c r="M279" s="33"/>
      <c r="N279" s="33"/>
    </row>
    <row r="280" ht="15.75" customHeight="1">
      <c r="A280" s="52"/>
      <c r="B280" s="52"/>
      <c r="C280" s="52"/>
      <c r="D280" s="60"/>
      <c r="E280" s="60"/>
      <c r="F280" s="55" t="s">
        <v>27</v>
      </c>
      <c r="G280" s="56">
        <v>1.0</v>
      </c>
      <c r="H280" s="61">
        <f>VLOOKUP(F280,$A$9:$B$9,2,TRUE)</f>
        <v>1000</v>
      </c>
      <c r="I280" s="58">
        <f t="shared" si="1"/>
        <v>1000</v>
      </c>
      <c r="J280" s="60"/>
      <c r="K280" s="33"/>
      <c r="L280" s="33"/>
      <c r="M280" s="33"/>
      <c r="N280" s="33"/>
    </row>
    <row r="281" ht="15.75" customHeight="1">
      <c r="A281" s="52"/>
      <c r="B281" s="52"/>
      <c r="C281" s="52"/>
      <c r="D281" s="60"/>
      <c r="E281" s="60"/>
      <c r="F281" s="55" t="s">
        <v>28</v>
      </c>
      <c r="G281" s="56"/>
      <c r="H281" s="61">
        <f>VLOOKUP(F281,$A$10:$B$10,2,TRUE)</f>
        <v>2000</v>
      </c>
      <c r="I281" s="58">
        <f t="shared" si="1"/>
        <v>0</v>
      </c>
      <c r="J281" s="60"/>
      <c r="K281" s="33"/>
      <c r="L281" s="33"/>
      <c r="M281" s="33"/>
      <c r="N281" s="33"/>
    </row>
    <row r="282" ht="15.75" customHeight="1">
      <c r="A282" s="52"/>
      <c r="B282" s="52"/>
      <c r="C282" s="52"/>
      <c r="D282" s="60"/>
      <c r="E282" s="60"/>
      <c r="F282" s="55" t="s">
        <v>29</v>
      </c>
      <c r="G282" s="56">
        <v>6.0</v>
      </c>
      <c r="H282" s="61">
        <f>VLOOKUP(F282,$A$11:$B$11,2,TRUE)</f>
        <v>1500</v>
      </c>
      <c r="I282" s="58">
        <f t="shared" si="1"/>
        <v>9000</v>
      </c>
      <c r="J282" s="60"/>
      <c r="K282" s="33"/>
      <c r="L282" s="33"/>
      <c r="M282" s="33"/>
      <c r="N282" s="33"/>
    </row>
    <row r="283" ht="15.75" customHeight="1">
      <c r="A283" s="52"/>
      <c r="B283" s="52"/>
      <c r="C283" s="52"/>
      <c r="D283" s="60"/>
      <c r="E283" s="60"/>
      <c r="F283" s="55" t="s">
        <v>30</v>
      </c>
      <c r="G283" s="56"/>
      <c r="H283" s="61">
        <f>VLOOKUP(F283,$A$12:$B$12,2,TRUE)</f>
        <v>1300</v>
      </c>
      <c r="I283" s="58">
        <f t="shared" si="1"/>
        <v>0</v>
      </c>
      <c r="J283" s="60"/>
      <c r="K283" s="33"/>
      <c r="L283" s="33"/>
      <c r="M283" s="33"/>
      <c r="N283" s="33"/>
    </row>
    <row r="284" ht="15.75" customHeight="1">
      <c r="A284" s="52"/>
      <c r="B284" s="52"/>
      <c r="C284" s="52"/>
      <c r="D284" s="60"/>
      <c r="E284" s="60"/>
      <c r="F284" s="55" t="s">
        <v>31</v>
      </c>
      <c r="G284" s="56"/>
      <c r="H284" s="61">
        <f>VLOOKUP(F284,$A$13:$B$13,2,TRUE)</f>
        <v>1000</v>
      </c>
      <c r="I284" s="58">
        <f t="shared" si="1"/>
        <v>0</v>
      </c>
      <c r="J284" s="60"/>
      <c r="K284" s="33"/>
      <c r="L284" s="33"/>
      <c r="M284" s="33"/>
      <c r="N284" s="33"/>
    </row>
    <row r="285" ht="15.75" customHeight="1">
      <c r="A285" s="52"/>
      <c r="B285" s="52"/>
      <c r="C285" s="52"/>
      <c r="D285" s="60"/>
      <c r="E285" s="60"/>
      <c r="F285" s="55" t="s">
        <v>32</v>
      </c>
      <c r="G285" s="56">
        <v>1.0</v>
      </c>
      <c r="H285" s="61">
        <f>VLOOKUP(F285,$A$14:$B$14,2,TRUE)</f>
        <v>500</v>
      </c>
      <c r="I285" s="58">
        <f t="shared" si="1"/>
        <v>500</v>
      </c>
      <c r="J285" s="60"/>
      <c r="K285" s="33"/>
      <c r="L285" s="33"/>
      <c r="M285" s="33"/>
      <c r="N285" s="33"/>
    </row>
    <row r="286" ht="15.75" customHeight="1">
      <c r="A286" s="52"/>
      <c r="B286" s="52"/>
      <c r="C286" s="52"/>
      <c r="D286" s="60"/>
      <c r="E286" s="60"/>
      <c r="F286" s="55" t="s">
        <v>33</v>
      </c>
      <c r="G286" s="56"/>
      <c r="H286" s="61">
        <f>VLOOKUP(F286,$A$15:$B$15,2,TRUE)</f>
        <v>7500</v>
      </c>
      <c r="I286" s="58">
        <f t="shared" si="1"/>
        <v>0</v>
      </c>
      <c r="J286" s="60"/>
      <c r="K286" s="33"/>
      <c r="L286" s="33"/>
      <c r="M286" s="33"/>
      <c r="N286" s="33"/>
    </row>
    <row r="287" ht="15.75" customHeight="1">
      <c r="A287" s="52"/>
      <c r="B287" s="52"/>
      <c r="C287" s="52"/>
      <c r="D287" s="60"/>
      <c r="E287" s="60"/>
      <c r="F287" s="55" t="s">
        <v>34</v>
      </c>
      <c r="G287" s="56"/>
      <c r="H287" s="61">
        <f>VLOOKUP(F287,$A$16:$B$16,2,TRUE)</f>
        <v>2000</v>
      </c>
      <c r="I287" s="58">
        <f t="shared" si="1"/>
        <v>0</v>
      </c>
      <c r="J287" s="60"/>
      <c r="K287" s="33"/>
      <c r="L287" s="33"/>
      <c r="M287" s="33"/>
      <c r="N287" s="33"/>
    </row>
    <row r="288" ht="15.75" customHeight="1">
      <c r="A288" s="52"/>
      <c r="B288" s="52"/>
      <c r="C288" s="52"/>
      <c r="D288" s="60"/>
      <c r="E288" s="60"/>
      <c r="F288" s="55" t="s">
        <v>35</v>
      </c>
      <c r="G288" s="56">
        <v>2.0</v>
      </c>
      <c r="H288" s="61">
        <f>VLOOKUP(F288,$A$17:$B$17,2,TRUE)</f>
        <v>1000</v>
      </c>
      <c r="I288" s="58">
        <f t="shared" si="1"/>
        <v>2000</v>
      </c>
      <c r="J288" s="60"/>
      <c r="K288" s="33"/>
      <c r="L288" s="33"/>
      <c r="M288" s="33"/>
      <c r="N288" s="33"/>
    </row>
    <row r="289" ht="15.75" customHeight="1">
      <c r="A289" s="52"/>
      <c r="B289" s="52"/>
      <c r="C289" s="52"/>
      <c r="D289" s="60"/>
      <c r="E289" s="60"/>
      <c r="F289" s="55" t="s">
        <v>36</v>
      </c>
      <c r="G289" s="56">
        <v>0.5</v>
      </c>
      <c r="H289" s="61">
        <f>VLOOKUP(F289,$A$18:$B$18,2,TRUE)</f>
        <v>5000</v>
      </c>
      <c r="I289" s="58">
        <f t="shared" si="1"/>
        <v>2500</v>
      </c>
      <c r="J289" s="60"/>
      <c r="K289" s="33"/>
      <c r="L289" s="33"/>
      <c r="M289" s="33"/>
      <c r="N289" s="33"/>
    </row>
    <row r="290" ht="15.75" customHeight="1">
      <c r="A290" s="52"/>
      <c r="B290" s="52"/>
      <c r="C290" s="52"/>
      <c r="D290" s="60"/>
      <c r="E290" s="60"/>
      <c r="F290" s="55" t="s">
        <v>37</v>
      </c>
      <c r="G290" s="56"/>
      <c r="H290" s="61">
        <f>VLOOKUP(F290,$A$19:$B$19,2,TRUE)</f>
        <v>2700</v>
      </c>
      <c r="I290" s="58">
        <f t="shared" si="1"/>
        <v>0</v>
      </c>
      <c r="J290" s="60"/>
      <c r="K290" s="33"/>
      <c r="L290" s="33"/>
      <c r="M290" s="33"/>
      <c r="N290" s="33"/>
    </row>
    <row r="291" ht="15.75" customHeight="1">
      <c r="A291" s="52"/>
      <c r="B291" s="52"/>
      <c r="C291" s="52"/>
      <c r="D291" s="60"/>
      <c r="E291" s="60"/>
      <c r="F291" s="55" t="s">
        <v>38</v>
      </c>
      <c r="G291" s="56"/>
      <c r="H291" s="61">
        <f>VLOOKUP(F291,$A$20:$B$20,2,TRUE)</f>
        <v>50000</v>
      </c>
      <c r="I291" s="58">
        <f t="shared" si="1"/>
        <v>0</v>
      </c>
      <c r="J291" s="60"/>
      <c r="K291" s="33"/>
      <c r="L291" s="33"/>
      <c r="M291" s="33"/>
      <c r="N291" s="33"/>
    </row>
    <row r="292" ht="15.75" customHeight="1">
      <c r="A292" s="52"/>
      <c r="B292" s="52"/>
      <c r="C292" s="52"/>
      <c r="D292" s="60"/>
      <c r="E292" s="60"/>
      <c r="F292" s="55" t="s">
        <v>39</v>
      </c>
      <c r="G292" s="56"/>
      <c r="H292" s="61">
        <f>VLOOKUP(F292,$A$21:$B$21,2,TRUE)</f>
        <v>10000</v>
      </c>
      <c r="I292" s="58">
        <f t="shared" si="1"/>
        <v>0</v>
      </c>
      <c r="J292" s="60"/>
      <c r="K292" s="33"/>
      <c r="L292" s="33"/>
      <c r="M292" s="33"/>
      <c r="N292" s="33"/>
    </row>
    <row r="293" ht="15.75" customHeight="1">
      <c r="A293" s="52"/>
      <c r="B293" s="52"/>
      <c r="C293" s="52"/>
      <c r="D293" s="60"/>
      <c r="E293" s="60"/>
      <c r="F293" s="55" t="s">
        <v>40</v>
      </c>
      <c r="G293" s="56"/>
      <c r="H293" s="61">
        <f>VLOOKUP(F293,$A$22:$B$22,2,TRUE)</f>
        <v>1000</v>
      </c>
      <c r="I293" s="58">
        <f t="shared" si="1"/>
        <v>0</v>
      </c>
      <c r="J293" s="60"/>
      <c r="K293" s="33"/>
      <c r="L293" s="33"/>
      <c r="M293" s="33"/>
      <c r="N293" s="33"/>
    </row>
    <row r="294" ht="15.75" customHeight="1">
      <c r="A294" s="52"/>
      <c r="B294" s="52"/>
      <c r="C294" s="52"/>
      <c r="D294" s="60"/>
      <c r="E294" s="60"/>
      <c r="F294" s="55" t="s">
        <v>41</v>
      </c>
      <c r="G294" s="56">
        <v>0.5</v>
      </c>
      <c r="H294" s="61">
        <f>VLOOKUP(F294,$A$23:$B$23,2,TRUE)</f>
        <v>500</v>
      </c>
      <c r="I294" s="58">
        <f t="shared" si="1"/>
        <v>250</v>
      </c>
      <c r="J294" s="60"/>
      <c r="K294" s="33"/>
      <c r="L294" s="33"/>
      <c r="M294" s="33"/>
      <c r="N294" s="33"/>
    </row>
    <row r="295" ht="15.75" customHeight="1">
      <c r="A295" s="52"/>
      <c r="B295" s="52"/>
      <c r="C295" s="52"/>
      <c r="D295" s="60"/>
      <c r="E295" s="60"/>
      <c r="F295" s="55" t="s">
        <v>42</v>
      </c>
      <c r="G295" s="56"/>
      <c r="H295" s="61">
        <f>VLOOKUP(F295,$A$24:$B$24,2,TRUE)</f>
        <v>200</v>
      </c>
      <c r="I295" s="58">
        <f t="shared" si="1"/>
        <v>0</v>
      </c>
      <c r="J295" s="60"/>
      <c r="K295" s="33"/>
      <c r="L295" s="33"/>
      <c r="M295" s="33"/>
      <c r="N295" s="33"/>
    </row>
    <row r="296" ht="15.75" customHeight="1">
      <c r="A296" s="52"/>
      <c r="B296" s="52"/>
      <c r="C296" s="52"/>
      <c r="D296" s="60"/>
      <c r="E296" s="60"/>
      <c r="F296" s="55" t="s">
        <v>43</v>
      </c>
      <c r="G296" s="56"/>
      <c r="H296" s="61">
        <f>VLOOKUP(F296,$A$25:$B$25,2,TRUE)</f>
        <v>1000</v>
      </c>
      <c r="I296" s="58">
        <f t="shared" si="1"/>
        <v>0</v>
      </c>
      <c r="J296" s="60"/>
      <c r="K296" s="33"/>
      <c r="L296" s="33"/>
      <c r="M296" s="33"/>
      <c r="N296" s="33"/>
    </row>
    <row r="297" ht="15.75" customHeight="1">
      <c r="A297" s="52"/>
      <c r="B297" s="52"/>
      <c r="C297" s="52"/>
      <c r="D297" s="60"/>
      <c r="E297" s="60"/>
      <c r="F297" s="55" t="s">
        <v>18</v>
      </c>
      <c r="G297" s="56"/>
      <c r="H297" s="61">
        <f>VLOOKUP(F297,$A$26:$B$26,2,TRUE)</f>
        <v>300</v>
      </c>
      <c r="I297" s="58">
        <f t="shared" si="1"/>
        <v>0</v>
      </c>
      <c r="J297" s="60"/>
      <c r="K297" s="33"/>
      <c r="L297" s="33"/>
      <c r="M297" s="33"/>
      <c r="N297" s="33"/>
    </row>
    <row r="298" ht="15.75" customHeight="1">
      <c r="A298" s="52"/>
      <c r="B298" s="52"/>
      <c r="C298" s="52"/>
      <c r="D298" s="60"/>
      <c r="E298" s="60"/>
      <c r="F298" s="55" t="s">
        <v>44</v>
      </c>
      <c r="G298" s="56"/>
      <c r="H298" s="61">
        <f>VLOOKUP(F298,$A$27:$B$27,2,TRUE)</f>
        <v>100</v>
      </c>
      <c r="I298" s="58">
        <f t="shared" si="1"/>
        <v>0</v>
      </c>
      <c r="J298" s="60"/>
      <c r="K298" s="33"/>
      <c r="L298" s="33"/>
      <c r="M298" s="33"/>
      <c r="N298" s="33"/>
    </row>
    <row r="299" ht="15.75" customHeight="1">
      <c r="A299" s="52"/>
      <c r="B299" s="52"/>
      <c r="C299" s="52"/>
      <c r="D299" s="60"/>
      <c r="E299" s="60"/>
      <c r="F299" s="55" t="s">
        <v>13</v>
      </c>
      <c r="G299" s="56"/>
      <c r="H299" s="61">
        <f>VLOOKUP(F298,$A$28:$B$28,2,TRUE)</f>
        <v>1500</v>
      </c>
      <c r="I299" s="58">
        <f t="shared" si="1"/>
        <v>0</v>
      </c>
      <c r="J299" s="60"/>
      <c r="K299" s="33"/>
      <c r="L299" s="33"/>
      <c r="M299" s="33"/>
      <c r="N299" s="33"/>
    </row>
    <row r="300" ht="15.75" customHeight="1">
      <c r="A300" s="52"/>
      <c r="B300" s="52"/>
      <c r="C300" s="52"/>
      <c r="D300" s="60"/>
      <c r="E300" s="60"/>
      <c r="F300" s="55" t="s">
        <v>20</v>
      </c>
      <c r="G300" s="56"/>
      <c r="H300" s="61">
        <f>VLOOKUP(F299,$A$29:$B$29,2,TRUE)</f>
        <v>4000</v>
      </c>
      <c r="I300" s="58">
        <f t="shared" si="1"/>
        <v>0</v>
      </c>
      <c r="J300" s="60"/>
      <c r="K300" s="33"/>
      <c r="L300" s="33"/>
      <c r="M300" s="33"/>
      <c r="N300" s="33"/>
    </row>
    <row r="301" ht="15.75" customHeight="1">
      <c r="A301" s="52"/>
      <c r="B301" s="52"/>
      <c r="C301" s="52"/>
      <c r="D301" s="18"/>
      <c r="E301" s="18"/>
      <c r="F301" s="55" t="s">
        <v>59</v>
      </c>
      <c r="G301" s="56">
        <v>3.0</v>
      </c>
      <c r="H301" s="61" t="str">
        <f>VLOOKUP(F300,$A$30:$B$30,2,TRUE)</f>
        <v/>
      </c>
      <c r="I301" s="58">
        <f t="shared" si="1"/>
        <v>0</v>
      </c>
      <c r="J301" s="18"/>
      <c r="K301" s="33"/>
      <c r="L301" s="33"/>
      <c r="M301" s="33"/>
      <c r="N301" s="33"/>
    </row>
    <row r="302" ht="15.75" customHeight="1">
      <c r="A302" s="52"/>
      <c r="B302" s="52"/>
      <c r="C302" s="52"/>
      <c r="D302" s="63" t="s">
        <v>60</v>
      </c>
      <c r="E302" s="6"/>
      <c r="F302" s="6"/>
      <c r="G302" s="6"/>
      <c r="H302" s="6"/>
      <c r="I302" s="7"/>
      <c r="J302" s="64">
        <f>SUM(J5:J301)</f>
        <v>169550</v>
      </c>
      <c r="K302" s="33"/>
      <c r="L302" s="33"/>
      <c r="M302" s="33"/>
      <c r="N302" s="33"/>
    </row>
    <row r="303" ht="15.75" customHeight="1">
      <c r="A303" s="32"/>
      <c r="B303" s="32"/>
      <c r="C303" s="32"/>
      <c r="D303" s="32"/>
      <c r="E303" s="32"/>
      <c r="F303" s="33"/>
      <c r="G303" s="33"/>
      <c r="H303" s="33"/>
      <c r="I303" s="33"/>
      <c r="J303" s="34"/>
      <c r="K303" s="33"/>
      <c r="L303" s="33"/>
      <c r="M303" s="33"/>
      <c r="N303" s="33"/>
    </row>
    <row r="304" ht="15.75" customHeight="1">
      <c r="A304" s="32"/>
      <c r="B304" s="32"/>
      <c r="C304" s="32"/>
      <c r="D304" s="32"/>
      <c r="E304" s="32"/>
      <c r="F304" s="33"/>
      <c r="G304" s="33"/>
      <c r="H304" s="33"/>
      <c r="I304" s="33"/>
      <c r="J304" s="34"/>
      <c r="K304" s="33"/>
      <c r="L304" s="33"/>
      <c r="M304" s="33"/>
      <c r="N304" s="33"/>
    </row>
    <row r="305" ht="15.75" customHeight="1">
      <c r="A305" s="32"/>
      <c r="B305" s="32"/>
      <c r="C305" s="32"/>
      <c r="D305" s="32"/>
      <c r="E305" s="32"/>
      <c r="F305" s="33"/>
      <c r="G305" s="33"/>
      <c r="H305" s="33"/>
      <c r="I305" s="33"/>
      <c r="J305" s="34"/>
      <c r="K305" s="33"/>
      <c r="L305" s="33"/>
      <c r="M305" s="33"/>
      <c r="N305" s="33"/>
    </row>
    <row r="306" ht="15.75" customHeight="1">
      <c r="A306" s="32"/>
      <c r="B306" s="32"/>
      <c r="C306" s="32"/>
      <c r="D306" s="32"/>
      <c r="E306" s="32"/>
      <c r="F306" s="33"/>
      <c r="G306" s="33"/>
      <c r="H306" s="33"/>
      <c r="I306" s="33"/>
      <c r="J306" s="34"/>
      <c r="K306" s="33"/>
      <c r="L306" s="33"/>
      <c r="M306" s="33"/>
      <c r="N306" s="33"/>
    </row>
    <row r="307" ht="15.75" customHeight="1">
      <c r="A307" s="32"/>
      <c r="B307" s="32"/>
      <c r="C307" s="32"/>
      <c r="D307" s="32"/>
      <c r="E307" s="32"/>
      <c r="F307" s="33"/>
      <c r="G307" s="33"/>
      <c r="H307" s="33"/>
      <c r="I307" s="33"/>
      <c r="J307" s="34"/>
      <c r="K307" s="33"/>
      <c r="L307" s="33"/>
      <c r="M307" s="33"/>
      <c r="N307" s="33"/>
    </row>
    <row r="308" ht="15.75" customHeight="1">
      <c r="A308" s="32"/>
      <c r="B308" s="32"/>
      <c r="C308" s="32"/>
      <c r="D308" s="32"/>
      <c r="E308" s="32"/>
      <c r="F308" s="33"/>
      <c r="G308" s="33"/>
      <c r="H308" s="33"/>
      <c r="I308" s="33"/>
      <c r="J308" s="34"/>
      <c r="K308" s="33"/>
      <c r="L308" s="33"/>
      <c r="M308" s="33"/>
      <c r="N308" s="33"/>
    </row>
    <row r="309" ht="15.75" customHeight="1">
      <c r="A309" s="32"/>
      <c r="B309" s="32"/>
      <c r="C309" s="32"/>
      <c r="D309" s="32"/>
      <c r="E309" s="32"/>
      <c r="F309" s="33"/>
      <c r="G309" s="33"/>
      <c r="H309" s="33"/>
      <c r="I309" s="33"/>
      <c r="J309" s="34"/>
      <c r="K309" s="33"/>
      <c r="L309" s="33"/>
      <c r="M309" s="33"/>
      <c r="N309" s="33"/>
    </row>
    <row r="310" ht="15.75" customHeight="1">
      <c r="A310" s="32"/>
      <c r="B310" s="32"/>
      <c r="C310" s="32"/>
      <c r="D310" s="32"/>
      <c r="E310" s="32"/>
      <c r="F310" s="33"/>
      <c r="G310" s="33"/>
      <c r="H310" s="33"/>
      <c r="I310" s="33"/>
      <c r="J310" s="34"/>
      <c r="K310" s="33"/>
      <c r="L310" s="33"/>
      <c r="M310" s="33"/>
      <c r="N310" s="33"/>
    </row>
    <row r="311" ht="15.75" customHeight="1">
      <c r="A311" s="32"/>
      <c r="B311" s="32"/>
      <c r="C311" s="32"/>
      <c r="D311" s="32"/>
      <c r="E311" s="32"/>
      <c r="J311" s="34"/>
    </row>
    <row r="312" ht="15.75" customHeight="1">
      <c r="A312" s="32"/>
      <c r="B312" s="32"/>
      <c r="C312" s="32"/>
      <c r="D312" s="32"/>
      <c r="E312" s="32"/>
      <c r="J312" s="34"/>
    </row>
    <row r="313" ht="15.75" customHeight="1">
      <c r="A313" s="32"/>
      <c r="B313" s="32"/>
      <c r="C313" s="32"/>
      <c r="D313" s="32"/>
      <c r="E313" s="32"/>
      <c r="J313" s="34"/>
    </row>
    <row r="314" ht="15.75" customHeight="1">
      <c r="A314" s="32"/>
      <c r="B314" s="32"/>
      <c r="C314" s="32"/>
      <c r="D314" s="32"/>
      <c r="E314" s="32"/>
      <c r="J314" s="34"/>
    </row>
    <row r="315" ht="15.75" customHeight="1">
      <c r="A315" s="32"/>
      <c r="B315" s="32"/>
      <c r="C315" s="32"/>
      <c r="D315" s="32"/>
      <c r="E315" s="32"/>
      <c r="J315" s="34"/>
    </row>
    <row r="316" ht="15.75" customHeight="1">
      <c r="A316" s="32"/>
      <c r="B316" s="32"/>
      <c r="C316" s="32"/>
      <c r="D316" s="32"/>
      <c r="E316" s="32"/>
      <c r="J316" s="34"/>
    </row>
    <row r="317" ht="15.75" customHeight="1">
      <c r="A317" s="32"/>
      <c r="B317" s="32"/>
      <c r="C317" s="32"/>
      <c r="D317" s="32"/>
      <c r="E317" s="32"/>
      <c r="J317" s="34"/>
    </row>
    <row r="318" ht="15.75" customHeight="1">
      <c r="A318" s="32"/>
      <c r="B318" s="32"/>
      <c r="C318" s="32"/>
      <c r="D318" s="32"/>
      <c r="E318" s="32"/>
      <c r="J318" s="34"/>
    </row>
    <row r="319" ht="15.75" customHeight="1">
      <c r="A319" s="32"/>
      <c r="B319" s="32"/>
      <c r="C319" s="32"/>
      <c r="D319" s="32"/>
      <c r="E319" s="32"/>
      <c r="J319" s="34"/>
    </row>
    <row r="320" ht="15.75" customHeight="1">
      <c r="A320" s="32"/>
      <c r="B320" s="32"/>
      <c r="C320" s="32"/>
      <c r="D320" s="32"/>
      <c r="E320" s="32"/>
      <c r="J320" s="34"/>
    </row>
    <row r="321" ht="15.75" customHeight="1">
      <c r="A321" s="32"/>
      <c r="B321" s="32"/>
      <c r="C321" s="32"/>
      <c r="D321" s="32"/>
      <c r="E321" s="32"/>
      <c r="J321" s="34"/>
    </row>
    <row r="322" ht="15.75" customHeight="1">
      <c r="A322" s="32"/>
      <c r="B322" s="32"/>
      <c r="C322" s="32"/>
      <c r="D322" s="32"/>
      <c r="E322" s="32"/>
      <c r="J322" s="34"/>
    </row>
    <row r="323" ht="15.75" customHeight="1">
      <c r="A323" s="32"/>
      <c r="B323" s="32"/>
      <c r="C323" s="32"/>
      <c r="D323" s="32"/>
      <c r="E323" s="32"/>
      <c r="J323" s="34"/>
    </row>
    <row r="324" ht="15.75" customHeight="1">
      <c r="A324" s="32"/>
      <c r="B324" s="32"/>
      <c r="C324" s="32"/>
      <c r="D324" s="32"/>
      <c r="E324" s="32"/>
      <c r="J324" s="34"/>
    </row>
    <row r="325" ht="15.75" customHeight="1">
      <c r="A325" s="32"/>
      <c r="B325" s="32"/>
      <c r="C325" s="32"/>
      <c r="D325" s="32"/>
      <c r="E325" s="32"/>
      <c r="J325" s="34"/>
    </row>
    <row r="326" ht="15.75" customHeight="1">
      <c r="A326" s="32"/>
      <c r="B326" s="32"/>
      <c r="C326" s="32"/>
      <c r="D326" s="32"/>
      <c r="E326" s="32"/>
      <c r="J326" s="34"/>
    </row>
    <row r="327" ht="15.75" customHeight="1">
      <c r="A327" s="32"/>
      <c r="B327" s="32"/>
      <c r="C327" s="32"/>
      <c r="D327" s="32"/>
      <c r="E327" s="32"/>
      <c r="J327" s="34"/>
    </row>
    <row r="328" ht="15.75" customHeight="1">
      <c r="A328" s="32"/>
      <c r="B328" s="32"/>
      <c r="C328" s="32"/>
      <c r="D328" s="32"/>
      <c r="E328" s="32"/>
      <c r="J328" s="34"/>
    </row>
    <row r="329" ht="15.75" customHeight="1">
      <c r="A329" s="32"/>
      <c r="B329" s="32"/>
      <c r="C329" s="32"/>
      <c r="D329" s="32"/>
      <c r="E329" s="32"/>
      <c r="J329" s="34"/>
    </row>
    <row r="330" ht="15.75" customHeight="1">
      <c r="A330" s="32"/>
      <c r="B330" s="32"/>
      <c r="C330" s="32"/>
      <c r="D330" s="32"/>
      <c r="E330" s="32"/>
      <c r="J330" s="34"/>
    </row>
    <row r="331" ht="15.75" customHeight="1">
      <c r="A331" s="32"/>
      <c r="B331" s="32"/>
      <c r="C331" s="32"/>
      <c r="D331" s="32"/>
      <c r="E331" s="32"/>
      <c r="J331" s="34"/>
    </row>
    <row r="332" ht="15.75" customHeight="1">
      <c r="A332" s="32"/>
      <c r="B332" s="32"/>
      <c r="C332" s="32"/>
      <c r="D332" s="32"/>
      <c r="E332" s="32"/>
      <c r="J332" s="34"/>
    </row>
    <row r="333" ht="15.75" customHeight="1">
      <c r="A333" s="32"/>
      <c r="B333" s="32"/>
      <c r="C333" s="32"/>
      <c r="D333" s="32"/>
      <c r="E333" s="32"/>
      <c r="J333" s="34"/>
    </row>
    <row r="334" ht="15.75" customHeight="1">
      <c r="A334" s="32"/>
      <c r="B334" s="32"/>
      <c r="C334" s="32"/>
      <c r="D334" s="32"/>
      <c r="E334" s="32"/>
      <c r="J334" s="34"/>
    </row>
    <row r="335" ht="15.75" customHeight="1">
      <c r="A335" s="32"/>
      <c r="B335" s="32"/>
      <c r="C335" s="32"/>
      <c r="D335" s="32"/>
      <c r="E335" s="32"/>
      <c r="J335" s="34"/>
    </row>
    <row r="336" ht="15.75" customHeight="1">
      <c r="A336" s="32"/>
      <c r="B336" s="32"/>
      <c r="C336" s="32"/>
      <c r="D336" s="32"/>
      <c r="E336" s="32"/>
      <c r="J336" s="34"/>
    </row>
    <row r="337" ht="15.75" customHeight="1">
      <c r="A337" s="32"/>
      <c r="B337" s="32"/>
      <c r="C337" s="32"/>
      <c r="D337" s="32"/>
      <c r="E337" s="32"/>
      <c r="J337" s="34"/>
    </row>
    <row r="338" ht="15.75" customHeight="1">
      <c r="A338" s="32"/>
      <c r="B338" s="32"/>
      <c r="C338" s="32"/>
      <c r="D338" s="32"/>
      <c r="E338" s="32"/>
      <c r="J338" s="34"/>
    </row>
    <row r="339" ht="15.75" customHeight="1">
      <c r="A339" s="32"/>
      <c r="B339" s="32"/>
      <c r="C339" s="32"/>
      <c r="D339" s="32"/>
      <c r="E339" s="32"/>
      <c r="J339" s="34"/>
    </row>
    <row r="340" ht="15.75" customHeight="1">
      <c r="A340" s="32"/>
      <c r="B340" s="32"/>
      <c r="C340" s="32"/>
      <c r="D340" s="32"/>
      <c r="E340" s="32"/>
      <c r="J340" s="34"/>
    </row>
    <row r="341" ht="15.75" customHeight="1">
      <c r="A341" s="32"/>
      <c r="B341" s="32"/>
      <c r="C341" s="32"/>
      <c r="D341" s="32"/>
      <c r="E341" s="32"/>
      <c r="J341" s="34"/>
    </row>
    <row r="342" ht="15.75" customHeight="1">
      <c r="A342" s="32"/>
      <c r="B342" s="32"/>
      <c r="C342" s="32"/>
      <c r="D342" s="32"/>
      <c r="E342" s="32"/>
      <c r="J342" s="34"/>
    </row>
    <row r="343" ht="15.75" customHeight="1">
      <c r="A343" s="32"/>
      <c r="B343" s="32"/>
      <c r="C343" s="32"/>
      <c r="D343" s="32"/>
      <c r="E343" s="32"/>
      <c r="J343" s="34"/>
    </row>
    <row r="344" ht="15.75" customHeight="1">
      <c r="A344" s="32"/>
      <c r="B344" s="32"/>
      <c r="C344" s="32"/>
      <c r="D344" s="32"/>
      <c r="E344" s="32"/>
      <c r="J344" s="34"/>
    </row>
    <row r="345" ht="15.75" customHeight="1">
      <c r="A345" s="32"/>
      <c r="B345" s="32"/>
      <c r="C345" s="32"/>
      <c r="D345" s="32"/>
      <c r="E345" s="32"/>
      <c r="J345" s="34"/>
    </row>
    <row r="346" ht="15.75" customHeight="1">
      <c r="A346" s="32"/>
      <c r="B346" s="32"/>
      <c r="C346" s="32"/>
      <c r="D346" s="32"/>
      <c r="E346" s="32"/>
      <c r="J346" s="34"/>
    </row>
    <row r="347" ht="15.75" customHeight="1">
      <c r="A347" s="32"/>
      <c r="B347" s="32"/>
      <c r="C347" s="32"/>
      <c r="D347" s="32"/>
      <c r="E347" s="32"/>
      <c r="J347" s="34"/>
    </row>
    <row r="348" ht="15.75" customHeight="1">
      <c r="A348" s="32"/>
      <c r="B348" s="32"/>
      <c r="C348" s="32"/>
      <c r="D348" s="32"/>
      <c r="E348" s="32"/>
      <c r="J348" s="34"/>
    </row>
    <row r="349" ht="15.75" customHeight="1">
      <c r="A349" s="32"/>
      <c r="B349" s="32"/>
      <c r="C349" s="32"/>
      <c r="D349" s="32"/>
      <c r="E349" s="32"/>
      <c r="J349" s="34"/>
    </row>
    <row r="350" ht="15.75" customHeight="1">
      <c r="A350" s="32"/>
      <c r="B350" s="32"/>
      <c r="C350" s="32"/>
      <c r="D350" s="32"/>
      <c r="E350" s="32"/>
      <c r="J350" s="34"/>
    </row>
    <row r="351" ht="15.75" customHeight="1">
      <c r="A351" s="32"/>
      <c r="B351" s="32"/>
      <c r="C351" s="32"/>
      <c r="D351" s="32"/>
      <c r="E351" s="32"/>
      <c r="J351" s="34"/>
    </row>
    <row r="352" ht="15.75" customHeight="1">
      <c r="A352" s="32"/>
      <c r="B352" s="32"/>
      <c r="C352" s="32"/>
      <c r="D352" s="32"/>
      <c r="E352" s="32"/>
      <c r="J352" s="34"/>
    </row>
    <row r="353" ht="15.75" customHeight="1">
      <c r="A353" s="32"/>
      <c r="B353" s="32"/>
      <c r="C353" s="32"/>
      <c r="D353" s="32"/>
      <c r="E353" s="32"/>
      <c r="J353" s="34"/>
    </row>
    <row r="354" ht="15.75" customHeight="1">
      <c r="A354" s="32"/>
      <c r="B354" s="32"/>
      <c r="C354" s="32"/>
      <c r="D354" s="32"/>
      <c r="E354" s="32"/>
      <c r="J354" s="34"/>
    </row>
    <row r="355" ht="15.75" customHeight="1">
      <c r="A355" s="32"/>
      <c r="B355" s="32"/>
      <c r="C355" s="32"/>
      <c r="D355" s="32"/>
      <c r="E355" s="32"/>
      <c r="J355" s="34"/>
    </row>
    <row r="356" ht="15.75" customHeight="1">
      <c r="A356" s="32"/>
      <c r="B356" s="32"/>
      <c r="C356" s="32"/>
      <c r="D356" s="32"/>
      <c r="E356" s="32"/>
      <c r="J356" s="34"/>
    </row>
    <row r="357" ht="15.75" customHeight="1">
      <c r="A357" s="32"/>
      <c r="B357" s="32"/>
      <c r="C357" s="32"/>
      <c r="D357" s="32"/>
      <c r="E357" s="32"/>
      <c r="J357" s="34"/>
    </row>
    <row r="358" ht="15.75" customHeight="1">
      <c r="A358" s="32"/>
      <c r="B358" s="32"/>
      <c r="C358" s="32"/>
      <c r="D358" s="32"/>
      <c r="E358" s="32"/>
      <c r="J358" s="34"/>
    </row>
    <row r="359" ht="15.75" customHeight="1">
      <c r="A359" s="32"/>
      <c r="B359" s="32"/>
      <c r="C359" s="32"/>
      <c r="D359" s="32"/>
      <c r="E359" s="32"/>
      <c r="J359" s="34"/>
    </row>
    <row r="360" ht="15.75" customHeight="1">
      <c r="A360" s="32"/>
      <c r="B360" s="32"/>
      <c r="C360" s="32"/>
      <c r="D360" s="32"/>
      <c r="E360" s="32"/>
      <c r="J360" s="34"/>
    </row>
    <row r="361" ht="15.75" customHeight="1">
      <c r="A361" s="32"/>
      <c r="B361" s="32"/>
      <c r="C361" s="32"/>
      <c r="D361" s="32"/>
      <c r="E361" s="32"/>
      <c r="J361" s="34"/>
    </row>
    <row r="362" ht="15.75" customHeight="1">
      <c r="A362" s="32"/>
      <c r="B362" s="32"/>
      <c r="C362" s="32"/>
      <c r="D362" s="32"/>
      <c r="E362" s="32"/>
      <c r="J362" s="34"/>
    </row>
    <row r="363" ht="15.75" customHeight="1">
      <c r="A363" s="32"/>
      <c r="B363" s="32"/>
      <c r="C363" s="32"/>
      <c r="D363" s="32"/>
      <c r="E363" s="32"/>
      <c r="J363" s="34"/>
    </row>
    <row r="364" ht="15.75" customHeight="1">
      <c r="A364" s="32"/>
      <c r="B364" s="32"/>
      <c r="C364" s="32"/>
      <c r="D364" s="32"/>
      <c r="E364" s="32"/>
      <c r="J364" s="34"/>
    </row>
    <row r="365" ht="15.75" customHeight="1">
      <c r="A365" s="32"/>
      <c r="B365" s="32"/>
      <c r="C365" s="32"/>
      <c r="D365" s="32"/>
      <c r="E365" s="32"/>
      <c r="J365" s="34"/>
    </row>
    <row r="366" ht="15.75" customHeight="1">
      <c r="A366" s="32"/>
      <c r="B366" s="32"/>
      <c r="C366" s="32"/>
      <c r="D366" s="32"/>
      <c r="E366" s="32"/>
      <c r="J366" s="34"/>
    </row>
    <row r="367" ht="15.75" customHeight="1">
      <c r="A367" s="32"/>
      <c r="B367" s="32"/>
      <c r="C367" s="32"/>
      <c r="D367" s="32"/>
      <c r="E367" s="32"/>
      <c r="J367" s="34"/>
    </row>
    <row r="368" ht="15.75" customHeight="1">
      <c r="A368" s="32"/>
      <c r="B368" s="32"/>
      <c r="C368" s="32"/>
      <c r="D368" s="32"/>
      <c r="E368" s="32"/>
      <c r="J368" s="34"/>
    </row>
    <row r="369" ht="15.75" customHeight="1">
      <c r="A369" s="32"/>
      <c r="B369" s="32"/>
      <c r="C369" s="32"/>
      <c r="D369" s="32"/>
      <c r="E369" s="32"/>
      <c r="J369" s="34"/>
    </row>
    <row r="370" ht="15.75" customHeight="1">
      <c r="A370" s="32"/>
      <c r="B370" s="32"/>
      <c r="C370" s="32"/>
      <c r="D370" s="32"/>
      <c r="E370" s="32"/>
      <c r="J370" s="34"/>
    </row>
    <row r="371" ht="15.75" customHeight="1">
      <c r="A371" s="32"/>
      <c r="B371" s="32"/>
      <c r="C371" s="32"/>
      <c r="D371" s="32"/>
      <c r="E371" s="32"/>
      <c r="J371" s="34"/>
    </row>
    <row r="372" ht="15.75" customHeight="1">
      <c r="A372" s="32"/>
      <c r="B372" s="32"/>
      <c r="C372" s="32"/>
      <c r="D372" s="32"/>
      <c r="E372" s="32"/>
      <c r="J372" s="34"/>
    </row>
    <row r="373" ht="15.75" customHeight="1">
      <c r="A373" s="32"/>
      <c r="B373" s="32"/>
      <c r="C373" s="32"/>
      <c r="D373" s="32"/>
      <c r="E373" s="32"/>
      <c r="J373" s="34"/>
    </row>
    <row r="374" ht="15.75" customHeight="1">
      <c r="A374" s="32"/>
      <c r="B374" s="32"/>
      <c r="C374" s="32"/>
      <c r="D374" s="32"/>
      <c r="E374" s="32"/>
      <c r="J374" s="34"/>
    </row>
    <row r="375" ht="15.75" customHeight="1">
      <c r="A375" s="32"/>
      <c r="B375" s="32"/>
      <c r="C375" s="32"/>
      <c r="D375" s="32"/>
      <c r="E375" s="32"/>
      <c r="J375" s="34"/>
    </row>
    <row r="376" ht="15.75" customHeight="1">
      <c r="A376" s="32"/>
      <c r="B376" s="32"/>
      <c r="C376" s="32"/>
      <c r="D376" s="32"/>
      <c r="E376" s="32"/>
      <c r="J376" s="34"/>
    </row>
    <row r="377" ht="15.75" customHeight="1">
      <c r="A377" s="32"/>
      <c r="B377" s="32"/>
      <c r="C377" s="32"/>
      <c r="D377" s="32"/>
      <c r="E377" s="32"/>
      <c r="J377" s="34"/>
    </row>
    <row r="378" ht="15.75" customHeight="1">
      <c r="A378" s="32"/>
      <c r="B378" s="32"/>
      <c r="C378" s="32"/>
      <c r="D378" s="32"/>
      <c r="E378" s="32"/>
      <c r="J378" s="34"/>
    </row>
    <row r="379" ht="15.75" customHeight="1">
      <c r="A379" s="32"/>
      <c r="B379" s="32"/>
      <c r="C379" s="32"/>
      <c r="D379" s="32"/>
      <c r="E379" s="32"/>
      <c r="J379" s="34"/>
    </row>
    <row r="380" ht="15.75" customHeight="1">
      <c r="A380" s="32"/>
      <c r="B380" s="32"/>
      <c r="C380" s="32"/>
      <c r="D380" s="32"/>
      <c r="E380" s="32"/>
      <c r="J380" s="34"/>
    </row>
    <row r="381" ht="15.75" customHeight="1">
      <c r="A381" s="32"/>
      <c r="B381" s="32"/>
      <c r="C381" s="32"/>
      <c r="D381" s="32"/>
      <c r="E381" s="32"/>
      <c r="J381" s="34"/>
    </row>
    <row r="382" ht="15.75" customHeight="1">
      <c r="A382" s="32"/>
      <c r="B382" s="32"/>
      <c r="C382" s="32"/>
      <c r="D382" s="32"/>
      <c r="E382" s="32"/>
      <c r="J382" s="34"/>
    </row>
    <row r="383" ht="15.75" customHeight="1">
      <c r="A383" s="32"/>
      <c r="B383" s="32"/>
      <c r="C383" s="32"/>
      <c r="D383" s="32"/>
      <c r="E383" s="32"/>
      <c r="J383" s="34"/>
    </row>
    <row r="384" ht="15.75" customHeight="1">
      <c r="A384" s="32"/>
      <c r="B384" s="32"/>
      <c r="C384" s="32"/>
      <c r="D384" s="32"/>
      <c r="E384" s="32"/>
      <c r="J384" s="34"/>
    </row>
    <row r="385" ht="15.75" customHeight="1">
      <c r="A385" s="32"/>
      <c r="B385" s="32"/>
      <c r="C385" s="32"/>
      <c r="D385" s="32"/>
      <c r="E385" s="32"/>
      <c r="J385" s="34"/>
    </row>
    <row r="386" ht="15.75" customHeight="1">
      <c r="A386" s="32"/>
      <c r="B386" s="32"/>
      <c r="C386" s="32"/>
      <c r="D386" s="32"/>
      <c r="E386" s="32"/>
      <c r="J386" s="34"/>
    </row>
    <row r="387" ht="15.75" customHeight="1">
      <c r="A387" s="32"/>
      <c r="B387" s="32"/>
      <c r="C387" s="32"/>
      <c r="D387" s="32"/>
      <c r="E387" s="32"/>
      <c r="J387" s="34"/>
    </row>
    <row r="388" ht="15.75" customHeight="1">
      <c r="A388" s="32"/>
      <c r="B388" s="32"/>
      <c r="C388" s="32"/>
      <c r="D388" s="32"/>
      <c r="E388" s="32"/>
      <c r="J388" s="34"/>
    </row>
    <row r="389" ht="15.75" customHeight="1">
      <c r="A389" s="32"/>
      <c r="B389" s="32"/>
      <c r="C389" s="32"/>
      <c r="D389" s="32"/>
      <c r="E389" s="32"/>
      <c r="J389" s="34"/>
    </row>
    <row r="390" ht="15.75" customHeight="1">
      <c r="A390" s="32"/>
      <c r="B390" s="32"/>
      <c r="C390" s="32"/>
      <c r="D390" s="32"/>
      <c r="E390" s="32"/>
      <c r="J390" s="34"/>
    </row>
    <row r="391" ht="15.75" customHeight="1">
      <c r="A391" s="32"/>
      <c r="B391" s="32"/>
      <c r="C391" s="32"/>
      <c r="D391" s="32"/>
      <c r="E391" s="32"/>
      <c r="J391" s="34"/>
    </row>
    <row r="392" ht="15.75" customHeight="1">
      <c r="A392" s="32"/>
      <c r="B392" s="32"/>
      <c r="C392" s="32"/>
      <c r="D392" s="32"/>
      <c r="E392" s="32"/>
      <c r="J392" s="34"/>
    </row>
    <row r="393" ht="15.75" customHeight="1">
      <c r="A393" s="32"/>
      <c r="B393" s="32"/>
      <c r="C393" s="32"/>
      <c r="D393" s="32"/>
      <c r="E393" s="32"/>
      <c r="J393" s="34"/>
    </row>
    <row r="394" ht="15.75" customHeight="1">
      <c r="A394" s="32"/>
      <c r="B394" s="32"/>
      <c r="C394" s="32"/>
      <c r="D394" s="32"/>
      <c r="E394" s="32"/>
      <c r="J394" s="34"/>
    </row>
    <row r="395" ht="15.75" customHeight="1">
      <c r="A395" s="32"/>
      <c r="B395" s="32"/>
      <c r="C395" s="32"/>
      <c r="D395" s="32"/>
      <c r="E395" s="32"/>
      <c r="J395" s="34"/>
    </row>
    <row r="396" ht="15.75" customHeight="1">
      <c r="A396" s="32"/>
      <c r="B396" s="32"/>
      <c r="C396" s="32"/>
      <c r="D396" s="32"/>
      <c r="E396" s="32"/>
      <c r="J396" s="34"/>
    </row>
    <row r="397" ht="15.75" customHeight="1">
      <c r="A397" s="32"/>
      <c r="B397" s="32"/>
      <c r="C397" s="32"/>
      <c r="D397" s="32"/>
      <c r="E397" s="32"/>
      <c r="J397" s="34"/>
    </row>
    <row r="398" ht="15.75" customHeight="1">
      <c r="A398" s="32"/>
      <c r="B398" s="32"/>
      <c r="C398" s="32"/>
      <c r="D398" s="32"/>
      <c r="E398" s="32"/>
      <c r="J398" s="34"/>
    </row>
    <row r="399" ht="15.75" customHeight="1">
      <c r="A399" s="32"/>
      <c r="B399" s="32"/>
      <c r="C399" s="32"/>
      <c r="D399" s="32"/>
      <c r="E399" s="32"/>
      <c r="J399" s="34"/>
    </row>
    <row r="400" ht="15.75" customHeight="1">
      <c r="A400" s="32"/>
      <c r="B400" s="32"/>
      <c r="C400" s="32"/>
      <c r="D400" s="32"/>
      <c r="E400" s="32"/>
      <c r="J400" s="34"/>
    </row>
    <row r="401" ht="15.75" customHeight="1">
      <c r="A401" s="32"/>
      <c r="B401" s="32"/>
      <c r="C401" s="32"/>
      <c r="D401" s="32"/>
      <c r="E401" s="32"/>
      <c r="J401" s="34"/>
    </row>
    <row r="402" ht="15.75" customHeight="1">
      <c r="A402" s="32"/>
      <c r="B402" s="32"/>
      <c r="C402" s="32"/>
      <c r="D402" s="32"/>
      <c r="E402" s="32"/>
      <c r="J402" s="34"/>
    </row>
    <row r="403" ht="15.75" customHeight="1">
      <c r="A403" s="32"/>
      <c r="B403" s="32"/>
      <c r="C403" s="32"/>
      <c r="D403" s="32"/>
      <c r="E403" s="32"/>
      <c r="J403" s="34"/>
    </row>
    <row r="404" ht="15.75" customHeight="1">
      <c r="A404" s="32"/>
      <c r="B404" s="32"/>
      <c r="C404" s="32"/>
      <c r="D404" s="32"/>
      <c r="E404" s="32"/>
      <c r="J404" s="34"/>
    </row>
    <row r="405" ht="15.75" customHeight="1">
      <c r="A405" s="32"/>
      <c r="B405" s="32"/>
      <c r="C405" s="32"/>
      <c r="D405" s="32"/>
      <c r="E405" s="32"/>
      <c r="J405" s="34"/>
    </row>
    <row r="406" ht="15.75" customHeight="1">
      <c r="A406" s="32"/>
      <c r="B406" s="32"/>
      <c r="C406" s="32"/>
      <c r="D406" s="32"/>
      <c r="E406" s="32"/>
      <c r="J406" s="34"/>
    </row>
    <row r="407" ht="15.75" customHeight="1">
      <c r="A407" s="32"/>
      <c r="B407" s="32"/>
      <c r="C407" s="32"/>
      <c r="D407" s="32"/>
      <c r="E407" s="32"/>
      <c r="J407" s="34"/>
    </row>
    <row r="408" ht="15.75" customHeight="1">
      <c r="A408" s="32"/>
      <c r="B408" s="32"/>
      <c r="C408" s="32"/>
      <c r="D408" s="32"/>
      <c r="E408" s="32"/>
      <c r="J408" s="34"/>
    </row>
    <row r="409" ht="15.75" customHeight="1">
      <c r="A409" s="32"/>
      <c r="B409" s="32"/>
      <c r="C409" s="32"/>
      <c r="D409" s="32"/>
      <c r="E409" s="32"/>
      <c r="J409" s="34"/>
    </row>
    <row r="410" ht="15.75" customHeight="1">
      <c r="A410" s="32"/>
      <c r="B410" s="32"/>
      <c r="C410" s="32"/>
      <c r="D410" s="32"/>
      <c r="E410" s="32"/>
      <c r="J410" s="34"/>
    </row>
    <row r="411" ht="15.75" customHeight="1">
      <c r="A411" s="32"/>
      <c r="B411" s="32"/>
      <c r="C411" s="32"/>
      <c r="D411" s="32"/>
      <c r="E411" s="32"/>
      <c r="J411" s="34"/>
    </row>
    <row r="412" ht="15.75" customHeight="1">
      <c r="A412" s="32"/>
      <c r="B412" s="32"/>
      <c r="C412" s="32"/>
      <c r="D412" s="32"/>
      <c r="E412" s="32"/>
      <c r="J412" s="34"/>
    </row>
    <row r="413" ht="15.75" customHeight="1">
      <c r="A413" s="32"/>
      <c r="B413" s="32"/>
      <c r="C413" s="32"/>
      <c r="D413" s="32"/>
      <c r="E413" s="32"/>
      <c r="J413" s="34"/>
    </row>
    <row r="414" ht="15.75" customHeight="1">
      <c r="A414" s="32"/>
      <c r="B414" s="32"/>
      <c r="C414" s="32"/>
      <c r="D414" s="32"/>
      <c r="E414" s="32"/>
      <c r="J414" s="34"/>
    </row>
    <row r="415" ht="15.75" customHeight="1">
      <c r="A415" s="32"/>
      <c r="B415" s="32"/>
      <c r="C415" s="32"/>
      <c r="D415" s="32"/>
      <c r="E415" s="32"/>
      <c r="J415" s="34"/>
    </row>
    <row r="416" ht="15.75" customHeight="1">
      <c r="A416" s="32"/>
      <c r="B416" s="32"/>
      <c r="C416" s="32"/>
      <c r="D416" s="32"/>
      <c r="E416" s="32"/>
      <c r="J416" s="34"/>
    </row>
    <row r="417" ht="15.75" customHeight="1">
      <c r="A417" s="32"/>
      <c r="B417" s="32"/>
      <c r="C417" s="32"/>
      <c r="D417" s="32"/>
      <c r="E417" s="32"/>
      <c r="J417" s="34"/>
    </row>
    <row r="418" ht="15.75" customHeight="1">
      <c r="A418" s="32"/>
      <c r="B418" s="32"/>
      <c r="C418" s="32"/>
      <c r="D418" s="32"/>
      <c r="E418" s="32"/>
      <c r="J418" s="34"/>
    </row>
    <row r="419" ht="15.75" customHeight="1">
      <c r="A419" s="32"/>
      <c r="B419" s="32"/>
      <c r="C419" s="32"/>
      <c r="D419" s="32"/>
      <c r="E419" s="32"/>
      <c r="J419" s="34"/>
    </row>
    <row r="420" ht="15.75" customHeight="1">
      <c r="A420" s="32"/>
      <c r="B420" s="32"/>
      <c r="C420" s="32"/>
      <c r="D420" s="32"/>
      <c r="E420" s="32"/>
      <c r="J420" s="34"/>
    </row>
    <row r="421" ht="15.75" customHeight="1">
      <c r="A421" s="32"/>
      <c r="B421" s="32"/>
      <c r="C421" s="32"/>
      <c r="D421" s="32"/>
      <c r="E421" s="32"/>
      <c r="J421" s="34"/>
    </row>
    <row r="422" ht="15.75" customHeight="1">
      <c r="A422" s="32"/>
      <c r="B422" s="32"/>
      <c r="C422" s="32"/>
      <c r="D422" s="32"/>
      <c r="E422" s="32"/>
      <c r="J422" s="34"/>
    </row>
    <row r="423" ht="15.75" customHeight="1">
      <c r="A423" s="32"/>
      <c r="B423" s="32"/>
      <c r="C423" s="32"/>
      <c r="D423" s="32"/>
      <c r="E423" s="32"/>
      <c r="J423" s="34"/>
    </row>
    <row r="424" ht="15.75" customHeight="1">
      <c r="A424" s="32"/>
      <c r="B424" s="32"/>
      <c r="C424" s="32"/>
      <c r="D424" s="32"/>
      <c r="E424" s="32"/>
      <c r="J424" s="34"/>
    </row>
    <row r="425" ht="15.75" customHeight="1">
      <c r="A425" s="32"/>
      <c r="B425" s="32"/>
      <c r="C425" s="32"/>
      <c r="D425" s="32"/>
      <c r="E425" s="32"/>
      <c r="J425" s="34"/>
    </row>
    <row r="426" ht="15.75" customHeight="1">
      <c r="A426" s="32"/>
      <c r="B426" s="32"/>
      <c r="C426" s="32"/>
      <c r="D426" s="32"/>
      <c r="E426" s="32"/>
      <c r="J426" s="34"/>
    </row>
    <row r="427" ht="15.75" customHeight="1">
      <c r="A427" s="32"/>
      <c r="B427" s="32"/>
      <c r="C427" s="32"/>
      <c r="D427" s="32"/>
      <c r="E427" s="32"/>
      <c r="J427" s="34"/>
    </row>
    <row r="428" ht="15.75" customHeight="1">
      <c r="A428" s="32"/>
      <c r="B428" s="32"/>
      <c r="C428" s="32"/>
      <c r="D428" s="32"/>
      <c r="E428" s="32"/>
      <c r="J428" s="34"/>
    </row>
    <row r="429" ht="15.75" customHeight="1">
      <c r="A429" s="32"/>
      <c r="B429" s="32"/>
      <c r="C429" s="32"/>
      <c r="D429" s="32"/>
      <c r="E429" s="32"/>
      <c r="J429" s="34"/>
    </row>
    <row r="430" ht="15.75" customHeight="1">
      <c r="A430" s="32"/>
      <c r="B430" s="32"/>
      <c r="C430" s="32"/>
      <c r="D430" s="32"/>
      <c r="E430" s="32"/>
      <c r="J430" s="34"/>
    </row>
    <row r="431" ht="15.75" customHeight="1">
      <c r="A431" s="32"/>
      <c r="B431" s="32"/>
      <c r="C431" s="32"/>
      <c r="D431" s="32"/>
      <c r="E431" s="32"/>
      <c r="J431" s="34"/>
    </row>
    <row r="432" ht="15.75" customHeight="1">
      <c r="A432" s="32"/>
      <c r="B432" s="32"/>
      <c r="C432" s="32"/>
      <c r="D432" s="32"/>
      <c r="E432" s="32"/>
      <c r="J432" s="34"/>
    </row>
    <row r="433" ht="15.75" customHeight="1">
      <c r="A433" s="32"/>
      <c r="B433" s="32"/>
      <c r="C433" s="32"/>
      <c r="D433" s="32"/>
      <c r="E433" s="32"/>
      <c r="J433" s="34"/>
    </row>
    <row r="434" ht="15.75" customHeight="1">
      <c r="A434" s="32"/>
      <c r="B434" s="32"/>
      <c r="C434" s="32"/>
      <c r="D434" s="32"/>
      <c r="E434" s="32"/>
      <c r="J434" s="34"/>
    </row>
    <row r="435" ht="15.75" customHeight="1">
      <c r="A435" s="32"/>
      <c r="B435" s="32"/>
      <c r="C435" s="32"/>
      <c r="D435" s="32"/>
      <c r="E435" s="32"/>
      <c r="J435" s="34"/>
    </row>
    <row r="436" ht="15.75" customHeight="1">
      <c r="A436" s="32"/>
      <c r="B436" s="32"/>
      <c r="C436" s="32"/>
      <c r="D436" s="32"/>
      <c r="E436" s="32"/>
      <c r="J436" s="34"/>
    </row>
    <row r="437" ht="15.75" customHeight="1">
      <c r="A437" s="32"/>
      <c r="B437" s="32"/>
      <c r="C437" s="32"/>
      <c r="D437" s="32"/>
      <c r="E437" s="32"/>
      <c r="J437" s="34"/>
    </row>
    <row r="438" ht="15.75" customHeight="1">
      <c r="A438" s="32"/>
      <c r="B438" s="32"/>
      <c r="C438" s="32"/>
      <c r="D438" s="32"/>
      <c r="E438" s="32"/>
      <c r="J438" s="34"/>
    </row>
    <row r="439" ht="15.75" customHeight="1">
      <c r="A439" s="32"/>
      <c r="B439" s="32"/>
      <c r="C439" s="32"/>
      <c r="D439" s="32"/>
      <c r="E439" s="32"/>
      <c r="J439" s="34"/>
    </row>
    <row r="440" ht="15.75" customHeight="1">
      <c r="A440" s="32"/>
      <c r="B440" s="32"/>
      <c r="C440" s="32"/>
      <c r="D440" s="32"/>
      <c r="E440" s="32"/>
      <c r="J440" s="34"/>
    </row>
    <row r="441" ht="15.75" customHeight="1">
      <c r="A441" s="32"/>
      <c r="B441" s="32"/>
      <c r="C441" s="32"/>
      <c r="D441" s="32"/>
      <c r="E441" s="32"/>
      <c r="J441" s="34"/>
    </row>
    <row r="442" ht="15.75" customHeight="1">
      <c r="A442" s="32"/>
      <c r="B442" s="32"/>
      <c r="C442" s="32"/>
      <c r="D442" s="32"/>
      <c r="E442" s="32"/>
      <c r="J442" s="34"/>
    </row>
    <row r="443" ht="15.75" customHeight="1">
      <c r="A443" s="32"/>
      <c r="B443" s="32"/>
      <c r="C443" s="32"/>
      <c r="D443" s="32"/>
      <c r="E443" s="32"/>
      <c r="J443" s="34"/>
    </row>
    <row r="444" ht="15.75" customHeight="1">
      <c r="A444" s="32"/>
      <c r="B444" s="32"/>
      <c r="C444" s="32"/>
      <c r="D444" s="32"/>
      <c r="E444" s="32"/>
      <c r="J444" s="34"/>
    </row>
    <row r="445" ht="15.75" customHeight="1">
      <c r="A445" s="32"/>
      <c r="B445" s="32"/>
      <c r="C445" s="32"/>
      <c r="D445" s="32"/>
      <c r="E445" s="32"/>
      <c r="J445" s="34"/>
    </row>
    <row r="446" ht="15.75" customHeight="1">
      <c r="A446" s="32"/>
      <c r="B446" s="32"/>
      <c r="C446" s="32"/>
      <c r="D446" s="32"/>
      <c r="E446" s="32"/>
      <c r="J446" s="34"/>
    </row>
    <row r="447" ht="15.75" customHeight="1">
      <c r="A447" s="32"/>
      <c r="B447" s="32"/>
      <c r="C447" s="32"/>
      <c r="D447" s="32"/>
      <c r="E447" s="32"/>
      <c r="J447" s="34"/>
    </row>
    <row r="448" ht="15.75" customHeight="1">
      <c r="A448" s="32"/>
      <c r="B448" s="32"/>
      <c r="C448" s="32"/>
      <c r="D448" s="32"/>
      <c r="E448" s="32"/>
      <c r="J448" s="34"/>
    </row>
    <row r="449" ht="15.75" customHeight="1">
      <c r="A449" s="32"/>
      <c r="B449" s="32"/>
      <c r="C449" s="32"/>
      <c r="D449" s="32"/>
      <c r="E449" s="32"/>
      <c r="J449" s="34"/>
    </row>
    <row r="450" ht="15.75" customHeight="1">
      <c r="A450" s="32"/>
      <c r="B450" s="32"/>
      <c r="C450" s="32"/>
      <c r="D450" s="32"/>
      <c r="E450" s="32"/>
      <c r="J450" s="34"/>
    </row>
    <row r="451" ht="15.75" customHeight="1">
      <c r="A451" s="32"/>
      <c r="B451" s="32"/>
      <c r="C451" s="32"/>
      <c r="D451" s="32"/>
      <c r="E451" s="32"/>
      <c r="J451" s="34"/>
    </row>
    <row r="452" ht="15.75" customHeight="1">
      <c r="A452" s="32"/>
      <c r="B452" s="32"/>
      <c r="C452" s="32"/>
      <c r="D452" s="32"/>
      <c r="E452" s="32"/>
      <c r="J452" s="34"/>
    </row>
    <row r="453" ht="15.75" customHeight="1">
      <c r="A453" s="32"/>
      <c r="B453" s="32"/>
      <c r="C453" s="32"/>
      <c r="D453" s="32"/>
      <c r="E453" s="32"/>
      <c r="J453" s="34"/>
    </row>
    <row r="454" ht="15.75" customHeight="1">
      <c r="J454" s="34"/>
    </row>
    <row r="455" ht="15.75" customHeight="1">
      <c r="J455" s="34"/>
    </row>
    <row r="456" ht="15.75" customHeight="1">
      <c r="J456" s="34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2:B2"/>
    <mergeCell ref="D2:J2"/>
    <mergeCell ref="L2:M3"/>
    <mergeCell ref="D5:D31"/>
    <mergeCell ref="E5:E31"/>
    <mergeCell ref="D32:D58"/>
    <mergeCell ref="E32:E58"/>
    <mergeCell ref="D140:D166"/>
    <mergeCell ref="D167:D193"/>
    <mergeCell ref="D194:D220"/>
    <mergeCell ref="D221:D247"/>
    <mergeCell ref="D248:D274"/>
    <mergeCell ref="D275:D301"/>
    <mergeCell ref="E167:E193"/>
    <mergeCell ref="E194:E220"/>
    <mergeCell ref="E221:E247"/>
    <mergeCell ref="E248:E274"/>
    <mergeCell ref="E275:E301"/>
    <mergeCell ref="D59:D85"/>
    <mergeCell ref="E59:E85"/>
    <mergeCell ref="D86:D112"/>
    <mergeCell ref="E86:E112"/>
    <mergeCell ref="D113:D139"/>
    <mergeCell ref="E113:E139"/>
    <mergeCell ref="E140:E166"/>
    <mergeCell ref="J194:J220"/>
    <mergeCell ref="J221:J247"/>
    <mergeCell ref="J248:J274"/>
    <mergeCell ref="J275:J301"/>
    <mergeCell ref="D302:I302"/>
    <mergeCell ref="J5:J31"/>
    <mergeCell ref="J32:J58"/>
    <mergeCell ref="J59:J85"/>
    <mergeCell ref="J86:J112"/>
    <mergeCell ref="J113:J139"/>
    <mergeCell ref="J140:J166"/>
    <mergeCell ref="J167:J19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89</v>
      </c>
      <c r="F5" s="55" t="s">
        <v>22</v>
      </c>
      <c r="G5" s="56"/>
      <c r="H5" s="57">
        <f>VLOOKUP(F5,$A$4:$B$4,2,TRUE)</f>
        <v>4000</v>
      </c>
      <c r="I5" s="58">
        <f t="shared" ref="I5:I85" si="1">G5*H5</f>
        <v>0</v>
      </c>
      <c r="J5" s="59">
        <f>SUM(I5:I31)</f>
        <v>3000</v>
      </c>
      <c r="K5" s="33"/>
      <c r="L5" s="55" t="s">
        <v>22</v>
      </c>
      <c r="M5" s="51">
        <f>SUMIF(F5:F85,"Gelas bersih",G5:G85)</f>
        <v>0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/>
      <c r="H6" s="61">
        <f>VLOOKUP(F6,$A$5:$B$5,2,TRUE)</f>
        <v>3000</v>
      </c>
      <c r="I6" s="58">
        <f t="shared" si="1"/>
        <v>0</v>
      </c>
      <c r="J6" s="60"/>
      <c r="K6" s="33"/>
      <c r="L6" s="55" t="s">
        <v>57</v>
      </c>
      <c r="M6" s="51">
        <f>SUMIF(F6:F86,"Botol bersih",G6:G86)</f>
        <v>1.5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SUMIF(F7:F86,"Botol Warna",G7:G86)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SUMIF(F8:F87,"Tutup botol",G8:G87)</f>
        <v>0.5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SUMIF(F9:F88,"Tutup galon",G9:G88)</f>
        <v>0.5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3.0</v>
      </c>
      <c r="H10" s="61">
        <f>VLOOKUP(F10,$A$9:$B$9,2,TRUE)</f>
        <v>1000</v>
      </c>
      <c r="I10" s="58">
        <f t="shared" si="1"/>
        <v>3000</v>
      </c>
      <c r="J10" s="60"/>
      <c r="K10" s="33"/>
      <c r="L10" s="55" t="s">
        <v>27</v>
      </c>
      <c r="M10" s="51">
        <f>SUMIF(F10:F89,"Hitam",G10:G89)</f>
        <v>3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SUMIF(F11:F90,"Plastik Campur",G11:G90)</f>
        <v>4.5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SUMIF(F12:F91,"Kardus",G12:G91)</f>
        <v>0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SUMIF(F13:F92,"Kertas Putihan/ HVS",G13:G92)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SUMIF(F14:F93,"Koran/Buku",G14:G93)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SUMIF(F15:F94,"Duplex",G15:G94)</f>
        <v>0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SUMIF(F16:F95,"Alumunium",G16:G95)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SUMIF(F17:F96,"Besi",G17:G96)</f>
        <v>0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SUMIF(F18:F97,"Kaleng kue/susu",G18:G97)</f>
        <v>0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SUMIF(F19:F98,"Kaleng Minuman",G19:G98)</f>
        <v>1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SUMIF(F20:F99,"Stanless",G20:G99)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SUMIF(F21:F100,"Tembaga",G21:G100)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SUMIF(F22:F101,"Aki Motor",G22:G101)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SUMIF(F23:F102,"Paralon",G23:G102)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SUMIF(F24:F103,"Plastik bening",G24:G103)</f>
        <v>0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SUMIF(F25:F104,"Plastik Warna",G25:G104)</f>
        <v>0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SUMIF(F26:F105,"Selang",G26:G105)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SUMIF(F27:F106,"Beling",G27:G106)</f>
        <v>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SUMIF(F28:F107,"Pecahan",G28:G107)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SUMIF(F29:F109,"Paku",G29:G109)</f>
        <v>0</v>
      </c>
      <c r="N29" s="33"/>
    </row>
    <row r="30" ht="15.75" customHeight="1">
      <c r="A30" s="44" t="s">
        <v>59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SUMIF(F30:F110,"Minyak Jelantah",G30:G110)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/>
      <c r="H31" s="61">
        <v>4.0</v>
      </c>
      <c r="I31" s="58">
        <f t="shared" si="1"/>
        <v>0</v>
      </c>
      <c r="J31" s="18"/>
      <c r="K31" s="33"/>
      <c r="L31" s="55" t="s">
        <v>59</v>
      </c>
      <c r="M31" s="51">
        <f>SUMIF(F31:F111,"Lainnya",G31:G111)</f>
        <v>4</v>
      </c>
      <c r="N31" s="33"/>
    </row>
    <row r="32" ht="15.75" customHeight="1">
      <c r="A32" s="52"/>
      <c r="B32" s="52"/>
      <c r="C32" s="52"/>
      <c r="D32" s="53">
        <v>2.0</v>
      </c>
      <c r="E32" s="65" t="s">
        <v>90</v>
      </c>
      <c r="F32" s="55" t="s">
        <v>22</v>
      </c>
      <c r="G32" s="56"/>
      <c r="H32" s="57">
        <f>VLOOKUP(F32,$A$4:$B$4,2,TRUE)</f>
        <v>4000</v>
      </c>
      <c r="I32" s="58">
        <f t="shared" si="1"/>
        <v>0</v>
      </c>
      <c r="J32" s="59">
        <f>SUM(I32:I58)</f>
        <v>6000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/>
      <c r="H33" s="61">
        <f>VLOOKUP(F33,$A$5:$B$5,2,TRUE)</f>
        <v>3000</v>
      </c>
      <c r="I33" s="58">
        <f t="shared" si="1"/>
        <v>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/>
      <c r="H37" s="61">
        <f>VLOOKUP(F37,$A$9:$B$9,2,TRUE)</f>
        <v>1000</v>
      </c>
      <c r="I37" s="58">
        <f t="shared" si="1"/>
        <v>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>
        <v>3.0</v>
      </c>
      <c r="H38" s="61">
        <f>VLOOKUP(F38,$A$10:$B$10,2,TRUE)</f>
        <v>2000</v>
      </c>
      <c r="I38" s="58">
        <f t="shared" si="1"/>
        <v>6000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1">
        <f>VLOOKUP(F39,$A$11:$B$11,2,TRUE)</f>
        <v>1500</v>
      </c>
      <c r="I39" s="58">
        <f t="shared" si="1"/>
        <v>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1">
        <f>VLOOKUP(F42,$A$14:$B$14,2,TRUE)</f>
        <v>500</v>
      </c>
      <c r="I42" s="58">
        <f t="shared" si="1"/>
        <v>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1">
        <f>VLOOKUP(F45,$A$17:$B$17,2,TRUE)</f>
        <v>1000</v>
      </c>
      <c r="I45" s="58">
        <f t="shared" si="1"/>
        <v>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1">
        <f>VLOOKUP(F51,$A$23:$B$23,2,TRUE)</f>
        <v>500</v>
      </c>
      <c r="I51" s="58">
        <f t="shared" si="1"/>
        <v>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1">
        <f>VLOOKUP(F54,$A$26:$B$26,2,TRUE)</f>
        <v>300</v>
      </c>
      <c r="I54" s="58">
        <f t="shared" si="1"/>
        <v>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/>
      <c r="H58" s="61">
        <f>VLOOKUP(F57,$A$30:$B$30,2,TRUE)</f>
        <v>500</v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91</v>
      </c>
      <c r="F59" s="55" t="s">
        <v>22</v>
      </c>
      <c r="G59" s="56"/>
      <c r="H59" s="57">
        <f>VLOOKUP(F59,$A$4:$B$4,2,TRUE)</f>
        <v>4000</v>
      </c>
      <c r="I59" s="58">
        <f t="shared" si="1"/>
        <v>0</v>
      </c>
      <c r="J59" s="59">
        <f>SUM(I59:I85)</f>
        <v>15650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>
        <v>1.5</v>
      </c>
      <c r="H60" s="61">
        <f>VLOOKUP(F60,$A$5:$B$5,2,TRUE)</f>
        <v>3000</v>
      </c>
      <c r="I60" s="58">
        <f t="shared" si="1"/>
        <v>4500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>
        <v>0.5</v>
      </c>
      <c r="H62" s="61">
        <f>VLOOKUP(F62,$A$7:$B$7,2,TRUE)</f>
        <v>2800</v>
      </c>
      <c r="I62" s="58">
        <f t="shared" si="1"/>
        <v>1400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>
        <v>0.5</v>
      </c>
      <c r="H63" s="61">
        <f>VLOOKUP(F63,$A$8:$B$8,2,TRUE)</f>
        <v>3500</v>
      </c>
      <c r="I63" s="58">
        <f t="shared" si="1"/>
        <v>1750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/>
      <c r="H64" s="61">
        <f>VLOOKUP(F64,$A$9:$B$9,2,TRUE)</f>
        <v>1000</v>
      </c>
      <c r="I64" s="58">
        <f t="shared" si="1"/>
        <v>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>
        <v>1.5</v>
      </c>
      <c r="H65" s="61">
        <f>VLOOKUP(F65,$A$10:$B$10,2,TRUE)</f>
        <v>2000</v>
      </c>
      <c r="I65" s="58">
        <f t="shared" si="1"/>
        <v>3000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/>
      <c r="H66" s="61">
        <f>VLOOKUP(F66,$A$11:$B$11,2,TRUE)</f>
        <v>1500</v>
      </c>
      <c r="I66" s="58">
        <f t="shared" si="1"/>
        <v>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1">
        <f>VLOOKUP(F69,$A$14:$B$14,2,TRUE)</f>
        <v>500</v>
      </c>
      <c r="I69" s="58">
        <f t="shared" si="1"/>
        <v>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1">
        <f>VLOOKUP(F72,$A$17:$B$17,2,TRUE)</f>
        <v>1000</v>
      </c>
      <c r="I72" s="58">
        <f t="shared" si="1"/>
        <v>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>
        <v>1.0</v>
      </c>
      <c r="H73" s="61">
        <f>VLOOKUP(F73,$A$18:$B$18,2,TRUE)</f>
        <v>5000</v>
      </c>
      <c r="I73" s="58">
        <f t="shared" si="1"/>
        <v>5000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/>
      <c r="H84" s="61">
        <f>VLOOKUP(F83,$A$29:$B$29,2,TRUE)</f>
        <v>4000</v>
      </c>
      <c r="I84" s="58">
        <f t="shared" si="1"/>
        <v>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>
        <v>4.0</v>
      </c>
      <c r="H85" s="61">
        <v>0.0</v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63" t="s">
        <v>60</v>
      </c>
      <c r="E86" s="6"/>
      <c r="F86" s="6"/>
      <c r="G86" s="6"/>
      <c r="H86" s="6"/>
      <c r="I86" s="7"/>
      <c r="J86" s="64">
        <f>SUM(J5:J85)</f>
        <v>24650</v>
      </c>
      <c r="K86" s="33"/>
      <c r="L86" s="33"/>
      <c r="M86" s="33"/>
      <c r="N86" s="33"/>
    </row>
    <row r="87" ht="15.75" customHeight="1">
      <c r="A87" s="32"/>
      <c r="B87" s="32"/>
      <c r="C87" s="32"/>
      <c r="D87" s="32"/>
      <c r="E87" s="32"/>
      <c r="F87" s="33"/>
      <c r="G87" s="33"/>
      <c r="H87" s="33"/>
      <c r="I87" s="33"/>
      <c r="J87" s="34"/>
      <c r="K87" s="33"/>
      <c r="L87" s="33"/>
      <c r="M87" s="33"/>
      <c r="N87" s="33"/>
    </row>
    <row r="88" ht="15.75" customHeight="1">
      <c r="A88" s="32"/>
      <c r="B88" s="32"/>
      <c r="C88" s="32"/>
      <c r="D88" s="32"/>
      <c r="E88" s="32"/>
      <c r="F88" s="33"/>
      <c r="G88" s="33"/>
      <c r="H88" s="33"/>
      <c r="I88" s="33"/>
      <c r="J88" s="34"/>
      <c r="K88" s="33"/>
      <c r="L88" s="33"/>
      <c r="M88" s="33"/>
      <c r="N88" s="33"/>
    </row>
    <row r="89" ht="15.75" customHeight="1">
      <c r="A89" s="32"/>
      <c r="B89" s="32"/>
      <c r="C89" s="32"/>
      <c r="D89" s="32"/>
      <c r="E89" s="32"/>
      <c r="F89" s="33"/>
      <c r="G89" s="33"/>
      <c r="H89" s="33"/>
      <c r="I89" s="33"/>
      <c r="J89" s="34"/>
      <c r="K89" s="33"/>
      <c r="L89" s="33"/>
      <c r="M89" s="33"/>
      <c r="N89" s="33"/>
    </row>
    <row r="90" ht="15.75" customHeight="1">
      <c r="A90" s="32"/>
      <c r="B90" s="32"/>
      <c r="C90" s="32"/>
      <c r="D90" s="32"/>
      <c r="E90" s="32"/>
      <c r="F90" s="33"/>
      <c r="G90" s="33"/>
      <c r="H90" s="33"/>
      <c r="I90" s="33"/>
      <c r="J90" s="34"/>
      <c r="K90" s="33"/>
      <c r="L90" s="33"/>
      <c r="M90" s="33"/>
      <c r="N90" s="33"/>
    </row>
    <row r="91" ht="15.75" customHeight="1">
      <c r="A91" s="32"/>
      <c r="B91" s="32"/>
      <c r="C91" s="32"/>
      <c r="D91" s="32"/>
      <c r="E91" s="32"/>
      <c r="F91" s="33"/>
      <c r="G91" s="33"/>
      <c r="H91" s="33"/>
      <c r="I91" s="33"/>
      <c r="J91" s="34"/>
      <c r="K91" s="33"/>
      <c r="L91" s="33"/>
      <c r="M91" s="33"/>
      <c r="N91" s="33"/>
    </row>
    <row r="92" ht="15.75" customHeight="1">
      <c r="A92" s="32"/>
      <c r="B92" s="32"/>
      <c r="C92" s="32"/>
      <c r="D92" s="32"/>
      <c r="E92" s="32"/>
      <c r="F92" s="33"/>
      <c r="G92" s="33"/>
      <c r="H92" s="33"/>
      <c r="I92" s="33"/>
      <c r="J92" s="34"/>
      <c r="K92" s="33"/>
      <c r="L92" s="33"/>
      <c r="M92" s="33"/>
      <c r="N92" s="33"/>
    </row>
    <row r="93" ht="15.75" customHeight="1">
      <c r="A93" s="32"/>
      <c r="B93" s="32"/>
      <c r="C93" s="32"/>
      <c r="D93" s="32"/>
      <c r="E93" s="32"/>
      <c r="F93" s="33"/>
      <c r="G93" s="33"/>
      <c r="H93" s="33"/>
      <c r="I93" s="33"/>
      <c r="J93" s="34"/>
      <c r="K93" s="33"/>
      <c r="L93" s="33"/>
      <c r="M93" s="33"/>
      <c r="N93" s="33"/>
    </row>
    <row r="94" ht="15.75" customHeight="1">
      <c r="A94" s="32"/>
      <c r="B94" s="32"/>
      <c r="C94" s="32"/>
      <c r="D94" s="32"/>
      <c r="E94" s="32"/>
      <c r="F94" s="33"/>
      <c r="G94" s="33"/>
      <c r="H94" s="33"/>
      <c r="I94" s="33"/>
      <c r="J94" s="34"/>
      <c r="K94" s="33"/>
      <c r="L94" s="33"/>
      <c r="M94" s="33"/>
      <c r="N94" s="33"/>
    </row>
    <row r="95" ht="15.75" customHeight="1">
      <c r="A95" s="32"/>
      <c r="B95" s="32"/>
      <c r="C95" s="32"/>
      <c r="D95" s="32"/>
      <c r="E95" s="32"/>
      <c r="J95" s="34"/>
    </row>
    <row r="96" ht="15.75" customHeight="1">
      <c r="A96" s="32"/>
      <c r="B96" s="32"/>
      <c r="C96" s="32"/>
      <c r="D96" s="32"/>
      <c r="E96" s="32"/>
      <c r="J96" s="34"/>
    </row>
    <row r="97" ht="15.75" customHeight="1">
      <c r="A97" s="32"/>
      <c r="B97" s="32"/>
      <c r="C97" s="32"/>
      <c r="D97" s="32"/>
      <c r="E97" s="32"/>
      <c r="J97" s="34"/>
    </row>
    <row r="98" ht="15.75" customHeight="1">
      <c r="A98" s="32"/>
      <c r="B98" s="32"/>
      <c r="C98" s="32"/>
      <c r="D98" s="32"/>
      <c r="E98" s="32"/>
      <c r="J98" s="34"/>
    </row>
    <row r="99" ht="15.75" customHeight="1">
      <c r="A99" s="32"/>
      <c r="B99" s="32"/>
      <c r="C99" s="32"/>
      <c r="D99" s="32"/>
      <c r="E99" s="32"/>
      <c r="J99" s="34"/>
    </row>
    <row r="100" ht="15.75" customHeight="1">
      <c r="A100" s="32"/>
      <c r="B100" s="32"/>
      <c r="C100" s="32"/>
      <c r="D100" s="32"/>
      <c r="E100" s="32"/>
      <c r="J100" s="34"/>
    </row>
    <row r="101" ht="15.75" customHeight="1">
      <c r="A101" s="32"/>
      <c r="B101" s="32"/>
      <c r="C101" s="32"/>
      <c r="D101" s="32"/>
      <c r="E101" s="32"/>
      <c r="J101" s="34"/>
    </row>
    <row r="102" ht="15.75" customHeight="1">
      <c r="A102" s="32"/>
      <c r="B102" s="32"/>
      <c r="C102" s="32"/>
      <c r="D102" s="32"/>
      <c r="E102" s="32"/>
      <c r="J102" s="34"/>
    </row>
    <row r="103" ht="15.75" customHeight="1">
      <c r="A103" s="32"/>
      <c r="B103" s="32"/>
      <c r="C103" s="32"/>
      <c r="D103" s="32"/>
      <c r="E103" s="32"/>
      <c r="J103" s="34"/>
    </row>
    <row r="104" ht="15.75" customHeight="1">
      <c r="A104" s="32"/>
      <c r="B104" s="32"/>
      <c r="C104" s="32"/>
      <c r="D104" s="32"/>
      <c r="E104" s="32"/>
      <c r="J104" s="34"/>
    </row>
    <row r="105" ht="15.75" customHeight="1">
      <c r="A105" s="32"/>
      <c r="B105" s="32"/>
      <c r="C105" s="32"/>
      <c r="D105" s="32"/>
      <c r="E105" s="32"/>
      <c r="J105" s="34"/>
    </row>
    <row r="106" ht="15.75" customHeight="1">
      <c r="A106" s="32"/>
      <c r="B106" s="32"/>
      <c r="C106" s="32"/>
      <c r="D106" s="32"/>
      <c r="E106" s="32"/>
      <c r="J106" s="34"/>
    </row>
    <row r="107" ht="15.75" customHeight="1">
      <c r="A107" s="32"/>
      <c r="B107" s="32"/>
      <c r="C107" s="32"/>
      <c r="D107" s="32"/>
      <c r="E107" s="32"/>
      <c r="J107" s="34"/>
    </row>
    <row r="108" ht="15.75" customHeight="1">
      <c r="A108" s="32"/>
      <c r="B108" s="32"/>
      <c r="C108" s="32"/>
      <c r="D108" s="32"/>
      <c r="E108" s="32"/>
      <c r="J108" s="34"/>
    </row>
    <row r="109" ht="15.75" customHeight="1">
      <c r="A109" s="32"/>
      <c r="B109" s="32"/>
      <c r="C109" s="32"/>
      <c r="D109" s="32"/>
      <c r="E109" s="32"/>
      <c r="J109" s="34"/>
    </row>
    <row r="110" ht="15.75" customHeight="1">
      <c r="A110" s="32"/>
      <c r="B110" s="32"/>
      <c r="C110" s="32"/>
      <c r="D110" s="32"/>
      <c r="E110" s="32"/>
      <c r="J110" s="34"/>
    </row>
    <row r="111" ht="15.75" customHeight="1">
      <c r="A111" s="32"/>
      <c r="B111" s="32"/>
      <c r="C111" s="32"/>
      <c r="D111" s="32"/>
      <c r="E111" s="32"/>
      <c r="J111" s="34"/>
    </row>
    <row r="112" ht="15.75" customHeight="1">
      <c r="A112" s="32"/>
      <c r="B112" s="32"/>
      <c r="C112" s="32"/>
      <c r="D112" s="32"/>
      <c r="E112" s="32"/>
      <c r="J112" s="34"/>
    </row>
    <row r="113" ht="15.75" customHeight="1">
      <c r="A113" s="32"/>
      <c r="B113" s="32"/>
      <c r="C113" s="32"/>
      <c r="D113" s="32"/>
      <c r="E113" s="32"/>
      <c r="J113" s="34"/>
    </row>
    <row r="114" ht="15.75" customHeight="1">
      <c r="A114" s="32"/>
      <c r="B114" s="32"/>
      <c r="C114" s="32"/>
      <c r="D114" s="32"/>
      <c r="E114" s="32"/>
      <c r="J114" s="34"/>
    </row>
    <row r="115" ht="15.75" customHeight="1">
      <c r="A115" s="32"/>
      <c r="B115" s="32"/>
      <c r="C115" s="32"/>
      <c r="D115" s="32"/>
      <c r="E115" s="32"/>
      <c r="J115" s="34"/>
    </row>
    <row r="116" ht="15.75" customHeight="1">
      <c r="A116" s="32"/>
      <c r="B116" s="32"/>
      <c r="C116" s="32"/>
      <c r="D116" s="32"/>
      <c r="E116" s="32"/>
      <c r="J116" s="34"/>
    </row>
    <row r="117" ht="15.75" customHeight="1">
      <c r="A117" s="32"/>
      <c r="B117" s="32"/>
      <c r="C117" s="32"/>
      <c r="D117" s="32"/>
      <c r="E117" s="32"/>
      <c r="J117" s="34"/>
    </row>
    <row r="118" ht="15.75" customHeight="1">
      <c r="A118" s="32"/>
      <c r="B118" s="32"/>
      <c r="C118" s="32"/>
      <c r="D118" s="32"/>
      <c r="E118" s="32"/>
      <c r="J118" s="34"/>
    </row>
    <row r="119" ht="15.75" customHeight="1">
      <c r="A119" s="32"/>
      <c r="B119" s="32"/>
      <c r="C119" s="32"/>
      <c r="D119" s="32"/>
      <c r="E119" s="32"/>
      <c r="J119" s="34"/>
    </row>
    <row r="120" ht="15.75" customHeight="1">
      <c r="A120" s="32"/>
      <c r="B120" s="32"/>
      <c r="C120" s="32"/>
      <c r="D120" s="32"/>
      <c r="E120" s="32"/>
      <c r="J120" s="34"/>
    </row>
    <row r="121" ht="15.75" customHeight="1">
      <c r="A121" s="32"/>
      <c r="B121" s="32"/>
      <c r="C121" s="32"/>
      <c r="D121" s="32"/>
      <c r="E121" s="32"/>
      <c r="J121" s="34"/>
    </row>
    <row r="122" ht="15.75" customHeight="1">
      <c r="A122" s="32"/>
      <c r="B122" s="32"/>
      <c r="C122" s="32"/>
      <c r="D122" s="32"/>
      <c r="E122" s="32"/>
      <c r="J122" s="34"/>
    </row>
    <row r="123" ht="15.75" customHeight="1">
      <c r="A123" s="32"/>
      <c r="B123" s="32"/>
      <c r="C123" s="32"/>
      <c r="D123" s="32"/>
      <c r="E123" s="32"/>
      <c r="J123" s="34"/>
    </row>
    <row r="124" ht="15.75" customHeight="1">
      <c r="A124" s="32"/>
      <c r="B124" s="32"/>
      <c r="C124" s="32"/>
      <c r="D124" s="32"/>
      <c r="E124" s="32"/>
      <c r="J124" s="34"/>
    </row>
    <row r="125" ht="15.75" customHeight="1">
      <c r="A125" s="32"/>
      <c r="B125" s="32"/>
      <c r="C125" s="32"/>
      <c r="D125" s="32"/>
      <c r="E125" s="32"/>
      <c r="J125" s="34"/>
    </row>
    <row r="126" ht="15.75" customHeight="1">
      <c r="A126" s="32"/>
      <c r="B126" s="32"/>
      <c r="C126" s="32"/>
      <c r="D126" s="32"/>
      <c r="E126" s="32"/>
      <c r="J126" s="34"/>
    </row>
    <row r="127" ht="15.75" customHeight="1">
      <c r="A127" s="32"/>
      <c r="B127" s="32"/>
      <c r="C127" s="32"/>
      <c r="D127" s="32"/>
      <c r="E127" s="32"/>
      <c r="J127" s="34"/>
    </row>
    <row r="128" ht="15.75" customHeight="1">
      <c r="A128" s="32"/>
      <c r="B128" s="32"/>
      <c r="C128" s="32"/>
      <c r="D128" s="32"/>
      <c r="E128" s="32"/>
      <c r="J128" s="34"/>
    </row>
    <row r="129" ht="15.75" customHeight="1">
      <c r="A129" s="32"/>
      <c r="B129" s="32"/>
      <c r="C129" s="32"/>
      <c r="D129" s="32"/>
      <c r="E129" s="32"/>
      <c r="J129" s="34"/>
    </row>
    <row r="130" ht="15.75" customHeight="1">
      <c r="A130" s="32"/>
      <c r="B130" s="32"/>
      <c r="C130" s="32"/>
      <c r="D130" s="32"/>
      <c r="E130" s="32"/>
      <c r="J130" s="34"/>
    </row>
    <row r="131" ht="15.75" customHeight="1">
      <c r="A131" s="32"/>
      <c r="B131" s="32"/>
      <c r="C131" s="32"/>
      <c r="D131" s="32"/>
      <c r="E131" s="32"/>
      <c r="J131" s="34"/>
    </row>
    <row r="132" ht="15.75" customHeight="1">
      <c r="A132" s="32"/>
      <c r="B132" s="32"/>
      <c r="C132" s="32"/>
      <c r="D132" s="32"/>
      <c r="E132" s="32"/>
      <c r="J132" s="34"/>
    </row>
    <row r="133" ht="15.75" customHeight="1">
      <c r="A133" s="32"/>
      <c r="B133" s="32"/>
      <c r="C133" s="32"/>
      <c r="D133" s="32"/>
      <c r="E133" s="32"/>
      <c r="J133" s="34"/>
    </row>
    <row r="134" ht="15.75" customHeight="1">
      <c r="A134" s="32"/>
      <c r="B134" s="32"/>
      <c r="C134" s="32"/>
      <c r="D134" s="32"/>
      <c r="E134" s="32"/>
      <c r="J134" s="34"/>
    </row>
    <row r="135" ht="15.75" customHeight="1">
      <c r="A135" s="32"/>
      <c r="B135" s="32"/>
      <c r="C135" s="32"/>
      <c r="D135" s="32"/>
      <c r="E135" s="32"/>
      <c r="J135" s="34"/>
    </row>
    <row r="136" ht="15.75" customHeight="1">
      <c r="A136" s="32"/>
      <c r="B136" s="32"/>
      <c r="C136" s="32"/>
      <c r="D136" s="32"/>
      <c r="E136" s="32"/>
      <c r="J136" s="34"/>
    </row>
    <row r="137" ht="15.75" customHeight="1">
      <c r="A137" s="32"/>
      <c r="B137" s="32"/>
      <c r="C137" s="32"/>
      <c r="D137" s="32"/>
      <c r="E137" s="32"/>
      <c r="J137" s="34"/>
    </row>
    <row r="138" ht="15.75" customHeight="1">
      <c r="A138" s="32"/>
      <c r="B138" s="32"/>
      <c r="C138" s="32"/>
      <c r="D138" s="32"/>
      <c r="E138" s="32"/>
      <c r="J138" s="34"/>
    </row>
    <row r="139" ht="15.75" customHeight="1">
      <c r="A139" s="32"/>
      <c r="B139" s="32"/>
      <c r="C139" s="32"/>
      <c r="D139" s="32"/>
      <c r="E139" s="32"/>
      <c r="J139" s="34"/>
    </row>
    <row r="140" ht="15.75" customHeight="1">
      <c r="A140" s="32"/>
      <c r="B140" s="32"/>
      <c r="C140" s="32"/>
      <c r="D140" s="32"/>
      <c r="E140" s="32"/>
      <c r="J140" s="34"/>
    </row>
    <row r="141" ht="15.75" customHeight="1">
      <c r="A141" s="32"/>
      <c r="B141" s="32"/>
      <c r="C141" s="32"/>
      <c r="D141" s="32"/>
      <c r="E141" s="32"/>
      <c r="J141" s="34"/>
    </row>
    <row r="142" ht="15.75" customHeight="1">
      <c r="A142" s="32"/>
      <c r="B142" s="32"/>
      <c r="C142" s="32"/>
      <c r="D142" s="32"/>
      <c r="E142" s="32"/>
      <c r="J142" s="34"/>
    </row>
    <row r="143" ht="15.75" customHeight="1">
      <c r="A143" s="32"/>
      <c r="B143" s="32"/>
      <c r="C143" s="32"/>
      <c r="D143" s="32"/>
      <c r="E143" s="32"/>
      <c r="J143" s="34"/>
    </row>
    <row r="144" ht="15.75" customHeight="1">
      <c r="A144" s="32"/>
      <c r="B144" s="32"/>
      <c r="C144" s="32"/>
      <c r="D144" s="32"/>
      <c r="E144" s="32"/>
      <c r="J144" s="34"/>
    </row>
    <row r="145" ht="15.75" customHeight="1">
      <c r="A145" s="32"/>
      <c r="B145" s="32"/>
      <c r="C145" s="32"/>
      <c r="D145" s="32"/>
      <c r="E145" s="32"/>
      <c r="J145" s="34"/>
    </row>
    <row r="146" ht="15.75" customHeight="1">
      <c r="A146" s="32"/>
      <c r="B146" s="32"/>
      <c r="C146" s="32"/>
      <c r="D146" s="32"/>
      <c r="E146" s="32"/>
      <c r="J146" s="34"/>
    </row>
    <row r="147" ht="15.75" customHeight="1">
      <c r="A147" s="32"/>
      <c r="B147" s="32"/>
      <c r="C147" s="32"/>
      <c r="D147" s="32"/>
      <c r="E147" s="32"/>
      <c r="J147" s="34"/>
    </row>
    <row r="148" ht="15.75" customHeight="1">
      <c r="A148" s="32"/>
      <c r="B148" s="32"/>
      <c r="C148" s="32"/>
      <c r="D148" s="32"/>
      <c r="E148" s="32"/>
      <c r="J148" s="34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A184" s="32"/>
      <c r="B184" s="32"/>
      <c r="C184" s="32"/>
      <c r="D184" s="32"/>
      <c r="E184" s="32"/>
      <c r="J184" s="34"/>
    </row>
    <row r="185" ht="15.75" customHeight="1">
      <c r="A185" s="32"/>
      <c r="B185" s="32"/>
      <c r="C185" s="32"/>
      <c r="D185" s="32"/>
      <c r="E185" s="32"/>
      <c r="J185" s="34"/>
    </row>
    <row r="186" ht="15.75" customHeight="1">
      <c r="A186" s="32"/>
      <c r="B186" s="32"/>
      <c r="C186" s="32"/>
      <c r="D186" s="32"/>
      <c r="E186" s="32"/>
      <c r="J186" s="34"/>
    </row>
    <row r="187" ht="15.75" customHeight="1">
      <c r="A187" s="32"/>
      <c r="B187" s="32"/>
      <c r="C187" s="32"/>
      <c r="D187" s="32"/>
      <c r="E187" s="32"/>
      <c r="J187" s="34"/>
    </row>
    <row r="188" ht="15.75" customHeight="1">
      <c r="A188" s="32"/>
      <c r="B188" s="32"/>
      <c r="C188" s="32"/>
      <c r="D188" s="32"/>
      <c r="E188" s="32"/>
      <c r="J188" s="34"/>
    </row>
    <row r="189" ht="15.75" customHeight="1">
      <c r="A189" s="32"/>
      <c r="B189" s="32"/>
      <c r="C189" s="32"/>
      <c r="D189" s="32"/>
      <c r="E189" s="32"/>
      <c r="J189" s="34"/>
    </row>
    <row r="190" ht="15.75" customHeight="1">
      <c r="A190" s="32"/>
      <c r="B190" s="32"/>
      <c r="C190" s="32"/>
      <c r="D190" s="32"/>
      <c r="E190" s="32"/>
      <c r="J190" s="34"/>
    </row>
    <row r="191" ht="15.75" customHeight="1">
      <c r="A191" s="32"/>
      <c r="B191" s="32"/>
      <c r="C191" s="32"/>
      <c r="D191" s="32"/>
      <c r="E191" s="32"/>
      <c r="J191" s="34"/>
    </row>
    <row r="192" ht="15.75" customHeight="1">
      <c r="A192" s="32"/>
      <c r="B192" s="32"/>
      <c r="C192" s="32"/>
      <c r="D192" s="32"/>
      <c r="E192" s="32"/>
      <c r="J192" s="34"/>
    </row>
    <row r="193" ht="15.75" customHeight="1">
      <c r="A193" s="32"/>
      <c r="B193" s="32"/>
      <c r="C193" s="32"/>
      <c r="D193" s="32"/>
      <c r="E193" s="32"/>
      <c r="J193" s="34"/>
    </row>
    <row r="194" ht="15.75" customHeight="1">
      <c r="A194" s="32"/>
      <c r="B194" s="32"/>
      <c r="C194" s="32"/>
      <c r="D194" s="32"/>
      <c r="E194" s="32"/>
      <c r="J194" s="34"/>
    </row>
    <row r="195" ht="15.75" customHeight="1">
      <c r="A195" s="32"/>
      <c r="B195" s="32"/>
      <c r="C195" s="32"/>
      <c r="D195" s="32"/>
      <c r="E195" s="32"/>
      <c r="J195" s="34"/>
    </row>
    <row r="196" ht="15.75" customHeight="1">
      <c r="A196" s="32"/>
      <c r="B196" s="32"/>
      <c r="C196" s="32"/>
      <c r="D196" s="32"/>
      <c r="E196" s="32"/>
      <c r="J196" s="34"/>
    </row>
    <row r="197" ht="15.75" customHeight="1">
      <c r="A197" s="32"/>
      <c r="B197" s="32"/>
      <c r="C197" s="32"/>
      <c r="D197" s="32"/>
      <c r="E197" s="32"/>
      <c r="J197" s="34"/>
    </row>
    <row r="198" ht="15.75" customHeight="1">
      <c r="A198" s="32"/>
      <c r="B198" s="32"/>
      <c r="C198" s="32"/>
      <c r="D198" s="32"/>
      <c r="E198" s="32"/>
      <c r="J198" s="34"/>
    </row>
    <row r="199" ht="15.75" customHeight="1">
      <c r="A199" s="32"/>
      <c r="B199" s="32"/>
      <c r="C199" s="32"/>
      <c r="D199" s="32"/>
      <c r="E199" s="32"/>
      <c r="J199" s="34"/>
    </row>
    <row r="200" ht="15.75" customHeight="1">
      <c r="A200" s="32"/>
      <c r="B200" s="32"/>
      <c r="C200" s="32"/>
      <c r="D200" s="32"/>
      <c r="E200" s="32"/>
      <c r="J200" s="34"/>
    </row>
    <row r="201" ht="15.75" customHeight="1">
      <c r="A201" s="32"/>
      <c r="B201" s="32"/>
      <c r="C201" s="32"/>
      <c r="D201" s="32"/>
      <c r="E201" s="32"/>
      <c r="J201" s="34"/>
    </row>
    <row r="202" ht="15.75" customHeight="1">
      <c r="A202" s="32"/>
      <c r="B202" s="32"/>
      <c r="C202" s="32"/>
      <c r="D202" s="32"/>
      <c r="E202" s="32"/>
      <c r="J202" s="34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J238" s="34"/>
    </row>
    <row r="239" ht="15.75" customHeight="1">
      <c r="J239" s="34"/>
    </row>
    <row r="240" ht="15.75" customHeight="1">
      <c r="J240" s="3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92</v>
      </c>
      <c r="F5" s="55" t="s">
        <v>22</v>
      </c>
      <c r="G5" s="56"/>
      <c r="H5" s="57">
        <f>VLOOKUP(F5,$A$4:$B$4,2,TRUE)</f>
        <v>4000</v>
      </c>
      <c r="I5" s="58">
        <f t="shared" ref="I5:I85" si="1">G5*H5</f>
        <v>0</v>
      </c>
      <c r="J5" s="59">
        <f>SUM(I5:I31)</f>
        <v>1600</v>
      </c>
      <c r="K5" s="33"/>
      <c r="L5" s="55" t="s">
        <v>22</v>
      </c>
      <c r="M5" s="51">
        <f>SUMIF(F5:F85,"Gelas bersih",G5:G85)</f>
        <v>0.5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/>
      <c r="H6" s="61">
        <f>VLOOKUP(F6,$A$5:$B$5,2,TRUE)</f>
        <v>3000</v>
      </c>
      <c r="I6" s="58">
        <f t="shared" si="1"/>
        <v>0</v>
      </c>
      <c r="J6" s="60"/>
      <c r="K6" s="33"/>
      <c r="L6" s="55" t="s">
        <v>57</v>
      </c>
      <c r="M6" s="51">
        <f>SUMIF(F5:F86,"Botol bersih",G5:G86)</f>
        <v>1.5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SUMIF(F5:F86,"Botol Warna",G5:G86)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SUMIF(F5:F87,"Tutup botol",G5:G87)</f>
        <v>0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SUMIF(F5:F88,"Tutup galon",G5:G88)</f>
        <v>0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1.0</v>
      </c>
      <c r="H10" s="61">
        <f>VLOOKUP(F10,$A$9:$B$9,2,TRUE)</f>
        <v>1000</v>
      </c>
      <c r="I10" s="58">
        <f t="shared" si="1"/>
        <v>1000</v>
      </c>
      <c r="J10" s="60"/>
      <c r="K10" s="33"/>
      <c r="L10" s="55" t="s">
        <v>27</v>
      </c>
      <c r="M10" s="51">
        <f>SUMIF(F5:F89,"Hitam",G5:G89)</f>
        <v>5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SUMIF(F5:F90,"Plastik Campur",G5:G90)</f>
        <v>2.5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SUMIF(F5:F91,"Kardus",G5:G91)</f>
        <v>11.5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SUMIF(F5:F92,"Kertas Putihan/ HVS",G5:G92)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SUMIF(F5:F93,"Koran/Buku",G5:G93)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>
        <v>1.0</v>
      </c>
      <c r="H15" s="61">
        <f>VLOOKUP(F15,$A$14:$B$14,2,TRUE)</f>
        <v>500</v>
      </c>
      <c r="I15" s="58">
        <f t="shared" si="1"/>
        <v>500</v>
      </c>
      <c r="J15" s="60"/>
      <c r="K15" s="33"/>
      <c r="L15" s="55" t="s">
        <v>32</v>
      </c>
      <c r="M15" s="51">
        <f>SUMIF(F5:F94,"Duplex",G5:G94)</f>
        <v>2.5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SUMIF(F5:F95,"Alumunium",G5:G95)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SUMIF(F5:F96,"Besi",G5:G96)</f>
        <v>0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SUMIF(F5:F97,"Kaleng kue/susu",G5:G97)</f>
        <v>0.5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SUMIF(F5:F98,"Kaleng Minuman",G5:G98)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SUMIF(F5:F99,"Stanless",G5:G99)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SUMIF(F5:F100,"Tembaga",G5:G100)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SUMIF(F5:F101,"Aki Motor",G5:G101)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SUMIF(F5:F102,"Paralon",G5:G102)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SUMIF(F5:F103,"Plastik bening",G5:G103)</f>
        <v>0.5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>
        <v>0.5</v>
      </c>
      <c r="H25" s="61">
        <f>VLOOKUP(F25,$A$24:$B$24,2,TRUE)</f>
        <v>200</v>
      </c>
      <c r="I25" s="58">
        <f t="shared" si="1"/>
        <v>100</v>
      </c>
      <c r="J25" s="60"/>
      <c r="K25" s="33"/>
      <c r="L25" s="55" t="s">
        <v>42</v>
      </c>
      <c r="M25" s="51">
        <f>SUMIF(F5:F104,"Plastik Warna",G5:G104)</f>
        <v>1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SUMIF(F5:F105,"Selang",G5:G105)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SUMIF(F5:F106,"Beling",G5:G106)</f>
        <v>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SUMIF(F5:F107,"Pecahan",G5:G107)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SUMIF(F5:F109,"Paku",G5:G109)</f>
        <v>0</v>
      </c>
      <c r="N29" s="33"/>
    </row>
    <row r="30" ht="15.75" customHeight="1">
      <c r="A30" s="44" t="s">
        <v>59</v>
      </c>
      <c r="B30" s="45"/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SUMIF(F5:F110,"Minyak Jelantah",G5:G110)</f>
        <v>0.5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1.5</v>
      </c>
      <c r="H31" s="61" t="str">
        <f>VLOOKUP(F30,$A$30:$B$30,2,TRUE)</f>
        <v/>
      </c>
      <c r="I31" s="58">
        <f t="shared" si="1"/>
        <v>0</v>
      </c>
      <c r="J31" s="18"/>
      <c r="K31" s="33"/>
      <c r="L31" s="55" t="s">
        <v>59</v>
      </c>
      <c r="M31" s="51">
        <f>SUMIF(F5:F111,"Lainnya",G5:G111)</f>
        <v>3</v>
      </c>
      <c r="N31" s="33"/>
    </row>
    <row r="32" ht="15.75" customHeight="1">
      <c r="A32" s="52"/>
      <c r="B32" s="52"/>
      <c r="C32" s="52"/>
      <c r="D32" s="53">
        <v>2.0</v>
      </c>
      <c r="E32" s="66" t="s">
        <v>93</v>
      </c>
      <c r="F32" s="55" t="s">
        <v>22</v>
      </c>
      <c r="G32" s="56">
        <v>0.5</v>
      </c>
      <c r="H32" s="57">
        <f>VLOOKUP(F32,$A$4:$B$4,2,TRUE)</f>
        <v>4000</v>
      </c>
      <c r="I32" s="58">
        <f t="shared" si="1"/>
        <v>2000</v>
      </c>
      <c r="J32" s="59">
        <f>SUM(I32:I58)</f>
        <v>21850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>
        <v>1.5</v>
      </c>
      <c r="H33" s="61">
        <f>VLOOKUP(F33,$A$5:$B$5,2,TRUE)</f>
        <v>3000</v>
      </c>
      <c r="I33" s="58">
        <f t="shared" si="1"/>
        <v>4500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4.0</v>
      </c>
      <c r="H37" s="61">
        <f>VLOOKUP(F37,$A$9:$B$9,2,TRUE)</f>
        <v>1000</v>
      </c>
      <c r="I37" s="58">
        <f t="shared" si="1"/>
        <v>4000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1">
        <f>VLOOKUP(F38,$A$10:$B$10,2,TRUE)</f>
        <v>2000</v>
      </c>
      <c r="I38" s="58">
        <f t="shared" si="1"/>
        <v>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>
        <v>6.5</v>
      </c>
      <c r="H39" s="61">
        <f>VLOOKUP(F39,$A$11:$B$11,2,TRUE)</f>
        <v>1500</v>
      </c>
      <c r="I39" s="58">
        <f t="shared" si="1"/>
        <v>9750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>
        <v>1.5</v>
      </c>
      <c r="H42" s="61">
        <f>VLOOKUP(F42,$A$14:$B$14,2,TRUE)</f>
        <v>500</v>
      </c>
      <c r="I42" s="58">
        <f t="shared" si="1"/>
        <v>750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>
        <v>0.5</v>
      </c>
      <c r="H45" s="61">
        <f>VLOOKUP(F45,$A$17:$B$17,2,TRUE)</f>
        <v>1000</v>
      </c>
      <c r="I45" s="58">
        <f t="shared" si="1"/>
        <v>500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>
        <v>0.5</v>
      </c>
      <c r="H51" s="61">
        <f>VLOOKUP(F51,$A$23:$B$23,2,TRUE)</f>
        <v>500</v>
      </c>
      <c r="I51" s="58">
        <f t="shared" si="1"/>
        <v>250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>
        <v>0.5</v>
      </c>
      <c r="H52" s="61">
        <f>VLOOKUP(F52,$A$24:$B$24,2,TRUE)</f>
        <v>200</v>
      </c>
      <c r="I52" s="58">
        <f t="shared" si="1"/>
        <v>100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1">
        <f>VLOOKUP(F54,$A$26:$B$26,2,TRUE)</f>
        <v>300</v>
      </c>
      <c r="I54" s="58">
        <f t="shared" si="1"/>
        <v>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>
        <v>1.5</v>
      </c>
      <c r="H58" s="61" t="str">
        <f>VLOOKUP(F57,$A$30:$B$30,2,TRUE)</f>
        <v/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5" t="s">
        <v>94</v>
      </c>
      <c r="F59" s="55" t="s">
        <v>22</v>
      </c>
      <c r="G59" s="56"/>
      <c r="H59" s="57">
        <f>VLOOKUP(F59,$A$4:$B$4,2,TRUE)</f>
        <v>4000</v>
      </c>
      <c r="I59" s="58">
        <f t="shared" si="1"/>
        <v>0</v>
      </c>
      <c r="J59" s="59">
        <f>SUM(I59:I85)</f>
        <v>14500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/>
      <c r="H60" s="61">
        <f>VLOOKUP(F60,$A$5:$B$5,2,TRUE)</f>
        <v>3000</v>
      </c>
      <c r="I60" s="58">
        <f t="shared" si="1"/>
        <v>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1">
        <f>VLOOKUP(F63,$A$8:$B$8,2,TRUE)</f>
        <v>3500</v>
      </c>
      <c r="I63" s="58">
        <f t="shared" si="1"/>
        <v>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/>
      <c r="H64" s="61">
        <f>VLOOKUP(F64,$A$9:$B$9,2,TRUE)</f>
        <v>1000</v>
      </c>
      <c r="I64" s="58">
        <f t="shared" si="1"/>
        <v>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>
        <v>2.5</v>
      </c>
      <c r="H65" s="61">
        <f>VLOOKUP(F65,$A$10:$B$10,2,TRUE)</f>
        <v>2000</v>
      </c>
      <c r="I65" s="58">
        <f t="shared" si="1"/>
        <v>5000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f>5</f>
        <v>5</v>
      </c>
      <c r="H66" s="61">
        <f>VLOOKUP(F66,$A$11:$B$11,2,TRUE)</f>
        <v>1500</v>
      </c>
      <c r="I66" s="58">
        <f t="shared" si="1"/>
        <v>7500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1">
        <f>VLOOKUP(F69,$A$14:$B$14,2,TRUE)</f>
        <v>500</v>
      </c>
      <c r="I69" s="58">
        <f t="shared" si="1"/>
        <v>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/>
      <c r="H72" s="61">
        <f>VLOOKUP(F72,$A$17:$B$17,2,TRUE)</f>
        <v>1000</v>
      </c>
      <c r="I72" s="58">
        <f t="shared" si="1"/>
        <v>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>
        <v>0.5</v>
      </c>
      <c r="H84" s="61">
        <f>VLOOKUP(F83,$A$29:$B$29,2,TRUE)</f>
        <v>4000</v>
      </c>
      <c r="I84" s="58">
        <f t="shared" si="1"/>
        <v>2000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/>
      <c r="H85" s="61" t="str">
        <f>VLOOKUP(F84,$A$30:$B$30,2,TRUE)</f>
        <v/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63" t="s">
        <v>60</v>
      </c>
      <c r="E86" s="6"/>
      <c r="F86" s="6"/>
      <c r="G86" s="6"/>
      <c r="H86" s="6"/>
      <c r="I86" s="7"/>
      <c r="J86" s="64">
        <f>SUM(J5:J85)</f>
        <v>37950</v>
      </c>
      <c r="K86" s="33"/>
      <c r="L86" s="33"/>
      <c r="M86" s="33"/>
      <c r="N86" s="33"/>
    </row>
    <row r="87" ht="15.75" customHeight="1">
      <c r="A87" s="52"/>
      <c r="B87" s="52"/>
      <c r="C87" s="52"/>
      <c r="D87" s="32"/>
      <c r="E87" s="32"/>
      <c r="F87" s="33"/>
      <c r="G87" s="33"/>
      <c r="H87" s="33"/>
      <c r="I87" s="33"/>
      <c r="J87" s="34"/>
      <c r="K87" s="33"/>
      <c r="L87" s="33"/>
      <c r="M87" s="33"/>
      <c r="N87" s="33"/>
    </row>
    <row r="88" ht="15.75" customHeight="1">
      <c r="A88" s="52"/>
      <c r="B88" s="52"/>
      <c r="C88" s="52"/>
      <c r="D88" s="32"/>
      <c r="E88" s="32"/>
      <c r="F88" s="33"/>
      <c r="G88" s="33"/>
      <c r="H88" s="33"/>
      <c r="I88" s="33"/>
      <c r="J88" s="34"/>
      <c r="K88" s="33"/>
      <c r="L88" s="33"/>
      <c r="M88" s="33"/>
      <c r="N88" s="33"/>
    </row>
    <row r="89" ht="15.75" customHeight="1">
      <c r="A89" s="52"/>
      <c r="B89" s="52"/>
      <c r="C89" s="52"/>
      <c r="D89" s="32"/>
      <c r="E89" s="32"/>
      <c r="F89" s="33"/>
      <c r="G89" s="33"/>
      <c r="H89" s="33"/>
      <c r="I89" s="33"/>
      <c r="J89" s="34"/>
      <c r="K89" s="33"/>
      <c r="L89" s="33"/>
      <c r="M89" s="33"/>
      <c r="N89" s="33"/>
    </row>
    <row r="90" ht="15.75" customHeight="1">
      <c r="A90" s="52"/>
      <c r="B90" s="52"/>
      <c r="C90" s="52"/>
      <c r="D90" s="32"/>
      <c r="E90" s="32"/>
      <c r="F90" s="33"/>
      <c r="G90" s="33"/>
      <c r="H90" s="33"/>
      <c r="I90" s="33"/>
      <c r="J90" s="34"/>
      <c r="K90" s="33"/>
      <c r="L90" s="33"/>
      <c r="M90" s="33"/>
      <c r="N90" s="33"/>
    </row>
    <row r="91" ht="15.75" customHeight="1">
      <c r="A91" s="52"/>
      <c r="B91" s="52"/>
      <c r="C91" s="52"/>
      <c r="D91" s="32"/>
      <c r="E91" s="32"/>
      <c r="F91" s="33"/>
      <c r="G91" s="33"/>
      <c r="H91" s="33"/>
      <c r="I91" s="33"/>
      <c r="J91" s="34"/>
      <c r="K91" s="33"/>
      <c r="L91" s="33"/>
      <c r="M91" s="33"/>
      <c r="N91" s="33"/>
    </row>
    <row r="92" ht="15.75" customHeight="1">
      <c r="A92" s="52"/>
      <c r="B92" s="52"/>
      <c r="C92" s="52"/>
      <c r="D92" s="32"/>
      <c r="E92" s="32"/>
      <c r="F92" s="33"/>
      <c r="G92" s="33"/>
      <c r="H92" s="33"/>
      <c r="I92" s="33"/>
      <c r="J92" s="34"/>
      <c r="K92" s="33"/>
      <c r="L92" s="33"/>
      <c r="M92" s="33"/>
      <c r="N92" s="33"/>
    </row>
    <row r="93" ht="15.75" customHeight="1">
      <c r="A93" s="52"/>
      <c r="B93" s="52"/>
      <c r="C93" s="52"/>
      <c r="D93" s="32"/>
      <c r="E93" s="32"/>
      <c r="F93" s="33"/>
      <c r="G93" s="33"/>
      <c r="H93" s="33"/>
      <c r="I93" s="33"/>
      <c r="J93" s="34"/>
      <c r="K93" s="33"/>
      <c r="L93" s="33"/>
      <c r="M93" s="33"/>
      <c r="N93" s="33"/>
    </row>
    <row r="94" ht="15.75" customHeight="1">
      <c r="A94" s="52"/>
      <c r="B94" s="52"/>
      <c r="C94" s="52"/>
      <c r="D94" s="32"/>
      <c r="E94" s="32"/>
      <c r="F94" s="33"/>
      <c r="G94" s="33"/>
      <c r="H94" s="33"/>
      <c r="I94" s="33"/>
      <c r="J94" s="34"/>
      <c r="K94" s="33"/>
      <c r="L94" s="33"/>
      <c r="M94" s="33"/>
      <c r="N94" s="33"/>
    </row>
    <row r="95" ht="15.75" customHeight="1">
      <c r="A95" s="52"/>
      <c r="B95" s="52"/>
      <c r="C95" s="52"/>
      <c r="D95" s="32"/>
      <c r="E95" s="32"/>
      <c r="J95" s="34"/>
      <c r="K95" s="33"/>
      <c r="L95" s="33"/>
      <c r="M95" s="33"/>
      <c r="N95" s="33"/>
    </row>
    <row r="96" ht="15.75" customHeight="1">
      <c r="A96" s="52"/>
      <c r="B96" s="52"/>
      <c r="C96" s="52"/>
      <c r="D96" s="32"/>
      <c r="E96" s="32"/>
      <c r="J96" s="34"/>
      <c r="K96" s="33"/>
      <c r="L96" s="33"/>
      <c r="M96" s="33"/>
      <c r="N96" s="33"/>
    </row>
    <row r="97" ht="15.75" customHeight="1">
      <c r="A97" s="52"/>
      <c r="B97" s="52"/>
      <c r="C97" s="52"/>
      <c r="D97" s="32"/>
      <c r="E97" s="32"/>
      <c r="J97" s="34"/>
      <c r="K97" s="33"/>
      <c r="L97" s="33"/>
      <c r="M97" s="33"/>
      <c r="N97" s="33"/>
    </row>
    <row r="98" ht="15.75" customHeight="1">
      <c r="A98" s="52"/>
      <c r="B98" s="52"/>
      <c r="C98" s="52"/>
      <c r="D98" s="32"/>
      <c r="E98" s="32"/>
      <c r="J98" s="34"/>
      <c r="K98" s="33"/>
      <c r="L98" s="33"/>
      <c r="M98" s="33"/>
      <c r="N98" s="33"/>
    </row>
    <row r="99" ht="15.75" customHeight="1">
      <c r="A99" s="52"/>
      <c r="B99" s="52"/>
      <c r="C99" s="52"/>
      <c r="D99" s="32"/>
      <c r="E99" s="32"/>
      <c r="J99" s="34"/>
      <c r="K99" s="33"/>
      <c r="L99" s="33"/>
      <c r="M99" s="33"/>
      <c r="N99" s="33"/>
    </row>
    <row r="100" ht="15.75" customHeight="1">
      <c r="A100" s="52"/>
      <c r="B100" s="52"/>
      <c r="C100" s="52"/>
      <c r="D100" s="32"/>
      <c r="E100" s="32"/>
      <c r="J100" s="34"/>
      <c r="K100" s="33"/>
      <c r="L100" s="33"/>
      <c r="M100" s="33"/>
      <c r="N100" s="33"/>
    </row>
    <row r="101" ht="15.75" customHeight="1">
      <c r="A101" s="52"/>
      <c r="B101" s="52"/>
      <c r="C101" s="52"/>
      <c r="D101" s="32"/>
      <c r="E101" s="32"/>
      <c r="J101" s="34"/>
      <c r="K101" s="33"/>
      <c r="L101" s="33"/>
      <c r="M101" s="33"/>
      <c r="N101" s="33"/>
    </row>
    <row r="102" ht="15.75" customHeight="1">
      <c r="A102" s="52"/>
      <c r="B102" s="52"/>
      <c r="C102" s="52"/>
      <c r="D102" s="32"/>
      <c r="E102" s="32"/>
      <c r="J102" s="34"/>
      <c r="K102" s="33"/>
      <c r="L102" s="33"/>
      <c r="M102" s="33"/>
      <c r="N102" s="33"/>
    </row>
    <row r="103" ht="15.75" customHeight="1">
      <c r="A103" s="52"/>
      <c r="B103" s="52"/>
      <c r="C103" s="52"/>
      <c r="D103" s="32"/>
      <c r="E103" s="32"/>
      <c r="J103" s="34"/>
      <c r="K103" s="33"/>
      <c r="L103" s="33"/>
      <c r="M103" s="33"/>
      <c r="N103" s="33"/>
    </row>
    <row r="104" ht="15.75" customHeight="1">
      <c r="A104" s="52"/>
      <c r="B104" s="52"/>
      <c r="C104" s="52"/>
      <c r="D104" s="32"/>
      <c r="E104" s="32"/>
      <c r="J104" s="34"/>
      <c r="K104" s="33"/>
      <c r="L104" s="33"/>
      <c r="M104" s="33"/>
      <c r="N104" s="33"/>
    </row>
    <row r="105" ht="15.75" customHeight="1">
      <c r="A105" s="52"/>
      <c r="B105" s="52"/>
      <c r="C105" s="52"/>
      <c r="D105" s="32"/>
      <c r="E105" s="32"/>
      <c r="J105" s="34"/>
      <c r="K105" s="33"/>
      <c r="L105" s="33"/>
      <c r="M105" s="33"/>
      <c r="N105" s="33"/>
    </row>
    <row r="106" ht="15.75" customHeight="1">
      <c r="A106" s="52"/>
      <c r="B106" s="52"/>
      <c r="C106" s="52"/>
      <c r="D106" s="32"/>
      <c r="E106" s="32"/>
      <c r="J106" s="34"/>
      <c r="K106" s="33"/>
      <c r="L106" s="33"/>
      <c r="M106" s="33"/>
      <c r="N106" s="33"/>
    </row>
    <row r="107" ht="15.75" customHeight="1">
      <c r="A107" s="52"/>
      <c r="B107" s="52"/>
      <c r="C107" s="52"/>
      <c r="D107" s="32"/>
      <c r="E107" s="32"/>
      <c r="J107" s="34"/>
      <c r="K107" s="33"/>
      <c r="L107" s="33"/>
      <c r="M107" s="33"/>
      <c r="N107" s="33"/>
    </row>
    <row r="108" ht="15.75" customHeight="1">
      <c r="A108" s="52"/>
      <c r="B108" s="52"/>
      <c r="C108" s="52"/>
      <c r="D108" s="32"/>
      <c r="E108" s="32"/>
      <c r="J108" s="34"/>
      <c r="K108" s="33"/>
      <c r="L108" s="33"/>
      <c r="M108" s="33"/>
      <c r="N108" s="33"/>
    </row>
    <row r="109" ht="15.75" customHeight="1">
      <c r="A109" s="52"/>
      <c r="B109" s="52"/>
      <c r="C109" s="52"/>
      <c r="D109" s="32"/>
      <c r="E109" s="32"/>
      <c r="J109" s="34"/>
      <c r="K109" s="33"/>
      <c r="L109" s="33"/>
      <c r="M109" s="33"/>
      <c r="N109" s="33"/>
    </row>
    <row r="110" ht="15.75" customHeight="1">
      <c r="A110" s="52"/>
      <c r="B110" s="52"/>
      <c r="C110" s="52"/>
      <c r="D110" s="32"/>
      <c r="E110" s="32"/>
      <c r="J110" s="34"/>
      <c r="K110" s="33"/>
      <c r="L110" s="33"/>
      <c r="M110" s="33"/>
      <c r="N110" s="33"/>
    </row>
    <row r="111" ht="15.75" customHeight="1">
      <c r="A111" s="52"/>
      <c r="B111" s="52"/>
      <c r="C111" s="52"/>
      <c r="D111" s="32"/>
      <c r="E111" s="32"/>
      <c r="J111" s="34"/>
      <c r="K111" s="33"/>
      <c r="L111" s="33"/>
      <c r="M111" s="33"/>
      <c r="N111" s="33"/>
    </row>
    <row r="112" ht="15.75" customHeight="1">
      <c r="A112" s="52"/>
      <c r="B112" s="52"/>
      <c r="C112" s="52"/>
      <c r="D112" s="32"/>
      <c r="E112" s="32"/>
      <c r="J112" s="34"/>
      <c r="K112" s="33"/>
      <c r="L112" s="33"/>
      <c r="M112" s="33"/>
      <c r="N112" s="33"/>
    </row>
    <row r="113" ht="15.75" customHeight="1">
      <c r="A113" s="52"/>
      <c r="B113" s="52"/>
      <c r="C113" s="52"/>
      <c r="D113" s="32"/>
      <c r="E113" s="32"/>
      <c r="J113" s="34"/>
      <c r="K113" s="33"/>
      <c r="L113" s="33"/>
      <c r="M113" s="33"/>
      <c r="N113" s="33"/>
    </row>
    <row r="114" ht="15.75" customHeight="1">
      <c r="A114" s="32"/>
      <c r="B114" s="32"/>
      <c r="C114" s="32"/>
      <c r="D114" s="32"/>
      <c r="E114" s="32"/>
      <c r="J114" s="34"/>
      <c r="K114" s="33"/>
      <c r="L114" s="33"/>
      <c r="M114" s="33"/>
      <c r="N114" s="33"/>
    </row>
    <row r="115" ht="15.75" customHeight="1">
      <c r="A115" s="32"/>
      <c r="B115" s="32"/>
      <c r="C115" s="32"/>
      <c r="D115" s="32"/>
      <c r="E115" s="32"/>
      <c r="J115" s="34"/>
      <c r="K115" s="33"/>
      <c r="L115" s="33"/>
      <c r="M115" s="33"/>
      <c r="N115" s="33"/>
    </row>
    <row r="116" ht="15.75" customHeight="1">
      <c r="A116" s="32"/>
      <c r="B116" s="32"/>
      <c r="C116" s="32"/>
      <c r="D116" s="32"/>
      <c r="E116" s="32"/>
      <c r="J116" s="34"/>
      <c r="K116" s="33"/>
      <c r="L116" s="33"/>
      <c r="M116" s="33"/>
      <c r="N116" s="33"/>
    </row>
    <row r="117" ht="15.75" customHeight="1">
      <c r="A117" s="32"/>
      <c r="B117" s="32"/>
      <c r="C117" s="32"/>
      <c r="D117" s="32"/>
      <c r="E117" s="32"/>
      <c r="J117" s="34"/>
      <c r="K117" s="33"/>
      <c r="L117" s="33"/>
      <c r="M117" s="33"/>
      <c r="N117" s="33"/>
    </row>
    <row r="118" ht="15.75" customHeight="1">
      <c r="A118" s="32"/>
      <c r="B118" s="32"/>
      <c r="C118" s="32"/>
      <c r="D118" s="32"/>
      <c r="E118" s="32"/>
      <c r="J118" s="34"/>
      <c r="K118" s="33"/>
      <c r="L118" s="33"/>
      <c r="M118" s="33"/>
      <c r="N118" s="33"/>
    </row>
    <row r="119" ht="15.75" customHeight="1">
      <c r="A119" s="32"/>
      <c r="B119" s="32"/>
      <c r="C119" s="32"/>
      <c r="D119" s="32"/>
      <c r="E119" s="32"/>
      <c r="J119" s="34"/>
      <c r="K119" s="33"/>
      <c r="L119" s="33"/>
      <c r="M119" s="33"/>
      <c r="N119" s="33"/>
    </row>
    <row r="120" ht="15.75" customHeight="1">
      <c r="A120" s="32"/>
      <c r="B120" s="32"/>
      <c r="C120" s="32"/>
      <c r="D120" s="32"/>
      <c r="E120" s="32"/>
      <c r="J120" s="34"/>
      <c r="K120" s="33"/>
      <c r="L120" s="33"/>
      <c r="M120" s="33"/>
      <c r="N120" s="33"/>
    </row>
    <row r="121" ht="15.75" customHeight="1">
      <c r="A121" s="32"/>
      <c r="B121" s="32"/>
      <c r="C121" s="32"/>
      <c r="D121" s="32"/>
      <c r="E121" s="32"/>
      <c r="J121" s="34"/>
      <c r="K121" s="33"/>
      <c r="L121" s="33"/>
      <c r="M121" s="33"/>
      <c r="N121" s="33"/>
    </row>
    <row r="122" ht="15.75" customHeight="1">
      <c r="A122" s="32"/>
      <c r="B122" s="32"/>
      <c r="C122" s="32"/>
      <c r="D122" s="32"/>
      <c r="E122" s="32"/>
      <c r="J122" s="34"/>
    </row>
    <row r="123" ht="15.75" customHeight="1">
      <c r="A123" s="32"/>
      <c r="B123" s="32"/>
      <c r="C123" s="32"/>
      <c r="D123" s="32"/>
      <c r="E123" s="32"/>
      <c r="J123" s="34"/>
    </row>
    <row r="124" ht="15.75" customHeight="1">
      <c r="A124" s="32"/>
      <c r="B124" s="32"/>
      <c r="C124" s="32"/>
      <c r="D124" s="32"/>
      <c r="E124" s="32"/>
      <c r="J124" s="34"/>
    </row>
    <row r="125" ht="15.75" customHeight="1">
      <c r="A125" s="32"/>
      <c r="B125" s="32"/>
      <c r="C125" s="32"/>
      <c r="D125" s="32"/>
      <c r="E125" s="32"/>
      <c r="J125" s="34"/>
    </row>
    <row r="126" ht="15.75" customHeight="1">
      <c r="A126" s="32"/>
      <c r="B126" s="32"/>
      <c r="C126" s="32"/>
      <c r="D126" s="32"/>
      <c r="E126" s="32"/>
      <c r="J126" s="34"/>
    </row>
    <row r="127" ht="15.75" customHeight="1">
      <c r="A127" s="32"/>
      <c r="B127" s="32"/>
      <c r="C127" s="32"/>
      <c r="D127" s="32"/>
      <c r="E127" s="32"/>
      <c r="J127" s="34"/>
    </row>
    <row r="128" ht="15.75" customHeight="1">
      <c r="A128" s="32"/>
      <c r="B128" s="32"/>
      <c r="C128" s="32"/>
      <c r="D128" s="32"/>
      <c r="E128" s="32"/>
      <c r="J128" s="34"/>
    </row>
    <row r="129" ht="15.75" customHeight="1">
      <c r="A129" s="32"/>
      <c r="B129" s="32"/>
      <c r="C129" s="32"/>
      <c r="D129" s="32"/>
      <c r="E129" s="32"/>
      <c r="J129" s="34"/>
    </row>
    <row r="130" ht="15.75" customHeight="1">
      <c r="A130" s="32"/>
      <c r="B130" s="32"/>
      <c r="C130" s="32"/>
      <c r="D130" s="32"/>
      <c r="E130" s="32"/>
      <c r="J130" s="34"/>
    </row>
    <row r="131" ht="15.75" customHeight="1">
      <c r="A131" s="32"/>
      <c r="B131" s="32"/>
      <c r="C131" s="32"/>
      <c r="D131" s="32"/>
      <c r="E131" s="32"/>
      <c r="J131" s="34"/>
    </row>
    <row r="132" ht="15.75" customHeight="1">
      <c r="A132" s="32"/>
      <c r="B132" s="32"/>
      <c r="C132" s="32"/>
      <c r="D132" s="32"/>
      <c r="E132" s="32"/>
      <c r="J132" s="34"/>
    </row>
    <row r="133" ht="15.75" customHeight="1">
      <c r="A133" s="32"/>
      <c r="B133" s="32"/>
      <c r="C133" s="32"/>
      <c r="D133" s="32"/>
      <c r="E133" s="32"/>
      <c r="J133" s="34"/>
    </row>
    <row r="134" ht="15.75" customHeight="1">
      <c r="A134" s="32"/>
      <c r="B134" s="32"/>
      <c r="C134" s="32"/>
      <c r="D134" s="32"/>
      <c r="E134" s="32"/>
      <c r="J134" s="34"/>
    </row>
    <row r="135" ht="15.75" customHeight="1">
      <c r="A135" s="32"/>
      <c r="B135" s="32"/>
      <c r="C135" s="32"/>
      <c r="D135" s="32"/>
      <c r="E135" s="32"/>
      <c r="J135" s="34"/>
    </row>
    <row r="136" ht="15.75" customHeight="1">
      <c r="A136" s="32"/>
      <c r="B136" s="32"/>
      <c r="C136" s="32"/>
      <c r="D136" s="32"/>
      <c r="E136" s="32"/>
      <c r="J136" s="34"/>
    </row>
    <row r="137" ht="15.75" customHeight="1">
      <c r="A137" s="32"/>
      <c r="B137" s="32"/>
      <c r="C137" s="32"/>
      <c r="D137" s="32"/>
      <c r="E137" s="32"/>
      <c r="J137" s="34"/>
    </row>
    <row r="138" ht="15.75" customHeight="1">
      <c r="A138" s="32"/>
      <c r="B138" s="32"/>
      <c r="C138" s="32"/>
      <c r="D138" s="32"/>
      <c r="E138" s="32"/>
      <c r="J138" s="34"/>
    </row>
    <row r="139" ht="15.75" customHeight="1">
      <c r="A139" s="32"/>
      <c r="B139" s="32"/>
      <c r="C139" s="32"/>
      <c r="D139" s="32"/>
      <c r="E139" s="32"/>
      <c r="J139" s="34"/>
    </row>
    <row r="140" ht="15.75" customHeight="1">
      <c r="A140" s="32"/>
      <c r="B140" s="32"/>
      <c r="C140" s="32"/>
      <c r="D140" s="32"/>
      <c r="E140" s="32"/>
      <c r="J140" s="34"/>
    </row>
    <row r="141" ht="15.75" customHeight="1">
      <c r="A141" s="32"/>
      <c r="B141" s="32"/>
      <c r="C141" s="32"/>
      <c r="D141" s="32"/>
      <c r="E141" s="32"/>
      <c r="J141" s="34"/>
    </row>
    <row r="142" ht="15.75" customHeight="1">
      <c r="A142" s="32"/>
      <c r="B142" s="32"/>
      <c r="C142" s="32"/>
      <c r="D142" s="32"/>
      <c r="E142" s="32"/>
      <c r="J142" s="34"/>
    </row>
    <row r="143" ht="15.75" customHeight="1">
      <c r="A143" s="32"/>
      <c r="B143" s="32"/>
      <c r="C143" s="32"/>
      <c r="D143" s="32"/>
      <c r="E143" s="32"/>
      <c r="J143" s="34"/>
    </row>
    <row r="144" ht="15.75" customHeight="1">
      <c r="A144" s="32"/>
      <c r="B144" s="32"/>
      <c r="C144" s="32"/>
      <c r="D144" s="32"/>
      <c r="E144" s="32"/>
      <c r="J144" s="34"/>
    </row>
    <row r="145" ht="15.75" customHeight="1">
      <c r="A145" s="32"/>
      <c r="B145" s="32"/>
      <c r="C145" s="32"/>
      <c r="D145" s="32"/>
      <c r="E145" s="32"/>
      <c r="J145" s="34"/>
    </row>
    <row r="146" ht="15.75" customHeight="1">
      <c r="A146" s="32"/>
      <c r="B146" s="32"/>
      <c r="C146" s="32"/>
      <c r="D146" s="32"/>
      <c r="E146" s="32"/>
      <c r="J146" s="34"/>
    </row>
    <row r="147" ht="15.75" customHeight="1">
      <c r="A147" s="32"/>
      <c r="B147" s="32"/>
      <c r="C147" s="32"/>
      <c r="D147" s="32"/>
      <c r="E147" s="32"/>
      <c r="J147" s="34"/>
    </row>
    <row r="148" ht="15.75" customHeight="1">
      <c r="A148" s="32"/>
      <c r="B148" s="32"/>
      <c r="C148" s="32"/>
      <c r="D148" s="32"/>
      <c r="E148" s="32"/>
      <c r="J148" s="34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A184" s="32"/>
      <c r="B184" s="32"/>
      <c r="C184" s="32"/>
      <c r="D184" s="32"/>
      <c r="E184" s="32"/>
      <c r="J184" s="34"/>
    </row>
    <row r="185" ht="15.75" customHeight="1">
      <c r="A185" s="32"/>
      <c r="B185" s="32"/>
      <c r="C185" s="32"/>
      <c r="D185" s="32"/>
      <c r="E185" s="32"/>
      <c r="J185" s="34"/>
    </row>
    <row r="186" ht="15.75" customHeight="1">
      <c r="A186" s="32"/>
      <c r="B186" s="32"/>
      <c r="C186" s="32"/>
      <c r="D186" s="32"/>
      <c r="E186" s="32"/>
      <c r="J186" s="34"/>
    </row>
    <row r="187" ht="15.75" customHeight="1">
      <c r="A187" s="32"/>
      <c r="B187" s="32"/>
      <c r="C187" s="32"/>
      <c r="D187" s="32"/>
      <c r="E187" s="32"/>
      <c r="J187" s="34"/>
    </row>
    <row r="188" ht="15.75" customHeight="1">
      <c r="A188" s="32"/>
      <c r="B188" s="32"/>
      <c r="C188" s="32"/>
      <c r="D188" s="32"/>
      <c r="E188" s="32"/>
      <c r="J188" s="34"/>
    </row>
    <row r="189" ht="15.75" customHeight="1">
      <c r="A189" s="32"/>
      <c r="B189" s="32"/>
      <c r="C189" s="32"/>
      <c r="D189" s="32"/>
      <c r="E189" s="32"/>
      <c r="J189" s="34"/>
    </row>
    <row r="190" ht="15.75" customHeight="1">
      <c r="A190" s="32"/>
      <c r="B190" s="32"/>
      <c r="C190" s="32"/>
      <c r="D190" s="32"/>
      <c r="E190" s="32"/>
      <c r="J190" s="34"/>
    </row>
    <row r="191" ht="15.75" customHeight="1">
      <c r="A191" s="32"/>
      <c r="B191" s="32"/>
      <c r="C191" s="32"/>
      <c r="D191" s="32"/>
      <c r="E191" s="32"/>
      <c r="J191" s="34"/>
    </row>
    <row r="192" ht="15.75" customHeight="1">
      <c r="A192" s="32"/>
      <c r="B192" s="32"/>
      <c r="C192" s="32"/>
      <c r="D192" s="32"/>
      <c r="E192" s="32"/>
      <c r="J192" s="34"/>
    </row>
    <row r="193" ht="15.75" customHeight="1">
      <c r="A193" s="32"/>
      <c r="B193" s="32"/>
      <c r="C193" s="32"/>
      <c r="D193" s="32"/>
      <c r="E193" s="32"/>
      <c r="J193" s="34"/>
    </row>
    <row r="194" ht="15.75" customHeight="1">
      <c r="A194" s="32"/>
      <c r="B194" s="32"/>
      <c r="C194" s="32"/>
      <c r="D194" s="32"/>
      <c r="E194" s="32"/>
      <c r="J194" s="34"/>
    </row>
    <row r="195" ht="15.75" customHeight="1">
      <c r="A195" s="32"/>
      <c r="B195" s="32"/>
      <c r="C195" s="32"/>
      <c r="D195" s="32"/>
      <c r="E195" s="32"/>
      <c r="J195" s="34"/>
    </row>
    <row r="196" ht="15.75" customHeight="1">
      <c r="A196" s="32"/>
      <c r="B196" s="32"/>
      <c r="C196" s="32"/>
      <c r="D196" s="32"/>
      <c r="E196" s="32"/>
      <c r="J196" s="34"/>
    </row>
    <row r="197" ht="15.75" customHeight="1">
      <c r="A197" s="32"/>
      <c r="B197" s="32"/>
      <c r="C197" s="32"/>
      <c r="D197" s="32"/>
      <c r="E197" s="32"/>
      <c r="J197" s="34"/>
    </row>
    <row r="198" ht="15.75" customHeight="1">
      <c r="A198" s="32"/>
      <c r="B198" s="32"/>
      <c r="C198" s="32"/>
      <c r="D198" s="32"/>
      <c r="E198" s="32"/>
      <c r="J198" s="34"/>
    </row>
    <row r="199" ht="15.75" customHeight="1">
      <c r="A199" s="32"/>
      <c r="B199" s="32"/>
      <c r="C199" s="32"/>
      <c r="D199" s="32"/>
      <c r="E199" s="32"/>
      <c r="J199" s="34"/>
    </row>
    <row r="200" ht="15.75" customHeight="1">
      <c r="A200" s="32"/>
      <c r="B200" s="32"/>
      <c r="C200" s="32"/>
      <c r="D200" s="32"/>
      <c r="E200" s="32"/>
      <c r="J200" s="34"/>
    </row>
    <row r="201" ht="15.75" customHeight="1">
      <c r="A201" s="32"/>
      <c r="B201" s="32"/>
      <c r="C201" s="32"/>
      <c r="D201" s="32"/>
      <c r="E201" s="32"/>
      <c r="J201" s="34"/>
    </row>
    <row r="202" ht="15.75" customHeight="1">
      <c r="A202" s="32"/>
      <c r="B202" s="32"/>
      <c r="C202" s="32"/>
      <c r="D202" s="32"/>
      <c r="E202" s="32"/>
      <c r="J202" s="34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A238" s="32"/>
      <c r="B238" s="32"/>
      <c r="C238" s="32"/>
      <c r="J238" s="34"/>
    </row>
    <row r="239" ht="15.75" customHeight="1">
      <c r="A239" s="32"/>
      <c r="B239" s="32"/>
      <c r="C239" s="32"/>
      <c r="J239" s="34"/>
    </row>
    <row r="240" ht="15.75" customHeight="1">
      <c r="A240" s="32"/>
      <c r="B240" s="32"/>
      <c r="C240" s="32"/>
      <c r="J240" s="34"/>
    </row>
    <row r="241" ht="15.75" customHeight="1">
      <c r="A241" s="32"/>
      <c r="B241" s="32"/>
      <c r="C241" s="32"/>
    </row>
    <row r="242" ht="15.75" customHeight="1">
      <c r="A242" s="32"/>
      <c r="B242" s="32"/>
      <c r="C242" s="32"/>
    </row>
    <row r="243" ht="15.75" customHeight="1">
      <c r="A243" s="32"/>
      <c r="B243" s="32"/>
      <c r="C243" s="32"/>
    </row>
    <row r="244" ht="15.75" customHeight="1">
      <c r="A244" s="32"/>
      <c r="B244" s="32"/>
      <c r="C244" s="32"/>
    </row>
    <row r="245" ht="15.75" customHeight="1">
      <c r="A245" s="32"/>
      <c r="B245" s="32"/>
      <c r="C245" s="32"/>
    </row>
    <row r="246" ht="15.75" customHeight="1">
      <c r="A246" s="32"/>
      <c r="B246" s="32"/>
      <c r="C246" s="32"/>
    </row>
    <row r="247" ht="15.75" customHeight="1">
      <c r="A247" s="32"/>
      <c r="B247" s="32"/>
      <c r="C247" s="32"/>
    </row>
    <row r="248" ht="15.75" customHeight="1">
      <c r="A248" s="32"/>
      <c r="B248" s="32"/>
      <c r="C248" s="32"/>
    </row>
    <row r="249" ht="15.75" customHeight="1">
      <c r="A249" s="32"/>
      <c r="B249" s="32"/>
      <c r="C249" s="32"/>
    </row>
    <row r="250" ht="15.75" customHeight="1">
      <c r="A250" s="32"/>
      <c r="B250" s="32"/>
      <c r="C250" s="32"/>
    </row>
    <row r="251" ht="15.75" customHeight="1">
      <c r="A251" s="32"/>
      <c r="B251" s="32"/>
      <c r="C251" s="32"/>
    </row>
    <row r="252" ht="15.75" customHeight="1">
      <c r="A252" s="32"/>
      <c r="B252" s="32"/>
      <c r="C252" s="32"/>
    </row>
    <row r="253" ht="15.75" customHeight="1">
      <c r="A253" s="32"/>
      <c r="B253" s="32"/>
      <c r="C253" s="32"/>
    </row>
    <row r="254" ht="15.75" customHeight="1">
      <c r="A254" s="32"/>
      <c r="B254" s="32"/>
      <c r="C254" s="32"/>
    </row>
    <row r="255" ht="15.75" customHeight="1">
      <c r="A255" s="32"/>
      <c r="B255" s="32"/>
      <c r="C255" s="32"/>
    </row>
    <row r="256" ht="15.75" customHeight="1">
      <c r="A256" s="32"/>
      <c r="B256" s="32"/>
      <c r="C256" s="32"/>
    </row>
    <row r="257" ht="15.75" customHeight="1">
      <c r="A257" s="32"/>
      <c r="B257" s="32"/>
      <c r="C257" s="32"/>
    </row>
    <row r="258" ht="15.75" customHeight="1">
      <c r="A258" s="32"/>
      <c r="B258" s="32"/>
      <c r="C258" s="32"/>
    </row>
    <row r="259" ht="15.75" customHeight="1">
      <c r="A259" s="32"/>
      <c r="B259" s="32"/>
      <c r="C259" s="32"/>
    </row>
    <row r="260" ht="15.75" customHeight="1">
      <c r="A260" s="32"/>
      <c r="B260" s="32"/>
      <c r="C260" s="32"/>
    </row>
    <row r="261" ht="15.75" customHeight="1">
      <c r="A261" s="32"/>
      <c r="B261" s="32"/>
      <c r="C261" s="32"/>
    </row>
    <row r="262" ht="15.75" customHeight="1">
      <c r="A262" s="32"/>
      <c r="B262" s="32"/>
      <c r="C262" s="32"/>
    </row>
    <row r="263" ht="15.75" customHeight="1">
      <c r="A263" s="32"/>
      <c r="B263" s="32"/>
      <c r="C263" s="32"/>
    </row>
    <row r="264" ht="15.75" customHeight="1">
      <c r="A264" s="32"/>
      <c r="B264" s="32"/>
      <c r="C264" s="3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J5:J31"/>
    <mergeCell ref="J32:J58"/>
    <mergeCell ref="J59:J85"/>
    <mergeCell ref="D59:D85"/>
    <mergeCell ref="E59:E85"/>
    <mergeCell ref="D86:I86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95</v>
      </c>
      <c r="F5" s="55" t="s">
        <v>22</v>
      </c>
      <c r="G5" s="56">
        <v>3.0</v>
      </c>
      <c r="H5" s="57">
        <f>VLOOKUP(F5,$A$4:$B$4,2,TRUE)</f>
        <v>4000</v>
      </c>
      <c r="I5" s="58">
        <f t="shared" ref="I5:I59" si="1">G5*H5</f>
        <v>12000</v>
      </c>
      <c r="J5" s="59">
        <f>SUM(I5:I31)</f>
        <v>12000</v>
      </c>
      <c r="K5" s="33"/>
      <c r="L5" s="55" t="s">
        <v>22</v>
      </c>
      <c r="M5" s="51">
        <f>SUMIF(F5:F31,"Gelas bersih",G5:G31)</f>
        <v>3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/>
      <c r="H6" s="61">
        <f>VLOOKUP(F6,$A$5:$B$5,2,TRUE)</f>
        <v>3000</v>
      </c>
      <c r="I6" s="58">
        <f t="shared" si="1"/>
        <v>0</v>
      </c>
      <c r="J6" s="60"/>
      <c r="K6" s="33"/>
      <c r="L6" s="55" t="s">
        <v>57</v>
      </c>
      <c r="M6" s="51">
        <f>SUMIF(F6:F32,"Botol bersih",G6:G32)</f>
        <v>0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SUMIF(F7:F32,"Botol Warna",G7:G32)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SUMIF(F8:F33,"Tutup botol",G8:G33)</f>
        <v>0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/>
      <c r="H9" s="61">
        <f>VLOOKUP(F9,$A$8:$B$8,2,TRUE)</f>
        <v>3500</v>
      </c>
      <c r="I9" s="58">
        <f t="shared" si="1"/>
        <v>0</v>
      </c>
      <c r="J9" s="60"/>
      <c r="K9" s="33"/>
      <c r="L9" s="55" t="s">
        <v>26</v>
      </c>
      <c r="M9" s="51">
        <f>SUMIF(F9:F34,"Tutup galon",G9:G34)</f>
        <v>0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/>
      <c r="H10" s="61">
        <f>VLOOKUP(F10,$A$9:$B$9,2,TRUE)</f>
        <v>1000</v>
      </c>
      <c r="I10" s="58">
        <f t="shared" si="1"/>
        <v>0</v>
      </c>
      <c r="J10" s="60"/>
      <c r="K10" s="33"/>
      <c r="L10" s="55" t="s">
        <v>27</v>
      </c>
      <c r="M10" s="51">
        <f>SUMIF(F10:F35,"Hitam",G10:G35)</f>
        <v>0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SUMIF(F11:F36,"Plastik Campur",G11:G36)</f>
        <v>0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SUMIF(F12:F37,"Kardus",G12:G37)</f>
        <v>0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SUMIF(F13:F38,"Kertas Putihan/ HVS",G13:G38)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SUMIF(F14:F39,"Koran/Buku",G14:G39)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SUMIF(F15:F40,"Duplex",G15:G40)</f>
        <v>0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SUMIF(F16:F41,"Alumunium",G16:G41)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/>
      <c r="H17" s="61">
        <f>VLOOKUP(F17,$A$16:$B$16,2,TRUE)</f>
        <v>2000</v>
      </c>
      <c r="I17" s="58">
        <f t="shared" si="1"/>
        <v>0</v>
      </c>
      <c r="J17" s="60"/>
      <c r="K17" s="33"/>
      <c r="L17" s="55" t="s">
        <v>34</v>
      </c>
      <c r="M17" s="51">
        <f>SUMIF(F17:F42,"Besi",G17:G42)</f>
        <v>0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SUMIF(F18:F43,"Kaleng kue/susu",G18:G43)</f>
        <v>0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SUMIF(F19:F44,"Kaleng Minuman",G19:G44)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SUMIF(F20:F45,"Stanless",G20:G45)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SUMIF(F21:F46,"Tembaga",G21:G46)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SUMIF(F22:F47,"Aki Motor",G22:G47)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SUMIF(F23:F48,"Paralon",G23:G48)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SUMIF(F24:F49,"Plastik bening",G24:G49)</f>
        <v>0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SUMIF(F25:F50,"Plastik Warna",G25:G50)</f>
        <v>0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SUMIF(F26:F51,"Selang",G26:G51)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SUMIF(F27:F52,"Beling",G27:G52)</f>
        <v>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SUMIF(F28:F53,"Pecahan",G28:G53)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SUMIF(F29:F55,"Paku",G29:G55)</f>
        <v>0</v>
      </c>
      <c r="N29" s="33"/>
    </row>
    <row r="30" ht="15.75" customHeight="1">
      <c r="A30" s="44" t="s">
        <v>59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SUMIF(F30:F56,"Minyak Jelantah",G30:G56)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>
        <v>2.5</v>
      </c>
      <c r="H31" s="61">
        <v>0.0</v>
      </c>
      <c r="I31" s="58">
        <f t="shared" si="1"/>
        <v>0</v>
      </c>
      <c r="J31" s="18"/>
      <c r="K31" s="33"/>
      <c r="L31" s="55" t="s">
        <v>59</v>
      </c>
      <c r="M31" s="51">
        <f>SUMIF(F31:F57,"Lainnya",G31:G57)</f>
        <v>2.5</v>
      </c>
      <c r="N31" s="33"/>
    </row>
    <row r="32" ht="15.75" customHeight="1">
      <c r="A32" s="52"/>
      <c r="B32" s="52"/>
      <c r="C32" s="52"/>
      <c r="D32" s="53">
        <v>2.0</v>
      </c>
      <c r="E32" s="65" t="s">
        <v>96</v>
      </c>
      <c r="F32" s="55" t="s">
        <v>22</v>
      </c>
      <c r="G32" s="56">
        <v>2.0</v>
      </c>
      <c r="H32" s="57">
        <f>VLOOKUP(F32,$A$4:$B$4,2,TRUE)</f>
        <v>4000</v>
      </c>
      <c r="I32" s="58">
        <f t="shared" si="1"/>
        <v>8000</v>
      </c>
      <c r="J32" s="59">
        <f>SUM(I32:I58)</f>
        <v>25200</v>
      </c>
      <c r="K32" s="33"/>
      <c r="L32" s="33"/>
      <c r="M32" s="33"/>
      <c r="N32" s="33"/>
    </row>
    <row r="33" ht="15.75" customHeight="1">
      <c r="A33" s="32"/>
      <c r="B33" s="32"/>
      <c r="C33" s="32"/>
      <c r="D33" s="60"/>
      <c r="E33" s="60"/>
      <c r="F33" s="55" t="s">
        <v>57</v>
      </c>
      <c r="G33" s="56">
        <v>0.5</v>
      </c>
      <c r="H33" s="61">
        <f>VLOOKUP(F33,$A$5:$B$5,2,TRUE)</f>
        <v>3000</v>
      </c>
      <c r="I33" s="58">
        <f t="shared" si="1"/>
        <v>1500</v>
      </c>
      <c r="J33" s="60"/>
      <c r="K33" s="33"/>
      <c r="L33" s="33"/>
      <c r="M33" s="33"/>
      <c r="N33" s="33"/>
    </row>
    <row r="34" ht="15.75" customHeight="1">
      <c r="A34" s="32"/>
      <c r="B34" s="32"/>
      <c r="C34" s="3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32"/>
      <c r="B35" s="32"/>
      <c r="C35" s="3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32"/>
      <c r="B36" s="32"/>
      <c r="C36" s="3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32"/>
      <c r="B37" s="32"/>
      <c r="C37" s="32"/>
      <c r="D37" s="60"/>
      <c r="E37" s="60"/>
      <c r="F37" s="55" t="s">
        <v>27</v>
      </c>
      <c r="G37" s="56">
        <v>3.0</v>
      </c>
      <c r="H37" s="61">
        <f>VLOOKUP(F37,$A$9:$B$9,2,TRUE)</f>
        <v>1000</v>
      </c>
      <c r="I37" s="58">
        <f t="shared" si="1"/>
        <v>3000</v>
      </c>
      <c r="J37" s="60"/>
      <c r="K37" s="33"/>
      <c r="L37" s="33"/>
      <c r="M37" s="33"/>
      <c r="N37" s="33"/>
    </row>
    <row r="38" ht="15.75" customHeight="1">
      <c r="A38" s="32"/>
      <c r="B38" s="32"/>
      <c r="C38" s="32"/>
      <c r="D38" s="60"/>
      <c r="E38" s="60"/>
      <c r="F38" s="55" t="s">
        <v>28</v>
      </c>
      <c r="G38" s="56"/>
      <c r="H38" s="61">
        <f>VLOOKUP(F38,$A$10:$B$10,2,TRUE)</f>
        <v>2000</v>
      </c>
      <c r="I38" s="58">
        <f t="shared" si="1"/>
        <v>0</v>
      </c>
      <c r="J38" s="60"/>
      <c r="K38" s="33"/>
      <c r="L38" s="33"/>
      <c r="M38" s="33"/>
      <c r="N38" s="33"/>
    </row>
    <row r="39" ht="15.75" customHeight="1">
      <c r="A39" s="32"/>
      <c r="B39" s="32"/>
      <c r="C39" s="32"/>
      <c r="D39" s="60"/>
      <c r="E39" s="60"/>
      <c r="F39" s="55" t="s">
        <v>29</v>
      </c>
      <c r="G39" s="56">
        <v>4.0</v>
      </c>
      <c r="H39" s="61">
        <f>VLOOKUP(F39,$A$11:$B$11,2,TRUE)</f>
        <v>1500</v>
      </c>
      <c r="I39" s="58">
        <f t="shared" si="1"/>
        <v>6000</v>
      </c>
      <c r="J39" s="60"/>
      <c r="K39" s="33"/>
      <c r="L39" s="33"/>
      <c r="M39" s="33"/>
      <c r="N39" s="33"/>
    </row>
    <row r="40" ht="15.75" customHeight="1">
      <c r="A40" s="32"/>
      <c r="B40" s="32"/>
      <c r="C40" s="3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32"/>
      <c r="B41" s="32"/>
      <c r="C41" s="3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</row>
    <row r="42" ht="15.75" customHeight="1">
      <c r="A42" s="32"/>
      <c r="B42" s="32"/>
      <c r="C42" s="32"/>
      <c r="D42" s="60"/>
      <c r="E42" s="60"/>
      <c r="F42" s="55" t="s">
        <v>32</v>
      </c>
      <c r="G42" s="56"/>
      <c r="H42" s="61">
        <f>VLOOKUP(F42,$A$14:$B$14,2,TRUE)</f>
        <v>500</v>
      </c>
      <c r="I42" s="58">
        <f t="shared" si="1"/>
        <v>0</v>
      </c>
      <c r="J42" s="60"/>
    </row>
    <row r="43" ht="15.75" customHeight="1">
      <c r="A43" s="32"/>
      <c r="B43" s="32"/>
      <c r="C43" s="3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</row>
    <row r="44" ht="15.75" customHeight="1">
      <c r="A44" s="32"/>
      <c r="B44" s="32"/>
      <c r="C44" s="32"/>
      <c r="D44" s="60"/>
      <c r="E44" s="60"/>
      <c r="F44" s="55" t="s">
        <v>34</v>
      </c>
      <c r="G44" s="56">
        <v>1.5</v>
      </c>
      <c r="H44" s="61">
        <f>VLOOKUP(F44,$A$16:$B$16,2,TRUE)</f>
        <v>2000</v>
      </c>
      <c r="I44" s="58">
        <f t="shared" si="1"/>
        <v>3000</v>
      </c>
      <c r="J44" s="60"/>
    </row>
    <row r="45" ht="15.75" customHeight="1">
      <c r="A45" s="32"/>
      <c r="B45" s="32"/>
      <c r="C45" s="32"/>
      <c r="D45" s="60"/>
      <c r="E45" s="60"/>
      <c r="F45" s="55" t="s">
        <v>35</v>
      </c>
      <c r="G45" s="56"/>
      <c r="H45" s="61">
        <f>VLOOKUP(F45,$A$17:$B$17,2,TRUE)</f>
        <v>1000</v>
      </c>
      <c r="I45" s="58">
        <f t="shared" si="1"/>
        <v>0</v>
      </c>
      <c r="J45" s="60"/>
    </row>
    <row r="46" ht="15.75" customHeight="1">
      <c r="A46" s="32"/>
      <c r="B46" s="32"/>
      <c r="C46" s="3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</row>
    <row r="47" ht="15.75" customHeight="1">
      <c r="A47" s="32"/>
      <c r="B47" s="32"/>
      <c r="C47" s="3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</row>
    <row r="48" ht="15.75" customHeight="1">
      <c r="A48" s="32"/>
      <c r="B48" s="32"/>
      <c r="C48" s="3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</row>
    <row r="49" ht="15.75" customHeight="1">
      <c r="A49" s="32"/>
      <c r="B49" s="32"/>
      <c r="C49" s="3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</row>
    <row r="50" ht="15.75" customHeight="1">
      <c r="A50" s="32"/>
      <c r="B50" s="32"/>
      <c r="C50" s="3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</row>
    <row r="51" ht="15.75" customHeight="1">
      <c r="A51" s="32"/>
      <c r="B51" s="32"/>
      <c r="C51" s="32"/>
      <c r="D51" s="60"/>
      <c r="E51" s="60"/>
      <c r="F51" s="55" t="s">
        <v>41</v>
      </c>
      <c r="G51" s="56">
        <v>2.0</v>
      </c>
      <c r="H51" s="61">
        <f>VLOOKUP(F51,$A$23:$B$23,2,TRUE)</f>
        <v>500</v>
      </c>
      <c r="I51" s="58">
        <f t="shared" si="1"/>
        <v>1000</v>
      </c>
      <c r="J51" s="60"/>
    </row>
    <row r="52" ht="15.75" customHeight="1">
      <c r="A52" s="32"/>
      <c r="B52" s="32"/>
      <c r="C52" s="3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</row>
    <row r="53" ht="15.75" customHeight="1">
      <c r="A53" s="32"/>
      <c r="B53" s="32"/>
      <c r="C53" s="3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</row>
    <row r="54" ht="15.75" customHeight="1">
      <c r="A54" s="32"/>
      <c r="B54" s="32"/>
      <c r="C54" s="32"/>
      <c r="D54" s="60"/>
      <c r="E54" s="60"/>
      <c r="F54" s="55" t="s">
        <v>18</v>
      </c>
      <c r="G54" s="56">
        <v>9.0</v>
      </c>
      <c r="H54" s="61">
        <f>VLOOKUP(F54,$A$26:$B$26,2,TRUE)</f>
        <v>300</v>
      </c>
      <c r="I54" s="58">
        <f t="shared" si="1"/>
        <v>2700</v>
      </c>
      <c r="J54" s="60"/>
    </row>
    <row r="55" ht="15.75" customHeight="1">
      <c r="A55" s="32"/>
      <c r="B55" s="32"/>
      <c r="C55" s="3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</row>
    <row r="56" ht="15.75" customHeight="1">
      <c r="A56" s="32"/>
      <c r="B56" s="32"/>
      <c r="C56" s="3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</row>
    <row r="57" ht="15.75" customHeight="1">
      <c r="A57" s="32"/>
      <c r="B57" s="32"/>
      <c r="C57" s="3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</row>
    <row r="58" ht="15.75" customHeight="1">
      <c r="A58" s="32"/>
      <c r="B58" s="32"/>
      <c r="C58" s="32"/>
      <c r="D58" s="60"/>
      <c r="E58" s="60"/>
      <c r="F58" s="67" t="s">
        <v>59</v>
      </c>
      <c r="G58" s="68">
        <v>2.5</v>
      </c>
      <c r="H58" s="69">
        <v>0.0</v>
      </c>
      <c r="I58" s="58">
        <f t="shared" si="1"/>
        <v>0</v>
      </c>
      <c r="J58" s="60"/>
    </row>
    <row r="59" ht="15.75" customHeight="1">
      <c r="A59" s="32"/>
      <c r="B59" s="32"/>
      <c r="C59" s="32"/>
      <c r="D59" s="70" t="s">
        <v>97</v>
      </c>
      <c r="E59" s="71"/>
      <c r="F59" s="71"/>
      <c r="G59" s="71"/>
      <c r="H59" s="71"/>
      <c r="I59" s="58">
        <f t="shared" si="1"/>
        <v>0</v>
      </c>
      <c r="J59" s="72">
        <f>SUM(J5:J58)</f>
        <v>37200</v>
      </c>
    </row>
    <row r="60" ht="15.75" customHeight="1">
      <c r="A60" s="32"/>
      <c r="B60" s="32"/>
      <c r="C60" s="32"/>
      <c r="D60" s="32"/>
      <c r="E60" s="32"/>
      <c r="J60" s="34"/>
    </row>
    <row r="61" ht="15.75" customHeight="1">
      <c r="A61" s="32"/>
      <c r="B61" s="32"/>
      <c r="C61" s="32"/>
      <c r="D61" s="32"/>
      <c r="E61" s="32"/>
      <c r="J61" s="34"/>
    </row>
    <row r="62" ht="15.75" customHeight="1">
      <c r="A62" s="32"/>
      <c r="B62" s="32"/>
      <c r="C62" s="32"/>
      <c r="D62" s="32"/>
      <c r="E62" s="32"/>
      <c r="J62" s="34"/>
    </row>
    <row r="63" ht="15.75" customHeight="1">
      <c r="A63" s="32"/>
      <c r="B63" s="32"/>
      <c r="C63" s="32"/>
      <c r="D63" s="32"/>
      <c r="E63" s="32"/>
      <c r="J63" s="34"/>
    </row>
    <row r="64" ht="15.75" customHeight="1">
      <c r="A64" s="32"/>
      <c r="B64" s="32"/>
      <c r="C64" s="32"/>
      <c r="D64" s="32"/>
      <c r="E64" s="32"/>
      <c r="J64" s="34"/>
    </row>
    <row r="65" ht="15.75" customHeight="1">
      <c r="A65" s="32"/>
      <c r="B65" s="32"/>
      <c r="C65" s="32"/>
      <c r="D65" s="32"/>
      <c r="E65" s="32"/>
      <c r="J65" s="34"/>
    </row>
    <row r="66" ht="15.75" customHeight="1">
      <c r="A66" s="32"/>
      <c r="B66" s="32"/>
      <c r="C66" s="32"/>
      <c r="D66" s="32"/>
      <c r="E66" s="32"/>
      <c r="J66" s="34"/>
    </row>
    <row r="67" ht="15.75" customHeight="1">
      <c r="A67" s="32"/>
      <c r="B67" s="32"/>
      <c r="C67" s="32"/>
      <c r="D67" s="32"/>
      <c r="E67" s="32"/>
      <c r="J67" s="34"/>
    </row>
    <row r="68" ht="15.75" customHeight="1">
      <c r="A68" s="32"/>
      <c r="B68" s="32"/>
      <c r="C68" s="32"/>
      <c r="D68" s="32"/>
      <c r="E68" s="32"/>
      <c r="J68" s="34"/>
    </row>
    <row r="69" ht="15.75" customHeight="1">
      <c r="A69" s="32"/>
      <c r="B69" s="32"/>
      <c r="C69" s="32"/>
      <c r="D69" s="32"/>
      <c r="E69" s="32"/>
      <c r="J69" s="34"/>
    </row>
    <row r="70" ht="15.75" customHeight="1">
      <c r="A70" s="32"/>
      <c r="B70" s="32"/>
      <c r="C70" s="32"/>
      <c r="D70" s="32"/>
      <c r="E70" s="32"/>
      <c r="J70" s="34"/>
    </row>
    <row r="71" ht="15.75" customHeight="1">
      <c r="A71" s="32"/>
      <c r="B71" s="32"/>
      <c r="C71" s="32"/>
      <c r="D71" s="32"/>
      <c r="E71" s="32"/>
      <c r="J71" s="34"/>
    </row>
    <row r="72" ht="15.75" customHeight="1">
      <c r="A72" s="32"/>
      <c r="B72" s="32"/>
      <c r="C72" s="32"/>
      <c r="D72" s="32"/>
      <c r="E72" s="32"/>
      <c r="J72" s="34"/>
    </row>
    <row r="73" ht="15.75" customHeight="1">
      <c r="A73" s="32"/>
      <c r="B73" s="32"/>
      <c r="C73" s="32"/>
      <c r="D73" s="32"/>
      <c r="E73" s="32"/>
      <c r="J73" s="34"/>
    </row>
    <row r="74" ht="15.75" customHeight="1">
      <c r="A74" s="32"/>
      <c r="B74" s="32"/>
      <c r="C74" s="32"/>
      <c r="D74" s="32"/>
      <c r="E74" s="32"/>
      <c r="J74" s="34"/>
    </row>
    <row r="75" ht="15.75" customHeight="1">
      <c r="A75" s="32"/>
      <c r="B75" s="32"/>
      <c r="C75" s="32"/>
      <c r="D75" s="32"/>
      <c r="E75" s="32"/>
      <c r="J75" s="34"/>
    </row>
    <row r="76" ht="15.75" customHeight="1">
      <c r="A76" s="32"/>
      <c r="B76" s="32"/>
      <c r="C76" s="32"/>
      <c r="D76" s="32"/>
      <c r="E76" s="32"/>
      <c r="J76" s="34"/>
    </row>
    <row r="77" ht="15.75" customHeight="1">
      <c r="A77" s="32"/>
      <c r="B77" s="32"/>
      <c r="C77" s="32"/>
      <c r="D77" s="32"/>
      <c r="E77" s="32"/>
      <c r="J77" s="34"/>
    </row>
    <row r="78" ht="15.75" customHeight="1">
      <c r="A78" s="32"/>
      <c r="B78" s="32"/>
      <c r="C78" s="32"/>
      <c r="D78" s="32"/>
      <c r="E78" s="32"/>
      <c r="J78" s="34"/>
    </row>
    <row r="79" ht="15.75" customHeight="1">
      <c r="A79" s="32"/>
      <c r="B79" s="32"/>
      <c r="C79" s="32"/>
      <c r="D79" s="32"/>
      <c r="E79" s="32"/>
      <c r="J79" s="34"/>
    </row>
    <row r="80" ht="15.75" customHeight="1">
      <c r="A80" s="32"/>
      <c r="B80" s="32"/>
      <c r="C80" s="32"/>
      <c r="D80" s="32"/>
      <c r="E80" s="32"/>
      <c r="J80" s="34"/>
    </row>
    <row r="81" ht="15.75" customHeight="1">
      <c r="A81" s="32"/>
      <c r="B81" s="32"/>
      <c r="C81" s="32"/>
      <c r="D81" s="32"/>
      <c r="E81" s="32"/>
      <c r="J81" s="34"/>
    </row>
    <row r="82" ht="15.75" customHeight="1">
      <c r="A82" s="32"/>
      <c r="B82" s="32"/>
      <c r="C82" s="32"/>
      <c r="D82" s="32"/>
      <c r="E82" s="32"/>
      <c r="J82" s="34"/>
    </row>
    <row r="83" ht="15.75" customHeight="1">
      <c r="A83" s="32"/>
      <c r="B83" s="32"/>
      <c r="C83" s="32"/>
      <c r="D83" s="32"/>
      <c r="E83" s="32"/>
      <c r="J83" s="34"/>
    </row>
    <row r="84" ht="15.75" customHeight="1">
      <c r="A84" s="32"/>
      <c r="B84" s="32"/>
      <c r="C84" s="32"/>
      <c r="D84" s="32"/>
      <c r="E84" s="32"/>
      <c r="J84" s="34"/>
    </row>
    <row r="85" ht="15.75" customHeight="1">
      <c r="A85" s="32"/>
      <c r="B85" s="32"/>
      <c r="C85" s="32"/>
      <c r="D85" s="32"/>
      <c r="E85" s="32"/>
      <c r="J85" s="34"/>
    </row>
    <row r="86" ht="15.75" customHeight="1">
      <c r="A86" s="32"/>
      <c r="B86" s="32"/>
      <c r="C86" s="32"/>
      <c r="D86" s="32"/>
      <c r="E86" s="32"/>
      <c r="J86" s="34"/>
    </row>
    <row r="87" ht="15.75" customHeight="1">
      <c r="A87" s="32"/>
      <c r="B87" s="32"/>
      <c r="C87" s="32"/>
      <c r="D87" s="32"/>
      <c r="E87" s="32"/>
      <c r="J87" s="34"/>
    </row>
    <row r="88" ht="15.75" customHeight="1">
      <c r="A88" s="32"/>
      <c r="B88" s="32"/>
      <c r="C88" s="32"/>
      <c r="D88" s="32"/>
      <c r="E88" s="32"/>
      <c r="J88" s="34"/>
    </row>
    <row r="89" ht="15.75" customHeight="1">
      <c r="A89" s="32"/>
      <c r="B89" s="32"/>
      <c r="C89" s="32"/>
      <c r="D89" s="32"/>
      <c r="E89" s="32"/>
      <c r="J89" s="34"/>
    </row>
    <row r="90" ht="15.75" customHeight="1">
      <c r="A90" s="32"/>
      <c r="B90" s="32"/>
      <c r="C90" s="32"/>
      <c r="D90" s="32"/>
      <c r="E90" s="32"/>
      <c r="J90" s="34"/>
    </row>
    <row r="91" ht="15.75" customHeight="1">
      <c r="A91" s="32"/>
      <c r="B91" s="32"/>
      <c r="C91" s="32"/>
      <c r="D91" s="32"/>
      <c r="E91" s="32"/>
      <c r="J91" s="34"/>
    </row>
    <row r="92" ht="15.75" customHeight="1">
      <c r="A92" s="32"/>
      <c r="B92" s="32"/>
      <c r="C92" s="32"/>
      <c r="D92" s="32"/>
      <c r="E92" s="32"/>
      <c r="J92" s="34"/>
    </row>
    <row r="93" ht="15.75" customHeight="1">
      <c r="A93" s="32"/>
      <c r="B93" s="32"/>
      <c r="C93" s="32"/>
      <c r="D93" s="32"/>
      <c r="E93" s="32"/>
      <c r="J93" s="34"/>
    </row>
    <row r="94" ht="15.75" customHeight="1">
      <c r="A94" s="32"/>
      <c r="B94" s="32"/>
      <c r="C94" s="32"/>
      <c r="D94" s="32"/>
      <c r="E94" s="32"/>
      <c r="J94" s="34"/>
    </row>
    <row r="95" ht="15.75" customHeight="1">
      <c r="A95" s="32"/>
      <c r="B95" s="32"/>
      <c r="C95" s="32"/>
      <c r="D95" s="32"/>
      <c r="E95" s="32"/>
      <c r="J95" s="34"/>
    </row>
    <row r="96" ht="15.75" customHeight="1">
      <c r="A96" s="32"/>
      <c r="B96" s="32"/>
      <c r="C96" s="32"/>
      <c r="D96" s="32"/>
      <c r="E96" s="32"/>
      <c r="J96" s="34"/>
    </row>
    <row r="97" ht="15.75" customHeight="1">
      <c r="A97" s="32"/>
      <c r="B97" s="32"/>
      <c r="C97" s="32"/>
      <c r="D97" s="32"/>
      <c r="E97" s="32"/>
      <c r="J97" s="34"/>
    </row>
    <row r="98" ht="15.75" customHeight="1">
      <c r="A98" s="32"/>
      <c r="B98" s="32"/>
      <c r="C98" s="32"/>
      <c r="D98" s="32"/>
      <c r="E98" s="32"/>
      <c r="J98" s="34"/>
    </row>
    <row r="99" ht="15.75" customHeight="1">
      <c r="A99" s="32"/>
      <c r="B99" s="32"/>
      <c r="C99" s="32"/>
      <c r="D99" s="32"/>
      <c r="E99" s="32"/>
      <c r="J99" s="34"/>
    </row>
    <row r="100" ht="15.75" customHeight="1">
      <c r="A100" s="32"/>
      <c r="B100" s="32"/>
      <c r="C100" s="32"/>
      <c r="D100" s="32"/>
      <c r="E100" s="32"/>
      <c r="J100" s="34"/>
    </row>
    <row r="101" ht="15.75" customHeight="1">
      <c r="A101" s="32"/>
      <c r="B101" s="32"/>
      <c r="C101" s="32"/>
      <c r="D101" s="32"/>
      <c r="E101" s="32"/>
      <c r="J101" s="34"/>
    </row>
    <row r="102" ht="15.75" customHeight="1">
      <c r="A102" s="32"/>
      <c r="B102" s="32"/>
      <c r="C102" s="32"/>
      <c r="D102" s="32"/>
      <c r="E102" s="32"/>
      <c r="J102" s="34"/>
    </row>
    <row r="103" ht="15.75" customHeight="1">
      <c r="A103" s="32"/>
      <c r="B103" s="32"/>
      <c r="C103" s="32"/>
      <c r="D103" s="32"/>
      <c r="E103" s="32"/>
      <c r="J103" s="34"/>
    </row>
    <row r="104" ht="15.75" customHeight="1">
      <c r="A104" s="32"/>
      <c r="B104" s="32"/>
      <c r="C104" s="32"/>
      <c r="D104" s="32"/>
      <c r="E104" s="32"/>
      <c r="J104" s="34"/>
    </row>
    <row r="105" ht="15.75" customHeight="1">
      <c r="A105" s="32"/>
      <c r="B105" s="32"/>
      <c r="C105" s="32"/>
      <c r="D105" s="32"/>
      <c r="E105" s="32"/>
      <c r="J105" s="34"/>
    </row>
    <row r="106" ht="15.75" customHeight="1">
      <c r="A106" s="32"/>
      <c r="B106" s="32"/>
      <c r="C106" s="32"/>
      <c r="D106" s="32"/>
      <c r="E106" s="32"/>
      <c r="J106" s="34"/>
    </row>
    <row r="107" ht="15.75" customHeight="1">
      <c r="A107" s="32"/>
      <c r="B107" s="32"/>
      <c r="C107" s="32"/>
      <c r="D107" s="32"/>
      <c r="E107" s="32"/>
      <c r="J107" s="34"/>
    </row>
    <row r="108" ht="15.75" customHeight="1">
      <c r="A108" s="32"/>
      <c r="B108" s="32"/>
      <c r="C108" s="32"/>
      <c r="D108" s="32"/>
      <c r="E108" s="32"/>
      <c r="J108" s="34"/>
    </row>
    <row r="109" ht="15.75" customHeight="1">
      <c r="A109" s="32"/>
      <c r="B109" s="32"/>
      <c r="C109" s="32"/>
      <c r="D109" s="32"/>
      <c r="E109" s="32"/>
      <c r="J109" s="34"/>
    </row>
    <row r="110" ht="15.75" customHeight="1">
      <c r="A110" s="32"/>
      <c r="B110" s="32"/>
      <c r="C110" s="32"/>
      <c r="D110" s="32"/>
      <c r="E110" s="32"/>
      <c r="J110" s="34"/>
    </row>
    <row r="111" ht="15.75" customHeight="1">
      <c r="A111" s="32"/>
      <c r="B111" s="32"/>
      <c r="C111" s="32"/>
      <c r="D111" s="32"/>
      <c r="E111" s="32"/>
      <c r="J111" s="34"/>
    </row>
    <row r="112" ht="15.75" customHeight="1">
      <c r="A112" s="32"/>
      <c r="B112" s="32"/>
      <c r="C112" s="32"/>
      <c r="D112" s="32"/>
      <c r="E112" s="32"/>
      <c r="J112" s="34"/>
    </row>
    <row r="113" ht="15.75" customHeight="1">
      <c r="A113" s="32"/>
      <c r="B113" s="32"/>
      <c r="C113" s="32"/>
      <c r="D113" s="32"/>
      <c r="E113" s="32"/>
      <c r="J113" s="34"/>
    </row>
    <row r="114" ht="15.75" customHeight="1">
      <c r="A114" s="32"/>
      <c r="B114" s="32"/>
      <c r="C114" s="32"/>
      <c r="D114" s="32"/>
      <c r="E114" s="32"/>
      <c r="J114" s="34"/>
    </row>
    <row r="115" ht="15.75" customHeight="1">
      <c r="A115" s="32"/>
      <c r="B115" s="32"/>
      <c r="C115" s="32"/>
      <c r="D115" s="32"/>
      <c r="E115" s="32"/>
      <c r="J115" s="34"/>
    </row>
    <row r="116" ht="15.75" customHeight="1">
      <c r="A116" s="32"/>
      <c r="B116" s="32"/>
      <c r="C116" s="32"/>
      <c r="D116" s="32"/>
      <c r="E116" s="32"/>
      <c r="J116" s="34"/>
    </row>
    <row r="117" ht="15.75" customHeight="1">
      <c r="A117" s="32"/>
      <c r="B117" s="32"/>
      <c r="C117" s="32"/>
      <c r="D117" s="32"/>
      <c r="E117" s="32"/>
      <c r="J117" s="34"/>
    </row>
    <row r="118" ht="15.75" customHeight="1">
      <c r="A118" s="32"/>
      <c r="B118" s="32"/>
      <c r="C118" s="32"/>
      <c r="D118" s="32"/>
      <c r="E118" s="32"/>
      <c r="J118" s="34"/>
    </row>
    <row r="119" ht="15.75" customHeight="1">
      <c r="A119" s="32"/>
      <c r="B119" s="32"/>
      <c r="C119" s="32"/>
      <c r="D119" s="32"/>
      <c r="E119" s="32"/>
      <c r="J119" s="34"/>
    </row>
    <row r="120" ht="15.75" customHeight="1">
      <c r="A120" s="32"/>
      <c r="B120" s="32"/>
      <c r="C120" s="32"/>
      <c r="D120" s="32"/>
      <c r="E120" s="32"/>
      <c r="J120" s="34"/>
    </row>
    <row r="121" ht="15.75" customHeight="1">
      <c r="A121" s="32"/>
      <c r="B121" s="32"/>
      <c r="C121" s="32"/>
      <c r="D121" s="32"/>
      <c r="E121" s="32"/>
      <c r="J121" s="34"/>
    </row>
    <row r="122" ht="15.75" customHeight="1">
      <c r="A122" s="32"/>
      <c r="B122" s="32"/>
      <c r="C122" s="32"/>
      <c r="D122" s="32"/>
      <c r="E122" s="32"/>
      <c r="J122" s="34"/>
    </row>
    <row r="123" ht="15.75" customHeight="1">
      <c r="A123" s="32"/>
      <c r="B123" s="32"/>
      <c r="C123" s="32"/>
      <c r="D123" s="32"/>
      <c r="E123" s="32"/>
      <c r="J123" s="34"/>
    </row>
    <row r="124" ht="15.75" customHeight="1">
      <c r="A124" s="32"/>
      <c r="B124" s="32"/>
      <c r="C124" s="32"/>
      <c r="D124" s="32"/>
      <c r="E124" s="32"/>
      <c r="J124" s="34"/>
    </row>
    <row r="125" ht="15.75" customHeight="1">
      <c r="A125" s="32"/>
      <c r="B125" s="32"/>
      <c r="C125" s="32"/>
      <c r="D125" s="32"/>
      <c r="E125" s="32"/>
      <c r="J125" s="34"/>
    </row>
    <row r="126" ht="15.75" customHeight="1">
      <c r="A126" s="32"/>
      <c r="B126" s="32"/>
      <c r="C126" s="32"/>
      <c r="D126" s="32"/>
      <c r="E126" s="32"/>
      <c r="J126" s="34"/>
    </row>
    <row r="127" ht="15.75" customHeight="1">
      <c r="A127" s="32"/>
      <c r="B127" s="32"/>
      <c r="C127" s="32"/>
      <c r="D127" s="32"/>
      <c r="E127" s="32"/>
      <c r="J127" s="34"/>
    </row>
    <row r="128" ht="15.75" customHeight="1">
      <c r="A128" s="32"/>
      <c r="B128" s="32"/>
      <c r="C128" s="32"/>
      <c r="D128" s="32"/>
      <c r="E128" s="32"/>
      <c r="J128" s="34"/>
    </row>
    <row r="129" ht="15.75" customHeight="1">
      <c r="A129" s="32"/>
      <c r="B129" s="32"/>
      <c r="C129" s="32"/>
      <c r="D129" s="32"/>
      <c r="E129" s="32"/>
      <c r="J129" s="34"/>
    </row>
    <row r="130" ht="15.75" customHeight="1">
      <c r="A130" s="32"/>
      <c r="B130" s="32"/>
      <c r="C130" s="32"/>
      <c r="D130" s="32"/>
      <c r="E130" s="32"/>
      <c r="J130" s="34"/>
    </row>
    <row r="131" ht="15.75" customHeight="1">
      <c r="A131" s="32"/>
      <c r="B131" s="32"/>
      <c r="C131" s="32"/>
      <c r="D131" s="32"/>
      <c r="E131" s="32"/>
      <c r="J131" s="34"/>
    </row>
    <row r="132" ht="15.75" customHeight="1">
      <c r="A132" s="32"/>
      <c r="B132" s="32"/>
      <c r="C132" s="32"/>
      <c r="D132" s="32"/>
      <c r="E132" s="32"/>
      <c r="J132" s="34"/>
    </row>
    <row r="133" ht="15.75" customHeight="1">
      <c r="A133" s="32"/>
      <c r="B133" s="32"/>
      <c r="C133" s="32"/>
      <c r="D133" s="32"/>
      <c r="E133" s="32"/>
      <c r="J133" s="34"/>
    </row>
    <row r="134" ht="15.75" customHeight="1">
      <c r="A134" s="32"/>
      <c r="B134" s="32"/>
      <c r="C134" s="32"/>
      <c r="D134" s="32"/>
      <c r="E134" s="32"/>
      <c r="J134" s="34"/>
    </row>
    <row r="135" ht="15.75" customHeight="1">
      <c r="A135" s="32"/>
      <c r="B135" s="32"/>
      <c r="C135" s="32"/>
      <c r="D135" s="32"/>
      <c r="E135" s="32"/>
      <c r="J135" s="34"/>
    </row>
    <row r="136" ht="15.75" customHeight="1">
      <c r="A136" s="32"/>
      <c r="B136" s="32"/>
      <c r="C136" s="32"/>
      <c r="D136" s="32"/>
      <c r="E136" s="32"/>
      <c r="J136" s="34"/>
    </row>
    <row r="137" ht="15.75" customHeight="1">
      <c r="A137" s="32"/>
      <c r="B137" s="32"/>
      <c r="C137" s="32"/>
      <c r="D137" s="32"/>
      <c r="E137" s="32"/>
      <c r="J137" s="34"/>
    </row>
    <row r="138" ht="15.75" customHeight="1">
      <c r="A138" s="32"/>
      <c r="B138" s="32"/>
      <c r="C138" s="32"/>
      <c r="D138" s="32"/>
      <c r="E138" s="32"/>
      <c r="J138" s="34"/>
    </row>
    <row r="139" ht="15.75" customHeight="1">
      <c r="A139" s="32"/>
      <c r="B139" s="32"/>
      <c r="C139" s="32"/>
      <c r="D139" s="32"/>
      <c r="E139" s="32"/>
      <c r="J139" s="34"/>
    </row>
    <row r="140" ht="15.75" customHeight="1">
      <c r="A140" s="32"/>
      <c r="B140" s="32"/>
      <c r="C140" s="32"/>
      <c r="D140" s="32"/>
      <c r="E140" s="32"/>
      <c r="J140" s="34"/>
    </row>
    <row r="141" ht="15.75" customHeight="1">
      <c r="A141" s="32"/>
      <c r="B141" s="32"/>
      <c r="C141" s="32"/>
      <c r="D141" s="32"/>
      <c r="E141" s="32"/>
      <c r="J141" s="34"/>
    </row>
    <row r="142" ht="15.75" customHeight="1">
      <c r="A142" s="32"/>
      <c r="B142" s="32"/>
      <c r="C142" s="32"/>
      <c r="D142" s="32"/>
      <c r="E142" s="32"/>
      <c r="J142" s="34"/>
    </row>
    <row r="143" ht="15.75" customHeight="1">
      <c r="A143" s="32"/>
      <c r="B143" s="32"/>
      <c r="C143" s="32"/>
      <c r="D143" s="32"/>
      <c r="E143" s="32"/>
      <c r="J143" s="34"/>
    </row>
    <row r="144" ht="15.75" customHeight="1">
      <c r="A144" s="32"/>
      <c r="B144" s="32"/>
      <c r="C144" s="32"/>
      <c r="D144" s="32"/>
      <c r="E144" s="32"/>
      <c r="J144" s="34"/>
    </row>
    <row r="145" ht="15.75" customHeight="1">
      <c r="A145" s="32"/>
      <c r="B145" s="32"/>
      <c r="C145" s="32"/>
      <c r="D145" s="32"/>
      <c r="E145" s="32"/>
      <c r="J145" s="34"/>
    </row>
    <row r="146" ht="15.75" customHeight="1">
      <c r="A146" s="32"/>
      <c r="B146" s="32"/>
      <c r="C146" s="32"/>
      <c r="D146" s="32"/>
      <c r="E146" s="32"/>
      <c r="J146" s="34"/>
    </row>
    <row r="147" ht="15.75" customHeight="1">
      <c r="A147" s="32"/>
      <c r="B147" s="32"/>
      <c r="C147" s="32"/>
      <c r="D147" s="32"/>
      <c r="E147" s="32"/>
      <c r="J147" s="34"/>
    </row>
    <row r="148" ht="15.75" customHeight="1">
      <c r="A148" s="32"/>
      <c r="B148" s="32"/>
      <c r="C148" s="32"/>
      <c r="D148" s="32"/>
      <c r="E148" s="32"/>
      <c r="J148" s="34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J184" s="34"/>
    </row>
    <row r="185" ht="15.75" customHeight="1">
      <c r="J185" s="34"/>
    </row>
    <row r="186" ht="15.75" customHeight="1">
      <c r="J186" s="3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J5:J31"/>
    <mergeCell ref="J32:J58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24.75"/>
    <col customWidth="1" min="12" max="12" width="19.38"/>
  </cols>
  <sheetData>
    <row r="1" ht="15.75" customHeight="1">
      <c r="A1" s="32"/>
      <c r="B1" s="32"/>
      <c r="C1" s="32"/>
      <c r="D1" s="32"/>
      <c r="E1" s="32"/>
      <c r="F1" s="33"/>
      <c r="G1" s="33"/>
      <c r="H1" s="33"/>
      <c r="I1" s="33"/>
      <c r="J1" s="34"/>
      <c r="K1" s="33"/>
      <c r="L1" s="33"/>
      <c r="M1" s="33"/>
      <c r="N1" s="33"/>
    </row>
    <row r="2" ht="15.75" customHeight="1">
      <c r="A2" s="35" t="s">
        <v>45</v>
      </c>
      <c r="B2" s="36"/>
      <c r="C2" s="37"/>
      <c r="D2" s="37" t="s">
        <v>46</v>
      </c>
      <c r="K2" s="33"/>
      <c r="L2" s="38" t="s">
        <v>47</v>
      </c>
      <c r="M2" s="39"/>
      <c r="N2" s="33"/>
    </row>
    <row r="3" ht="15.75" customHeight="1">
      <c r="A3" s="40" t="s">
        <v>48</v>
      </c>
      <c r="B3" s="41" t="s">
        <v>49</v>
      </c>
      <c r="C3" s="32"/>
      <c r="D3" s="32"/>
      <c r="E3" s="32"/>
      <c r="F3" s="33"/>
      <c r="G3" s="33"/>
      <c r="H3" s="33"/>
      <c r="I3" s="33"/>
      <c r="J3" s="42"/>
      <c r="K3" s="33"/>
      <c r="L3" s="43"/>
      <c r="M3" s="15"/>
      <c r="N3" s="33"/>
    </row>
    <row r="4" ht="15.75" customHeight="1">
      <c r="A4" s="44" t="s">
        <v>22</v>
      </c>
      <c r="B4" s="45">
        <v>4000.0</v>
      </c>
      <c r="C4" s="46"/>
      <c r="D4" s="47" t="s">
        <v>1</v>
      </c>
      <c r="E4" s="47" t="s">
        <v>50</v>
      </c>
      <c r="F4" s="48" t="s">
        <v>51</v>
      </c>
      <c r="G4" s="49" t="s">
        <v>52</v>
      </c>
      <c r="H4" s="49" t="s">
        <v>53</v>
      </c>
      <c r="I4" s="49" t="s">
        <v>54</v>
      </c>
      <c r="J4" s="50" t="s">
        <v>55</v>
      </c>
      <c r="K4" s="33"/>
      <c r="L4" s="51" t="s">
        <v>56</v>
      </c>
      <c r="M4" s="51" t="s">
        <v>52</v>
      </c>
      <c r="N4" s="33"/>
    </row>
    <row r="5" ht="15.75" customHeight="1">
      <c r="A5" s="44" t="s">
        <v>57</v>
      </c>
      <c r="B5" s="45">
        <v>3000.0</v>
      </c>
      <c r="C5" s="52"/>
      <c r="D5" s="53">
        <v>1.0</v>
      </c>
      <c r="E5" s="65" t="s">
        <v>98</v>
      </c>
      <c r="F5" s="55" t="s">
        <v>22</v>
      </c>
      <c r="G5" s="56"/>
      <c r="H5" s="57">
        <f>VLOOKUP(F5,$A$4:$B$4,2,TRUE)</f>
        <v>4000</v>
      </c>
      <c r="I5" s="58">
        <f t="shared" ref="I5:I139" si="1">G5*H5</f>
        <v>0</v>
      </c>
      <c r="J5" s="59">
        <f>SUM(I5:I31)</f>
        <v>27000</v>
      </c>
      <c r="K5" s="33"/>
      <c r="L5" s="55" t="s">
        <v>22</v>
      </c>
      <c r="M5" s="51">
        <f>SUMIF(F5:F139,"Gelas bersih",G5:G139)</f>
        <v>2</v>
      </c>
      <c r="N5" s="33"/>
    </row>
    <row r="6" ht="15.75" customHeight="1">
      <c r="A6" s="44" t="s">
        <v>58</v>
      </c>
      <c r="B6" s="45">
        <v>1000.0</v>
      </c>
      <c r="C6" s="52"/>
      <c r="D6" s="60"/>
      <c r="E6" s="60"/>
      <c r="F6" s="55" t="s">
        <v>57</v>
      </c>
      <c r="G6" s="56">
        <v>4.5</v>
      </c>
      <c r="H6" s="61">
        <f>VLOOKUP(F6,$A$5:$B$5,2,TRUE)</f>
        <v>3000</v>
      </c>
      <c r="I6" s="58">
        <f t="shared" si="1"/>
        <v>13500</v>
      </c>
      <c r="J6" s="60"/>
      <c r="K6" s="33"/>
      <c r="L6" s="55" t="s">
        <v>57</v>
      </c>
      <c r="M6" s="51">
        <f>SUMIF(F6:F140,"Botol bersih",G6:G140)</f>
        <v>6</v>
      </c>
      <c r="N6" s="33"/>
    </row>
    <row r="7" ht="15.75" customHeight="1">
      <c r="A7" s="44" t="s">
        <v>25</v>
      </c>
      <c r="B7" s="45">
        <v>2800.0</v>
      </c>
      <c r="C7" s="52"/>
      <c r="D7" s="60"/>
      <c r="E7" s="60"/>
      <c r="F7" s="55" t="s">
        <v>58</v>
      </c>
      <c r="G7" s="56"/>
      <c r="H7" s="61">
        <f>VLOOKUP(F7,$A$6:$B$6,2,TRUE)</f>
        <v>1000</v>
      </c>
      <c r="I7" s="58">
        <f t="shared" si="1"/>
        <v>0</v>
      </c>
      <c r="J7" s="60"/>
      <c r="K7" s="33"/>
      <c r="L7" s="55" t="s">
        <v>58</v>
      </c>
      <c r="M7" s="51">
        <f>SUMIF(F7:F140,"Botol Warna",G7:G140)</f>
        <v>0</v>
      </c>
      <c r="N7" s="33"/>
    </row>
    <row r="8" ht="15.75" customHeight="1">
      <c r="A8" s="44" t="s">
        <v>26</v>
      </c>
      <c r="B8" s="45">
        <v>3500.0</v>
      </c>
      <c r="C8" s="52"/>
      <c r="D8" s="60"/>
      <c r="E8" s="60"/>
      <c r="F8" s="55" t="s">
        <v>25</v>
      </c>
      <c r="G8" s="56"/>
      <c r="H8" s="61">
        <f>VLOOKUP(F8,$A$7:$B$7,2,TRUE)</f>
        <v>2800</v>
      </c>
      <c r="I8" s="58">
        <f t="shared" si="1"/>
        <v>0</v>
      </c>
      <c r="J8" s="60"/>
      <c r="K8" s="33"/>
      <c r="L8" s="55" t="s">
        <v>25</v>
      </c>
      <c r="M8" s="51">
        <f>SUMIF(F8:F141,"Tutup botol",G8:G141)</f>
        <v>0</v>
      </c>
      <c r="N8" s="33"/>
    </row>
    <row r="9" ht="15.75" customHeight="1">
      <c r="A9" s="44" t="s">
        <v>27</v>
      </c>
      <c r="B9" s="45">
        <v>1000.0</v>
      </c>
      <c r="C9" s="52"/>
      <c r="D9" s="60"/>
      <c r="E9" s="60"/>
      <c r="F9" s="55" t="s">
        <v>26</v>
      </c>
      <c r="G9" s="56">
        <v>1.0</v>
      </c>
      <c r="H9" s="61">
        <f>VLOOKUP(F9,$A$8:$B$8,2,TRUE)</f>
        <v>3500</v>
      </c>
      <c r="I9" s="58">
        <f t="shared" si="1"/>
        <v>3500</v>
      </c>
      <c r="J9" s="60"/>
      <c r="K9" s="33"/>
      <c r="L9" s="55" t="s">
        <v>26</v>
      </c>
      <c r="M9" s="51">
        <f>SUMIF(F9:F142,"Tutup galon",G9:G142)</f>
        <v>1</v>
      </c>
      <c r="N9" s="33"/>
    </row>
    <row r="10" ht="15.75" customHeight="1">
      <c r="A10" s="44" t="s">
        <v>28</v>
      </c>
      <c r="B10" s="45">
        <v>2000.0</v>
      </c>
      <c r="C10" s="52"/>
      <c r="D10" s="60"/>
      <c r="E10" s="60"/>
      <c r="F10" s="55" t="s">
        <v>27</v>
      </c>
      <c r="G10" s="56">
        <v>4.0</v>
      </c>
      <c r="H10" s="61">
        <f>VLOOKUP(F10,$A$9:$B$9,2,TRUE)</f>
        <v>1000</v>
      </c>
      <c r="I10" s="58">
        <f t="shared" si="1"/>
        <v>4000</v>
      </c>
      <c r="J10" s="60"/>
      <c r="K10" s="33"/>
      <c r="L10" s="55" t="s">
        <v>27</v>
      </c>
      <c r="M10" s="51">
        <f>SUMIF(F10:F143,"Hitam",G10:G143)</f>
        <v>16</v>
      </c>
      <c r="N10" s="33"/>
    </row>
    <row r="11" ht="15.75" customHeight="1">
      <c r="A11" s="44" t="s">
        <v>29</v>
      </c>
      <c r="B11" s="45">
        <v>1500.0</v>
      </c>
      <c r="C11" s="52"/>
      <c r="D11" s="60"/>
      <c r="E11" s="60"/>
      <c r="F11" s="55" t="s">
        <v>28</v>
      </c>
      <c r="G11" s="56"/>
      <c r="H11" s="61">
        <f>VLOOKUP(F11,$A$10:$B$10,2,TRUE)</f>
        <v>2000</v>
      </c>
      <c r="I11" s="58">
        <f t="shared" si="1"/>
        <v>0</v>
      </c>
      <c r="J11" s="60"/>
      <c r="K11" s="33"/>
      <c r="L11" s="55" t="s">
        <v>28</v>
      </c>
      <c r="M11" s="51">
        <f>SUMIF(F11:F144,"Plastik Campur",G11:G144)</f>
        <v>0</v>
      </c>
      <c r="N11" s="33"/>
    </row>
    <row r="12" ht="15.75" customHeight="1">
      <c r="A12" s="44" t="s">
        <v>30</v>
      </c>
      <c r="B12" s="45">
        <v>1300.0</v>
      </c>
      <c r="C12" s="52"/>
      <c r="D12" s="60"/>
      <c r="E12" s="60"/>
      <c r="F12" s="55" t="s">
        <v>29</v>
      </c>
      <c r="G12" s="56"/>
      <c r="H12" s="61">
        <f>VLOOKUP(F12,$A$11:$B$11,2,TRUE)</f>
        <v>1500</v>
      </c>
      <c r="I12" s="58">
        <f t="shared" si="1"/>
        <v>0</v>
      </c>
      <c r="J12" s="60"/>
      <c r="K12" s="33"/>
      <c r="L12" s="55" t="s">
        <v>29</v>
      </c>
      <c r="M12" s="51">
        <f>SUMIF(F12:F145,"Kardus",G12:G145)</f>
        <v>10.5</v>
      </c>
      <c r="N12" s="33"/>
    </row>
    <row r="13" ht="15.75" customHeight="1">
      <c r="A13" s="44" t="s">
        <v>31</v>
      </c>
      <c r="B13" s="45">
        <v>1000.0</v>
      </c>
      <c r="C13" s="52"/>
      <c r="D13" s="60"/>
      <c r="E13" s="60"/>
      <c r="F13" s="55" t="s">
        <v>30</v>
      </c>
      <c r="G13" s="56"/>
      <c r="H13" s="61">
        <f>VLOOKUP(F13,$A$12:$B$12,2,TRUE)</f>
        <v>1300</v>
      </c>
      <c r="I13" s="58">
        <f t="shared" si="1"/>
        <v>0</v>
      </c>
      <c r="J13" s="60"/>
      <c r="K13" s="33"/>
      <c r="L13" s="55" t="s">
        <v>30</v>
      </c>
      <c r="M13" s="51">
        <f>SUMIF(F13:F146,"Kertas Putihan/ HVS",G13:G146)</f>
        <v>0</v>
      </c>
      <c r="N13" s="33"/>
    </row>
    <row r="14" ht="15.75" customHeight="1">
      <c r="A14" s="44" t="s">
        <v>32</v>
      </c>
      <c r="B14" s="45">
        <v>500.0</v>
      </c>
      <c r="C14" s="52"/>
      <c r="D14" s="60"/>
      <c r="E14" s="60"/>
      <c r="F14" s="55" t="s">
        <v>31</v>
      </c>
      <c r="G14" s="56"/>
      <c r="H14" s="61">
        <f>VLOOKUP(F14,$A$13:$B$13,2,TRUE)</f>
        <v>1000</v>
      </c>
      <c r="I14" s="58">
        <f t="shared" si="1"/>
        <v>0</v>
      </c>
      <c r="J14" s="60"/>
      <c r="K14" s="33"/>
      <c r="L14" s="55" t="s">
        <v>31</v>
      </c>
      <c r="M14" s="51">
        <f>SUMIF(F14:F147,"Koran/Buku",G14:G147)</f>
        <v>0</v>
      </c>
      <c r="N14" s="33"/>
    </row>
    <row r="15" ht="15.75" customHeight="1">
      <c r="A15" s="44" t="s">
        <v>33</v>
      </c>
      <c r="B15" s="45">
        <v>7500.0</v>
      </c>
      <c r="C15" s="52"/>
      <c r="D15" s="60"/>
      <c r="E15" s="60"/>
      <c r="F15" s="55" t="s">
        <v>32</v>
      </c>
      <c r="G15" s="56"/>
      <c r="H15" s="61">
        <f>VLOOKUP(F15,$A$14:$B$14,2,TRUE)</f>
        <v>500</v>
      </c>
      <c r="I15" s="58">
        <f t="shared" si="1"/>
        <v>0</v>
      </c>
      <c r="J15" s="60"/>
      <c r="K15" s="33"/>
      <c r="L15" s="55" t="s">
        <v>32</v>
      </c>
      <c r="M15" s="51">
        <f>SUMIF(F15:F148,"Duplex",G15:G148)</f>
        <v>0</v>
      </c>
      <c r="N15" s="33"/>
    </row>
    <row r="16" ht="15.75" customHeight="1">
      <c r="A16" s="44" t="s">
        <v>34</v>
      </c>
      <c r="B16" s="45">
        <v>2000.0</v>
      </c>
      <c r="C16" s="52"/>
      <c r="D16" s="60"/>
      <c r="E16" s="60"/>
      <c r="F16" s="55" t="s">
        <v>33</v>
      </c>
      <c r="G16" s="56"/>
      <c r="H16" s="61">
        <f>VLOOKUP(F16,$A$15:$B$15,2,TRUE)</f>
        <v>7500</v>
      </c>
      <c r="I16" s="58">
        <f t="shared" si="1"/>
        <v>0</v>
      </c>
      <c r="J16" s="60"/>
      <c r="K16" s="33"/>
      <c r="L16" s="55" t="s">
        <v>33</v>
      </c>
      <c r="M16" s="51">
        <f>SUMIF(F16:F149,"Alumunium",G16:G149)</f>
        <v>0</v>
      </c>
      <c r="N16" s="33"/>
    </row>
    <row r="17" ht="15.75" customHeight="1">
      <c r="A17" s="44" t="s">
        <v>35</v>
      </c>
      <c r="B17" s="45">
        <v>1000.0</v>
      </c>
      <c r="C17" s="52"/>
      <c r="D17" s="60"/>
      <c r="E17" s="60"/>
      <c r="F17" s="55" t="s">
        <v>34</v>
      </c>
      <c r="G17" s="56">
        <v>3.0</v>
      </c>
      <c r="H17" s="61">
        <f>VLOOKUP(F17,$A$16:$B$16,2,TRUE)</f>
        <v>2000</v>
      </c>
      <c r="I17" s="58">
        <f t="shared" si="1"/>
        <v>6000</v>
      </c>
      <c r="J17" s="60"/>
      <c r="K17" s="33"/>
      <c r="L17" s="55" t="s">
        <v>34</v>
      </c>
      <c r="M17" s="51">
        <f>SUMIF(F17:F150,"Besi",G17:G150)</f>
        <v>3</v>
      </c>
      <c r="N17" s="33"/>
    </row>
    <row r="18" ht="15.75" customHeight="1">
      <c r="A18" s="44" t="s">
        <v>36</v>
      </c>
      <c r="B18" s="45">
        <v>5000.0</v>
      </c>
      <c r="C18" s="52"/>
      <c r="D18" s="60"/>
      <c r="E18" s="60"/>
      <c r="F18" s="55" t="s">
        <v>35</v>
      </c>
      <c r="G18" s="56"/>
      <c r="H18" s="61">
        <f>VLOOKUP(F18,$A$17:$B$17,2,TRUE)</f>
        <v>1000</v>
      </c>
      <c r="I18" s="58">
        <f t="shared" si="1"/>
        <v>0</v>
      </c>
      <c r="J18" s="60"/>
      <c r="K18" s="33"/>
      <c r="L18" s="55" t="s">
        <v>35</v>
      </c>
      <c r="M18" s="51">
        <f>SUMIF(F18:F151,"Kaleng kue/susu",G18:G151)</f>
        <v>5</v>
      </c>
      <c r="N18" s="33"/>
    </row>
    <row r="19" ht="15.75" customHeight="1">
      <c r="A19" s="44" t="s">
        <v>37</v>
      </c>
      <c r="B19" s="45">
        <v>2700.0</v>
      </c>
      <c r="C19" s="52"/>
      <c r="D19" s="60"/>
      <c r="E19" s="60"/>
      <c r="F19" s="55" t="s">
        <v>36</v>
      </c>
      <c r="G19" s="56"/>
      <c r="H19" s="61">
        <f>VLOOKUP(F19,$A$18:$B$18,2,TRUE)</f>
        <v>5000</v>
      </c>
      <c r="I19" s="58">
        <f t="shared" si="1"/>
        <v>0</v>
      </c>
      <c r="J19" s="60"/>
      <c r="K19" s="33"/>
      <c r="L19" s="55" t="s">
        <v>36</v>
      </c>
      <c r="M19" s="51">
        <f>SUMIF(F19:F152,"Kaleng Minuman",G19:G152)</f>
        <v>0</v>
      </c>
      <c r="N19" s="33"/>
    </row>
    <row r="20" ht="15.75" customHeight="1">
      <c r="A20" s="44" t="s">
        <v>38</v>
      </c>
      <c r="B20" s="45">
        <v>50000.0</v>
      </c>
      <c r="C20" s="52"/>
      <c r="D20" s="60"/>
      <c r="E20" s="60"/>
      <c r="F20" s="55" t="s">
        <v>37</v>
      </c>
      <c r="G20" s="56"/>
      <c r="H20" s="61">
        <f>VLOOKUP(F20,$A$19:$B$19,2,TRUE)</f>
        <v>2700</v>
      </c>
      <c r="I20" s="58">
        <f t="shared" si="1"/>
        <v>0</v>
      </c>
      <c r="J20" s="60"/>
      <c r="K20" s="33"/>
      <c r="L20" s="55" t="s">
        <v>37</v>
      </c>
      <c r="M20" s="51">
        <f>SUMIF(F20:F153,"Stanless",G20:G153)</f>
        <v>0</v>
      </c>
      <c r="N20" s="33"/>
    </row>
    <row r="21" ht="15.75" customHeight="1">
      <c r="A21" s="44" t="s">
        <v>39</v>
      </c>
      <c r="B21" s="45">
        <v>10000.0</v>
      </c>
      <c r="C21" s="52"/>
      <c r="D21" s="60"/>
      <c r="E21" s="60"/>
      <c r="F21" s="55" t="s">
        <v>38</v>
      </c>
      <c r="G21" s="56"/>
      <c r="H21" s="61">
        <f>VLOOKUP(F21,$A$20:$B$20,2,TRUE)</f>
        <v>50000</v>
      </c>
      <c r="I21" s="58">
        <f t="shared" si="1"/>
        <v>0</v>
      </c>
      <c r="J21" s="60"/>
      <c r="K21" s="33"/>
      <c r="L21" s="55" t="s">
        <v>38</v>
      </c>
      <c r="M21" s="51">
        <f>SUMIF(F21:F154,"Tembaga",G21:G154)</f>
        <v>0</v>
      </c>
      <c r="N21" s="33"/>
    </row>
    <row r="22" ht="15.75" customHeight="1">
      <c r="A22" s="44" t="s">
        <v>40</v>
      </c>
      <c r="B22" s="45">
        <v>1000.0</v>
      </c>
      <c r="C22" s="52"/>
      <c r="D22" s="60"/>
      <c r="E22" s="60"/>
      <c r="F22" s="55" t="s">
        <v>39</v>
      </c>
      <c r="G22" s="56"/>
      <c r="H22" s="61">
        <f>VLOOKUP(F22,$A$21:$B$21,2,TRUE)</f>
        <v>10000</v>
      </c>
      <c r="I22" s="58">
        <f t="shared" si="1"/>
        <v>0</v>
      </c>
      <c r="J22" s="60"/>
      <c r="K22" s="33"/>
      <c r="L22" s="55" t="s">
        <v>39</v>
      </c>
      <c r="M22" s="51">
        <f>SUMIF(F22:F155,"Aki Motor",G22:G155)</f>
        <v>0</v>
      </c>
      <c r="N22" s="33"/>
    </row>
    <row r="23" ht="15.75" customHeight="1">
      <c r="A23" s="44" t="s">
        <v>41</v>
      </c>
      <c r="B23" s="45">
        <v>500.0</v>
      </c>
      <c r="C23" s="52"/>
      <c r="D23" s="60"/>
      <c r="E23" s="60"/>
      <c r="F23" s="55" t="s">
        <v>40</v>
      </c>
      <c r="G23" s="56"/>
      <c r="H23" s="61">
        <f>VLOOKUP(F23,$A$22:$B$22,2,TRUE)</f>
        <v>1000</v>
      </c>
      <c r="I23" s="58">
        <f t="shared" si="1"/>
        <v>0</v>
      </c>
      <c r="J23" s="60"/>
      <c r="K23" s="33"/>
      <c r="L23" s="55" t="s">
        <v>40</v>
      </c>
      <c r="M23" s="51">
        <f>SUMIF(F23:F156,"Paralon",G23:G156)</f>
        <v>0</v>
      </c>
      <c r="N23" s="33"/>
    </row>
    <row r="24" ht="15.75" customHeight="1">
      <c r="A24" s="44" t="s">
        <v>42</v>
      </c>
      <c r="B24" s="45">
        <v>200.0</v>
      </c>
      <c r="C24" s="52"/>
      <c r="D24" s="60"/>
      <c r="E24" s="60"/>
      <c r="F24" s="55" t="s">
        <v>41</v>
      </c>
      <c r="G24" s="56"/>
      <c r="H24" s="61">
        <f>VLOOKUP(F24,$A$23:$B$23,2,TRUE)</f>
        <v>500</v>
      </c>
      <c r="I24" s="58">
        <f t="shared" si="1"/>
        <v>0</v>
      </c>
      <c r="J24" s="60"/>
      <c r="K24" s="33"/>
      <c r="L24" s="55" t="s">
        <v>41</v>
      </c>
      <c r="M24" s="51">
        <f>SUMIF(F24:F157,"Plastik bening",G24:G157)</f>
        <v>2</v>
      </c>
      <c r="N24" s="33"/>
    </row>
    <row r="25" ht="15.75" customHeight="1">
      <c r="A25" s="44" t="s">
        <v>43</v>
      </c>
      <c r="B25" s="45">
        <v>1000.0</v>
      </c>
      <c r="C25" s="52"/>
      <c r="D25" s="60"/>
      <c r="E25" s="60"/>
      <c r="F25" s="55" t="s">
        <v>42</v>
      </c>
      <c r="G25" s="56"/>
      <c r="H25" s="61">
        <f>VLOOKUP(F25,$A$24:$B$24,2,TRUE)</f>
        <v>200</v>
      </c>
      <c r="I25" s="58">
        <f t="shared" si="1"/>
        <v>0</v>
      </c>
      <c r="J25" s="60"/>
      <c r="K25" s="33"/>
      <c r="L25" s="55" t="s">
        <v>42</v>
      </c>
      <c r="M25" s="51">
        <f>SUMIF(F25:F158,"Plastik Warna",G25:G158)</f>
        <v>0.5</v>
      </c>
      <c r="N25" s="33"/>
    </row>
    <row r="26" ht="15.75" customHeight="1">
      <c r="A26" s="44" t="s">
        <v>18</v>
      </c>
      <c r="B26" s="45">
        <v>300.0</v>
      </c>
      <c r="C26" s="52"/>
      <c r="D26" s="60"/>
      <c r="E26" s="60"/>
      <c r="F26" s="55" t="s">
        <v>43</v>
      </c>
      <c r="G26" s="56"/>
      <c r="H26" s="61">
        <f>VLOOKUP(F26,$A$25:$B$25,2,TRUE)</f>
        <v>1000</v>
      </c>
      <c r="I26" s="58">
        <f t="shared" si="1"/>
        <v>0</v>
      </c>
      <c r="J26" s="60"/>
      <c r="K26" s="33"/>
      <c r="L26" s="55" t="s">
        <v>43</v>
      </c>
      <c r="M26" s="51">
        <f>SUMIF(F26:F159,"Selang",G26:G159)</f>
        <v>0</v>
      </c>
      <c r="N26" s="33"/>
    </row>
    <row r="27" ht="15.75" customHeight="1">
      <c r="A27" s="44" t="s">
        <v>44</v>
      </c>
      <c r="B27" s="45">
        <v>100.0</v>
      </c>
      <c r="C27" s="52"/>
      <c r="D27" s="60"/>
      <c r="E27" s="60"/>
      <c r="F27" s="55" t="s">
        <v>18</v>
      </c>
      <c r="G27" s="56"/>
      <c r="H27" s="61">
        <f>VLOOKUP(F27,$A$26:$B$26,2,TRUE)</f>
        <v>300</v>
      </c>
      <c r="I27" s="58">
        <f t="shared" si="1"/>
        <v>0</v>
      </c>
      <c r="J27" s="60"/>
      <c r="K27" s="33"/>
      <c r="L27" s="55" t="s">
        <v>18</v>
      </c>
      <c r="M27" s="51">
        <f>SUMIF(F27:F160,"Beling",G27:G160)</f>
        <v>0</v>
      </c>
      <c r="N27" s="33"/>
    </row>
    <row r="28" ht="15.75" customHeight="1">
      <c r="A28" s="44" t="s">
        <v>13</v>
      </c>
      <c r="B28" s="45">
        <v>1500.0</v>
      </c>
      <c r="C28" s="52"/>
      <c r="D28" s="60"/>
      <c r="E28" s="60"/>
      <c r="F28" s="55" t="s">
        <v>44</v>
      </c>
      <c r="G28" s="56"/>
      <c r="H28" s="61">
        <f>VLOOKUP(F28,$A$27:$B$27,2,TRUE)</f>
        <v>100</v>
      </c>
      <c r="I28" s="58">
        <f t="shared" si="1"/>
        <v>0</v>
      </c>
      <c r="J28" s="60"/>
      <c r="K28" s="33"/>
      <c r="L28" s="55" t="s">
        <v>44</v>
      </c>
      <c r="M28" s="51">
        <f>SUMIF(F28:F161,"Pecahan",G28:G161)</f>
        <v>0</v>
      </c>
      <c r="N28" s="33"/>
    </row>
    <row r="29" ht="15.75" customHeight="1">
      <c r="A29" s="44" t="s">
        <v>20</v>
      </c>
      <c r="B29" s="62">
        <v>4000.0</v>
      </c>
      <c r="C29" s="52"/>
      <c r="D29" s="60"/>
      <c r="E29" s="60"/>
      <c r="F29" s="55" t="s">
        <v>13</v>
      </c>
      <c r="G29" s="56"/>
      <c r="H29" s="61">
        <f>VLOOKUP(F28,$A$28:$B$28,2,TRUE)</f>
        <v>1500</v>
      </c>
      <c r="I29" s="58">
        <f t="shared" si="1"/>
        <v>0</v>
      </c>
      <c r="J29" s="60"/>
      <c r="K29" s="33"/>
      <c r="L29" s="55" t="s">
        <v>13</v>
      </c>
      <c r="M29" s="51">
        <f>SUMIF(F29:F163,"Paku",G29:G163)</f>
        <v>0</v>
      </c>
      <c r="N29" s="33"/>
    </row>
    <row r="30" ht="15.75" customHeight="1">
      <c r="A30" s="44" t="s">
        <v>59</v>
      </c>
      <c r="B30" s="45">
        <v>500.0</v>
      </c>
      <c r="C30" s="52"/>
      <c r="D30" s="60"/>
      <c r="E30" s="60"/>
      <c r="F30" s="55" t="s">
        <v>20</v>
      </c>
      <c r="G30" s="56"/>
      <c r="H30" s="61">
        <f>VLOOKUP(F29,$A$29:$B$29,2,TRUE)</f>
        <v>4000</v>
      </c>
      <c r="I30" s="58">
        <f t="shared" si="1"/>
        <v>0</v>
      </c>
      <c r="J30" s="60"/>
      <c r="K30" s="33"/>
      <c r="L30" s="55" t="s">
        <v>20</v>
      </c>
      <c r="M30" s="51">
        <f>SUMIF(F30:F164,"Minyak Jelantah",G30:G164)</f>
        <v>0</v>
      </c>
      <c r="N30" s="33"/>
    </row>
    <row r="31" ht="15.75" customHeight="1">
      <c r="A31" s="52"/>
      <c r="B31" s="52"/>
      <c r="C31" s="52"/>
      <c r="D31" s="18"/>
      <c r="E31" s="18"/>
      <c r="F31" s="55" t="s">
        <v>59</v>
      </c>
      <c r="G31" s="56"/>
      <c r="H31" s="61">
        <f>VLOOKUP(F30,$A$30:$B$30,2,TRUE)</f>
        <v>500</v>
      </c>
      <c r="I31" s="58">
        <f t="shared" si="1"/>
        <v>0</v>
      </c>
      <c r="J31" s="18"/>
      <c r="K31" s="33"/>
      <c r="L31" s="55" t="s">
        <v>59</v>
      </c>
      <c r="M31" s="51">
        <f>SUMIF(F31:F165,"Lainnya",G31:G165)</f>
        <v>7</v>
      </c>
      <c r="N31" s="33"/>
    </row>
    <row r="32" ht="15.75" customHeight="1">
      <c r="A32" s="52"/>
      <c r="B32" s="52"/>
      <c r="C32" s="52"/>
      <c r="D32" s="53">
        <v>2.0</v>
      </c>
      <c r="E32" s="65" t="s">
        <v>99</v>
      </c>
      <c r="F32" s="55" t="s">
        <v>22</v>
      </c>
      <c r="G32" s="56"/>
      <c r="H32" s="57">
        <f>VLOOKUP(F32,$A$4:$B$4,2,TRUE)</f>
        <v>4000</v>
      </c>
      <c r="I32" s="58">
        <f t="shared" si="1"/>
        <v>0</v>
      </c>
      <c r="J32" s="59">
        <f>SUM(I32:I58)</f>
        <v>4000</v>
      </c>
      <c r="K32" s="33"/>
      <c r="L32" s="33"/>
      <c r="M32" s="33"/>
      <c r="N32" s="33"/>
    </row>
    <row r="33" ht="15.75" customHeight="1">
      <c r="A33" s="52"/>
      <c r="B33" s="52"/>
      <c r="C33" s="52"/>
      <c r="D33" s="60"/>
      <c r="E33" s="60"/>
      <c r="F33" s="55" t="s">
        <v>57</v>
      </c>
      <c r="G33" s="56"/>
      <c r="H33" s="61">
        <f>VLOOKUP(F33,$A$5:$B$5,2,TRUE)</f>
        <v>3000</v>
      </c>
      <c r="I33" s="58">
        <f t="shared" si="1"/>
        <v>0</v>
      </c>
      <c r="J33" s="60"/>
      <c r="K33" s="33"/>
      <c r="L33" s="33"/>
      <c r="M33" s="33"/>
      <c r="N33" s="33"/>
    </row>
    <row r="34" ht="15.75" customHeight="1">
      <c r="A34" s="52"/>
      <c r="B34" s="52"/>
      <c r="C34" s="52"/>
      <c r="D34" s="60"/>
      <c r="E34" s="60"/>
      <c r="F34" s="55" t="s">
        <v>58</v>
      </c>
      <c r="G34" s="56"/>
      <c r="H34" s="61">
        <f>VLOOKUP(F34,$A$6:$B$6,2,TRUE)</f>
        <v>1000</v>
      </c>
      <c r="I34" s="58">
        <f t="shared" si="1"/>
        <v>0</v>
      </c>
      <c r="J34" s="60"/>
      <c r="K34" s="33"/>
      <c r="L34" s="33"/>
      <c r="M34" s="33"/>
      <c r="N34" s="33"/>
    </row>
    <row r="35" ht="15.75" customHeight="1">
      <c r="A35" s="52"/>
      <c r="B35" s="52"/>
      <c r="C35" s="52"/>
      <c r="D35" s="60"/>
      <c r="E35" s="60"/>
      <c r="F35" s="55" t="s">
        <v>25</v>
      </c>
      <c r="G35" s="56"/>
      <c r="H35" s="61">
        <f>VLOOKUP(F35,$A$7:$B$7,2,TRUE)</f>
        <v>2800</v>
      </c>
      <c r="I35" s="58">
        <f t="shared" si="1"/>
        <v>0</v>
      </c>
      <c r="J35" s="60"/>
      <c r="K35" s="33"/>
      <c r="L35" s="33"/>
      <c r="M35" s="33"/>
      <c r="N35" s="33"/>
    </row>
    <row r="36" ht="15.75" customHeight="1">
      <c r="A36" s="52"/>
      <c r="B36" s="52"/>
      <c r="C36" s="52"/>
      <c r="D36" s="60"/>
      <c r="E36" s="60"/>
      <c r="F36" s="55" t="s">
        <v>26</v>
      </c>
      <c r="G36" s="56"/>
      <c r="H36" s="61">
        <f>VLOOKUP(F36,$A$8:$B$8,2,TRUE)</f>
        <v>3500</v>
      </c>
      <c r="I36" s="58">
        <f t="shared" si="1"/>
        <v>0</v>
      </c>
      <c r="J36" s="60"/>
      <c r="K36" s="33"/>
      <c r="L36" s="33"/>
      <c r="M36" s="33"/>
      <c r="N36" s="33"/>
    </row>
    <row r="37" ht="15.75" customHeight="1">
      <c r="A37" s="52"/>
      <c r="B37" s="52"/>
      <c r="C37" s="52"/>
      <c r="D37" s="60"/>
      <c r="E37" s="60"/>
      <c r="F37" s="55" t="s">
        <v>27</v>
      </c>
      <c r="G37" s="56">
        <v>4.0</v>
      </c>
      <c r="H37" s="61">
        <f>VLOOKUP(F37,$A$9:$B$9,2,TRUE)</f>
        <v>1000</v>
      </c>
      <c r="I37" s="58">
        <f t="shared" si="1"/>
        <v>4000</v>
      </c>
      <c r="J37" s="60"/>
      <c r="K37" s="33"/>
      <c r="L37" s="33"/>
      <c r="M37" s="33"/>
      <c r="N37" s="33"/>
    </row>
    <row r="38" ht="15.75" customHeight="1">
      <c r="A38" s="52"/>
      <c r="B38" s="52"/>
      <c r="C38" s="52"/>
      <c r="D38" s="60"/>
      <c r="E38" s="60"/>
      <c r="F38" s="55" t="s">
        <v>28</v>
      </c>
      <c r="G38" s="56"/>
      <c r="H38" s="61">
        <f>VLOOKUP(F38,$A$10:$B$10,2,TRUE)</f>
        <v>2000</v>
      </c>
      <c r="I38" s="58">
        <f t="shared" si="1"/>
        <v>0</v>
      </c>
      <c r="J38" s="60"/>
      <c r="K38" s="33"/>
      <c r="L38" s="33"/>
      <c r="M38" s="33"/>
      <c r="N38" s="33"/>
    </row>
    <row r="39" ht="15.75" customHeight="1">
      <c r="A39" s="52"/>
      <c r="B39" s="52"/>
      <c r="C39" s="52"/>
      <c r="D39" s="60"/>
      <c r="E39" s="60"/>
      <c r="F39" s="55" t="s">
        <v>29</v>
      </c>
      <c r="G39" s="56"/>
      <c r="H39" s="61">
        <f>VLOOKUP(F39,$A$11:$B$11,2,TRUE)</f>
        <v>1500</v>
      </c>
      <c r="I39" s="58">
        <f t="shared" si="1"/>
        <v>0</v>
      </c>
      <c r="J39" s="60"/>
      <c r="K39" s="33"/>
      <c r="L39" s="33"/>
      <c r="M39" s="33"/>
      <c r="N39" s="33"/>
    </row>
    <row r="40" ht="15.75" customHeight="1">
      <c r="A40" s="52"/>
      <c r="B40" s="52"/>
      <c r="C40" s="52"/>
      <c r="D40" s="60"/>
      <c r="E40" s="60"/>
      <c r="F40" s="55" t="s">
        <v>30</v>
      </c>
      <c r="G40" s="56"/>
      <c r="H40" s="61">
        <f>VLOOKUP(F40,$A$12:$B$12,2,TRUE)</f>
        <v>1300</v>
      </c>
      <c r="I40" s="58">
        <f t="shared" si="1"/>
        <v>0</v>
      </c>
      <c r="J40" s="60"/>
      <c r="K40" s="33"/>
      <c r="L40" s="33"/>
      <c r="M40" s="33"/>
      <c r="N40" s="33"/>
    </row>
    <row r="41" ht="15.75" customHeight="1">
      <c r="A41" s="52"/>
      <c r="B41" s="52"/>
      <c r="C41" s="52"/>
      <c r="D41" s="60"/>
      <c r="E41" s="60"/>
      <c r="F41" s="55" t="s">
        <v>31</v>
      </c>
      <c r="G41" s="56"/>
      <c r="H41" s="61">
        <f>VLOOKUP(F41,$A$13:$B$13,2,TRUE)</f>
        <v>1000</v>
      </c>
      <c r="I41" s="58">
        <f t="shared" si="1"/>
        <v>0</v>
      </c>
      <c r="J41" s="60"/>
      <c r="K41" s="33"/>
      <c r="L41" s="33"/>
      <c r="M41" s="33"/>
      <c r="N41" s="33"/>
    </row>
    <row r="42" ht="15.75" customHeight="1">
      <c r="A42" s="52"/>
      <c r="B42" s="52"/>
      <c r="C42" s="52"/>
      <c r="D42" s="60"/>
      <c r="E42" s="60"/>
      <c r="F42" s="55" t="s">
        <v>32</v>
      </c>
      <c r="G42" s="56"/>
      <c r="H42" s="61">
        <f>VLOOKUP(F42,$A$14:$B$14,2,TRUE)</f>
        <v>500</v>
      </c>
      <c r="I42" s="58">
        <f t="shared" si="1"/>
        <v>0</v>
      </c>
      <c r="J42" s="60"/>
      <c r="K42" s="33"/>
      <c r="L42" s="33"/>
      <c r="M42" s="33"/>
      <c r="N42" s="33"/>
    </row>
    <row r="43" ht="15.75" customHeight="1">
      <c r="A43" s="52"/>
      <c r="B43" s="52"/>
      <c r="C43" s="52"/>
      <c r="D43" s="60"/>
      <c r="E43" s="60"/>
      <c r="F43" s="55" t="s">
        <v>33</v>
      </c>
      <c r="G43" s="56"/>
      <c r="H43" s="61">
        <f>VLOOKUP(F43,$A$15:$B$15,2,TRUE)</f>
        <v>7500</v>
      </c>
      <c r="I43" s="58">
        <f t="shared" si="1"/>
        <v>0</v>
      </c>
      <c r="J43" s="60"/>
      <c r="K43" s="33"/>
      <c r="L43" s="33"/>
      <c r="M43" s="33"/>
      <c r="N43" s="33"/>
    </row>
    <row r="44" ht="15.75" customHeight="1">
      <c r="A44" s="52"/>
      <c r="B44" s="52"/>
      <c r="C44" s="52"/>
      <c r="D44" s="60"/>
      <c r="E44" s="60"/>
      <c r="F44" s="55" t="s">
        <v>34</v>
      </c>
      <c r="G44" s="56"/>
      <c r="H44" s="61">
        <f>VLOOKUP(F44,$A$16:$B$16,2,TRUE)</f>
        <v>2000</v>
      </c>
      <c r="I44" s="58">
        <f t="shared" si="1"/>
        <v>0</v>
      </c>
      <c r="J44" s="60"/>
      <c r="K44" s="33"/>
      <c r="L44" s="33"/>
      <c r="M44" s="33"/>
      <c r="N44" s="33"/>
    </row>
    <row r="45" ht="15.75" customHeight="1">
      <c r="A45" s="52"/>
      <c r="B45" s="52"/>
      <c r="C45" s="52"/>
      <c r="D45" s="60"/>
      <c r="E45" s="60"/>
      <c r="F45" s="55" t="s">
        <v>35</v>
      </c>
      <c r="G45" s="56"/>
      <c r="H45" s="61">
        <f>VLOOKUP(F45,$A$17:$B$17,2,TRUE)</f>
        <v>1000</v>
      </c>
      <c r="I45" s="58">
        <f t="shared" si="1"/>
        <v>0</v>
      </c>
      <c r="J45" s="60"/>
      <c r="K45" s="33"/>
      <c r="L45" s="33"/>
      <c r="M45" s="33"/>
      <c r="N45" s="33"/>
    </row>
    <row r="46" ht="15.75" customHeight="1">
      <c r="A46" s="52"/>
      <c r="B46" s="52"/>
      <c r="C46" s="52"/>
      <c r="D46" s="60"/>
      <c r="E46" s="60"/>
      <c r="F46" s="55" t="s">
        <v>36</v>
      </c>
      <c r="G46" s="56"/>
      <c r="H46" s="61">
        <f>VLOOKUP(F46,$A$18:$B$18,2,TRUE)</f>
        <v>5000</v>
      </c>
      <c r="I46" s="58">
        <f t="shared" si="1"/>
        <v>0</v>
      </c>
      <c r="J46" s="60"/>
      <c r="K46" s="33"/>
      <c r="L46" s="33"/>
      <c r="M46" s="33"/>
      <c r="N46" s="33"/>
    </row>
    <row r="47" ht="15.75" customHeight="1">
      <c r="A47" s="52"/>
      <c r="B47" s="52"/>
      <c r="C47" s="52"/>
      <c r="D47" s="60"/>
      <c r="E47" s="60"/>
      <c r="F47" s="55" t="s">
        <v>37</v>
      </c>
      <c r="G47" s="56"/>
      <c r="H47" s="61">
        <f>VLOOKUP(F47,$A$19:$B$19,2,TRUE)</f>
        <v>2700</v>
      </c>
      <c r="I47" s="58">
        <f t="shared" si="1"/>
        <v>0</v>
      </c>
      <c r="J47" s="60"/>
      <c r="K47" s="33"/>
      <c r="L47" s="33"/>
      <c r="M47" s="33"/>
      <c r="N47" s="33"/>
    </row>
    <row r="48" ht="15.75" customHeight="1">
      <c r="A48" s="52"/>
      <c r="B48" s="52"/>
      <c r="C48" s="52"/>
      <c r="D48" s="60"/>
      <c r="E48" s="60"/>
      <c r="F48" s="55" t="s">
        <v>38</v>
      </c>
      <c r="G48" s="56"/>
      <c r="H48" s="61">
        <f>VLOOKUP(F48,$A$20:$B$20,2,TRUE)</f>
        <v>50000</v>
      </c>
      <c r="I48" s="58">
        <f t="shared" si="1"/>
        <v>0</v>
      </c>
      <c r="J48" s="60"/>
      <c r="K48" s="33"/>
      <c r="L48" s="33"/>
      <c r="M48" s="33"/>
      <c r="N48" s="33"/>
    </row>
    <row r="49" ht="15.75" customHeight="1">
      <c r="A49" s="52"/>
      <c r="B49" s="52"/>
      <c r="C49" s="52"/>
      <c r="D49" s="60"/>
      <c r="E49" s="60"/>
      <c r="F49" s="55" t="s">
        <v>39</v>
      </c>
      <c r="G49" s="56"/>
      <c r="H49" s="61">
        <f>VLOOKUP(F49,$A$21:$B$21,2,TRUE)</f>
        <v>10000</v>
      </c>
      <c r="I49" s="58">
        <f t="shared" si="1"/>
        <v>0</v>
      </c>
      <c r="J49" s="60"/>
      <c r="K49" s="33"/>
      <c r="L49" s="33"/>
      <c r="M49" s="33"/>
      <c r="N49" s="33"/>
    </row>
    <row r="50" ht="15.75" customHeight="1">
      <c r="A50" s="52"/>
      <c r="B50" s="52"/>
      <c r="C50" s="52"/>
      <c r="D50" s="60"/>
      <c r="E50" s="60"/>
      <c r="F50" s="55" t="s">
        <v>40</v>
      </c>
      <c r="G50" s="56"/>
      <c r="H50" s="61">
        <f>VLOOKUP(F50,$A$22:$B$22,2,TRUE)</f>
        <v>1000</v>
      </c>
      <c r="I50" s="58">
        <f t="shared" si="1"/>
        <v>0</v>
      </c>
      <c r="J50" s="60"/>
      <c r="K50" s="33"/>
      <c r="L50" s="33"/>
      <c r="M50" s="33"/>
      <c r="N50" s="33"/>
    </row>
    <row r="51" ht="15.75" customHeight="1">
      <c r="A51" s="52"/>
      <c r="B51" s="52"/>
      <c r="C51" s="52"/>
      <c r="D51" s="60"/>
      <c r="E51" s="60"/>
      <c r="F51" s="55" t="s">
        <v>41</v>
      </c>
      <c r="G51" s="56"/>
      <c r="H51" s="61">
        <f>VLOOKUP(F51,$A$23:$B$23,2,TRUE)</f>
        <v>500</v>
      </c>
      <c r="I51" s="58">
        <f t="shared" si="1"/>
        <v>0</v>
      </c>
      <c r="J51" s="60"/>
      <c r="K51" s="33"/>
      <c r="L51" s="33"/>
      <c r="M51" s="33"/>
      <c r="N51" s="33"/>
    </row>
    <row r="52" ht="15.75" customHeight="1">
      <c r="A52" s="52"/>
      <c r="B52" s="52"/>
      <c r="C52" s="52"/>
      <c r="D52" s="60"/>
      <c r="E52" s="60"/>
      <c r="F52" s="55" t="s">
        <v>42</v>
      </c>
      <c r="G52" s="56"/>
      <c r="H52" s="61">
        <f>VLOOKUP(F52,$A$24:$B$24,2,TRUE)</f>
        <v>200</v>
      </c>
      <c r="I52" s="58">
        <f t="shared" si="1"/>
        <v>0</v>
      </c>
      <c r="J52" s="60"/>
      <c r="K52" s="33"/>
      <c r="L52" s="33"/>
      <c r="M52" s="33"/>
      <c r="N52" s="33"/>
    </row>
    <row r="53" ht="15.75" customHeight="1">
      <c r="A53" s="52"/>
      <c r="B53" s="52"/>
      <c r="C53" s="52"/>
      <c r="D53" s="60"/>
      <c r="E53" s="60"/>
      <c r="F53" s="55" t="s">
        <v>43</v>
      </c>
      <c r="G53" s="56"/>
      <c r="H53" s="61">
        <f>VLOOKUP(F53,$A$25:$B$25,2,TRUE)</f>
        <v>1000</v>
      </c>
      <c r="I53" s="58">
        <f t="shared" si="1"/>
        <v>0</v>
      </c>
      <c r="J53" s="60"/>
      <c r="K53" s="33"/>
      <c r="L53" s="33"/>
      <c r="M53" s="33"/>
      <c r="N53" s="33"/>
    </row>
    <row r="54" ht="15.75" customHeight="1">
      <c r="A54" s="52"/>
      <c r="B54" s="52"/>
      <c r="C54" s="52"/>
      <c r="D54" s="60"/>
      <c r="E54" s="60"/>
      <c r="F54" s="55" t="s">
        <v>18</v>
      </c>
      <c r="G54" s="56"/>
      <c r="H54" s="61">
        <f>VLOOKUP(F54,$A$26:$B$26,2,TRUE)</f>
        <v>300</v>
      </c>
      <c r="I54" s="58">
        <f t="shared" si="1"/>
        <v>0</v>
      </c>
      <c r="J54" s="60"/>
      <c r="K54" s="33"/>
      <c r="L54" s="33"/>
      <c r="M54" s="33"/>
      <c r="N54" s="33"/>
    </row>
    <row r="55" ht="15.75" customHeight="1">
      <c r="A55" s="52"/>
      <c r="B55" s="52"/>
      <c r="C55" s="52"/>
      <c r="D55" s="60"/>
      <c r="E55" s="60"/>
      <c r="F55" s="55" t="s">
        <v>44</v>
      </c>
      <c r="G55" s="56"/>
      <c r="H55" s="61">
        <f>VLOOKUP(F55,$A$27:$B$27,2,TRUE)</f>
        <v>100</v>
      </c>
      <c r="I55" s="58">
        <f t="shared" si="1"/>
        <v>0</v>
      </c>
      <c r="J55" s="60"/>
      <c r="K55" s="33"/>
      <c r="L55" s="33"/>
      <c r="M55" s="33"/>
      <c r="N55" s="33"/>
    </row>
    <row r="56" ht="15.75" customHeight="1">
      <c r="A56" s="52"/>
      <c r="B56" s="52"/>
      <c r="C56" s="52"/>
      <c r="D56" s="60"/>
      <c r="E56" s="60"/>
      <c r="F56" s="55" t="s">
        <v>13</v>
      </c>
      <c r="G56" s="56"/>
      <c r="H56" s="61">
        <f>VLOOKUP(F55,$A$28:$B$28,2,TRUE)</f>
        <v>1500</v>
      </c>
      <c r="I56" s="58">
        <f t="shared" si="1"/>
        <v>0</v>
      </c>
      <c r="J56" s="60"/>
      <c r="K56" s="33"/>
      <c r="L56" s="33"/>
      <c r="M56" s="33"/>
      <c r="N56" s="33"/>
    </row>
    <row r="57" ht="15.75" customHeight="1">
      <c r="A57" s="52"/>
      <c r="B57" s="52"/>
      <c r="C57" s="52"/>
      <c r="D57" s="60"/>
      <c r="E57" s="60"/>
      <c r="F57" s="55" t="s">
        <v>20</v>
      </c>
      <c r="G57" s="56"/>
      <c r="H57" s="61">
        <f>VLOOKUP(F56,$A$29:$B$29,2,TRUE)</f>
        <v>4000</v>
      </c>
      <c r="I57" s="58">
        <f t="shared" si="1"/>
        <v>0</v>
      </c>
      <c r="J57" s="60"/>
      <c r="K57" s="33"/>
      <c r="L57" s="33"/>
      <c r="M57" s="33"/>
      <c r="N57" s="33"/>
    </row>
    <row r="58" ht="15.75" customHeight="1">
      <c r="A58" s="52"/>
      <c r="B58" s="52"/>
      <c r="C58" s="52"/>
      <c r="D58" s="18"/>
      <c r="E58" s="18"/>
      <c r="F58" s="55" t="s">
        <v>59</v>
      </c>
      <c r="G58" s="56"/>
      <c r="H58" s="61">
        <f>VLOOKUP(F57,$A$30:$B$30,2,TRUE)</f>
        <v>500</v>
      </c>
      <c r="I58" s="58">
        <f t="shared" si="1"/>
        <v>0</v>
      </c>
      <c r="J58" s="18"/>
      <c r="K58" s="33"/>
      <c r="L58" s="33"/>
      <c r="M58" s="33"/>
      <c r="N58" s="33"/>
    </row>
    <row r="59" ht="15.75" customHeight="1">
      <c r="A59" s="52"/>
      <c r="B59" s="52"/>
      <c r="C59" s="52"/>
      <c r="D59" s="53">
        <v>3.0</v>
      </c>
      <c r="E59" s="66" t="s">
        <v>100</v>
      </c>
      <c r="F59" s="55" t="s">
        <v>22</v>
      </c>
      <c r="G59" s="56">
        <f>1+1</f>
        <v>2</v>
      </c>
      <c r="H59" s="57">
        <f>VLOOKUP(F59,$A$4:$B$4,2,TRUE)</f>
        <v>4000</v>
      </c>
      <c r="I59" s="58">
        <f t="shared" si="1"/>
        <v>8000</v>
      </c>
      <c r="J59" s="59">
        <f>SUM(I59:I85)</f>
        <v>34500</v>
      </c>
      <c r="K59" s="33"/>
      <c r="L59" s="33"/>
      <c r="M59" s="33"/>
      <c r="N59" s="33"/>
    </row>
    <row r="60" ht="15.75" customHeight="1">
      <c r="A60" s="52"/>
      <c r="B60" s="52"/>
      <c r="C60" s="52"/>
      <c r="D60" s="60"/>
      <c r="E60" s="60"/>
      <c r="F60" s="55" t="s">
        <v>57</v>
      </c>
      <c r="G60" s="56">
        <v>1.5</v>
      </c>
      <c r="H60" s="61">
        <f>VLOOKUP(F60,$A$5:$B$5,2,TRUE)</f>
        <v>3000</v>
      </c>
      <c r="I60" s="58">
        <f t="shared" si="1"/>
        <v>4500</v>
      </c>
      <c r="J60" s="60"/>
      <c r="K60" s="33"/>
      <c r="L60" s="33"/>
      <c r="M60" s="33"/>
      <c r="N60" s="33"/>
    </row>
    <row r="61" ht="15.75" customHeight="1">
      <c r="A61" s="52"/>
      <c r="B61" s="52"/>
      <c r="C61" s="52"/>
      <c r="D61" s="60"/>
      <c r="E61" s="60"/>
      <c r="F61" s="55" t="s">
        <v>58</v>
      </c>
      <c r="G61" s="56"/>
      <c r="H61" s="61">
        <f>VLOOKUP(F61,$A$6:$B$6,2,TRUE)</f>
        <v>1000</v>
      </c>
      <c r="I61" s="58">
        <f t="shared" si="1"/>
        <v>0</v>
      </c>
      <c r="J61" s="60"/>
      <c r="K61" s="33"/>
      <c r="L61" s="33"/>
      <c r="M61" s="33"/>
      <c r="N61" s="33"/>
    </row>
    <row r="62" ht="15.75" customHeight="1">
      <c r="A62" s="52"/>
      <c r="B62" s="52"/>
      <c r="C62" s="52"/>
      <c r="D62" s="60"/>
      <c r="E62" s="60"/>
      <c r="F62" s="55" t="s">
        <v>25</v>
      </c>
      <c r="G62" s="56"/>
      <c r="H62" s="61">
        <f>VLOOKUP(F62,$A$7:$B$7,2,TRUE)</f>
        <v>2800</v>
      </c>
      <c r="I62" s="58">
        <f t="shared" si="1"/>
        <v>0</v>
      </c>
      <c r="J62" s="60"/>
      <c r="K62" s="33"/>
      <c r="L62" s="33"/>
      <c r="M62" s="33"/>
      <c r="N62" s="33"/>
    </row>
    <row r="63" ht="15.75" customHeight="1">
      <c r="A63" s="52"/>
      <c r="B63" s="52"/>
      <c r="C63" s="52"/>
      <c r="D63" s="60"/>
      <c r="E63" s="60"/>
      <c r="F63" s="55" t="s">
        <v>26</v>
      </c>
      <c r="G63" s="56"/>
      <c r="H63" s="61">
        <f>VLOOKUP(F63,$A$8:$B$8,2,TRUE)</f>
        <v>3500</v>
      </c>
      <c r="I63" s="58">
        <f t="shared" si="1"/>
        <v>0</v>
      </c>
      <c r="J63" s="60"/>
      <c r="K63" s="33"/>
      <c r="L63" s="33"/>
      <c r="M63" s="33"/>
      <c r="N63" s="33"/>
    </row>
    <row r="64" ht="15.75" customHeight="1">
      <c r="A64" s="52"/>
      <c r="B64" s="52"/>
      <c r="C64" s="52"/>
      <c r="D64" s="60"/>
      <c r="E64" s="60"/>
      <c r="F64" s="55" t="s">
        <v>27</v>
      </c>
      <c r="G64" s="56">
        <f>2.5+1+0.5+0.5+1+1</f>
        <v>6.5</v>
      </c>
      <c r="H64" s="61">
        <f>VLOOKUP(F64,$A$9:$B$9,2,TRUE)</f>
        <v>1000</v>
      </c>
      <c r="I64" s="58">
        <f t="shared" si="1"/>
        <v>6500</v>
      </c>
      <c r="J64" s="60"/>
      <c r="K64" s="33"/>
      <c r="L64" s="33"/>
      <c r="M64" s="33"/>
      <c r="N64" s="33"/>
    </row>
    <row r="65" ht="15.75" customHeight="1">
      <c r="A65" s="52"/>
      <c r="B65" s="52"/>
      <c r="C65" s="52"/>
      <c r="D65" s="60"/>
      <c r="E65" s="60"/>
      <c r="F65" s="55" t="s">
        <v>28</v>
      </c>
      <c r="G65" s="56"/>
      <c r="H65" s="61">
        <f>VLOOKUP(F65,$A$10:$B$10,2,TRUE)</f>
        <v>2000</v>
      </c>
      <c r="I65" s="58">
        <f t="shared" si="1"/>
        <v>0</v>
      </c>
      <c r="J65" s="60"/>
      <c r="K65" s="33"/>
      <c r="L65" s="33"/>
      <c r="M65" s="33"/>
      <c r="N65" s="33"/>
    </row>
    <row r="66" ht="15.75" customHeight="1">
      <c r="A66" s="52"/>
      <c r="B66" s="52"/>
      <c r="C66" s="52"/>
      <c r="D66" s="60"/>
      <c r="E66" s="60"/>
      <c r="F66" s="55" t="s">
        <v>29</v>
      </c>
      <c r="G66" s="56">
        <f>2+5</f>
        <v>7</v>
      </c>
      <c r="H66" s="61">
        <f>VLOOKUP(F66,$A$11:$B$11,2,TRUE)</f>
        <v>1500</v>
      </c>
      <c r="I66" s="58">
        <f t="shared" si="1"/>
        <v>10500</v>
      </c>
      <c r="J66" s="60"/>
      <c r="K66" s="33"/>
      <c r="L66" s="33"/>
      <c r="M66" s="33"/>
      <c r="N66" s="33"/>
    </row>
    <row r="67" ht="15.75" customHeight="1">
      <c r="A67" s="52"/>
      <c r="B67" s="52"/>
      <c r="C67" s="52"/>
      <c r="D67" s="60"/>
      <c r="E67" s="60"/>
      <c r="F67" s="55" t="s">
        <v>30</v>
      </c>
      <c r="G67" s="56"/>
      <c r="H67" s="61">
        <f>VLOOKUP(F67,$A$12:$B$12,2,TRUE)</f>
        <v>1300</v>
      </c>
      <c r="I67" s="58">
        <f t="shared" si="1"/>
        <v>0</v>
      </c>
      <c r="J67" s="60"/>
      <c r="K67" s="33"/>
      <c r="L67" s="33"/>
      <c r="M67" s="33"/>
      <c r="N67" s="33"/>
    </row>
    <row r="68" ht="15.75" customHeight="1">
      <c r="A68" s="52"/>
      <c r="B68" s="52"/>
      <c r="C68" s="52"/>
      <c r="D68" s="60"/>
      <c r="E68" s="60"/>
      <c r="F68" s="55" t="s">
        <v>31</v>
      </c>
      <c r="G68" s="56"/>
      <c r="H68" s="61">
        <f>VLOOKUP(F68,$A$13:$B$13,2,TRUE)</f>
        <v>1000</v>
      </c>
      <c r="I68" s="58">
        <f t="shared" si="1"/>
        <v>0</v>
      </c>
      <c r="J68" s="60"/>
      <c r="K68" s="33"/>
      <c r="L68" s="33"/>
      <c r="M68" s="33"/>
      <c r="N68" s="33"/>
    </row>
    <row r="69" ht="15.75" customHeight="1">
      <c r="A69" s="52"/>
      <c r="B69" s="52"/>
      <c r="C69" s="52"/>
      <c r="D69" s="60"/>
      <c r="E69" s="60"/>
      <c r="F69" s="55" t="s">
        <v>32</v>
      </c>
      <c r="G69" s="56"/>
      <c r="H69" s="61">
        <f>VLOOKUP(F69,$A$14:$B$14,2,TRUE)</f>
        <v>500</v>
      </c>
      <c r="I69" s="58">
        <f t="shared" si="1"/>
        <v>0</v>
      </c>
      <c r="J69" s="60"/>
      <c r="K69" s="33"/>
      <c r="L69" s="33"/>
      <c r="M69" s="33"/>
      <c r="N69" s="33"/>
    </row>
    <row r="70" ht="15.75" customHeight="1">
      <c r="A70" s="52"/>
      <c r="B70" s="52"/>
      <c r="C70" s="52"/>
      <c r="D70" s="60"/>
      <c r="E70" s="60"/>
      <c r="F70" s="55" t="s">
        <v>33</v>
      </c>
      <c r="G70" s="56"/>
      <c r="H70" s="61">
        <f>VLOOKUP(F70,$A$15:$B$15,2,TRUE)</f>
        <v>7500</v>
      </c>
      <c r="I70" s="58">
        <f t="shared" si="1"/>
        <v>0</v>
      </c>
      <c r="J70" s="60"/>
      <c r="K70" s="33"/>
      <c r="L70" s="33"/>
      <c r="M70" s="33"/>
      <c r="N70" s="33"/>
    </row>
    <row r="71" ht="15.75" customHeight="1">
      <c r="A71" s="52"/>
      <c r="B71" s="52"/>
      <c r="C71" s="52"/>
      <c r="D71" s="60"/>
      <c r="E71" s="60"/>
      <c r="F71" s="55" t="s">
        <v>34</v>
      </c>
      <c r="G71" s="56"/>
      <c r="H71" s="61">
        <f>VLOOKUP(F71,$A$16:$B$16,2,TRUE)</f>
        <v>2000</v>
      </c>
      <c r="I71" s="58">
        <f t="shared" si="1"/>
        <v>0</v>
      </c>
      <c r="J71" s="60"/>
      <c r="K71" s="33"/>
      <c r="L71" s="33"/>
      <c r="M71" s="33"/>
      <c r="N71" s="33"/>
    </row>
    <row r="72" ht="15.75" customHeight="1">
      <c r="A72" s="52"/>
      <c r="B72" s="52"/>
      <c r="C72" s="52"/>
      <c r="D72" s="60"/>
      <c r="E72" s="60"/>
      <c r="F72" s="55" t="s">
        <v>35</v>
      </c>
      <c r="G72" s="56">
        <v>5.0</v>
      </c>
      <c r="H72" s="61">
        <f>VLOOKUP(F72,$A$17:$B$17,2,TRUE)</f>
        <v>1000</v>
      </c>
      <c r="I72" s="58">
        <f t="shared" si="1"/>
        <v>5000</v>
      </c>
      <c r="J72" s="60"/>
      <c r="K72" s="33"/>
      <c r="L72" s="33"/>
      <c r="M72" s="33"/>
      <c r="N72" s="33"/>
    </row>
    <row r="73" ht="15.75" customHeight="1">
      <c r="A73" s="52"/>
      <c r="B73" s="52"/>
      <c r="C73" s="52"/>
      <c r="D73" s="60"/>
      <c r="E73" s="60"/>
      <c r="F73" s="55" t="s">
        <v>36</v>
      </c>
      <c r="G73" s="56"/>
      <c r="H73" s="61">
        <f>VLOOKUP(F73,$A$18:$B$18,2,TRUE)</f>
        <v>5000</v>
      </c>
      <c r="I73" s="58">
        <f t="shared" si="1"/>
        <v>0</v>
      </c>
      <c r="J73" s="60"/>
      <c r="K73" s="33"/>
      <c r="L73" s="33"/>
      <c r="M73" s="33"/>
      <c r="N73" s="33"/>
    </row>
    <row r="74" ht="15.75" customHeight="1">
      <c r="A74" s="52"/>
      <c r="B74" s="52"/>
      <c r="C74" s="52"/>
      <c r="D74" s="60"/>
      <c r="E74" s="60"/>
      <c r="F74" s="55" t="s">
        <v>37</v>
      </c>
      <c r="G74" s="56"/>
      <c r="H74" s="61">
        <f>VLOOKUP(F74,$A$19:$B$19,2,TRUE)</f>
        <v>2700</v>
      </c>
      <c r="I74" s="58">
        <f t="shared" si="1"/>
        <v>0</v>
      </c>
      <c r="J74" s="60"/>
      <c r="K74" s="33"/>
      <c r="L74" s="33"/>
      <c r="M74" s="33"/>
      <c r="N74" s="33"/>
    </row>
    <row r="75" ht="15.75" customHeight="1">
      <c r="A75" s="52"/>
      <c r="B75" s="52"/>
      <c r="C75" s="52"/>
      <c r="D75" s="60"/>
      <c r="E75" s="60"/>
      <c r="F75" s="55" t="s">
        <v>38</v>
      </c>
      <c r="G75" s="56"/>
      <c r="H75" s="61">
        <f>VLOOKUP(F75,$A$20:$B$20,2,TRUE)</f>
        <v>50000</v>
      </c>
      <c r="I75" s="58">
        <f t="shared" si="1"/>
        <v>0</v>
      </c>
      <c r="J75" s="60"/>
      <c r="K75" s="33"/>
      <c r="L75" s="33"/>
      <c r="M75" s="33"/>
      <c r="N75" s="33"/>
    </row>
    <row r="76" ht="15.75" customHeight="1">
      <c r="A76" s="52"/>
      <c r="B76" s="52"/>
      <c r="C76" s="52"/>
      <c r="D76" s="60"/>
      <c r="E76" s="60"/>
      <c r="F76" s="55" t="s">
        <v>39</v>
      </c>
      <c r="G76" s="56"/>
      <c r="H76" s="61">
        <f>VLOOKUP(F76,$A$21:$B$21,2,TRUE)</f>
        <v>10000</v>
      </c>
      <c r="I76" s="58">
        <f t="shared" si="1"/>
        <v>0</v>
      </c>
      <c r="J76" s="60"/>
      <c r="K76" s="33"/>
      <c r="L76" s="33"/>
      <c r="M76" s="33"/>
      <c r="N76" s="33"/>
    </row>
    <row r="77" ht="15.75" customHeight="1">
      <c r="A77" s="52"/>
      <c r="B77" s="52"/>
      <c r="C77" s="52"/>
      <c r="D77" s="60"/>
      <c r="E77" s="60"/>
      <c r="F77" s="55" t="s">
        <v>40</v>
      </c>
      <c r="G77" s="56"/>
      <c r="H77" s="61">
        <f>VLOOKUP(F77,$A$22:$B$22,2,TRUE)</f>
        <v>1000</v>
      </c>
      <c r="I77" s="58">
        <f t="shared" si="1"/>
        <v>0</v>
      </c>
      <c r="J77" s="60"/>
      <c r="K77" s="33"/>
      <c r="L77" s="33"/>
      <c r="M77" s="33"/>
      <c r="N77" s="33"/>
    </row>
    <row r="78" ht="15.75" customHeight="1">
      <c r="A78" s="52"/>
      <c r="B78" s="52"/>
      <c r="C78" s="52"/>
      <c r="D78" s="60"/>
      <c r="E78" s="60"/>
      <c r="F78" s="55" t="s">
        <v>41</v>
      </c>
      <c r="G78" s="56"/>
      <c r="H78" s="61">
        <f>VLOOKUP(F78,$A$23:$B$23,2,TRUE)</f>
        <v>500</v>
      </c>
      <c r="I78" s="58">
        <f t="shared" si="1"/>
        <v>0</v>
      </c>
      <c r="J78" s="60"/>
      <c r="K78" s="33"/>
      <c r="L78" s="33"/>
      <c r="M78" s="33"/>
      <c r="N78" s="33"/>
    </row>
    <row r="79" ht="15.75" customHeight="1">
      <c r="A79" s="52"/>
      <c r="B79" s="52"/>
      <c r="C79" s="52"/>
      <c r="D79" s="60"/>
      <c r="E79" s="60"/>
      <c r="F79" s="55" t="s">
        <v>42</v>
      </c>
      <c r="G79" s="56"/>
      <c r="H79" s="61">
        <f>VLOOKUP(F79,$A$24:$B$24,2,TRUE)</f>
        <v>200</v>
      </c>
      <c r="I79" s="58">
        <f t="shared" si="1"/>
        <v>0</v>
      </c>
      <c r="J79" s="60"/>
      <c r="K79" s="33"/>
      <c r="L79" s="33"/>
      <c r="M79" s="33"/>
      <c r="N79" s="33"/>
    </row>
    <row r="80" ht="15.75" customHeight="1">
      <c r="A80" s="52"/>
      <c r="B80" s="52"/>
      <c r="C80" s="52"/>
      <c r="D80" s="60"/>
      <c r="E80" s="60"/>
      <c r="F80" s="55" t="s">
        <v>43</v>
      </c>
      <c r="G80" s="56"/>
      <c r="H80" s="61">
        <f>VLOOKUP(F80,$A$25:$B$25,2,TRUE)</f>
        <v>1000</v>
      </c>
      <c r="I80" s="58">
        <f t="shared" si="1"/>
        <v>0</v>
      </c>
      <c r="J80" s="60"/>
      <c r="K80" s="33"/>
      <c r="L80" s="33"/>
      <c r="M80" s="33"/>
      <c r="N80" s="33"/>
    </row>
    <row r="81" ht="15.75" customHeight="1">
      <c r="A81" s="52"/>
      <c r="B81" s="52"/>
      <c r="C81" s="52"/>
      <c r="D81" s="60"/>
      <c r="E81" s="60"/>
      <c r="F81" s="55" t="s">
        <v>18</v>
      </c>
      <c r="G81" s="56"/>
      <c r="H81" s="61">
        <f>VLOOKUP(F81,$A$26:$B$26,2,TRUE)</f>
        <v>300</v>
      </c>
      <c r="I81" s="58">
        <f t="shared" si="1"/>
        <v>0</v>
      </c>
      <c r="J81" s="60"/>
      <c r="K81" s="33"/>
      <c r="L81" s="33"/>
      <c r="M81" s="33"/>
      <c r="N81" s="33"/>
    </row>
    <row r="82" ht="15.75" customHeight="1">
      <c r="A82" s="52"/>
      <c r="B82" s="52"/>
      <c r="C82" s="52"/>
      <c r="D82" s="60"/>
      <c r="E82" s="60"/>
      <c r="F82" s="55" t="s">
        <v>44</v>
      </c>
      <c r="G82" s="56"/>
      <c r="H82" s="61">
        <f>VLOOKUP(F82,$A$27:$B$27,2,TRUE)</f>
        <v>100</v>
      </c>
      <c r="I82" s="58">
        <f t="shared" si="1"/>
        <v>0</v>
      </c>
      <c r="J82" s="60"/>
      <c r="K82" s="33"/>
      <c r="L82" s="33"/>
      <c r="M82" s="33"/>
      <c r="N82" s="33"/>
    </row>
    <row r="83" ht="15.75" customHeight="1">
      <c r="A83" s="52"/>
      <c r="B83" s="52"/>
      <c r="C83" s="52"/>
      <c r="D83" s="60"/>
      <c r="E83" s="60"/>
      <c r="F83" s="55" t="s">
        <v>13</v>
      </c>
      <c r="G83" s="56"/>
      <c r="H83" s="61">
        <f>VLOOKUP(F82,$A$28:$B$28,2,TRUE)</f>
        <v>1500</v>
      </c>
      <c r="I83" s="58">
        <f t="shared" si="1"/>
        <v>0</v>
      </c>
      <c r="J83" s="60"/>
      <c r="K83" s="33"/>
      <c r="L83" s="33"/>
      <c r="M83" s="33"/>
      <c r="N83" s="33"/>
    </row>
    <row r="84" ht="15.75" customHeight="1">
      <c r="A84" s="52"/>
      <c r="B84" s="52"/>
      <c r="C84" s="52"/>
      <c r="D84" s="60"/>
      <c r="E84" s="60"/>
      <c r="F84" s="55" t="s">
        <v>20</v>
      </c>
      <c r="G84" s="56"/>
      <c r="H84" s="61">
        <f>VLOOKUP(F83,$A$29:$B$29,2,TRUE)</f>
        <v>4000</v>
      </c>
      <c r="I84" s="58">
        <f t="shared" si="1"/>
        <v>0</v>
      </c>
      <c r="J84" s="60"/>
      <c r="K84" s="33"/>
      <c r="L84" s="33"/>
      <c r="M84" s="33"/>
      <c r="N84" s="33"/>
    </row>
    <row r="85" ht="15.75" customHeight="1">
      <c r="A85" s="52"/>
      <c r="B85" s="52"/>
      <c r="C85" s="52"/>
      <c r="D85" s="18"/>
      <c r="E85" s="18"/>
      <c r="F85" s="55" t="s">
        <v>59</v>
      </c>
      <c r="G85" s="56">
        <v>2.0</v>
      </c>
      <c r="H85" s="61">
        <v>0.0</v>
      </c>
      <c r="I85" s="58">
        <f t="shared" si="1"/>
        <v>0</v>
      </c>
      <c r="J85" s="18"/>
      <c r="K85" s="33"/>
      <c r="L85" s="33"/>
      <c r="M85" s="33"/>
      <c r="N85" s="33"/>
    </row>
    <row r="86" ht="15.75" customHeight="1">
      <c r="A86" s="52"/>
      <c r="B86" s="52"/>
      <c r="C86" s="52"/>
      <c r="D86" s="53">
        <v>4.0</v>
      </c>
      <c r="E86" s="65" t="s">
        <v>101</v>
      </c>
      <c r="F86" s="55" t="s">
        <v>22</v>
      </c>
      <c r="G86" s="56"/>
      <c r="H86" s="57">
        <f>VLOOKUP(F86,$A$4:$B$4,2,TRUE)</f>
        <v>4000</v>
      </c>
      <c r="I86" s="58">
        <f t="shared" si="1"/>
        <v>0</v>
      </c>
      <c r="J86" s="59">
        <f>SUM(I86:I112)</f>
        <v>1100</v>
      </c>
      <c r="K86" s="33"/>
      <c r="L86" s="33"/>
      <c r="M86" s="33"/>
      <c r="N86" s="33"/>
    </row>
    <row r="87" ht="15.75" customHeight="1">
      <c r="A87" s="52"/>
      <c r="B87" s="52"/>
      <c r="C87" s="52"/>
      <c r="D87" s="60"/>
      <c r="E87" s="60"/>
      <c r="F87" s="55" t="s">
        <v>57</v>
      </c>
      <c r="G87" s="56"/>
      <c r="H87" s="61">
        <f>VLOOKUP(F87,$A$5:$B$5,2,TRUE)</f>
        <v>3000</v>
      </c>
      <c r="I87" s="58">
        <f t="shared" si="1"/>
        <v>0</v>
      </c>
      <c r="J87" s="60"/>
      <c r="K87" s="33"/>
      <c r="L87" s="33"/>
      <c r="M87" s="33"/>
      <c r="N87" s="33"/>
    </row>
    <row r="88" ht="15.75" customHeight="1">
      <c r="A88" s="52"/>
      <c r="B88" s="52"/>
      <c r="C88" s="52"/>
      <c r="D88" s="60"/>
      <c r="E88" s="60"/>
      <c r="F88" s="55" t="s">
        <v>58</v>
      </c>
      <c r="G88" s="56"/>
      <c r="H88" s="61">
        <f>VLOOKUP(F88,$A$6:$B$6,2,TRUE)</f>
        <v>1000</v>
      </c>
      <c r="I88" s="58">
        <f t="shared" si="1"/>
        <v>0</v>
      </c>
      <c r="J88" s="60"/>
      <c r="K88" s="33"/>
      <c r="L88" s="33"/>
      <c r="M88" s="33"/>
      <c r="N88" s="33"/>
    </row>
    <row r="89" ht="15.75" customHeight="1">
      <c r="A89" s="52"/>
      <c r="B89" s="52"/>
      <c r="C89" s="52"/>
      <c r="D89" s="60"/>
      <c r="E89" s="60"/>
      <c r="F89" s="55" t="s">
        <v>25</v>
      </c>
      <c r="G89" s="56"/>
      <c r="H89" s="61">
        <f>VLOOKUP(F89,$A$7:$B$7,2,TRUE)</f>
        <v>2800</v>
      </c>
      <c r="I89" s="58">
        <f t="shared" si="1"/>
        <v>0</v>
      </c>
      <c r="J89" s="60"/>
      <c r="K89" s="33"/>
      <c r="L89" s="33"/>
      <c r="M89" s="33"/>
      <c r="N89" s="33"/>
    </row>
    <row r="90" ht="15.75" customHeight="1">
      <c r="A90" s="52"/>
      <c r="B90" s="52"/>
      <c r="C90" s="52"/>
      <c r="D90" s="60"/>
      <c r="E90" s="60"/>
      <c r="F90" s="55" t="s">
        <v>26</v>
      </c>
      <c r="G90" s="56"/>
      <c r="H90" s="61">
        <f>VLOOKUP(F90,$A$8:$B$8,2,TRUE)</f>
        <v>3500</v>
      </c>
      <c r="I90" s="58">
        <f t="shared" si="1"/>
        <v>0</v>
      </c>
      <c r="J90" s="60"/>
      <c r="K90" s="33"/>
      <c r="L90" s="33"/>
      <c r="M90" s="33"/>
      <c r="N90" s="33"/>
    </row>
    <row r="91" ht="15.75" customHeight="1">
      <c r="A91" s="52"/>
      <c r="B91" s="52"/>
      <c r="C91" s="52"/>
      <c r="D91" s="60"/>
      <c r="E91" s="60"/>
      <c r="F91" s="55" t="s">
        <v>27</v>
      </c>
      <c r="G91" s="56"/>
      <c r="H91" s="61">
        <f>VLOOKUP(F91,$A$9:$B$9,2,TRUE)</f>
        <v>1000</v>
      </c>
      <c r="I91" s="58">
        <f t="shared" si="1"/>
        <v>0</v>
      </c>
      <c r="J91" s="60"/>
      <c r="K91" s="33"/>
      <c r="L91" s="33"/>
      <c r="M91" s="33"/>
      <c r="N91" s="33"/>
    </row>
    <row r="92" ht="15.75" customHeight="1">
      <c r="A92" s="52"/>
      <c r="B92" s="52"/>
      <c r="C92" s="52"/>
      <c r="D92" s="60"/>
      <c r="E92" s="60"/>
      <c r="F92" s="55" t="s">
        <v>28</v>
      </c>
      <c r="G92" s="56"/>
      <c r="H92" s="61">
        <f>VLOOKUP(F92,$A$10:$B$10,2,TRUE)</f>
        <v>2000</v>
      </c>
      <c r="I92" s="58">
        <f t="shared" si="1"/>
        <v>0</v>
      </c>
      <c r="J92" s="60"/>
      <c r="K92" s="33"/>
      <c r="L92" s="33"/>
      <c r="M92" s="33"/>
      <c r="N92" s="33"/>
    </row>
    <row r="93" ht="15.75" customHeight="1">
      <c r="A93" s="52"/>
      <c r="B93" s="52"/>
      <c r="C93" s="52"/>
      <c r="D93" s="60"/>
      <c r="E93" s="60"/>
      <c r="F93" s="55" t="s">
        <v>29</v>
      </c>
      <c r="G93" s="56"/>
      <c r="H93" s="61">
        <f>VLOOKUP(F93,$A$11:$B$11,2,TRUE)</f>
        <v>1500</v>
      </c>
      <c r="I93" s="58">
        <f t="shared" si="1"/>
        <v>0</v>
      </c>
      <c r="J93" s="60"/>
      <c r="K93" s="33"/>
      <c r="L93" s="33"/>
      <c r="M93" s="33"/>
      <c r="N93" s="33"/>
    </row>
    <row r="94" ht="15.75" customHeight="1">
      <c r="A94" s="52"/>
      <c r="B94" s="52"/>
      <c r="C94" s="52"/>
      <c r="D94" s="60"/>
      <c r="E94" s="60"/>
      <c r="F94" s="55" t="s">
        <v>30</v>
      </c>
      <c r="G94" s="56"/>
      <c r="H94" s="61">
        <f>VLOOKUP(F94,$A$12:$B$12,2,TRUE)</f>
        <v>1300</v>
      </c>
      <c r="I94" s="58">
        <f t="shared" si="1"/>
        <v>0</v>
      </c>
      <c r="J94" s="60"/>
      <c r="K94" s="33"/>
      <c r="L94" s="33"/>
      <c r="M94" s="33"/>
      <c r="N94" s="33"/>
    </row>
    <row r="95" ht="15.75" customHeight="1">
      <c r="A95" s="52"/>
      <c r="B95" s="52"/>
      <c r="C95" s="52"/>
      <c r="D95" s="60"/>
      <c r="E95" s="60"/>
      <c r="F95" s="55" t="s">
        <v>31</v>
      </c>
      <c r="G95" s="56"/>
      <c r="H95" s="61">
        <f>VLOOKUP(F95,$A$13:$B$13,2,TRUE)</f>
        <v>1000</v>
      </c>
      <c r="I95" s="58">
        <f t="shared" si="1"/>
        <v>0</v>
      </c>
      <c r="J95" s="60"/>
      <c r="K95" s="33"/>
      <c r="L95" s="33"/>
      <c r="M95" s="33"/>
      <c r="N95" s="33"/>
    </row>
    <row r="96" ht="15.75" customHeight="1">
      <c r="A96" s="52"/>
      <c r="B96" s="52"/>
      <c r="C96" s="52"/>
      <c r="D96" s="60"/>
      <c r="E96" s="60"/>
      <c r="F96" s="55" t="s">
        <v>32</v>
      </c>
      <c r="G96" s="56"/>
      <c r="H96" s="61">
        <f>VLOOKUP(F96,$A$14:$B$14,2,TRUE)</f>
        <v>500</v>
      </c>
      <c r="I96" s="58">
        <f t="shared" si="1"/>
        <v>0</v>
      </c>
      <c r="J96" s="60"/>
      <c r="K96" s="33"/>
      <c r="L96" s="33"/>
      <c r="M96" s="33"/>
      <c r="N96" s="33"/>
    </row>
    <row r="97" ht="15.75" customHeight="1">
      <c r="A97" s="52"/>
      <c r="B97" s="52"/>
      <c r="C97" s="52"/>
      <c r="D97" s="60"/>
      <c r="E97" s="60"/>
      <c r="F97" s="55" t="s">
        <v>33</v>
      </c>
      <c r="G97" s="56"/>
      <c r="H97" s="61">
        <f>VLOOKUP(F97,$A$15:$B$15,2,TRUE)</f>
        <v>7500</v>
      </c>
      <c r="I97" s="58">
        <f t="shared" si="1"/>
        <v>0</v>
      </c>
      <c r="J97" s="60"/>
      <c r="K97" s="33"/>
      <c r="L97" s="33"/>
      <c r="M97" s="33"/>
      <c r="N97" s="33"/>
    </row>
    <row r="98" ht="15.75" customHeight="1">
      <c r="A98" s="52"/>
      <c r="B98" s="52"/>
      <c r="C98" s="52"/>
      <c r="D98" s="60"/>
      <c r="E98" s="60"/>
      <c r="F98" s="55" t="s">
        <v>34</v>
      </c>
      <c r="G98" s="56"/>
      <c r="H98" s="61">
        <f>VLOOKUP(F98,$A$16:$B$16,2,TRUE)</f>
        <v>2000</v>
      </c>
      <c r="I98" s="58">
        <f t="shared" si="1"/>
        <v>0</v>
      </c>
      <c r="J98" s="60"/>
      <c r="K98" s="33"/>
      <c r="L98" s="33"/>
      <c r="M98" s="33"/>
      <c r="N98" s="33"/>
    </row>
    <row r="99" ht="15.75" customHeight="1">
      <c r="A99" s="52"/>
      <c r="B99" s="52"/>
      <c r="C99" s="52"/>
      <c r="D99" s="60"/>
      <c r="E99" s="60"/>
      <c r="F99" s="55" t="s">
        <v>35</v>
      </c>
      <c r="G99" s="56"/>
      <c r="H99" s="61">
        <f>VLOOKUP(F99,$A$17:$B$17,2,TRUE)</f>
        <v>1000</v>
      </c>
      <c r="I99" s="58">
        <f t="shared" si="1"/>
        <v>0</v>
      </c>
      <c r="J99" s="60"/>
      <c r="K99" s="33"/>
      <c r="L99" s="33"/>
      <c r="M99" s="33"/>
      <c r="N99" s="33"/>
    </row>
    <row r="100" ht="15.75" customHeight="1">
      <c r="A100" s="52"/>
      <c r="B100" s="52"/>
      <c r="C100" s="52"/>
      <c r="D100" s="60"/>
      <c r="E100" s="60"/>
      <c r="F100" s="55" t="s">
        <v>36</v>
      </c>
      <c r="G100" s="56"/>
      <c r="H100" s="61">
        <f>VLOOKUP(F100,$A$18:$B$18,2,TRUE)</f>
        <v>5000</v>
      </c>
      <c r="I100" s="58">
        <f t="shared" si="1"/>
        <v>0</v>
      </c>
      <c r="J100" s="60"/>
      <c r="K100" s="33"/>
      <c r="L100" s="33"/>
      <c r="M100" s="33"/>
      <c r="N100" s="33"/>
    </row>
    <row r="101" ht="15.75" customHeight="1">
      <c r="A101" s="52"/>
      <c r="B101" s="52"/>
      <c r="C101" s="52"/>
      <c r="D101" s="60"/>
      <c r="E101" s="60"/>
      <c r="F101" s="55" t="s">
        <v>37</v>
      </c>
      <c r="G101" s="56"/>
      <c r="H101" s="61">
        <f>VLOOKUP(F101,$A$19:$B$19,2,TRUE)</f>
        <v>2700</v>
      </c>
      <c r="I101" s="58">
        <f t="shared" si="1"/>
        <v>0</v>
      </c>
      <c r="J101" s="60"/>
      <c r="K101" s="33"/>
      <c r="L101" s="33"/>
      <c r="M101" s="33"/>
      <c r="N101" s="33"/>
    </row>
    <row r="102" ht="15.75" customHeight="1">
      <c r="A102" s="52"/>
      <c r="B102" s="52"/>
      <c r="C102" s="52"/>
      <c r="D102" s="60"/>
      <c r="E102" s="60"/>
      <c r="F102" s="55" t="s">
        <v>38</v>
      </c>
      <c r="G102" s="56"/>
      <c r="H102" s="61">
        <f>VLOOKUP(F102,$A$20:$B$20,2,TRUE)</f>
        <v>50000</v>
      </c>
      <c r="I102" s="58">
        <f t="shared" si="1"/>
        <v>0</v>
      </c>
      <c r="J102" s="60"/>
      <c r="K102" s="33"/>
      <c r="L102" s="33"/>
      <c r="M102" s="33"/>
      <c r="N102" s="33"/>
    </row>
    <row r="103" ht="15.75" customHeight="1">
      <c r="A103" s="52"/>
      <c r="B103" s="52"/>
      <c r="C103" s="52"/>
      <c r="D103" s="60"/>
      <c r="E103" s="60"/>
      <c r="F103" s="55" t="s">
        <v>39</v>
      </c>
      <c r="G103" s="56"/>
      <c r="H103" s="61">
        <f>VLOOKUP(F103,$A$21:$B$21,2,TRUE)</f>
        <v>10000</v>
      </c>
      <c r="I103" s="58">
        <f t="shared" si="1"/>
        <v>0</v>
      </c>
      <c r="J103" s="60"/>
      <c r="K103" s="33"/>
      <c r="L103" s="33"/>
      <c r="M103" s="33"/>
      <c r="N103" s="33"/>
    </row>
    <row r="104" ht="15.75" customHeight="1">
      <c r="A104" s="52"/>
      <c r="B104" s="52"/>
      <c r="C104" s="52"/>
      <c r="D104" s="60"/>
      <c r="E104" s="60"/>
      <c r="F104" s="55" t="s">
        <v>40</v>
      </c>
      <c r="G104" s="56"/>
      <c r="H104" s="61">
        <f>VLOOKUP(F104,$A$22:$B$22,2,TRUE)</f>
        <v>1000</v>
      </c>
      <c r="I104" s="58">
        <f t="shared" si="1"/>
        <v>0</v>
      </c>
      <c r="J104" s="60"/>
      <c r="K104" s="33"/>
      <c r="L104" s="33"/>
      <c r="M104" s="33"/>
      <c r="N104" s="33"/>
    </row>
    <row r="105" ht="15.75" customHeight="1">
      <c r="A105" s="52"/>
      <c r="B105" s="52"/>
      <c r="C105" s="52"/>
      <c r="D105" s="60"/>
      <c r="E105" s="60"/>
      <c r="F105" s="55" t="s">
        <v>41</v>
      </c>
      <c r="G105" s="56">
        <v>2.0</v>
      </c>
      <c r="H105" s="61">
        <f>VLOOKUP(F105,$A$23:$B$23,2,TRUE)</f>
        <v>500</v>
      </c>
      <c r="I105" s="58">
        <f t="shared" si="1"/>
        <v>1000</v>
      </c>
      <c r="J105" s="60"/>
      <c r="K105" s="33"/>
      <c r="L105" s="33"/>
      <c r="M105" s="33"/>
      <c r="N105" s="33"/>
    </row>
    <row r="106" ht="15.75" customHeight="1">
      <c r="A106" s="52"/>
      <c r="B106" s="52"/>
      <c r="C106" s="52"/>
      <c r="D106" s="60"/>
      <c r="E106" s="60"/>
      <c r="F106" s="55" t="s">
        <v>42</v>
      </c>
      <c r="G106" s="56">
        <v>0.5</v>
      </c>
      <c r="H106" s="61">
        <f>VLOOKUP(F106,$A$24:$B$24,2,TRUE)</f>
        <v>200</v>
      </c>
      <c r="I106" s="58">
        <f t="shared" si="1"/>
        <v>100</v>
      </c>
      <c r="J106" s="60"/>
      <c r="K106" s="33"/>
      <c r="L106" s="33"/>
      <c r="M106" s="33"/>
      <c r="N106" s="33"/>
    </row>
    <row r="107" ht="15.75" customHeight="1">
      <c r="A107" s="52"/>
      <c r="B107" s="52"/>
      <c r="C107" s="52"/>
      <c r="D107" s="60"/>
      <c r="E107" s="60"/>
      <c r="F107" s="55" t="s">
        <v>43</v>
      </c>
      <c r="G107" s="56"/>
      <c r="H107" s="61">
        <f>VLOOKUP(F107,$A$25:$B$25,2,TRUE)</f>
        <v>1000</v>
      </c>
      <c r="I107" s="58">
        <f t="shared" si="1"/>
        <v>0</v>
      </c>
      <c r="J107" s="60"/>
      <c r="K107" s="33"/>
      <c r="L107" s="33"/>
      <c r="M107" s="33"/>
      <c r="N107" s="33"/>
    </row>
    <row r="108" ht="15.75" customHeight="1">
      <c r="A108" s="52"/>
      <c r="B108" s="52"/>
      <c r="C108" s="52"/>
      <c r="D108" s="60"/>
      <c r="E108" s="60"/>
      <c r="F108" s="55" t="s">
        <v>18</v>
      </c>
      <c r="G108" s="56"/>
      <c r="H108" s="61">
        <f>VLOOKUP(F108,$A$26:$B$26,2,TRUE)</f>
        <v>300</v>
      </c>
      <c r="I108" s="58">
        <f t="shared" si="1"/>
        <v>0</v>
      </c>
      <c r="J108" s="60"/>
      <c r="K108" s="33"/>
      <c r="L108" s="33"/>
      <c r="M108" s="33"/>
      <c r="N108" s="33"/>
    </row>
    <row r="109" ht="15.75" customHeight="1">
      <c r="A109" s="52"/>
      <c r="B109" s="52"/>
      <c r="C109" s="52"/>
      <c r="D109" s="60"/>
      <c r="E109" s="60"/>
      <c r="F109" s="55" t="s">
        <v>44</v>
      </c>
      <c r="G109" s="56"/>
      <c r="H109" s="61">
        <f>VLOOKUP(F109,$A$27:$B$27,2,TRUE)</f>
        <v>100</v>
      </c>
      <c r="I109" s="58">
        <f t="shared" si="1"/>
        <v>0</v>
      </c>
      <c r="J109" s="60"/>
      <c r="K109" s="33"/>
      <c r="L109" s="33"/>
      <c r="M109" s="33"/>
      <c r="N109" s="33"/>
    </row>
    <row r="110" ht="15.75" customHeight="1">
      <c r="A110" s="52"/>
      <c r="B110" s="52"/>
      <c r="C110" s="52"/>
      <c r="D110" s="60"/>
      <c r="E110" s="60"/>
      <c r="F110" s="55" t="s">
        <v>13</v>
      </c>
      <c r="G110" s="56"/>
      <c r="H110" s="61">
        <f>VLOOKUP(F109,$A$28:$B$28,2,TRUE)</f>
        <v>1500</v>
      </c>
      <c r="I110" s="58">
        <f t="shared" si="1"/>
        <v>0</v>
      </c>
      <c r="J110" s="60"/>
      <c r="K110" s="33"/>
      <c r="L110" s="33"/>
      <c r="M110" s="33"/>
      <c r="N110" s="33"/>
    </row>
    <row r="111" ht="15.75" customHeight="1">
      <c r="A111" s="52"/>
      <c r="B111" s="52"/>
      <c r="C111" s="52"/>
      <c r="D111" s="60"/>
      <c r="E111" s="60"/>
      <c r="F111" s="55" t="s">
        <v>20</v>
      </c>
      <c r="G111" s="56"/>
      <c r="H111" s="61">
        <f>VLOOKUP(F110,$A$29:$B$29,2,TRUE)</f>
        <v>4000</v>
      </c>
      <c r="I111" s="58">
        <f t="shared" si="1"/>
        <v>0</v>
      </c>
      <c r="J111" s="60"/>
      <c r="K111" s="33"/>
      <c r="L111" s="33"/>
      <c r="M111" s="33"/>
      <c r="N111" s="33"/>
    </row>
    <row r="112" ht="15.75" customHeight="1">
      <c r="A112" s="52"/>
      <c r="B112" s="52"/>
      <c r="C112" s="52"/>
      <c r="D112" s="18"/>
      <c r="E112" s="18"/>
      <c r="F112" s="55" t="s">
        <v>59</v>
      </c>
      <c r="G112" s="56">
        <v>1.0</v>
      </c>
      <c r="H112" s="61">
        <v>0.0</v>
      </c>
      <c r="I112" s="58">
        <f t="shared" si="1"/>
        <v>0</v>
      </c>
      <c r="J112" s="18"/>
      <c r="K112" s="33"/>
      <c r="L112" s="33"/>
      <c r="M112" s="33"/>
      <c r="N112" s="33"/>
    </row>
    <row r="113" ht="15.75" customHeight="1">
      <c r="A113" s="52"/>
      <c r="B113" s="52"/>
      <c r="C113" s="52"/>
      <c r="D113" s="53">
        <v>5.0</v>
      </c>
      <c r="E113" s="65"/>
      <c r="F113" s="55" t="s">
        <v>22</v>
      </c>
      <c r="G113" s="56"/>
      <c r="H113" s="57">
        <f>VLOOKUP(F113,$A$4:$B$4,2,TRUE)</f>
        <v>4000</v>
      </c>
      <c r="I113" s="58">
        <f t="shared" si="1"/>
        <v>0</v>
      </c>
      <c r="J113" s="59">
        <f>SUM(I113:I139)</f>
        <v>6750</v>
      </c>
      <c r="K113" s="33"/>
      <c r="L113" s="33"/>
      <c r="M113" s="33"/>
      <c r="N113" s="33"/>
    </row>
    <row r="114" ht="15.75" customHeight="1">
      <c r="A114" s="52"/>
      <c r="B114" s="52"/>
      <c r="C114" s="52"/>
      <c r="D114" s="60"/>
      <c r="E114" s="60"/>
      <c r="F114" s="55" t="s">
        <v>57</v>
      </c>
      <c r="G114" s="56"/>
      <c r="H114" s="61">
        <f>VLOOKUP(F114,$A$5:$B$5,2,TRUE)</f>
        <v>3000</v>
      </c>
      <c r="I114" s="58">
        <f t="shared" si="1"/>
        <v>0</v>
      </c>
      <c r="J114" s="60"/>
      <c r="K114" s="33"/>
      <c r="L114" s="33"/>
      <c r="M114" s="33"/>
      <c r="N114" s="33"/>
    </row>
    <row r="115" ht="15.75" customHeight="1">
      <c r="A115" s="52"/>
      <c r="B115" s="52"/>
      <c r="C115" s="52"/>
      <c r="D115" s="60"/>
      <c r="E115" s="60"/>
      <c r="F115" s="55" t="s">
        <v>58</v>
      </c>
      <c r="G115" s="56"/>
      <c r="H115" s="61">
        <f>VLOOKUP(F115,$A$6:$B$6,2,TRUE)</f>
        <v>1000</v>
      </c>
      <c r="I115" s="58">
        <f t="shared" si="1"/>
        <v>0</v>
      </c>
      <c r="J115" s="60"/>
      <c r="K115" s="33"/>
      <c r="L115" s="33"/>
      <c r="M115" s="33"/>
      <c r="N115" s="33"/>
    </row>
    <row r="116" ht="15.75" customHeight="1">
      <c r="A116" s="52"/>
      <c r="B116" s="52"/>
      <c r="C116" s="52"/>
      <c r="D116" s="60"/>
      <c r="E116" s="60"/>
      <c r="F116" s="55" t="s">
        <v>25</v>
      </c>
      <c r="G116" s="56"/>
      <c r="H116" s="61">
        <f>VLOOKUP(F116,$A$7:$B$7,2,TRUE)</f>
        <v>2800</v>
      </c>
      <c r="I116" s="58">
        <f t="shared" si="1"/>
        <v>0</v>
      </c>
      <c r="J116" s="60"/>
      <c r="K116" s="33"/>
      <c r="L116" s="33"/>
      <c r="M116" s="33"/>
      <c r="N116" s="33"/>
    </row>
    <row r="117" ht="15.75" customHeight="1">
      <c r="A117" s="52"/>
      <c r="B117" s="52"/>
      <c r="C117" s="52"/>
      <c r="D117" s="60"/>
      <c r="E117" s="60"/>
      <c r="F117" s="55" t="s">
        <v>26</v>
      </c>
      <c r="G117" s="56"/>
      <c r="H117" s="61">
        <f>VLOOKUP(F117,$A$8:$B$8,2,TRUE)</f>
        <v>3500</v>
      </c>
      <c r="I117" s="58">
        <f t="shared" si="1"/>
        <v>0</v>
      </c>
      <c r="J117" s="60"/>
      <c r="K117" s="33"/>
      <c r="L117" s="33"/>
      <c r="M117" s="33"/>
      <c r="N117" s="33"/>
    </row>
    <row r="118" ht="15.75" customHeight="1">
      <c r="A118" s="52"/>
      <c r="B118" s="52"/>
      <c r="C118" s="52"/>
      <c r="D118" s="60"/>
      <c r="E118" s="60"/>
      <c r="F118" s="55" t="s">
        <v>27</v>
      </c>
      <c r="G118" s="56">
        <v>1.5</v>
      </c>
      <c r="H118" s="61">
        <f>VLOOKUP(F118,$A$9:$B$9,2,TRUE)</f>
        <v>1000</v>
      </c>
      <c r="I118" s="58">
        <f t="shared" si="1"/>
        <v>1500</v>
      </c>
      <c r="J118" s="60"/>
      <c r="K118" s="33"/>
      <c r="L118" s="33"/>
      <c r="M118" s="33"/>
      <c r="N118" s="33"/>
    </row>
    <row r="119" ht="15.75" customHeight="1">
      <c r="A119" s="52"/>
      <c r="B119" s="52"/>
      <c r="C119" s="52"/>
      <c r="D119" s="60"/>
      <c r="E119" s="60"/>
      <c r="F119" s="55" t="s">
        <v>28</v>
      </c>
      <c r="G119" s="56"/>
      <c r="H119" s="61">
        <f>VLOOKUP(F119,$A$10:$B$10,2,TRUE)</f>
        <v>2000</v>
      </c>
      <c r="I119" s="58">
        <f t="shared" si="1"/>
        <v>0</v>
      </c>
      <c r="J119" s="60"/>
      <c r="K119" s="33"/>
      <c r="L119" s="33"/>
      <c r="M119" s="33"/>
      <c r="N119" s="33"/>
    </row>
    <row r="120" ht="15.75" customHeight="1">
      <c r="A120" s="52"/>
      <c r="B120" s="52"/>
      <c r="C120" s="52"/>
      <c r="D120" s="60"/>
      <c r="E120" s="60"/>
      <c r="F120" s="55" t="s">
        <v>29</v>
      </c>
      <c r="G120" s="56">
        <v>3.5</v>
      </c>
      <c r="H120" s="61">
        <f>VLOOKUP(F120,$A$11:$B$11,2,TRUE)</f>
        <v>1500</v>
      </c>
      <c r="I120" s="58">
        <f t="shared" si="1"/>
        <v>5250</v>
      </c>
      <c r="J120" s="60"/>
      <c r="K120" s="33"/>
      <c r="L120" s="33"/>
      <c r="M120" s="33"/>
      <c r="N120" s="33"/>
    </row>
    <row r="121" ht="15.75" customHeight="1">
      <c r="A121" s="52"/>
      <c r="B121" s="52"/>
      <c r="C121" s="52"/>
      <c r="D121" s="60"/>
      <c r="E121" s="60"/>
      <c r="F121" s="55" t="s">
        <v>30</v>
      </c>
      <c r="G121" s="56"/>
      <c r="H121" s="61">
        <f>VLOOKUP(F121,$A$12:$B$12,2,TRUE)</f>
        <v>1300</v>
      </c>
      <c r="I121" s="58">
        <f t="shared" si="1"/>
        <v>0</v>
      </c>
      <c r="J121" s="60"/>
      <c r="K121" s="33"/>
      <c r="L121" s="33"/>
      <c r="M121" s="33"/>
      <c r="N121" s="33"/>
    </row>
    <row r="122" ht="15.75" customHeight="1">
      <c r="A122" s="52"/>
      <c r="B122" s="52"/>
      <c r="C122" s="52"/>
      <c r="D122" s="60"/>
      <c r="E122" s="60"/>
      <c r="F122" s="55" t="s">
        <v>31</v>
      </c>
      <c r="G122" s="56"/>
      <c r="H122" s="61">
        <f>VLOOKUP(F122,$A$13:$B$13,2,TRUE)</f>
        <v>1000</v>
      </c>
      <c r="I122" s="58">
        <f t="shared" si="1"/>
        <v>0</v>
      </c>
      <c r="J122" s="60"/>
      <c r="K122" s="33"/>
      <c r="L122" s="33"/>
      <c r="M122" s="33"/>
      <c r="N122" s="33"/>
    </row>
    <row r="123" ht="15.75" customHeight="1">
      <c r="A123" s="52"/>
      <c r="B123" s="52"/>
      <c r="C123" s="52"/>
      <c r="D123" s="60"/>
      <c r="E123" s="60"/>
      <c r="F123" s="55" t="s">
        <v>32</v>
      </c>
      <c r="G123" s="56"/>
      <c r="H123" s="61">
        <f>VLOOKUP(F123,$A$14:$B$14,2,TRUE)</f>
        <v>500</v>
      </c>
      <c r="I123" s="58">
        <f t="shared" si="1"/>
        <v>0</v>
      </c>
      <c r="J123" s="60"/>
      <c r="K123" s="33"/>
      <c r="L123" s="33"/>
      <c r="M123" s="33"/>
      <c r="N123" s="33"/>
    </row>
    <row r="124" ht="15.75" customHeight="1">
      <c r="A124" s="52"/>
      <c r="B124" s="52"/>
      <c r="C124" s="52"/>
      <c r="D124" s="60"/>
      <c r="E124" s="60"/>
      <c r="F124" s="55" t="s">
        <v>33</v>
      </c>
      <c r="G124" s="56"/>
      <c r="H124" s="61">
        <f>VLOOKUP(F124,$A$15:$B$15,2,TRUE)</f>
        <v>7500</v>
      </c>
      <c r="I124" s="58">
        <f t="shared" si="1"/>
        <v>0</v>
      </c>
      <c r="J124" s="60"/>
      <c r="K124" s="33"/>
      <c r="L124" s="33"/>
      <c r="M124" s="33"/>
      <c r="N124" s="33"/>
    </row>
    <row r="125" ht="15.75" customHeight="1">
      <c r="A125" s="52"/>
      <c r="B125" s="52"/>
      <c r="C125" s="52"/>
      <c r="D125" s="60"/>
      <c r="E125" s="60"/>
      <c r="F125" s="55" t="s">
        <v>34</v>
      </c>
      <c r="G125" s="56"/>
      <c r="H125" s="61">
        <f>VLOOKUP(F125,$A$16:$B$16,2,TRUE)</f>
        <v>2000</v>
      </c>
      <c r="I125" s="58">
        <f t="shared" si="1"/>
        <v>0</v>
      </c>
      <c r="J125" s="60"/>
      <c r="K125" s="33"/>
      <c r="L125" s="33"/>
      <c r="M125" s="33"/>
      <c r="N125" s="33"/>
    </row>
    <row r="126" ht="15.75" customHeight="1">
      <c r="A126" s="52"/>
      <c r="B126" s="52"/>
      <c r="C126" s="52"/>
      <c r="D126" s="60"/>
      <c r="E126" s="60"/>
      <c r="F126" s="55" t="s">
        <v>35</v>
      </c>
      <c r="G126" s="56"/>
      <c r="H126" s="61">
        <f>VLOOKUP(F126,$A$17:$B$17,2,TRUE)</f>
        <v>1000</v>
      </c>
      <c r="I126" s="58">
        <f t="shared" si="1"/>
        <v>0</v>
      </c>
      <c r="J126" s="60"/>
      <c r="K126" s="33"/>
      <c r="L126" s="33"/>
      <c r="M126" s="33"/>
      <c r="N126" s="33"/>
    </row>
    <row r="127" ht="15.75" customHeight="1">
      <c r="A127" s="52"/>
      <c r="B127" s="52"/>
      <c r="C127" s="52"/>
      <c r="D127" s="60"/>
      <c r="E127" s="60"/>
      <c r="F127" s="55" t="s">
        <v>36</v>
      </c>
      <c r="G127" s="56"/>
      <c r="H127" s="61">
        <f>VLOOKUP(F127,$A$18:$B$18,2,TRUE)</f>
        <v>5000</v>
      </c>
      <c r="I127" s="58">
        <f t="shared" si="1"/>
        <v>0</v>
      </c>
      <c r="J127" s="60"/>
      <c r="K127" s="33"/>
      <c r="L127" s="33"/>
      <c r="M127" s="33"/>
      <c r="N127" s="33"/>
    </row>
    <row r="128" ht="15.75" customHeight="1">
      <c r="A128" s="52"/>
      <c r="B128" s="52"/>
      <c r="C128" s="52"/>
      <c r="D128" s="60"/>
      <c r="E128" s="60"/>
      <c r="F128" s="55" t="s">
        <v>37</v>
      </c>
      <c r="G128" s="56"/>
      <c r="H128" s="61">
        <f>VLOOKUP(F128,$A$19:$B$19,2,TRUE)</f>
        <v>2700</v>
      </c>
      <c r="I128" s="58">
        <f t="shared" si="1"/>
        <v>0</v>
      </c>
      <c r="J128" s="60"/>
      <c r="K128" s="33"/>
      <c r="L128" s="33"/>
      <c r="M128" s="33"/>
      <c r="N128" s="33"/>
    </row>
    <row r="129" ht="15.75" customHeight="1">
      <c r="A129" s="52"/>
      <c r="B129" s="52"/>
      <c r="C129" s="52"/>
      <c r="D129" s="60"/>
      <c r="E129" s="60"/>
      <c r="F129" s="55" t="s">
        <v>38</v>
      </c>
      <c r="G129" s="56"/>
      <c r="H129" s="61">
        <f>VLOOKUP(F129,$A$20:$B$20,2,TRUE)</f>
        <v>50000</v>
      </c>
      <c r="I129" s="58">
        <f t="shared" si="1"/>
        <v>0</v>
      </c>
      <c r="J129" s="60"/>
      <c r="K129" s="33"/>
      <c r="L129" s="33"/>
      <c r="M129" s="33"/>
      <c r="N129" s="33"/>
    </row>
    <row r="130" ht="15.75" customHeight="1">
      <c r="A130" s="52"/>
      <c r="B130" s="52"/>
      <c r="C130" s="52"/>
      <c r="D130" s="60"/>
      <c r="E130" s="60"/>
      <c r="F130" s="55" t="s">
        <v>39</v>
      </c>
      <c r="G130" s="56"/>
      <c r="H130" s="61">
        <f>VLOOKUP(F130,$A$21:$B$21,2,TRUE)</f>
        <v>10000</v>
      </c>
      <c r="I130" s="58">
        <f t="shared" si="1"/>
        <v>0</v>
      </c>
      <c r="J130" s="60"/>
      <c r="K130" s="33"/>
      <c r="L130" s="33"/>
      <c r="M130" s="33"/>
      <c r="N130" s="33"/>
    </row>
    <row r="131" ht="15.75" customHeight="1">
      <c r="A131" s="52"/>
      <c r="B131" s="52"/>
      <c r="C131" s="52"/>
      <c r="D131" s="60"/>
      <c r="E131" s="60"/>
      <c r="F131" s="55" t="s">
        <v>40</v>
      </c>
      <c r="G131" s="56"/>
      <c r="H131" s="61">
        <f>VLOOKUP(F131,$A$22:$B$22,2,TRUE)</f>
        <v>1000</v>
      </c>
      <c r="I131" s="58">
        <f t="shared" si="1"/>
        <v>0</v>
      </c>
      <c r="J131" s="60"/>
      <c r="K131" s="33"/>
      <c r="L131" s="33"/>
      <c r="M131" s="33"/>
      <c r="N131" s="33"/>
    </row>
    <row r="132" ht="15.75" customHeight="1">
      <c r="A132" s="52"/>
      <c r="B132" s="52"/>
      <c r="C132" s="52"/>
      <c r="D132" s="60"/>
      <c r="E132" s="60"/>
      <c r="F132" s="55" t="s">
        <v>41</v>
      </c>
      <c r="G132" s="56"/>
      <c r="H132" s="61">
        <f>VLOOKUP(F132,$A$23:$B$23,2,TRUE)</f>
        <v>500</v>
      </c>
      <c r="I132" s="58">
        <f t="shared" si="1"/>
        <v>0</v>
      </c>
      <c r="J132" s="60"/>
      <c r="K132" s="33"/>
      <c r="L132" s="33"/>
      <c r="M132" s="33"/>
      <c r="N132" s="33"/>
    </row>
    <row r="133" ht="15.75" customHeight="1">
      <c r="A133" s="52"/>
      <c r="B133" s="52"/>
      <c r="C133" s="52"/>
      <c r="D133" s="60"/>
      <c r="E133" s="60"/>
      <c r="F133" s="55" t="s">
        <v>42</v>
      </c>
      <c r="G133" s="56"/>
      <c r="H133" s="61">
        <f>VLOOKUP(F133,$A$24:$B$24,2,TRUE)</f>
        <v>200</v>
      </c>
      <c r="I133" s="58">
        <f t="shared" si="1"/>
        <v>0</v>
      </c>
      <c r="J133" s="60"/>
      <c r="K133" s="33"/>
      <c r="L133" s="33"/>
      <c r="M133" s="33"/>
      <c r="N133" s="33"/>
    </row>
    <row r="134" ht="15.75" customHeight="1">
      <c r="A134" s="52"/>
      <c r="B134" s="52"/>
      <c r="C134" s="52"/>
      <c r="D134" s="60"/>
      <c r="E134" s="60"/>
      <c r="F134" s="55" t="s">
        <v>43</v>
      </c>
      <c r="G134" s="56"/>
      <c r="H134" s="61">
        <f>VLOOKUP(F134,$A$25:$B$25,2,TRUE)</f>
        <v>1000</v>
      </c>
      <c r="I134" s="58">
        <f t="shared" si="1"/>
        <v>0</v>
      </c>
      <c r="J134" s="60"/>
      <c r="K134" s="33"/>
      <c r="L134" s="33"/>
      <c r="M134" s="33"/>
      <c r="N134" s="33"/>
    </row>
    <row r="135" ht="15.75" customHeight="1">
      <c r="A135" s="52"/>
      <c r="B135" s="52"/>
      <c r="C135" s="52"/>
      <c r="D135" s="60"/>
      <c r="E135" s="60"/>
      <c r="F135" s="55" t="s">
        <v>18</v>
      </c>
      <c r="G135" s="56"/>
      <c r="H135" s="61">
        <f>VLOOKUP(F135,$A$26:$B$26,2,TRUE)</f>
        <v>300</v>
      </c>
      <c r="I135" s="58">
        <f t="shared" si="1"/>
        <v>0</v>
      </c>
      <c r="J135" s="60"/>
      <c r="K135" s="33"/>
      <c r="L135" s="33"/>
      <c r="M135" s="33"/>
      <c r="N135" s="33"/>
    </row>
    <row r="136" ht="15.75" customHeight="1">
      <c r="A136" s="52"/>
      <c r="B136" s="52"/>
      <c r="C136" s="52"/>
      <c r="D136" s="60"/>
      <c r="E136" s="60"/>
      <c r="F136" s="55" t="s">
        <v>44</v>
      </c>
      <c r="G136" s="56"/>
      <c r="H136" s="61">
        <f>VLOOKUP(F136,$A$27:$B$27,2,TRUE)</f>
        <v>100</v>
      </c>
      <c r="I136" s="58">
        <f t="shared" si="1"/>
        <v>0</v>
      </c>
      <c r="J136" s="60"/>
      <c r="K136" s="33"/>
      <c r="L136" s="33"/>
      <c r="M136" s="33"/>
      <c r="N136" s="33"/>
    </row>
    <row r="137" ht="15.75" customHeight="1">
      <c r="A137" s="52"/>
      <c r="B137" s="52"/>
      <c r="C137" s="52"/>
      <c r="D137" s="60"/>
      <c r="E137" s="60"/>
      <c r="F137" s="55" t="s">
        <v>13</v>
      </c>
      <c r="G137" s="56"/>
      <c r="H137" s="61">
        <f>VLOOKUP(F136,$A$28:$B$28,2,TRUE)</f>
        <v>1500</v>
      </c>
      <c r="I137" s="58">
        <f t="shared" si="1"/>
        <v>0</v>
      </c>
      <c r="J137" s="60"/>
      <c r="K137" s="33"/>
      <c r="L137" s="33"/>
      <c r="M137" s="33"/>
      <c r="N137" s="33"/>
    </row>
    <row r="138" ht="15.75" customHeight="1">
      <c r="A138" s="52"/>
      <c r="B138" s="52"/>
      <c r="C138" s="52"/>
      <c r="D138" s="60"/>
      <c r="E138" s="60"/>
      <c r="F138" s="55" t="s">
        <v>20</v>
      </c>
      <c r="G138" s="56"/>
      <c r="H138" s="61">
        <f>VLOOKUP(F137,$A$29:$B$29,2,TRUE)</f>
        <v>4000</v>
      </c>
      <c r="I138" s="58">
        <f t="shared" si="1"/>
        <v>0</v>
      </c>
      <c r="J138" s="60"/>
      <c r="K138" s="33"/>
      <c r="L138" s="33"/>
      <c r="M138" s="33"/>
      <c r="N138" s="33"/>
    </row>
    <row r="139" ht="15.75" customHeight="1">
      <c r="A139" s="52"/>
      <c r="B139" s="52"/>
      <c r="C139" s="52"/>
      <c r="D139" s="18"/>
      <c r="E139" s="18"/>
      <c r="F139" s="55" t="s">
        <v>59</v>
      </c>
      <c r="G139" s="56">
        <v>4.0</v>
      </c>
      <c r="H139" s="61">
        <v>0.0</v>
      </c>
      <c r="I139" s="58">
        <f t="shared" si="1"/>
        <v>0</v>
      </c>
      <c r="J139" s="18"/>
      <c r="K139" s="33"/>
      <c r="L139" s="33"/>
      <c r="M139" s="33"/>
      <c r="N139" s="33"/>
    </row>
    <row r="140" ht="15.75" customHeight="1">
      <c r="A140" s="52"/>
      <c r="B140" s="52"/>
      <c r="C140" s="52"/>
      <c r="D140" s="63" t="s">
        <v>60</v>
      </c>
      <c r="E140" s="6"/>
      <c r="F140" s="6"/>
      <c r="G140" s="6"/>
      <c r="H140" s="6"/>
      <c r="I140" s="7"/>
      <c r="J140" s="64">
        <f>SUM(J5:J139)</f>
        <v>73350</v>
      </c>
      <c r="K140" s="33"/>
      <c r="L140" s="33"/>
      <c r="M140" s="33"/>
      <c r="N140" s="33"/>
    </row>
    <row r="141" ht="15.75" customHeight="1">
      <c r="A141" s="32"/>
      <c r="B141" s="32"/>
      <c r="C141" s="32"/>
      <c r="D141" s="32"/>
      <c r="E141" s="32"/>
      <c r="F141" s="33"/>
      <c r="G141" s="33"/>
      <c r="H141" s="33"/>
      <c r="I141" s="33"/>
      <c r="J141" s="34"/>
      <c r="K141" s="33"/>
      <c r="L141" s="33"/>
      <c r="M141" s="33"/>
      <c r="N141" s="33"/>
    </row>
    <row r="142" ht="15.75" customHeight="1">
      <c r="A142" s="32"/>
      <c r="B142" s="32"/>
      <c r="C142" s="32"/>
      <c r="D142" s="32"/>
      <c r="E142" s="32"/>
      <c r="F142" s="33"/>
      <c r="G142" s="33"/>
      <c r="H142" s="33"/>
      <c r="I142" s="33"/>
      <c r="J142" s="34"/>
      <c r="K142" s="33"/>
      <c r="L142" s="33"/>
      <c r="M142" s="33"/>
      <c r="N142" s="33"/>
    </row>
    <row r="143" ht="15.75" customHeight="1">
      <c r="A143" s="32"/>
      <c r="B143" s="32"/>
      <c r="C143" s="32"/>
      <c r="D143" s="32"/>
      <c r="E143" s="32"/>
      <c r="F143" s="33"/>
      <c r="G143" s="33"/>
      <c r="H143" s="33"/>
      <c r="I143" s="33"/>
      <c r="J143" s="34"/>
      <c r="K143" s="33"/>
      <c r="L143" s="33"/>
      <c r="M143" s="33"/>
      <c r="N143" s="33"/>
    </row>
    <row r="144" ht="15.75" customHeight="1">
      <c r="A144" s="32"/>
      <c r="B144" s="32"/>
      <c r="C144" s="32"/>
      <c r="D144" s="32"/>
      <c r="E144" s="32"/>
      <c r="F144" s="33"/>
      <c r="G144" s="33"/>
      <c r="H144" s="33"/>
      <c r="I144" s="33"/>
      <c r="J144" s="34"/>
      <c r="K144" s="33"/>
      <c r="L144" s="33"/>
      <c r="M144" s="33"/>
      <c r="N144" s="33"/>
    </row>
    <row r="145" ht="15.75" customHeight="1">
      <c r="A145" s="32"/>
      <c r="B145" s="32"/>
      <c r="C145" s="32"/>
      <c r="D145" s="32"/>
      <c r="E145" s="32"/>
      <c r="F145" s="33"/>
      <c r="G145" s="33"/>
      <c r="H145" s="33"/>
      <c r="I145" s="33"/>
      <c r="J145" s="34"/>
      <c r="K145" s="33"/>
      <c r="L145" s="33"/>
      <c r="M145" s="33"/>
      <c r="N145" s="33"/>
    </row>
    <row r="146" ht="15.75" customHeight="1">
      <c r="A146" s="32"/>
      <c r="B146" s="32"/>
      <c r="C146" s="32"/>
      <c r="D146" s="32"/>
      <c r="E146" s="32"/>
      <c r="F146" s="33"/>
      <c r="G146" s="33"/>
      <c r="H146" s="33"/>
      <c r="I146" s="33"/>
      <c r="J146" s="34"/>
      <c r="K146" s="33"/>
      <c r="L146" s="33"/>
      <c r="M146" s="33"/>
      <c r="N146" s="33"/>
    </row>
    <row r="147" ht="15.75" customHeight="1">
      <c r="A147" s="32"/>
      <c r="B147" s="32"/>
      <c r="C147" s="32"/>
      <c r="D147" s="32"/>
      <c r="E147" s="32"/>
      <c r="F147" s="33"/>
      <c r="G147" s="33"/>
      <c r="H147" s="33"/>
      <c r="I147" s="33"/>
      <c r="J147" s="34"/>
      <c r="K147" s="33"/>
      <c r="L147" s="33"/>
      <c r="M147" s="33"/>
      <c r="N147" s="33"/>
    </row>
    <row r="148" ht="15.75" customHeight="1">
      <c r="A148" s="32"/>
      <c r="B148" s="32"/>
      <c r="C148" s="32"/>
      <c r="D148" s="32"/>
      <c r="E148" s="32"/>
      <c r="F148" s="33"/>
      <c r="G148" s="33"/>
      <c r="H148" s="33"/>
      <c r="I148" s="33"/>
      <c r="J148" s="34"/>
      <c r="K148" s="33"/>
      <c r="L148" s="33"/>
      <c r="M148" s="33"/>
      <c r="N148" s="33"/>
    </row>
    <row r="149" ht="15.75" customHeight="1">
      <c r="A149" s="32"/>
      <c r="B149" s="32"/>
      <c r="C149" s="32"/>
      <c r="D149" s="32"/>
      <c r="E149" s="32"/>
      <c r="J149" s="34"/>
    </row>
    <row r="150" ht="15.75" customHeight="1">
      <c r="A150" s="32"/>
      <c r="B150" s="32"/>
      <c r="C150" s="32"/>
      <c r="D150" s="32"/>
      <c r="E150" s="32"/>
      <c r="J150" s="34"/>
    </row>
    <row r="151" ht="15.75" customHeight="1">
      <c r="A151" s="32"/>
      <c r="B151" s="32"/>
      <c r="C151" s="32"/>
      <c r="D151" s="32"/>
      <c r="E151" s="32"/>
      <c r="J151" s="34"/>
    </row>
    <row r="152" ht="15.75" customHeight="1">
      <c r="A152" s="32"/>
      <c r="B152" s="32"/>
      <c r="C152" s="32"/>
      <c r="D152" s="32"/>
      <c r="E152" s="32"/>
      <c r="J152" s="34"/>
    </row>
    <row r="153" ht="15.75" customHeight="1">
      <c r="A153" s="32"/>
      <c r="B153" s="32"/>
      <c r="C153" s="32"/>
      <c r="D153" s="32"/>
      <c r="E153" s="32"/>
      <c r="J153" s="34"/>
    </row>
    <row r="154" ht="15.75" customHeight="1">
      <c r="A154" s="32"/>
      <c r="B154" s="32"/>
      <c r="C154" s="32"/>
      <c r="D154" s="32"/>
      <c r="E154" s="32"/>
      <c r="J154" s="34"/>
    </row>
    <row r="155" ht="15.75" customHeight="1">
      <c r="A155" s="32"/>
      <c r="B155" s="32"/>
      <c r="C155" s="32"/>
      <c r="D155" s="32"/>
      <c r="E155" s="32"/>
      <c r="J155" s="34"/>
    </row>
    <row r="156" ht="15.75" customHeight="1">
      <c r="A156" s="32"/>
      <c r="B156" s="32"/>
      <c r="C156" s="32"/>
      <c r="D156" s="32"/>
      <c r="E156" s="32"/>
      <c r="J156" s="34"/>
    </row>
    <row r="157" ht="15.75" customHeight="1">
      <c r="A157" s="32"/>
      <c r="B157" s="32"/>
      <c r="C157" s="32"/>
      <c r="D157" s="32"/>
      <c r="E157" s="32"/>
      <c r="J157" s="34"/>
    </row>
    <row r="158" ht="15.75" customHeight="1">
      <c r="A158" s="32"/>
      <c r="B158" s="32"/>
      <c r="C158" s="32"/>
      <c r="D158" s="32"/>
      <c r="E158" s="32"/>
      <c r="J158" s="34"/>
    </row>
    <row r="159" ht="15.75" customHeight="1">
      <c r="A159" s="32"/>
      <c r="B159" s="32"/>
      <c r="C159" s="32"/>
      <c r="D159" s="32"/>
      <c r="E159" s="32"/>
      <c r="J159" s="34"/>
    </row>
    <row r="160" ht="15.75" customHeight="1">
      <c r="A160" s="32"/>
      <c r="B160" s="32"/>
      <c r="C160" s="32"/>
      <c r="D160" s="32"/>
      <c r="E160" s="32"/>
      <c r="J160" s="34"/>
    </row>
    <row r="161" ht="15.75" customHeight="1">
      <c r="A161" s="32"/>
      <c r="B161" s="32"/>
      <c r="C161" s="32"/>
      <c r="D161" s="32"/>
      <c r="E161" s="32"/>
      <c r="J161" s="34"/>
    </row>
    <row r="162" ht="15.75" customHeight="1">
      <c r="A162" s="32"/>
      <c r="B162" s="32"/>
      <c r="C162" s="32"/>
      <c r="D162" s="32"/>
      <c r="E162" s="32"/>
      <c r="J162" s="34"/>
    </row>
    <row r="163" ht="15.75" customHeight="1">
      <c r="A163" s="32"/>
      <c r="B163" s="32"/>
      <c r="C163" s="32"/>
      <c r="D163" s="32"/>
      <c r="E163" s="32"/>
      <c r="J163" s="34"/>
    </row>
    <row r="164" ht="15.75" customHeight="1">
      <c r="A164" s="32"/>
      <c r="B164" s="32"/>
      <c r="C164" s="32"/>
      <c r="D164" s="32"/>
      <c r="E164" s="32"/>
      <c r="J164" s="34"/>
    </row>
    <row r="165" ht="15.75" customHeight="1">
      <c r="A165" s="32"/>
      <c r="B165" s="32"/>
      <c r="C165" s="32"/>
      <c r="D165" s="32"/>
      <c r="E165" s="32"/>
      <c r="J165" s="34"/>
    </row>
    <row r="166" ht="15.75" customHeight="1">
      <c r="A166" s="32"/>
      <c r="B166" s="32"/>
      <c r="C166" s="32"/>
      <c r="D166" s="32"/>
      <c r="E166" s="32"/>
      <c r="J166" s="34"/>
    </row>
    <row r="167" ht="15.75" customHeight="1">
      <c r="A167" s="32"/>
      <c r="B167" s="32"/>
      <c r="C167" s="32"/>
      <c r="D167" s="32"/>
      <c r="E167" s="32"/>
      <c r="J167" s="34"/>
    </row>
    <row r="168" ht="15.75" customHeight="1">
      <c r="A168" s="32"/>
      <c r="B168" s="32"/>
      <c r="C168" s="32"/>
      <c r="D168" s="32"/>
      <c r="E168" s="32"/>
      <c r="J168" s="34"/>
    </row>
    <row r="169" ht="15.75" customHeight="1">
      <c r="A169" s="32"/>
      <c r="B169" s="32"/>
      <c r="C169" s="32"/>
      <c r="D169" s="32"/>
      <c r="E169" s="32"/>
      <c r="J169" s="34"/>
    </row>
    <row r="170" ht="15.75" customHeight="1">
      <c r="A170" s="32"/>
      <c r="B170" s="32"/>
      <c r="C170" s="32"/>
      <c r="D170" s="32"/>
      <c r="E170" s="32"/>
      <c r="J170" s="34"/>
    </row>
    <row r="171" ht="15.75" customHeight="1">
      <c r="A171" s="32"/>
      <c r="B171" s="32"/>
      <c r="C171" s="32"/>
      <c r="D171" s="32"/>
      <c r="E171" s="32"/>
      <c r="J171" s="34"/>
    </row>
    <row r="172" ht="15.75" customHeight="1">
      <c r="A172" s="32"/>
      <c r="B172" s="32"/>
      <c r="C172" s="32"/>
      <c r="D172" s="32"/>
      <c r="E172" s="32"/>
      <c r="J172" s="34"/>
    </row>
    <row r="173" ht="15.75" customHeight="1">
      <c r="A173" s="32"/>
      <c r="B173" s="32"/>
      <c r="C173" s="32"/>
      <c r="D173" s="32"/>
      <c r="E173" s="32"/>
      <c r="J173" s="34"/>
    </row>
    <row r="174" ht="15.75" customHeight="1">
      <c r="A174" s="32"/>
      <c r="B174" s="32"/>
      <c r="C174" s="32"/>
      <c r="D174" s="32"/>
      <c r="E174" s="32"/>
      <c r="J174" s="34"/>
    </row>
    <row r="175" ht="15.75" customHeight="1">
      <c r="A175" s="32"/>
      <c r="B175" s="32"/>
      <c r="C175" s="32"/>
      <c r="D175" s="32"/>
      <c r="E175" s="32"/>
      <c r="J175" s="34"/>
    </row>
    <row r="176" ht="15.75" customHeight="1">
      <c r="A176" s="32"/>
      <c r="B176" s="32"/>
      <c r="C176" s="32"/>
      <c r="D176" s="32"/>
      <c r="E176" s="32"/>
      <c r="J176" s="34"/>
    </row>
    <row r="177" ht="15.75" customHeight="1">
      <c r="A177" s="32"/>
      <c r="B177" s="32"/>
      <c r="C177" s="32"/>
      <c r="D177" s="32"/>
      <c r="E177" s="32"/>
      <c r="J177" s="34"/>
    </row>
    <row r="178" ht="15.75" customHeight="1">
      <c r="A178" s="32"/>
      <c r="B178" s="32"/>
      <c r="C178" s="32"/>
      <c r="D178" s="32"/>
      <c r="E178" s="32"/>
      <c r="J178" s="34"/>
    </row>
    <row r="179" ht="15.75" customHeight="1">
      <c r="A179" s="32"/>
      <c r="B179" s="32"/>
      <c r="C179" s="32"/>
      <c r="D179" s="32"/>
      <c r="E179" s="32"/>
      <c r="J179" s="34"/>
    </row>
    <row r="180" ht="15.75" customHeight="1">
      <c r="A180" s="32"/>
      <c r="B180" s="32"/>
      <c r="C180" s="32"/>
      <c r="D180" s="32"/>
      <c r="E180" s="32"/>
      <c r="J180" s="34"/>
    </row>
    <row r="181" ht="15.75" customHeight="1">
      <c r="A181" s="32"/>
      <c r="B181" s="32"/>
      <c r="C181" s="32"/>
      <c r="D181" s="32"/>
      <c r="E181" s="32"/>
      <c r="J181" s="34"/>
    </row>
    <row r="182" ht="15.75" customHeight="1">
      <c r="A182" s="32"/>
      <c r="B182" s="32"/>
      <c r="C182" s="32"/>
      <c r="D182" s="32"/>
      <c r="E182" s="32"/>
      <c r="J182" s="34"/>
    </row>
    <row r="183" ht="15.75" customHeight="1">
      <c r="A183" s="32"/>
      <c r="B183" s="32"/>
      <c r="C183" s="32"/>
      <c r="D183" s="32"/>
      <c r="E183" s="32"/>
      <c r="J183" s="34"/>
    </row>
    <row r="184" ht="15.75" customHeight="1">
      <c r="A184" s="32"/>
      <c r="B184" s="32"/>
      <c r="C184" s="32"/>
      <c r="D184" s="32"/>
      <c r="E184" s="32"/>
      <c r="J184" s="34"/>
    </row>
    <row r="185" ht="15.75" customHeight="1">
      <c r="A185" s="32"/>
      <c r="B185" s="32"/>
      <c r="C185" s="32"/>
      <c r="D185" s="32"/>
      <c r="E185" s="32"/>
      <c r="J185" s="34"/>
    </row>
    <row r="186" ht="15.75" customHeight="1">
      <c r="A186" s="32"/>
      <c r="B186" s="32"/>
      <c r="C186" s="32"/>
      <c r="D186" s="32"/>
      <c r="E186" s="32"/>
      <c r="J186" s="34"/>
    </row>
    <row r="187" ht="15.75" customHeight="1">
      <c r="A187" s="32"/>
      <c r="B187" s="32"/>
      <c r="C187" s="32"/>
      <c r="D187" s="32"/>
      <c r="E187" s="32"/>
      <c r="J187" s="34"/>
    </row>
    <row r="188" ht="15.75" customHeight="1">
      <c r="A188" s="32"/>
      <c r="B188" s="32"/>
      <c r="C188" s="32"/>
      <c r="D188" s="32"/>
      <c r="E188" s="32"/>
      <c r="J188" s="34"/>
    </row>
    <row r="189" ht="15.75" customHeight="1">
      <c r="A189" s="32"/>
      <c r="B189" s="32"/>
      <c r="C189" s="32"/>
      <c r="D189" s="32"/>
      <c r="E189" s="32"/>
      <c r="J189" s="34"/>
    </row>
    <row r="190" ht="15.75" customHeight="1">
      <c r="A190" s="32"/>
      <c r="B190" s="32"/>
      <c r="C190" s="32"/>
      <c r="D190" s="32"/>
      <c r="E190" s="32"/>
      <c r="J190" s="34"/>
    </row>
    <row r="191" ht="15.75" customHeight="1">
      <c r="A191" s="32"/>
      <c r="B191" s="32"/>
      <c r="C191" s="32"/>
      <c r="D191" s="32"/>
      <c r="E191" s="32"/>
      <c r="J191" s="34"/>
    </row>
    <row r="192" ht="15.75" customHeight="1">
      <c r="A192" s="32"/>
      <c r="B192" s="32"/>
      <c r="C192" s="32"/>
      <c r="D192" s="32"/>
      <c r="E192" s="32"/>
      <c r="J192" s="34"/>
    </row>
    <row r="193" ht="15.75" customHeight="1">
      <c r="A193" s="32"/>
      <c r="B193" s="32"/>
      <c r="C193" s="32"/>
      <c r="D193" s="32"/>
      <c r="E193" s="32"/>
      <c r="J193" s="34"/>
    </row>
    <row r="194" ht="15.75" customHeight="1">
      <c r="A194" s="32"/>
      <c r="B194" s="32"/>
      <c r="C194" s="32"/>
      <c r="D194" s="32"/>
      <c r="E194" s="32"/>
      <c r="J194" s="34"/>
    </row>
    <row r="195" ht="15.75" customHeight="1">
      <c r="A195" s="32"/>
      <c r="B195" s="32"/>
      <c r="C195" s="32"/>
      <c r="D195" s="32"/>
      <c r="E195" s="32"/>
      <c r="J195" s="34"/>
    </row>
    <row r="196" ht="15.75" customHeight="1">
      <c r="A196" s="32"/>
      <c r="B196" s="32"/>
      <c r="C196" s="32"/>
      <c r="D196" s="32"/>
      <c r="E196" s="32"/>
      <c r="J196" s="34"/>
    </row>
    <row r="197" ht="15.75" customHeight="1">
      <c r="A197" s="32"/>
      <c r="B197" s="32"/>
      <c r="C197" s="32"/>
      <c r="D197" s="32"/>
      <c r="E197" s="32"/>
      <c r="J197" s="34"/>
    </row>
    <row r="198" ht="15.75" customHeight="1">
      <c r="A198" s="32"/>
      <c r="B198" s="32"/>
      <c r="C198" s="32"/>
      <c r="D198" s="32"/>
      <c r="E198" s="32"/>
      <c r="J198" s="34"/>
    </row>
    <row r="199" ht="15.75" customHeight="1">
      <c r="A199" s="32"/>
      <c r="B199" s="32"/>
      <c r="C199" s="32"/>
      <c r="D199" s="32"/>
      <c r="E199" s="32"/>
      <c r="J199" s="34"/>
    </row>
    <row r="200" ht="15.75" customHeight="1">
      <c r="A200" s="32"/>
      <c r="B200" s="32"/>
      <c r="C200" s="32"/>
      <c r="D200" s="32"/>
      <c r="E200" s="32"/>
      <c r="J200" s="34"/>
    </row>
    <row r="201" ht="15.75" customHeight="1">
      <c r="A201" s="32"/>
      <c r="B201" s="32"/>
      <c r="C201" s="32"/>
      <c r="D201" s="32"/>
      <c r="E201" s="32"/>
      <c r="J201" s="34"/>
    </row>
    <row r="202" ht="15.75" customHeight="1">
      <c r="A202" s="32"/>
      <c r="B202" s="32"/>
      <c r="C202" s="32"/>
      <c r="D202" s="32"/>
      <c r="E202" s="32"/>
      <c r="J202" s="34"/>
    </row>
    <row r="203" ht="15.75" customHeight="1">
      <c r="A203" s="32"/>
      <c r="B203" s="32"/>
      <c r="C203" s="32"/>
      <c r="D203" s="32"/>
      <c r="E203" s="32"/>
      <c r="J203" s="34"/>
    </row>
    <row r="204" ht="15.75" customHeight="1">
      <c r="A204" s="32"/>
      <c r="B204" s="32"/>
      <c r="C204" s="32"/>
      <c r="D204" s="32"/>
      <c r="E204" s="32"/>
      <c r="J204" s="34"/>
    </row>
    <row r="205" ht="15.75" customHeight="1">
      <c r="A205" s="32"/>
      <c r="B205" s="32"/>
      <c r="C205" s="32"/>
      <c r="D205" s="32"/>
      <c r="E205" s="32"/>
      <c r="J205" s="34"/>
    </row>
    <row r="206" ht="15.75" customHeight="1">
      <c r="A206" s="32"/>
      <c r="B206" s="32"/>
      <c r="C206" s="32"/>
      <c r="D206" s="32"/>
      <c r="E206" s="32"/>
      <c r="J206" s="34"/>
    </row>
    <row r="207" ht="15.75" customHeight="1">
      <c r="A207" s="32"/>
      <c r="B207" s="32"/>
      <c r="C207" s="32"/>
      <c r="D207" s="32"/>
      <c r="E207" s="32"/>
      <c r="J207" s="34"/>
    </row>
    <row r="208" ht="15.75" customHeight="1">
      <c r="A208" s="32"/>
      <c r="B208" s="32"/>
      <c r="C208" s="32"/>
      <c r="D208" s="32"/>
      <c r="E208" s="32"/>
      <c r="J208" s="34"/>
    </row>
    <row r="209" ht="15.75" customHeight="1">
      <c r="A209" s="32"/>
      <c r="B209" s="32"/>
      <c r="C209" s="32"/>
      <c r="D209" s="32"/>
      <c r="E209" s="32"/>
      <c r="J209" s="34"/>
    </row>
    <row r="210" ht="15.75" customHeight="1">
      <c r="A210" s="32"/>
      <c r="B210" s="32"/>
      <c r="C210" s="32"/>
      <c r="D210" s="32"/>
      <c r="E210" s="32"/>
      <c r="J210" s="34"/>
    </row>
    <row r="211" ht="15.75" customHeight="1">
      <c r="A211" s="32"/>
      <c r="B211" s="32"/>
      <c r="C211" s="32"/>
      <c r="D211" s="32"/>
      <c r="E211" s="32"/>
      <c r="J211" s="34"/>
    </row>
    <row r="212" ht="15.75" customHeight="1">
      <c r="A212" s="32"/>
      <c r="B212" s="32"/>
      <c r="C212" s="32"/>
      <c r="D212" s="32"/>
      <c r="E212" s="32"/>
      <c r="J212" s="34"/>
    </row>
    <row r="213" ht="15.75" customHeight="1">
      <c r="A213" s="32"/>
      <c r="B213" s="32"/>
      <c r="C213" s="32"/>
      <c r="D213" s="32"/>
      <c r="E213" s="32"/>
      <c r="J213" s="34"/>
    </row>
    <row r="214" ht="15.75" customHeight="1">
      <c r="A214" s="32"/>
      <c r="B214" s="32"/>
      <c r="C214" s="32"/>
      <c r="D214" s="32"/>
      <c r="E214" s="32"/>
      <c r="J214" s="34"/>
    </row>
    <row r="215" ht="15.75" customHeight="1">
      <c r="A215" s="32"/>
      <c r="B215" s="32"/>
      <c r="C215" s="32"/>
      <c r="D215" s="32"/>
      <c r="E215" s="32"/>
      <c r="J215" s="34"/>
    </row>
    <row r="216" ht="15.75" customHeight="1">
      <c r="A216" s="32"/>
      <c r="B216" s="32"/>
      <c r="C216" s="32"/>
      <c r="D216" s="32"/>
      <c r="E216" s="32"/>
      <c r="J216" s="34"/>
    </row>
    <row r="217" ht="15.75" customHeight="1">
      <c r="A217" s="32"/>
      <c r="B217" s="32"/>
      <c r="C217" s="32"/>
      <c r="D217" s="32"/>
      <c r="E217" s="32"/>
      <c r="J217" s="34"/>
    </row>
    <row r="218" ht="15.75" customHeight="1">
      <c r="A218" s="32"/>
      <c r="B218" s="32"/>
      <c r="C218" s="32"/>
      <c r="D218" s="32"/>
      <c r="E218" s="32"/>
      <c r="J218" s="34"/>
    </row>
    <row r="219" ht="15.75" customHeight="1">
      <c r="A219" s="32"/>
      <c r="B219" s="32"/>
      <c r="C219" s="32"/>
      <c r="D219" s="32"/>
      <c r="E219" s="32"/>
      <c r="J219" s="34"/>
    </row>
    <row r="220" ht="15.75" customHeight="1">
      <c r="A220" s="32"/>
      <c r="B220" s="32"/>
      <c r="C220" s="32"/>
      <c r="D220" s="32"/>
      <c r="E220" s="32"/>
      <c r="J220" s="34"/>
    </row>
    <row r="221" ht="15.75" customHeight="1">
      <c r="A221" s="32"/>
      <c r="B221" s="32"/>
      <c r="C221" s="32"/>
      <c r="D221" s="32"/>
      <c r="E221" s="32"/>
      <c r="J221" s="34"/>
    </row>
    <row r="222" ht="15.75" customHeight="1">
      <c r="A222" s="32"/>
      <c r="B222" s="32"/>
      <c r="C222" s="32"/>
      <c r="D222" s="32"/>
      <c r="E222" s="32"/>
      <c r="J222" s="34"/>
    </row>
    <row r="223" ht="15.75" customHeight="1">
      <c r="A223" s="32"/>
      <c r="B223" s="32"/>
      <c r="C223" s="32"/>
      <c r="D223" s="32"/>
      <c r="E223" s="32"/>
      <c r="J223" s="34"/>
    </row>
    <row r="224" ht="15.75" customHeight="1">
      <c r="A224" s="32"/>
      <c r="B224" s="32"/>
      <c r="C224" s="32"/>
      <c r="D224" s="32"/>
      <c r="E224" s="32"/>
      <c r="J224" s="34"/>
    </row>
    <row r="225" ht="15.75" customHeight="1">
      <c r="A225" s="32"/>
      <c r="B225" s="32"/>
      <c r="C225" s="32"/>
      <c r="D225" s="32"/>
      <c r="E225" s="32"/>
      <c r="J225" s="34"/>
    </row>
    <row r="226" ht="15.75" customHeight="1">
      <c r="A226" s="32"/>
      <c r="B226" s="32"/>
      <c r="C226" s="32"/>
      <c r="D226" s="32"/>
      <c r="E226" s="32"/>
      <c r="J226" s="34"/>
    </row>
    <row r="227" ht="15.75" customHeight="1">
      <c r="A227" s="32"/>
      <c r="B227" s="32"/>
      <c r="C227" s="32"/>
      <c r="D227" s="32"/>
      <c r="E227" s="32"/>
      <c r="J227" s="34"/>
    </row>
    <row r="228" ht="15.75" customHeight="1">
      <c r="A228" s="32"/>
      <c r="B228" s="32"/>
      <c r="C228" s="32"/>
      <c r="D228" s="32"/>
      <c r="E228" s="32"/>
      <c r="J228" s="34"/>
    </row>
    <row r="229" ht="15.75" customHeight="1">
      <c r="A229" s="32"/>
      <c r="B229" s="32"/>
      <c r="C229" s="32"/>
      <c r="D229" s="32"/>
      <c r="E229" s="32"/>
      <c r="J229" s="34"/>
    </row>
    <row r="230" ht="15.75" customHeight="1">
      <c r="A230" s="32"/>
      <c r="B230" s="32"/>
      <c r="C230" s="32"/>
      <c r="D230" s="32"/>
      <c r="E230" s="32"/>
      <c r="J230" s="34"/>
    </row>
    <row r="231" ht="15.75" customHeight="1">
      <c r="A231" s="32"/>
      <c r="B231" s="32"/>
      <c r="C231" s="32"/>
      <c r="D231" s="32"/>
      <c r="E231" s="32"/>
      <c r="J231" s="34"/>
    </row>
    <row r="232" ht="15.75" customHeight="1">
      <c r="A232" s="32"/>
      <c r="B232" s="32"/>
      <c r="C232" s="32"/>
      <c r="D232" s="32"/>
      <c r="E232" s="32"/>
      <c r="J232" s="34"/>
    </row>
    <row r="233" ht="15.75" customHeight="1">
      <c r="A233" s="32"/>
      <c r="B233" s="32"/>
      <c r="C233" s="32"/>
      <c r="D233" s="32"/>
      <c r="E233" s="32"/>
      <c r="J233" s="34"/>
    </row>
    <row r="234" ht="15.75" customHeight="1">
      <c r="A234" s="32"/>
      <c r="B234" s="32"/>
      <c r="C234" s="32"/>
      <c r="D234" s="32"/>
      <c r="E234" s="32"/>
      <c r="J234" s="34"/>
    </row>
    <row r="235" ht="15.75" customHeight="1">
      <c r="A235" s="32"/>
      <c r="B235" s="32"/>
      <c r="C235" s="32"/>
      <c r="D235" s="32"/>
      <c r="E235" s="32"/>
      <c r="J235" s="34"/>
    </row>
    <row r="236" ht="15.75" customHeight="1">
      <c r="A236" s="32"/>
      <c r="B236" s="32"/>
      <c r="C236" s="32"/>
      <c r="D236" s="32"/>
      <c r="E236" s="32"/>
      <c r="J236" s="34"/>
    </row>
    <row r="237" ht="15.75" customHeight="1">
      <c r="A237" s="32"/>
      <c r="B237" s="32"/>
      <c r="C237" s="32"/>
      <c r="D237" s="32"/>
      <c r="E237" s="32"/>
      <c r="J237" s="34"/>
    </row>
    <row r="238" ht="15.75" customHeight="1">
      <c r="A238" s="32"/>
      <c r="B238" s="32"/>
      <c r="C238" s="32"/>
      <c r="D238" s="32"/>
      <c r="E238" s="32"/>
      <c r="J238" s="34"/>
    </row>
    <row r="239" ht="15.75" customHeight="1">
      <c r="A239" s="32"/>
      <c r="B239" s="32"/>
      <c r="C239" s="32"/>
      <c r="D239" s="32"/>
      <c r="E239" s="32"/>
      <c r="J239" s="34"/>
    </row>
    <row r="240" ht="15.75" customHeight="1">
      <c r="A240" s="32"/>
      <c r="B240" s="32"/>
      <c r="C240" s="32"/>
      <c r="D240" s="32"/>
      <c r="E240" s="32"/>
      <c r="J240" s="34"/>
    </row>
    <row r="241" ht="15.75" customHeight="1">
      <c r="A241" s="32"/>
      <c r="B241" s="32"/>
      <c r="C241" s="32"/>
      <c r="D241" s="32"/>
      <c r="E241" s="32"/>
      <c r="J241" s="34"/>
    </row>
    <row r="242" ht="15.75" customHeight="1">
      <c r="A242" s="32"/>
      <c r="B242" s="32"/>
      <c r="C242" s="32"/>
      <c r="D242" s="32"/>
      <c r="E242" s="32"/>
      <c r="J242" s="34"/>
    </row>
    <row r="243" ht="15.75" customHeight="1">
      <c r="A243" s="32"/>
      <c r="B243" s="32"/>
      <c r="C243" s="32"/>
      <c r="D243" s="32"/>
      <c r="E243" s="32"/>
      <c r="J243" s="34"/>
    </row>
    <row r="244" ht="15.75" customHeight="1">
      <c r="A244" s="32"/>
      <c r="B244" s="32"/>
      <c r="C244" s="32"/>
      <c r="D244" s="32"/>
      <c r="E244" s="32"/>
      <c r="J244" s="34"/>
    </row>
    <row r="245" ht="15.75" customHeight="1">
      <c r="A245" s="32"/>
      <c r="B245" s="32"/>
      <c r="C245" s="32"/>
      <c r="D245" s="32"/>
      <c r="E245" s="32"/>
      <c r="J245" s="34"/>
    </row>
    <row r="246" ht="15.75" customHeight="1">
      <c r="A246" s="32"/>
      <c r="B246" s="32"/>
      <c r="C246" s="32"/>
      <c r="D246" s="32"/>
      <c r="E246" s="32"/>
      <c r="J246" s="34"/>
    </row>
    <row r="247" ht="15.75" customHeight="1">
      <c r="A247" s="32"/>
      <c r="B247" s="32"/>
      <c r="C247" s="32"/>
      <c r="D247" s="32"/>
      <c r="E247" s="32"/>
      <c r="J247" s="34"/>
    </row>
    <row r="248" ht="15.75" customHeight="1">
      <c r="A248" s="32"/>
      <c r="B248" s="32"/>
      <c r="C248" s="32"/>
      <c r="D248" s="32"/>
      <c r="E248" s="32"/>
      <c r="J248" s="34"/>
    </row>
    <row r="249" ht="15.75" customHeight="1">
      <c r="A249" s="32"/>
      <c r="B249" s="32"/>
      <c r="C249" s="32"/>
      <c r="D249" s="32"/>
      <c r="E249" s="32"/>
      <c r="J249" s="34"/>
    </row>
    <row r="250" ht="15.75" customHeight="1">
      <c r="A250" s="32"/>
      <c r="B250" s="32"/>
      <c r="C250" s="32"/>
      <c r="D250" s="32"/>
      <c r="E250" s="32"/>
      <c r="J250" s="34"/>
    </row>
    <row r="251" ht="15.75" customHeight="1">
      <c r="A251" s="32"/>
      <c r="B251" s="32"/>
      <c r="C251" s="32"/>
      <c r="D251" s="32"/>
      <c r="E251" s="32"/>
      <c r="J251" s="34"/>
    </row>
    <row r="252" ht="15.75" customHeight="1">
      <c r="A252" s="32"/>
      <c r="B252" s="32"/>
      <c r="C252" s="32"/>
      <c r="D252" s="32"/>
      <c r="E252" s="32"/>
      <c r="J252" s="34"/>
    </row>
    <row r="253" ht="15.75" customHeight="1">
      <c r="A253" s="32"/>
      <c r="B253" s="32"/>
      <c r="C253" s="32"/>
      <c r="D253" s="32"/>
      <c r="E253" s="32"/>
      <c r="J253" s="34"/>
    </row>
    <row r="254" ht="15.75" customHeight="1">
      <c r="A254" s="32"/>
      <c r="B254" s="32"/>
      <c r="C254" s="32"/>
      <c r="D254" s="32"/>
      <c r="E254" s="32"/>
      <c r="J254" s="34"/>
    </row>
    <row r="255" ht="15.75" customHeight="1">
      <c r="A255" s="32"/>
      <c r="B255" s="32"/>
      <c r="C255" s="32"/>
      <c r="D255" s="32"/>
      <c r="E255" s="32"/>
      <c r="J255" s="34"/>
    </row>
    <row r="256" ht="15.75" customHeight="1">
      <c r="A256" s="32"/>
      <c r="B256" s="32"/>
      <c r="C256" s="32"/>
      <c r="D256" s="32"/>
      <c r="E256" s="32"/>
      <c r="J256" s="34"/>
    </row>
    <row r="257" ht="15.75" customHeight="1">
      <c r="A257" s="32"/>
      <c r="B257" s="32"/>
      <c r="C257" s="32"/>
      <c r="D257" s="32"/>
      <c r="E257" s="32"/>
      <c r="J257" s="34"/>
    </row>
    <row r="258" ht="15.75" customHeight="1">
      <c r="A258" s="32"/>
      <c r="B258" s="32"/>
      <c r="C258" s="32"/>
      <c r="D258" s="32"/>
      <c r="E258" s="32"/>
      <c r="J258" s="34"/>
    </row>
    <row r="259" ht="15.75" customHeight="1">
      <c r="A259" s="32"/>
      <c r="B259" s="32"/>
      <c r="C259" s="32"/>
      <c r="D259" s="32"/>
      <c r="E259" s="32"/>
      <c r="J259" s="34"/>
    </row>
    <row r="260" ht="15.75" customHeight="1">
      <c r="A260" s="32"/>
      <c r="B260" s="32"/>
      <c r="C260" s="32"/>
      <c r="D260" s="32"/>
      <c r="E260" s="32"/>
      <c r="J260" s="34"/>
    </row>
    <row r="261" ht="15.75" customHeight="1">
      <c r="A261" s="32"/>
      <c r="B261" s="32"/>
      <c r="C261" s="32"/>
      <c r="D261" s="32"/>
      <c r="E261" s="32"/>
      <c r="J261" s="34"/>
    </row>
    <row r="262" ht="15.75" customHeight="1">
      <c r="A262" s="32"/>
      <c r="B262" s="32"/>
      <c r="C262" s="32"/>
      <c r="D262" s="32"/>
      <c r="E262" s="32"/>
      <c r="J262" s="34"/>
    </row>
    <row r="263" ht="15.75" customHeight="1">
      <c r="A263" s="32"/>
      <c r="B263" s="32"/>
      <c r="C263" s="32"/>
      <c r="D263" s="32"/>
      <c r="E263" s="32"/>
      <c r="J263" s="34"/>
    </row>
    <row r="264" ht="15.75" customHeight="1">
      <c r="A264" s="32"/>
      <c r="B264" s="32"/>
      <c r="C264" s="32"/>
      <c r="D264" s="32"/>
      <c r="E264" s="32"/>
      <c r="J264" s="34"/>
    </row>
    <row r="265" ht="15.75" customHeight="1">
      <c r="A265" s="32"/>
      <c r="B265" s="32"/>
      <c r="C265" s="32"/>
      <c r="D265" s="32"/>
      <c r="E265" s="32"/>
      <c r="J265" s="34"/>
    </row>
    <row r="266" ht="15.75" customHeight="1">
      <c r="A266" s="32"/>
      <c r="B266" s="32"/>
      <c r="C266" s="32"/>
      <c r="D266" s="32"/>
      <c r="E266" s="32"/>
      <c r="J266" s="34"/>
    </row>
    <row r="267" ht="15.75" customHeight="1">
      <c r="A267" s="32"/>
      <c r="B267" s="32"/>
      <c r="C267" s="32"/>
      <c r="D267" s="32"/>
      <c r="E267" s="32"/>
      <c r="J267" s="34"/>
    </row>
    <row r="268" ht="15.75" customHeight="1">
      <c r="A268" s="32"/>
      <c r="B268" s="32"/>
      <c r="C268" s="32"/>
      <c r="D268" s="32"/>
      <c r="E268" s="32"/>
      <c r="J268" s="34"/>
    </row>
    <row r="269" ht="15.75" customHeight="1">
      <c r="A269" s="32"/>
      <c r="B269" s="32"/>
      <c r="C269" s="32"/>
      <c r="D269" s="32"/>
      <c r="E269" s="32"/>
      <c r="J269" s="34"/>
    </row>
    <row r="270" ht="15.75" customHeight="1">
      <c r="A270" s="32"/>
      <c r="B270" s="32"/>
      <c r="C270" s="32"/>
      <c r="D270" s="32"/>
      <c r="E270" s="32"/>
      <c r="J270" s="34"/>
    </row>
    <row r="271" ht="15.75" customHeight="1">
      <c r="A271" s="32"/>
      <c r="B271" s="32"/>
      <c r="C271" s="32"/>
      <c r="D271" s="32"/>
      <c r="E271" s="32"/>
      <c r="J271" s="34"/>
    </row>
    <row r="272" ht="15.75" customHeight="1">
      <c r="A272" s="32"/>
      <c r="B272" s="32"/>
      <c r="C272" s="32"/>
      <c r="D272" s="32"/>
      <c r="E272" s="32"/>
      <c r="J272" s="34"/>
    </row>
    <row r="273" ht="15.75" customHeight="1">
      <c r="A273" s="32"/>
      <c r="B273" s="32"/>
      <c r="C273" s="32"/>
      <c r="D273" s="32"/>
      <c r="E273" s="32"/>
      <c r="J273" s="34"/>
    </row>
    <row r="274" ht="15.75" customHeight="1">
      <c r="A274" s="32"/>
      <c r="B274" s="32"/>
      <c r="C274" s="32"/>
      <c r="D274" s="32"/>
      <c r="E274" s="32"/>
      <c r="J274" s="34"/>
    </row>
    <row r="275" ht="15.75" customHeight="1">
      <c r="A275" s="32"/>
      <c r="B275" s="32"/>
      <c r="C275" s="32"/>
      <c r="D275" s="32"/>
      <c r="E275" s="32"/>
      <c r="J275" s="34"/>
    </row>
    <row r="276" ht="15.75" customHeight="1">
      <c r="A276" s="32"/>
      <c r="B276" s="32"/>
      <c r="C276" s="32"/>
      <c r="D276" s="32"/>
      <c r="E276" s="32"/>
      <c r="J276" s="34"/>
    </row>
    <row r="277" ht="15.75" customHeight="1">
      <c r="A277" s="32"/>
      <c r="B277" s="32"/>
      <c r="C277" s="32"/>
      <c r="D277" s="32"/>
      <c r="E277" s="32"/>
      <c r="J277" s="34"/>
    </row>
    <row r="278" ht="15.75" customHeight="1">
      <c r="A278" s="32"/>
      <c r="B278" s="32"/>
      <c r="C278" s="32"/>
      <c r="D278" s="32"/>
      <c r="E278" s="32"/>
      <c r="J278" s="34"/>
    </row>
    <row r="279" ht="15.75" customHeight="1">
      <c r="A279" s="32"/>
      <c r="B279" s="32"/>
      <c r="C279" s="32"/>
      <c r="D279" s="32"/>
      <c r="E279" s="32"/>
      <c r="J279" s="34"/>
    </row>
    <row r="280" ht="15.75" customHeight="1">
      <c r="A280" s="32"/>
      <c r="B280" s="32"/>
      <c r="C280" s="32"/>
      <c r="D280" s="32"/>
      <c r="E280" s="32"/>
      <c r="J280" s="34"/>
    </row>
    <row r="281" ht="15.75" customHeight="1">
      <c r="A281" s="32"/>
      <c r="B281" s="32"/>
      <c r="C281" s="32"/>
      <c r="D281" s="32"/>
      <c r="E281" s="32"/>
      <c r="J281" s="34"/>
    </row>
    <row r="282" ht="15.75" customHeight="1">
      <c r="A282" s="32"/>
      <c r="B282" s="32"/>
      <c r="C282" s="32"/>
      <c r="D282" s="32"/>
      <c r="E282" s="32"/>
      <c r="J282" s="34"/>
    </row>
    <row r="283" ht="15.75" customHeight="1">
      <c r="A283" s="32"/>
      <c r="B283" s="32"/>
      <c r="C283" s="32"/>
      <c r="D283" s="32"/>
      <c r="E283" s="32"/>
      <c r="J283" s="34"/>
    </row>
    <row r="284" ht="15.75" customHeight="1">
      <c r="A284" s="32"/>
      <c r="B284" s="32"/>
      <c r="C284" s="32"/>
      <c r="D284" s="32"/>
      <c r="E284" s="32"/>
      <c r="J284" s="34"/>
    </row>
    <row r="285" ht="15.75" customHeight="1">
      <c r="A285" s="32"/>
      <c r="B285" s="32"/>
      <c r="C285" s="32"/>
      <c r="D285" s="32"/>
      <c r="E285" s="32"/>
      <c r="J285" s="34"/>
    </row>
    <row r="286" ht="15.75" customHeight="1">
      <c r="A286" s="32"/>
      <c r="B286" s="32"/>
      <c r="C286" s="32"/>
      <c r="D286" s="32"/>
      <c r="E286" s="32"/>
      <c r="J286" s="34"/>
    </row>
    <row r="287" ht="15.75" customHeight="1">
      <c r="A287" s="32"/>
      <c r="B287" s="32"/>
      <c r="C287" s="32"/>
      <c r="D287" s="32"/>
      <c r="E287" s="32"/>
      <c r="J287" s="34"/>
    </row>
    <row r="288" ht="15.75" customHeight="1">
      <c r="A288" s="32"/>
      <c r="B288" s="32"/>
      <c r="C288" s="32"/>
      <c r="D288" s="32"/>
      <c r="E288" s="32"/>
      <c r="J288" s="34"/>
    </row>
    <row r="289" ht="15.75" customHeight="1">
      <c r="A289" s="32"/>
      <c r="B289" s="32"/>
      <c r="C289" s="32"/>
      <c r="D289" s="32"/>
      <c r="E289" s="32"/>
      <c r="J289" s="34"/>
    </row>
    <row r="290" ht="15.75" customHeight="1">
      <c r="A290" s="32"/>
      <c r="B290" s="32"/>
      <c r="C290" s="32"/>
      <c r="D290" s="32"/>
      <c r="E290" s="32"/>
      <c r="J290" s="34"/>
    </row>
    <row r="291" ht="15.75" customHeight="1">
      <c r="A291" s="32"/>
      <c r="B291" s="32"/>
      <c r="C291" s="32"/>
      <c r="D291" s="32"/>
      <c r="E291" s="32"/>
      <c r="J291" s="34"/>
    </row>
    <row r="292" ht="15.75" customHeight="1">
      <c r="J292" s="34"/>
    </row>
    <row r="293" ht="15.75" customHeight="1">
      <c r="J293" s="34"/>
    </row>
    <row r="294" ht="15.75" customHeight="1">
      <c r="J294" s="34"/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J5:J31"/>
    <mergeCell ref="J32:J58"/>
    <mergeCell ref="J59:J85"/>
    <mergeCell ref="J86:J112"/>
    <mergeCell ref="J113:J139"/>
    <mergeCell ref="D59:D85"/>
    <mergeCell ref="E59:E85"/>
    <mergeCell ref="D86:D112"/>
    <mergeCell ref="E86:E112"/>
    <mergeCell ref="D113:D139"/>
    <mergeCell ref="E113:E139"/>
    <mergeCell ref="D140:I140"/>
    <mergeCell ref="A2:B2"/>
    <mergeCell ref="D2:J2"/>
    <mergeCell ref="L2:M3"/>
    <mergeCell ref="D5:D31"/>
    <mergeCell ref="E5:E31"/>
    <mergeCell ref="D32:D58"/>
    <mergeCell ref="E32:E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