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Cikepuh" sheetId="2" r:id="rId5"/>
    <sheet state="visible" name="Pakojan" sheetId="3" r:id="rId6"/>
    <sheet state="visible" name="Paku Anyer" sheetId="4" r:id="rId7"/>
    <sheet state="visible" name="Anyer Cempaka" sheetId="5" r:id="rId8"/>
    <sheet state="visible" name="Anyer Rt 05" sheetId="6" r:id="rId9"/>
    <sheet state="visible" name="Anyer Rt 04" sheetId="7" r:id="rId10"/>
    <sheet state="visible" name="Anyer RT 3" sheetId="8" r:id="rId11"/>
    <sheet state="visible" name="Anyer Rt1" sheetId="9" r:id="rId12"/>
  </sheets>
  <definedNames/>
  <calcPr/>
  <extLst>
    <ext uri="GoogleSheetsCustomDataVersion1">
      <go:sheetsCustomData xmlns:go="http://customooxmlschemas.google.com/" r:id="rId13" roundtripDataSignature="AMtx7mjQxBu535/6RhujXC9zRlR7r4JBhA=="/>
    </ext>
  </extLst>
</workbook>
</file>

<file path=xl/sharedStrings.xml><?xml version="1.0" encoding="utf-8"?>
<sst xmlns="http://schemas.openxmlformats.org/spreadsheetml/2006/main" count="2626" uniqueCount="134">
  <si>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</si>
  <si>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</si>
  <si>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</si>
  <si>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</si>
  <si>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</si>
  <si>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</si>
  <si>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</si>
  <si>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</si>
  <si>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</si>
  <si>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</si>
  <si>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</si>
  <si>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</si>
  <si>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</si>
  <si>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</si>
  <si>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</si>
  <si>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</si>
  <si>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</si>
  <si>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</si>
  <si>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</si>
  <si>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</si>
  <si>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</si>
  <si>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</si>
  <si>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</si>
  <si>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</si>
  <si>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</si>
  <si>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</si>
  <si>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</si>
  <si>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</si>
  <si>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</si>
  <si>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</si>
  <si>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</si>
  <si>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</si>
  <si>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</si>
  <si>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</si>
  <si>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</si>
  <si>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</si>
  <si>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</si>
  <si>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</si>
  <si>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</si>
  <si>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</si>
  <si>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</si>
  <si>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</si>
  <si>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</si>
  <si>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</si>
  <si>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</si>
  <si>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</si>
  <si>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 2022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</si>
  <si>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</si>
  <si>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</si>
  <si>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</si>
  <si>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</si>
  <si>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</si>
  <si>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</si>
  <si>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</si>
  <si>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</si>
  <si>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</si>
  <si>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</si>
  <si>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</si>
  <si>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Desi felayati</t>
  </si>
  <si>
    <t>Botol warna</t>
  </si>
  <si>
    <t>Lainnya</t>
  </si>
  <si>
    <t>Ipon</t>
  </si>
  <si>
    <t>Oom</t>
  </si>
  <si>
    <t>Nurul Komariyah</t>
  </si>
  <si>
    <t>Nita</t>
  </si>
  <si>
    <t>Sumiyati</t>
  </si>
  <si>
    <t>Siti maemunah</t>
  </si>
  <si>
    <t>Samiyah</t>
  </si>
  <si>
    <t>Total Transaksi</t>
  </si>
  <si>
    <t>Fee</t>
  </si>
  <si>
    <t>Hadijah</t>
  </si>
  <si>
    <t>plastik</t>
  </si>
  <si>
    <t xml:space="preserve">Nafiatul </t>
  </si>
  <si>
    <t>Sofiah</t>
  </si>
  <si>
    <t>Masani</t>
  </si>
  <si>
    <t>Sueb</t>
  </si>
  <si>
    <t>Fauzi</t>
  </si>
  <si>
    <t>Suhartini</t>
  </si>
  <si>
    <t xml:space="preserve">Ratu Ulfi </t>
  </si>
  <si>
    <t>Agfa Maulana</t>
  </si>
  <si>
    <t>Linda</t>
  </si>
  <si>
    <t>Maryatul</t>
  </si>
  <si>
    <t>Rumi</t>
  </si>
  <si>
    <t>Haryanti</t>
  </si>
  <si>
    <t>Sukarti</t>
  </si>
  <si>
    <t>Fatimah</t>
  </si>
  <si>
    <t>Cetang</t>
  </si>
  <si>
    <t>Salmiyah</t>
  </si>
  <si>
    <t>Salawati</t>
  </si>
  <si>
    <t>Hajanah</t>
  </si>
  <si>
    <t>Maskanah</t>
  </si>
  <si>
    <t>Nia Aryanah</t>
  </si>
  <si>
    <t>Nuraeni</t>
  </si>
  <si>
    <t>Hamsatang</t>
  </si>
  <si>
    <t>Darna Wati</t>
  </si>
  <si>
    <t>Hj Udiyah</t>
  </si>
  <si>
    <t>Nunung</t>
  </si>
  <si>
    <t>Kodiyah</t>
  </si>
  <si>
    <t>Rena</t>
  </si>
  <si>
    <t>Suyati</t>
  </si>
  <si>
    <t>Nursiah</t>
  </si>
  <si>
    <t>Silvia Leonita</t>
  </si>
  <si>
    <t>Sali Salbiah</t>
  </si>
  <si>
    <t>Masunah</t>
  </si>
  <si>
    <t>Turini</t>
  </si>
  <si>
    <t>Esih Juhaesih</t>
  </si>
  <si>
    <t>Yanti</t>
  </si>
  <si>
    <t>Tuftiah</t>
  </si>
  <si>
    <t>Adawiyah</t>
  </si>
  <si>
    <t>Eti</t>
  </si>
  <si>
    <t>Hayati</t>
  </si>
  <si>
    <t>Tb. Heriyansyah</t>
  </si>
  <si>
    <t>Mulyanah</t>
  </si>
  <si>
    <t>Masroh</t>
  </si>
  <si>
    <t>Eti Daryati</t>
  </si>
  <si>
    <t xml:space="preserve">Jajat Sudrajat </t>
  </si>
  <si>
    <t xml:space="preserve">Hikmaturohman </t>
  </si>
  <si>
    <t>Sutilah</t>
  </si>
  <si>
    <t xml:space="preserve">Hadijah </t>
  </si>
  <si>
    <t xml:space="preserve">Hamidah </t>
  </si>
  <si>
    <t xml:space="preserve">Hasanah </t>
  </si>
  <si>
    <t xml:space="preserve">Mutmainah </t>
  </si>
  <si>
    <t xml:space="preserve">Asmawati </t>
  </si>
  <si>
    <t xml:space="preserve">juleha </t>
  </si>
  <si>
    <t>Abdiah</t>
  </si>
  <si>
    <t xml:space="preserve">Siti Aminah </t>
  </si>
  <si>
    <t>Thoifah</t>
  </si>
  <si>
    <t>Helmi</t>
  </si>
  <si>
    <t>Inn</t>
  </si>
  <si>
    <t>Roro</t>
  </si>
  <si>
    <t xml:space="preserve">Bayinah </t>
  </si>
  <si>
    <t xml:space="preserve">Ayi Nurhayati </t>
  </si>
  <si>
    <t xml:space="preserve">Ai Rohaeti </t>
  </si>
  <si>
    <t xml:space="preserve">Dede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</si>
</sst>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Rp* #,##0.00_);_(Rp* (#,##0.);_(Rp* &quot;-&quot;??_);_(@_)"/>
  </numFmts>
  <fonts count="1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1.0"/>
      <color theme="1"/>
      <name val="Times New Roman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00FF00"/>
        <bgColor rgb="FF00FF00"/>
      </patternFill>
    </fill>
  </fills>
  <borders count="1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bottom" wrapText="1"/>
    </xf>
    <xf borderId="5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vertical="bottom"/>
    </xf>
    <xf borderId="2" fillId="0" fontId="3" numFmtId="0" xfId="0" applyBorder="1" applyFont="1"/>
    <xf borderId="3" fillId="0" fontId="4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3" fillId="0" fontId="6" numFmtId="0" xfId="0" applyAlignment="1" applyBorder="1" applyFont="1">
      <alignment horizontal="center" readingOrder="0" vertical="bottom"/>
    </xf>
    <xf borderId="3" fillId="3" fontId="5" numFmtId="0" xfId="0" applyAlignment="1" applyBorder="1" applyFill="1" applyFont="1">
      <alignment horizontal="center" shrinkToFit="0" vertical="bottom" wrapText="1"/>
    </xf>
    <xf borderId="3" fillId="3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3" fillId="0" fontId="5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vertical="center"/>
    </xf>
    <xf borderId="0" fillId="0" fontId="7" numFmtId="0" xfId="0" applyFont="1"/>
    <xf borderId="0" fillId="0" fontId="7" numFmtId="3" xfId="0" applyFont="1" applyNumberFormat="1"/>
    <xf borderId="6" fillId="4" fontId="8" numFmtId="0" xfId="0" applyAlignment="1" applyBorder="1" applyFill="1" applyFont="1">
      <alignment horizontal="center"/>
    </xf>
    <xf borderId="7" fillId="0" fontId="3" numFmtId="0" xfId="0" applyBorder="1" applyFont="1"/>
    <xf borderId="0" fillId="0" fontId="8" numFmtId="0" xfId="0" applyAlignment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0" fontId="3" numFmtId="0" xfId="0" applyBorder="1" applyFont="1"/>
    <xf borderId="10" fillId="4" fontId="8" numFmtId="0" xfId="0" applyAlignment="1" applyBorder="1" applyFont="1">
      <alignment horizontal="center"/>
    </xf>
    <xf borderId="10" fillId="4" fontId="8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vertical="center"/>
    </xf>
    <xf borderId="11" fillId="0" fontId="3" numFmtId="0" xfId="0" applyBorder="1" applyFont="1"/>
    <xf borderId="10" fillId="5" fontId="10" numFmtId="0" xfId="0" applyBorder="1" applyFill="1" applyFont="1"/>
    <xf borderId="10" fillId="5" fontId="11" numFmtId="3" xfId="0" applyAlignment="1" applyBorder="1" applyFont="1" applyNumberFormat="1">
      <alignment horizontal="center"/>
    </xf>
    <xf borderId="0" fillId="0" fontId="12" numFmtId="0" xfId="0" applyAlignment="1" applyFont="1">
      <alignment horizontal="center" vertical="center"/>
    </xf>
    <xf borderId="10" fillId="0" fontId="12" numFmtId="0" xfId="0" applyAlignment="1" applyBorder="1" applyFont="1">
      <alignment horizontal="center" vertical="center"/>
    </xf>
    <xf borderId="10" fillId="0" fontId="12" numFmtId="0" xfId="0" applyBorder="1" applyFont="1"/>
    <xf borderId="10" fillId="0" fontId="12" numFmtId="0" xfId="0" applyAlignment="1" applyBorder="1" applyFont="1">
      <alignment horizontal="center"/>
    </xf>
    <xf borderId="10" fillId="0" fontId="12" numFmtId="3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0" fillId="0" fontId="13" numFmtId="0" xfId="0" applyBorder="1" applyFont="1"/>
    <xf borderId="10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10" fillId="0" fontId="13" numFmtId="0" xfId="0" applyAlignment="1" applyBorder="1" applyFont="1">
      <alignment horizontal="center"/>
    </xf>
    <xf borderId="12" fillId="0" fontId="14" numFmtId="3" xfId="0" applyAlignment="1" applyBorder="1" applyFont="1" applyNumberFormat="1">
      <alignment horizontal="center" vertical="center"/>
    </xf>
    <xf borderId="4" fillId="0" fontId="3" numFmtId="0" xfId="0" applyBorder="1" applyFont="1"/>
    <xf borderId="10" fillId="0" fontId="7" numFmtId="3" xfId="0" applyAlignment="1" applyBorder="1" applyFont="1" applyNumberFormat="1">
      <alignment horizontal="center"/>
    </xf>
    <xf borderId="0" fillId="0" fontId="15" numFmtId="0" xfId="0" applyAlignment="1" applyFont="1">
      <alignment readingOrder="0"/>
    </xf>
    <xf borderId="0" fillId="0" fontId="15" numFmtId="0" xfId="0" applyFont="1"/>
    <xf borderId="10" fillId="5" fontId="16" numFmtId="3" xfId="0" applyAlignment="1" applyBorder="1" applyFont="1" applyNumberFormat="1">
      <alignment horizontal="center"/>
    </xf>
    <xf borderId="10" fillId="0" fontId="14" numFmtId="3" xfId="0" applyAlignment="1" applyBorder="1" applyFont="1" applyNumberFormat="1">
      <alignment horizontal="center"/>
    </xf>
    <xf borderId="10" fillId="0" fontId="17" numFmtId="3" xfId="0" applyAlignment="1" applyBorder="1" applyFont="1" applyNumberFormat="1">
      <alignment horizontal="center"/>
    </xf>
    <xf borderId="12" fillId="3" fontId="7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0" fillId="0" fontId="14" numFmtId="3" xfId="0" applyAlignment="1" applyBorder="1" applyFont="1" applyNumberFormat="1">
      <alignment horizontal="center" vertical="center"/>
    </xf>
    <xf borderId="0" fillId="0" fontId="15" numFmtId="164" xfId="0" applyFont="1" applyNumberFormat="1"/>
    <xf borderId="12" fillId="6" fontId="7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vertical="center"/>
    </xf>
    <xf borderId="16" fillId="4" fontId="7" numFmtId="0" xfId="0" applyAlignment="1" applyBorder="1" applyFont="1">
      <alignment vertical="center"/>
    </xf>
    <xf borderId="10" fillId="0" fontId="14" numFmtId="0" xfId="0" applyAlignment="1" applyBorder="1" applyFont="1">
      <alignment horizontal="center"/>
    </xf>
    <xf borderId="12" fillId="4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2" max="2" width="1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</row>
    <row r="3">
      <c r="A3" s="3"/>
      <c r="B3" s="4"/>
      <c r="C3" s="5" t="s">
        <v>0</v>
      </c>
      <c r="D3" s="6"/>
      <c r="E3" s="6"/>
      <c r="F3" s="6"/>
      <c r="G3" s="6"/>
      <c r="H3" s="6"/>
      <c r="I3" s="6"/>
      <c r="J3" s="6"/>
      <c r="K3" s="7"/>
      <c r="L3" s="4"/>
      <c r="M3" s="4"/>
      <c r="N3" s="1"/>
      <c r="O3" s="2"/>
      <c r="P3" s="2"/>
      <c r="Q3" s="2"/>
      <c r="R3" s="2"/>
      <c r="S3" s="2"/>
      <c r="T3" s="2"/>
    </row>
    <row r="4">
      <c r="A4" s="8" t="s">
        <v>1</v>
      </c>
      <c r="B4" s="9" t="s">
        <v>2</v>
      </c>
      <c r="C4" s="10" t="s">
        <v>3</v>
      </c>
      <c r="D4" s="6"/>
      <c r="E4" s="6"/>
      <c r="F4" s="6"/>
      <c r="G4" s="6"/>
      <c r="H4" s="6"/>
      <c r="I4" s="6"/>
      <c r="J4" s="6"/>
      <c r="K4" s="7"/>
      <c r="L4" s="11"/>
      <c r="M4" s="9" t="s">
        <v>4</v>
      </c>
      <c r="N4" s="12"/>
      <c r="O4" s="10" t="s">
        <v>5</v>
      </c>
      <c r="P4" s="6"/>
      <c r="Q4" s="6"/>
      <c r="R4" s="6"/>
      <c r="S4" s="6"/>
      <c r="T4" s="7"/>
    </row>
    <row r="5">
      <c r="A5" s="13"/>
      <c r="B5" s="7"/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7"/>
      <c r="N5" s="12"/>
      <c r="O5" s="14" t="s">
        <v>16</v>
      </c>
      <c r="P5" s="14" t="s">
        <v>17</v>
      </c>
      <c r="Q5" s="14" t="s">
        <v>18</v>
      </c>
      <c r="R5" s="14" t="s">
        <v>19</v>
      </c>
      <c r="S5" s="14" t="s">
        <v>20</v>
      </c>
      <c r="T5" s="14" t="s">
        <v>21</v>
      </c>
    </row>
    <row r="6">
      <c r="A6" s="15">
        <v>1.0</v>
      </c>
      <c r="B6" s="16" t="s">
        <v>22</v>
      </c>
      <c r="C6" s="17">
        <v>2.5</v>
      </c>
      <c r="D6" s="18">
        <v>0.0</v>
      </c>
      <c r="E6" s="17">
        <v>4.0</v>
      </c>
      <c r="F6" s="17">
        <v>0.25</v>
      </c>
      <c r="G6" s="18">
        <v>1.0</v>
      </c>
      <c r="H6" s="17">
        <v>31.5</v>
      </c>
      <c r="I6" s="17">
        <v>2.0</v>
      </c>
      <c r="J6" s="17">
        <v>2.0</v>
      </c>
      <c r="K6" s="17">
        <v>7.0</v>
      </c>
      <c r="L6" s="19"/>
      <c r="M6" s="20">
        <f t="shared" ref="M6:M32" si="1">sum(C6:L6)</f>
        <v>50.25</v>
      </c>
      <c r="N6" s="12"/>
      <c r="O6" s="21">
        <f>M6+M7+M8+M9+M10+M11+M12+M24+M25+M26+M27</f>
        <v>428.75</v>
      </c>
      <c r="P6" s="21">
        <f>M13+M14+M15+M16</f>
        <v>269</v>
      </c>
      <c r="Q6" s="21">
        <f>M28+M29</f>
        <v>127.5</v>
      </c>
      <c r="R6" s="21">
        <f>M17+M18+M19+M20+M21+M22+M30</f>
        <v>76.25</v>
      </c>
      <c r="S6" s="21">
        <f>M31</f>
        <v>55.5</v>
      </c>
      <c r="T6" s="21">
        <f>M32</f>
        <v>197</v>
      </c>
    </row>
    <row r="7">
      <c r="A7" s="15">
        <v>2.0</v>
      </c>
      <c r="B7" s="16" t="s">
        <v>23</v>
      </c>
      <c r="C7" s="17">
        <v>12.0</v>
      </c>
      <c r="D7" s="18">
        <v>0.0</v>
      </c>
      <c r="E7" s="17">
        <v>10.0</v>
      </c>
      <c r="F7" s="17">
        <v>0.0</v>
      </c>
      <c r="G7" s="18">
        <v>0.0</v>
      </c>
      <c r="H7" s="17">
        <v>26.0</v>
      </c>
      <c r="I7" s="17">
        <v>10.0</v>
      </c>
      <c r="J7" s="17">
        <v>22.0</v>
      </c>
      <c r="K7" s="17">
        <v>3.0</v>
      </c>
      <c r="L7" s="19"/>
      <c r="M7" s="20">
        <f t="shared" si="1"/>
        <v>83</v>
      </c>
      <c r="N7" s="1"/>
      <c r="O7" s="1"/>
      <c r="P7" s="1"/>
      <c r="Q7" s="1"/>
      <c r="R7" s="1"/>
      <c r="S7" s="1"/>
      <c r="T7" s="1"/>
    </row>
    <row r="8">
      <c r="A8" s="15">
        <v>3.0</v>
      </c>
      <c r="B8" s="16" t="s">
        <v>24</v>
      </c>
      <c r="C8" s="17">
        <v>0.0</v>
      </c>
      <c r="D8" s="18">
        <v>0.0</v>
      </c>
      <c r="E8" s="17">
        <v>0.0</v>
      </c>
      <c r="F8" s="17">
        <v>0.0</v>
      </c>
      <c r="G8" s="18">
        <v>0.0</v>
      </c>
      <c r="H8" s="17">
        <v>0.0</v>
      </c>
      <c r="I8" s="17">
        <v>0.0</v>
      </c>
      <c r="J8" s="17">
        <v>0.0</v>
      </c>
      <c r="K8" s="17">
        <v>0.0</v>
      </c>
      <c r="L8" s="19"/>
      <c r="M8" s="20">
        <f t="shared" si="1"/>
        <v>0</v>
      </c>
      <c r="N8" s="1"/>
      <c r="O8" s="1"/>
      <c r="P8" s="1"/>
      <c r="Q8" s="1"/>
      <c r="R8" s="1"/>
      <c r="S8" s="1"/>
      <c r="T8" s="1"/>
    </row>
    <row r="9">
      <c r="A9" s="15">
        <v>4.0</v>
      </c>
      <c r="B9" s="16" t="s">
        <v>25</v>
      </c>
      <c r="C9" s="17">
        <v>1.0</v>
      </c>
      <c r="D9" s="18">
        <v>0.0</v>
      </c>
      <c r="E9" s="17">
        <v>3.0</v>
      </c>
      <c r="F9" s="17">
        <v>0.0</v>
      </c>
      <c r="G9" s="18">
        <v>0.0</v>
      </c>
      <c r="H9" s="17">
        <v>2.0</v>
      </c>
      <c r="I9" s="17">
        <v>0.5</v>
      </c>
      <c r="J9" s="17">
        <v>1.0</v>
      </c>
      <c r="K9" s="17">
        <v>0.5</v>
      </c>
      <c r="L9" s="19"/>
      <c r="M9" s="20">
        <f t="shared" si="1"/>
        <v>8</v>
      </c>
      <c r="N9" s="1"/>
      <c r="O9" s="1"/>
      <c r="P9" s="1"/>
      <c r="Q9" s="1"/>
      <c r="R9" s="1"/>
      <c r="S9" s="1"/>
      <c r="T9" s="1"/>
    </row>
    <row r="10">
      <c r="A10" s="15">
        <v>5.0</v>
      </c>
      <c r="B10" s="16" t="s">
        <v>26</v>
      </c>
      <c r="C10" s="17">
        <v>1.0</v>
      </c>
      <c r="D10" s="18">
        <v>0.0</v>
      </c>
      <c r="E10" s="17">
        <v>1.0</v>
      </c>
      <c r="F10" s="17">
        <v>0.0</v>
      </c>
      <c r="G10" s="18">
        <v>0.25</v>
      </c>
      <c r="H10" s="17">
        <v>0.5</v>
      </c>
      <c r="I10" s="17">
        <v>1.0</v>
      </c>
      <c r="J10" s="17">
        <v>1.5</v>
      </c>
      <c r="K10" s="17">
        <v>15.0</v>
      </c>
      <c r="L10" s="19"/>
      <c r="M10" s="20">
        <f t="shared" si="1"/>
        <v>20.25</v>
      </c>
      <c r="N10" s="1"/>
      <c r="O10" s="1"/>
      <c r="P10" s="1"/>
      <c r="Q10" s="1"/>
      <c r="R10" s="1"/>
      <c r="S10" s="1"/>
      <c r="T10" s="22"/>
    </row>
    <row r="11">
      <c r="A11" s="15">
        <v>6.0</v>
      </c>
      <c r="B11" s="16" t="s">
        <v>27</v>
      </c>
      <c r="C11" s="17">
        <v>28.5</v>
      </c>
      <c r="D11" s="18">
        <v>0.0</v>
      </c>
      <c r="E11" s="17">
        <v>19.0</v>
      </c>
      <c r="F11" s="17">
        <v>10.5</v>
      </c>
      <c r="G11" s="18">
        <v>6.5</v>
      </c>
      <c r="H11" s="17">
        <v>19.0</v>
      </c>
      <c r="I11" s="17">
        <v>39.5</v>
      </c>
      <c r="J11" s="17">
        <v>36.0</v>
      </c>
      <c r="K11" s="17">
        <v>12.5</v>
      </c>
      <c r="L11" s="19"/>
      <c r="M11" s="20">
        <f t="shared" si="1"/>
        <v>171.5</v>
      </c>
      <c r="N11" s="1"/>
      <c r="O11" s="1"/>
      <c r="P11" s="1"/>
      <c r="Q11" s="1"/>
      <c r="R11" s="1"/>
      <c r="S11" s="1"/>
      <c r="T11" s="1"/>
    </row>
    <row r="12">
      <c r="A12" s="15">
        <v>7.0</v>
      </c>
      <c r="B12" s="16" t="s">
        <v>28</v>
      </c>
      <c r="C12" s="17">
        <v>10.0</v>
      </c>
      <c r="D12" s="18">
        <v>0.0</v>
      </c>
      <c r="E12" s="17">
        <v>8.0</v>
      </c>
      <c r="F12" s="17">
        <v>2.0</v>
      </c>
      <c r="G12" s="18">
        <v>0.0</v>
      </c>
      <c r="H12" s="17">
        <v>7.5</v>
      </c>
      <c r="I12" s="17">
        <v>13.0</v>
      </c>
      <c r="J12" s="17">
        <v>6.75</v>
      </c>
      <c r="K12" s="17">
        <v>6.0</v>
      </c>
      <c r="L12" s="19"/>
      <c r="M12" s="20">
        <f t="shared" si="1"/>
        <v>53.25</v>
      </c>
      <c r="N12" s="1"/>
      <c r="O12" s="1"/>
      <c r="P12" s="1"/>
      <c r="Q12" s="1"/>
      <c r="R12" s="1"/>
      <c r="S12" s="1"/>
      <c r="T12" s="1"/>
    </row>
    <row r="13">
      <c r="A13" s="15">
        <v>8.0</v>
      </c>
      <c r="B13" s="16" t="s">
        <v>29</v>
      </c>
      <c r="C13" s="17">
        <v>9.0</v>
      </c>
      <c r="D13" s="18">
        <v>0.0</v>
      </c>
      <c r="E13" s="17">
        <v>18.5</v>
      </c>
      <c r="F13" s="17">
        <v>0.0</v>
      </c>
      <c r="G13" s="18">
        <v>0.0</v>
      </c>
      <c r="H13" s="17">
        <v>44.5</v>
      </c>
      <c r="I13" s="17">
        <v>44.0</v>
      </c>
      <c r="J13" s="17">
        <v>61.5</v>
      </c>
      <c r="K13" s="17">
        <v>0.0</v>
      </c>
      <c r="L13" s="19"/>
      <c r="M13" s="20">
        <f t="shared" si="1"/>
        <v>177.5</v>
      </c>
      <c r="N13" s="1"/>
      <c r="O13" s="1"/>
      <c r="P13" s="1"/>
      <c r="Q13" s="1"/>
      <c r="R13" s="1"/>
      <c r="S13" s="1"/>
      <c r="T13" s="1"/>
    </row>
    <row r="14">
      <c r="A14" s="15">
        <v>9.0</v>
      </c>
      <c r="B14" s="16" t="s">
        <v>30</v>
      </c>
      <c r="C14" s="17">
        <v>15.0</v>
      </c>
      <c r="D14" s="18">
        <v>0.0</v>
      </c>
      <c r="E14" s="17">
        <v>0.0</v>
      </c>
      <c r="F14" s="17">
        <v>0.0</v>
      </c>
      <c r="G14" s="18">
        <v>0.0</v>
      </c>
      <c r="H14" s="17">
        <v>7.5</v>
      </c>
      <c r="I14" s="17">
        <v>0.0</v>
      </c>
      <c r="J14" s="17">
        <v>0.0</v>
      </c>
      <c r="K14" s="17">
        <v>0.0</v>
      </c>
      <c r="L14" s="19"/>
      <c r="M14" s="20">
        <f t="shared" si="1"/>
        <v>22.5</v>
      </c>
      <c r="N14" s="1"/>
      <c r="O14" s="1"/>
      <c r="P14" s="1"/>
      <c r="Q14" s="1"/>
      <c r="R14" s="1"/>
      <c r="S14" s="1"/>
      <c r="T14" s="1"/>
    </row>
    <row r="15">
      <c r="A15" s="15">
        <v>10.0</v>
      </c>
      <c r="B15" s="16" t="s">
        <v>31</v>
      </c>
      <c r="C15" s="17">
        <v>6.0</v>
      </c>
      <c r="D15" s="18">
        <v>0.0</v>
      </c>
      <c r="E15" s="17">
        <v>0.0</v>
      </c>
      <c r="F15" s="17">
        <v>0.0</v>
      </c>
      <c r="G15" s="18">
        <v>0.0</v>
      </c>
      <c r="H15" s="17">
        <v>0.0</v>
      </c>
      <c r="I15" s="17">
        <v>0.0</v>
      </c>
      <c r="J15" s="17">
        <v>10.0</v>
      </c>
      <c r="K15" s="17">
        <v>10.5</v>
      </c>
      <c r="L15" s="19"/>
      <c r="M15" s="20">
        <f t="shared" si="1"/>
        <v>26.5</v>
      </c>
      <c r="N15" s="1"/>
      <c r="O15" s="1"/>
      <c r="P15" s="1"/>
      <c r="Q15" s="1"/>
      <c r="R15" s="1"/>
      <c r="S15" s="1"/>
      <c r="T15" s="1"/>
    </row>
    <row r="16">
      <c r="A16" s="15">
        <v>11.0</v>
      </c>
      <c r="B16" s="16" t="s">
        <v>32</v>
      </c>
      <c r="C16" s="17">
        <v>0.0</v>
      </c>
      <c r="D16" s="18">
        <v>0.0</v>
      </c>
      <c r="E16" s="17">
        <v>5.0</v>
      </c>
      <c r="F16" s="17">
        <v>5.0</v>
      </c>
      <c r="G16" s="18">
        <v>0.0</v>
      </c>
      <c r="H16" s="17">
        <v>13.5</v>
      </c>
      <c r="I16" s="17">
        <v>17.0</v>
      </c>
      <c r="J16" s="17">
        <v>2.0</v>
      </c>
      <c r="K16" s="17">
        <v>0.0</v>
      </c>
      <c r="L16" s="19"/>
      <c r="M16" s="20">
        <f t="shared" si="1"/>
        <v>42.5</v>
      </c>
      <c r="N16" s="1"/>
      <c r="O16" s="1"/>
      <c r="P16" s="1"/>
      <c r="Q16" s="1"/>
      <c r="R16" s="1"/>
      <c r="S16" s="1"/>
      <c r="T16" s="1"/>
    </row>
    <row r="17">
      <c r="A17" s="15">
        <v>12.0</v>
      </c>
      <c r="B17" s="16" t="s">
        <v>33</v>
      </c>
      <c r="C17" s="17">
        <v>6.5</v>
      </c>
      <c r="D17" s="18">
        <v>0.0</v>
      </c>
      <c r="E17" s="17">
        <v>0.0</v>
      </c>
      <c r="F17" s="17">
        <v>2.0</v>
      </c>
      <c r="G17" s="18">
        <v>0.0</v>
      </c>
      <c r="H17" s="17">
        <v>0.0</v>
      </c>
      <c r="I17" s="17">
        <v>0.5</v>
      </c>
      <c r="J17" s="17">
        <v>2.5</v>
      </c>
      <c r="K17" s="17">
        <v>0.0</v>
      </c>
      <c r="L17" s="19"/>
      <c r="M17" s="20">
        <f t="shared" si="1"/>
        <v>11.5</v>
      </c>
      <c r="N17" s="1"/>
      <c r="O17" s="1"/>
      <c r="P17" s="1"/>
      <c r="Q17" s="1"/>
      <c r="R17" s="1"/>
      <c r="S17" s="1"/>
      <c r="T17" s="1"/>
    </row>
    <row r="18">
      <c r="A18" s="15">
        <v>13.0</v>
      </c>
      <c r="B18" s="16" t="s">
        <v>34</v>
      </c>
      <c r="C18" s="17">
        <v>1.0</v>
      </c>
      <c r="D18" s="18">
        <v>0.0</v>
      </c>
      <c r="E18" s="17">
        <v>3.0</v>
      </c>
      <c r="F18" s="17">
        <v>14.0</v>
      </c>
      <c r="G18" s="18">
        <v>0.0</v>
      </c>
      <c r="H18" s="17">
        <v>5.0</v>
      </c>
      <c r="I18" s="17">
        <v>0.0</v>
      </c>
      <c r="J18" s="17">
        <v>0.0</v>
      </c>
      <c r="K18" s="17">
        <v>2.5</v>
      </c>
      <c r="L18" s="19"/>
      <c r="M18" s="20">
        <f t="shared" si="1"/>
        <v>25.5</v>
      </c>
      <c r="N18" s="1"/>
      <c r="O18" s="1"/>
      <c r="P18" s="1"/>
      <c r="Q18" s="1"/>
      <c r="R18" s="1"/>
      <c r="S18" s="1"/>
      <c r="T18" s="1"/>
    </row>
    <row r="19">
      <c r="A19" s="15">
        <v>14.0</v>
      </c>
      <c r="B19" s="16" t="s">
        <v>35</v>
      </c>
      <c r="C19" s="17">
        <v>0.0</v>
      </c>
      <c r="D19" s="18">
        <v>0.0</v>
      </c>
      <c r="E19" s="17">
        <v>8.0</v>
      </c>
      <c r="F19" s="17">
        <v>6.5</v>
      </c>
      <c r="G19" s="18">
        <v>0.0</v>
      </c>
      <c r="H19" s="17">
        <v>4.0</v>
      </c>
      <c r="I19" s="17">
        <v>0.5</v>
      </c>
      <c r="J19" s="17">
        <v>0.0</v>
      </c>
      <c r="K19" s="17">
        <v>2.0</v>
      </c>
      <c r="L19" s="19"/>
      <c r="M19" s="20">
        <f t="shared" si="1"/>
        <v>21</v>
      </c>
      <c r="N19" s="1"/>
      <c r="O19" s="1"/>
      <c r="P19" s="1"/>
      <c r="Q19" s="1"/>
      <c r="R19" s="1"/>
      <c r="S19" s="1"/>
      <c r="T19" s="1"/>
    </row>
    <row r="20">
      <c r="A20" s="15">
        <v>15.0</v>
      </c>
      <c r="B20" s="16" t="s">
        <v>36</v>
      </c>
      <c r="C20" s="17">
        <v>0.0</v>
      </c>
      <c r="D20" s="18">
        <v>0.0</v>
      </c>
      <c r="E20" s="17">
        <v>0.5</v>
      </c>
      <c r="F20" s="17">
        <v>0.25</v>
      </c>
      <c r="G20" s="18">
        <v>0.0</v>
      </c>
      <c r="H20" s="17">
        <v>0.5</v>
      </c>
      <c r="I20" s="17">
        <v>0.5</v>
      </c>
      <c r="J20" s="17">
        <v>0.0</v>
      </c>
      <c r="K20" s="17">
        <v>0.0</v>
      </c>
      <c r="L20" s="19"/>
      <c r="M20" s="20">
        <f t="shared" si="1"/>
        <v>1.75</v>
      </c>
      <c r="N20" s="1"/>
      <c r="O20" s="1"/>
      <c r="P20" s="1"/>
      <c r="Q20" s="1"/>
      <c r="R20" s="1"/>
      <c r="S20" s="1"/>
      <c r="T20" s="1"/>
    </row>
    <row r="21">
      <c r="A21" s="15">
        <v>16.0</v>
      </c>
      <c r="B21" s="16" t="s">
        <v>37</v>
      </c>
      <c r="C21" s="17">
        <v>0.0</v>
      </c>
      <c r="D21" s="18">
        <v>0.0</v>
      </c>
      <c r="E21" s="17">
        <v>0.0</v>
      </c>
      <c r="F21" s="17">
        <v>1.5</v>
      </c>
      <c r="G21" s="18">
        <v>0.0</v>
      </c>
      <c r="H21" s="17">
        <v>0.0</v>
      </c>
      <c r="I21" s="18">
        <v>0.5</v>
      </c>
      <c r="J21" s="17">
        <v>0.0</v>
      </c>
      <c r="K21" s="17">
        <v>0.0</v>
      </c>
      <c r="L21" s="19"/>
      <c r="M21" s="20">
        <f t="shared" si="1"/>
        <v>2</v>
      </c>
      <c r="N21" s="1"/>
      <c r="O21" s="1"/>
      <c r="P21" s="1"/>
      <c r="Q21" s="1"/>
      <c r="R21" s="1"/>
      <c r="S21" s="1"/>
      <c r="T21" s="1"/>
    </row>
    <row r="22">
      <c r="A22" s="15">
        <v>17.0</v>
      </c>
      <c r="B22" s="16" t="s">
        <v>38</v>
      </c>
      <c r="C22" s="17">
        <v>0.0</v>
      </c>
      <c r="D22" s="18">
        <v>0.0</v>
      </c>
      <c r="E22" s="17">
        <v>0.0</v>
      </c>
      <c r="F22" s="17">
        <v>0.0</v>
      </c>
      <c r="G22" s="18">
        <v>0.0</v>
      </c>
      <c r="H22" s="17">
        <v>0.0</v>
      </c>
      <c r="I22" s="17">
        <v>0.0</v>
      </c>
      <c r="J22" s="17">
        <v>0.0</v>
      </c>
      <c r="K22" s="17">
        <v>0.0</v>
      </c>
      <c r="L22" s="19"/>
      <c r="M22" s="20">
        <f t="shared" si="1"/>
        <v>0</v>
      </c>
      <c r="N22" s="1"/>
      <c r="O22" s="1"/>
      <c r="P22" s="1"/>
      <c r="Q22" s="1"/>
      <c r="R22" s="1"/>
      <c r="S22" s="1"/>
      <c r="T22" s="1"/>
    </row>
    <row r="23">
      <c r="A23" s="15">
        <v>18.0</v>
      </c>
      <c r="B23" s="16" t="s">
        <v>39</v>
      </c>
      <c r="C23" s="17">
        <v>0.0</v>
      </c>
      <c r="D23" s="18">
        <v>0.0</v>
      </c>
      <c r="E23" s="17">
        <v>0.0</v>
      </c>
      <c r="F23" s="17">
        <v>0.0</v>
      </c>
      <c r="G23" s="18">
        <v>0.0</v>
      </c>
      <c r="H23" s="17">
        <v>0.0</v>
      </c>
      <c r="I23" s="17">
        <v>0.0</v>
      </c>
      <c r="J23" s="17">
        <v>0.0</v>
      </c>
      <c r="K23" s="17">
        <v>0.0</v>
      </c>
      <c r="L23" s="19"/>
      <c r="M23" s="20">
        <f t="shared" si="1"/>
        <v>0</v>
      </c>
      <c r="N23" s="1"/>
      <c r="O23" s="1"/>
      <c r="P23" s="1"/>
      <c r="Q23" s="1"/>
      <c r="R23" s="1"/>
      <c r="S23" s="1"/>
      <c r="T23" s="1"/>
    </row>
    <row r="24">
      <c r="A24" s="15">
        <v>19.0</v>
      </c>
      <c r="B24" s="16" t="s">
        <v>40</v>
      </c>
      <c r="C24" s="17">
        <v>3.5</v>
      </c>
      <c r="D24" s="18">
        <v>0.0</v>
      </c>
      <c r="E24" s="17">
        <v>0.0</v>
      </c>
      <c r="F24" s="17">
        <v>0.0</v>
      </c>
      <c r="G24" s="18">
        <v>0.0</v>
      </c>
      <c r="H24" s="17">
        <v>0.0</v>
      </c>
      <c r="I24" s="17">
        <v>0.0</v>
      </c>
      <c r="J24" s="17">
        <v>0.0</v>
      </c>
      <c r="K24" s="17">
        <v>0.0</v>
      </c>
      <c r="L24" s="19"/>
      <c r="M24" s="20">
        <f t="shared" si="1"/>
        <v>3.5</v>
      </c>
      <c r="N24" s="1"/>
      <c r="O24" s="1"/>
      <c r="P24" s="1"/>
      <c r="Q24" s="1"/>
      <c r="R24" s="1"/>
      <c r="S24" s="1"/>
      <c r="T24" s="1"/>
    </row>
    <row r="25">
      <c r="A25" s="15">
        <v>20.0</v>
      </c>
      <c r="B25" s="16" t="s">
        <v>41</v>
      </c>
      <c r="C25" s="17">
        <v>0.5</v>
      </c>
      <c r="D25" s="18">
        <v>0.0</v>
      </c>
      <c r="E25" s="17">
        <v>9.0</v>
      </c>
      <c r="F25" s="17">
        <v>0.0</v>
      </c>
      <c r="G25" s="18">
        <v>0.0</v>
      </c>
      <c r="H25" s="17">
        <v>15.0</v>
      </c>
      <c r="I25" s="17">
        <v>5.5</v>
      </c>
      <c r="J25" s="17">
        <v>0.0</v>
      </c>
      <c r="K25" s="17">
        <v>1.0</v>
      </c>
      <c r="L25" s="19"/>
      <c r="M25" s="20">
        <f t="shared" si="1"/>
        <v>31</v>
      </c>
      <c r="N25" s="1"/>
      <c r="O25" s="1"/>
      <c r="P25" s="1"/>
      <c r="Q25" s="1"/>
      <c r="R25" s="1"/>
      <c r="S25" s="1"/>
      <c r="T25" s="1"/>
    </row>
    <row r="26">
      <c r="A26" s="15">
        <v>21.0</v>
      </c>
      <c r="B26" s="16" t="s">
        <v>42</v>
      </c>
      <c r="C26" s="17">
        <v>0.0</v>
      </c>
      <c r="D26" s="18">
        <v>0.0</v>
      </c>
      <c r="E26" s="17">
        <v>1.5</v>
      </c>
      <c r="F26" s="17">
        <v>0.0</v>
      </c>
      <c r="G26" s="18">
        <v>0.0</v>
      </c>
      <c r="H26" s="17">
        <v>1.5</v>
      </c>
      <c r="I26" s="17">
        <v>2.5</v>
      </c>
      <c r="J26" s="17">
        <v>0.0</v>
      </c>
      <c r="K26" s="17">
        <v>0.0</v>
      </c>
      <c r="L26" s="19"/>
      <c r="M26" s="20">
        <f t="shared" si="1"/>
        <v>5.5</v>
      </c>
      <c r="N26" s="1"/>
      <c r="O26" s="1"/>
      <c r="P26" s="1"/>
      <c r="Q26" s="1"/>
      <c r="R26" s="1"/>
      <c r="S26" s="1"/>
      <c r="T26" s="1"/>
    </row>
    <row r="27">
      <c r="A27" s="15">
        <v>22.0</v>
      </c>
      <c r="B27" s="16" t="s">
        <v>43</v>
      </c>
      <c r="C27" s="17">
        <v>0.0</v>
      </c>
      <c r="D27" s="18">
        <v>0.0</v>
      </c>
      <c r="E27" s="17">
        <v>0.0</v>
      </c>
      <c r="F27" s="17">
        <v>2.5</v>
      </c>
      <c r="G27" s="18">
        <v>0.0</v>
      </c>
      <c r="H27" s="17">
        <v>0.0</v>
      </c>
      <c r="I27" s="17">
        <v>0.0</v>
      </c>
      <c r="J27" s="17">
        <v>0.0</v>
      </c>
      <c r="K27" s="17">
        <v>0.0</v>
      </c>
      <c r="L27" s="19"/>
      <c r="M27" s="20">
        <f t="shared" si="1"/>
        <v>2.5</v>
      </c>
      <c r="N27" s="1"/>
      <c r="O27" s="1"/>
      <c r="P27" s="1"/>
      <c r="Q27" s="1"/>
      <c r="R27" s="1"/>
      <c r="S27" s="1"/>
      <c r="T27" s="1"/>
    </row>
    <row r="28">
      <c r="A28" s="15">
        <v>23.0</v>
      </c>
      <c r="B28" s="16" t="s">
        <v>18</v>
      </c>
      <c r="C28" s="17">
        <v>7.5</v>
      </c>
      <c r="D28" s="18">
        <v>0.0</v>
      </c>
      <c r="E28" s="17">
        <v>5.0</v>
      </c>
      <c r="F28" s="17">
        <v>0.0</v>
      </c>
      <c r="G28" s="18">
        <v>0.0</v>
      </c>
      <c r="H28" s="17">
        <v>20.0</v>
      </c>
      <c r="I28" s="17">
        <v>21.0</v>
      </c>
      <c r="J28" s="17">
        <v>36.5</v>
      </c>
      <c r="K28" s="17">
        <v>3.0</v>
      </c>
      <c r="L28" s="19"/>
      <c r="M28" s="20">
        <f t="shared" si="1"/>
        <v>93</v>
      </c>
      <c r="N28" s="1"/>
      <c r="O28" s="1"/>
      <c r="P28" s="1"/>
      <c r="Q28" s="1"/>
      <c r="R28" s="1"/>
      <c r="S28" s="1"/>
      <c r="T28" s="1"/>
    </row>
    <row r="29">
      <c r="A29" s="15">
        <v>24.0</v>
      </c>
      <c r="B29" s="16" t="s">
        <v>44</v>
      </c>
      <c r="C29" s="17">
        <v>16.5</v>
      </c>
      <c r="D29" s="18">
        <v>0.0</v>
      </c>
      <c r="E29" s="17">
        <v>5.0</v>
      </c>
      <c r="F29" s="17">
        <v>0.0</v>
      </c>
      <c r="G29" s="18">
        <v>13.0</v>
      </c>
      <c r="H29" s="17">
        <v>0.0</v>
      </c>
      <c r="I29" s="18">
        <v>0.0</v>
      </c>
      <c r="J29" s="17">
        <v>0.0</v>
      </c>
      <c r="K29" s="17">
        <v>0.0</v>
      </c>
      <c r="L29" s="19"/>
      <c r="M29" s="20">
        <f t="shared" si="1"/>
        <v>34.5</v>
      </c>
      <c r="N29" s="1"/>
      <c r="O29" s="1"/>
      <c r="P29" s="1"/>
      <c r="Q29" s="1"/>
      <c r="R29" s="1"/>
      <c r="S29" s="1"/>
      <c r="T29" s="1"/>
    </row>
    <row r="30">
      <c r="A30" s="15">
        <v>25.0</v>
      </c>
      <c r="B30" s="23" t="s">
        <v>13</v>
      </c>
      <c r="C30" s="17">
        <v>12.5</v>
      </c>
      <c r="D30" s="18">
        <v>0.0</v>
      </c>
      <c r="E30" s="17">
        <v>0.0</v>
      </c>
      <c r="F30" s="17">
        <v>0.0</v>
      </c>
      <c r="G30" s="18">
        <v>0.0</v>
      </c>
      <c r="H30" s="17">
        <v>0.0</v>
      </c>
      <c r="I30" s="17">
        <v>0.0</v>
      </c>
      <c r="J30" s="17">
        <v>2.0</v>
      </c>
      <c r="K30" s="17">
        <v>0.0</v>
      </c>
      <c r="L30" s="19"/>
      <c r="M30" s="20">
        <f t="shared" si="1"/>
        <v>14.5</v>
      </c>
      <c r="N30" s="1"/>
      <c r="O30" s="1"/>
      <c r="P30" s="1"/>
      <c r="Q30" s="1"/>
      <c r="R30" s="1"/>
      <c r="S30" s="1"/>
      <c r="T30" s="1"/>
    </row>
    <row r="31">
      <c r="A31" s="15">
        <v>26.0</v>
      </c>
      <c r="B31" s="23" t="s">
        <v>20</v>
      </c>
      <c r="C31" s="17">
        <v>1.0</v>
      </c>
      <c r="D31" s="18">
        <v>0.0</v>
      </c>
      <c r="E31" s="17">
        <v>13.5</v>
      </c>
      <c r="F31" s="17">
        <v>0.0</v>
      </c>
      <c r="G31" s="18">
        <v>2.5</v>
      </c>
      <c r="H31" s="17">
        <v>15.0</v>
      </c>
      <c r="I31" s="17">
        <v>8.0</v>
      </c>
      <c r="J31" s="17">
        <v>15.5</v>
      </c>
      <c r="K31" s="17">
        <v>0.0</v>
      </c>
      <c r="L31" s="19"/>
      <c r="M31" s="20">
        <f t="shared" si="1"/>
        <v>55.5</v>
      </c>
      <c r="N31" s="1"/>
      <c r="O31" s="1"/>
      <c r="P31" s="1"/>
      <c r="Q31" s="1"/>
      <c r="R31" s="1"/>
      <c r="S31" s="1"/>
      <c r="T31" s="1"/>
    </row>
    <row r="32">
      <c r="A32" s="15">
        <v>27.0</v>
      </c>
      <c r="B32" s="23" t="s">
        <v>21</v>
      </c>
      <c r="C32" s="17">
        <v>38.5</v>
      </c>
      <c r="D32" s="18">
        <v>0.0</v>
      </c>
      <c r="E32" s="17">
        <v>25.0</v>
      </c>
      <c r="F32" s="17">
        <v>10.0</v>
      </c>
      <c r="G32" s="18">
        <v>4.0</v>
      </c>
      <c r="H32" s="17">
        <v>28.5</v>
      </c>
      <c r="I32" s="17">
        <v>32.0</v>
      </c>
      <c r="J32" s="17">
        <v>40.0</v>
      </c>
      <c r="K32" s="17">
        <v>19.0</v>
      </c>
      <c r="L32" s="19"/>
      <c r="M32" s="20">
        <f t="shared" si="1"/>
        <v>197</v>
      </c>
      <c r="N32" s="1"/>
      <c r="O32" s="1"/>
      <c r="P32" s="1"/>
      <c r="Q32" s="1"/>
      <c r="R32" s="1"/>
      <c r="S32" s="1"/>
      <c r="T32" s="1"/>
    </row>
  </sheetData>
  <mergeCells count="6">
    <mergeCell ref="C3:K3"/>
    <mergeCell ref="A4:A5"/>
    <mergeCell ref="B4:B5"/>
    <mergeCell ref="C4:K4"/>
    <mergeCell ref="M4:M5"/>
    <mergeCell ref="O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4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58</v>
      </c>
      <c r="F5" s="47" t="s">
        <v>22</v>
      </c>
      <c r="G5" s="48"/>
      <c r="H5" s="49">
        <f>VLOOKUP(F5,$A$4:$B$4,2,TRUE)</f>
        <v>4500</v>
      </c>
      <c r="I5" s="50">
        <f t="shared" ref="I5:I220" si="1">G5*H5</f>
        <v>0</v>
      </c>
      <c r="J5" s="51">
        <f>SUM(I5:I31)</f>
        <v>5750</v>
      </c>
      <c r="K5" s="25"/>
      <c r="L5" s="47" t="s">
        <v>22</v>
      </c>
      <c r="M5" s="43">
        <f>SUMIF(F5:F220,"Gelas bersih",G5:G220)</f>
        <v>7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/>
      <c r="H6" s="53">
        <f>VLOOKUP(F6,$A$5:$B$5,2,TRUE)</f>
        <v>3000</v>
      </c>
      <c r="I6" s="50">
        <f t="shared" si="1"/>
        <v>0</v>
      </c>
      <c r="J6" s="52"/>
      <c r="K6" s="25"/>
      <c r="L6" s="47" t="s">
        <v>57</v>
      </c>
      <c r="M6" s="43">
        <f>SUMIF(F6:F221,"Botol bersih",G6:G221)</f>
        <v>3</v>
      </c>
      <c r="N6" s="25"/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SUMIF(F7:F222,"Botol Warna",G7:G222)</f>
        <v>0</v>
      </c>
      <c r="N7" s="25"/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/>
      <c r="H8" s="53">
        <f>VLOOKUP(F8,$A$7:$B$7,2,TRUE)</f>
        <v>2800</v>
      </c>
      <c r="I8" s="50">
        <f t="shared" si="1"/>
        <v>0</v>
      </c>
      <c r="J8" s="52"/>
      <c r="K8" s="25"/>
      <c r="L8" s="47" t="s">
        <v>25</v>
      </c>
      <c r="M8" s="43">
        <f>SUMIF(F8:F223,"Tutup botol",G8:G223)</f>
        <v>0.5</v>
      </c>
      <c r="N8" s="25"/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/>
      <c r="H9" s="53">
        <f>VLOOKUP(F9,$A$8:$B$8,2,TRUE)</f>
        <v>3500</v>
      </c>
      <c r="I9" s="50">
        <f t="shared" si="1"/>
        <v>0</v>
      </c>
      <c r="J9" s="52"/>
      <c r="K9" s="25"/>
      <c r="L9" s="47" t="s">
        <v>26</v>
      </c>
      <c r="M9" s="43">
        <f>SUMIF(F9:F224,"Tutup galon",G9:G224)</f>
        <v>0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/>
      <c r="H10" s="53">
        <f>VLOOKUP(F10,$A$9:$B$9,2,TRUE)</f>
        <v>1000</v>
      </c>
      <c r="I10" s="50">
        <f t="shared" si="1"/>
        <v>0</v>
      </c>
      <c r="J10" s="52"/>
      <c r="K10" s="25"/>
      <c r="L10" s="47" t="s">
        <v>27</v>
      </c>
      <c r="M10" s="43">
        <f>SUMIF(F10:F225,"Hitam",G10:G225)</f>
        <v>15</v>
      </c>
      <c r="N10" s="25"/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>
        <v>2.5</v>
      </c>
      <c r="H11" s="53">
        <f>VLOOKUP(F11,$A$10:$B$10,2,TRUE)</f>
        <v>2000</v>
      </c>
      <c r="I11" s="50">
        <f t="shared" si="1"/>
        <v>5000</v>
      </c>
      <c r="J11" s="52"/>
      <c r="K11" s="25"/>
      <c r="L11" s="47" t="s">
        <v>28</v>
      </c>
      <c r="M11" s="43">
        <f>SUMIF(F11:F226,"Plastik Campur",G11:G226)</f>
        <v>12.5</v>
      </c>
      <c r="N11" s="25"/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/>
      <c r="H12" s="53">
        <f>VLOOKUP(F12,$A$11:$B$11,2,TRUE)</f>
        <v>1500</v>
      </c>
      <c r="I12" s="50">
        <f t="shared" si="1"/>
        <v>0</v>
      </c>
      <c r="J12" s="52"/>
      <c r="K12" s="25"/>
      <c r="L12" s="47" t="s">
        <v>29</v>
      </c>
      <c r="M12" s="43">
        <f>SUMIF(F12:F227,"Kardus",G12:G227)</f>
        <v>6</v>
      </c>
      <c r="N12" s="25"/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/>
      <c r="H13" s="53">
        <f>VLOOKUP(F13,$A$12:$B$12,2,TRUE)</f>
        <v>1300</v>
      </c>
      <c r="I13" s="50">
        <f t="shared" si="1"/>
        <v>0</v>
      </c>
      <c r="J13" s="52"/>
      <c r="K13" s="25"/>
      <c r="L13" s="47" t="s">
        <v>30</v>
      </c>
      <c r="M13" s="43">
        <f>SUMIF(F13:F228,"Kertas Putihan/ HVS",G13:G228)</f>
        <v>0</v>
      </c>
      <c r="N13" s="25"/>
      <c r="O13" s="54" t="s">
        <v>16</v>
      </c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SUMIF(F14:F229,"Koran/Buku",G14:G229)</f>
        <v>0</v>
      </c>
      <c r="N14" s="25"/>
      <c r="O14" s="55">
        <f>M5+M6+M7+M8+M9+M10+M11+M24+M25</f>
        <v>39</v>
      </c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>
        <v>1.5</v>
      </c>
      <c r="H15" s="53">
        <f>VLOOKUP(F15,$A$14:$B$14,2,TRUE)</f>
        <v>500</v>
      </c>
      <c r="I15" s="50">
        <f t="shared" si="1"/>
        <v>750</v>
      </c>
      <c r="J15" s="52"/>
      <c r="K15" s="25"/>
      <c r="L15" s="47" t="s">
        <v>32</v>
      </c>
      <c r="M15" s="43">
        <f>SUMIF(F15:F230,"Duplex",G15:G230)</f>
        <v>10.5</v>
      </c>
      <c r="N15" s="25"/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SUMIF(F16:F231,"Alumunium",G16:G231)</f>
        <v>0</v>
      </c>
      <c r="N16" s="25"/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SUMIF(F17:F232,"Besi",G17:G232)</f>
        <v>0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/>
      <c r="H18" s="53">
        <f>VLOOKUP(F18,$A$17:$B$17,2,TRUE)</f>
        <v>1000</v>
      </c>
      <c r="I18" s="50">
        <f t="shared" si="1"/>
        <v>0</v>
      </c>
      <c r="J18" s="52"/>
      <c r="K18" s="25"/>
      <c r="L18" s="47" t="s">
        <v>35</v>
      </c>
      <c r="M18" s="43">
        <f>SUMIF(F18:F233,"Kaleng kue/susu",G18:G233)</f>
        <v>2.5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SUMIF(F19:F234,"Kaleng Minuman",G19:G234)</f>
        <v>2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SUMIF(F20:F235,"Stanless",G20:G235)</f>
        <v>0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SUMIF(F21:F236,"Tembaga",G21:G236)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SUMIF(F22:F237,"Aki Motor",G22:G237)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SUMIF(F23:F238,"Paralon",G23:G238)</f>
        <v>0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41</v>
      </c>
      <c r="M24" s="43">
        <f>SUMIF(F24:F239,"Plastik bening",G24:G239)</f>
        <v>1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42</v>
      </c>
      <c r="M25" s="43">
        <f>SUMIF(F25:F240,"Plastik Warna",G25:G240)</f>
        <v>0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SUMIF(F26:F241,"Selang",G26:G241)</f>
        <v>0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18</v>
      </c>
      <c r="M27" s="43">
        <f>SUMIF(F27:F242,"Beling",G27:G242)</f>
        <v>3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/>
      <c r="H28" s="53">
        <f>VLOOKUP(F28,$A$27:$B$27,2,TRUE)</f>
        <v>100</v>
      </c>
      <c r="I28" s="50">
        <f t="shared" si="1"/>
        <v>0</v>
      </c>
      <c r="J28" s="52"/>
      <c r="K28" s="25"/>
      <c r="L28" s="47" t="s">
        <v>44</v>
      </c>
      <c r="M28" s="43">
        <f>SUMIF(F28:F243,"Pecahan",G28:G243)</f>
        <v>0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/>
      <c r="H29" s="53">
        <f>VLOOKUP(F29,$A$28:$B$28,2,TRUE)</f>
        <v>1500</v>
      </c>
      <c r="I29" s="50">
        <f t="shared" si="1"/>
        <v>0</v>
      </c>
      <c r="J29" s="52"/>
      <c r="K29" s="25"/>
      <c r="L29" s="47" t="s">
        <v>13</v>
      </c>
      <c r="M29" s="43">
        <f>SUMIF(F29:F245,"Paku",G29:G245)</f>
        <v>0</v>
      </c>
      <c r="N29" s="25"/>
    </row>
    <row r="30" ht="15.75" customHeight="1">
      <c r="A30" s="36" t="s">
        <v>60</v>
      </c>
      <c r="B30" s="37">
        <v>0.0</v>
      </c>
      <c r="C30" s="44"/>
      <c r="D30" s="52"/>
      <c r="E30" s="52"/>
      <c r="F30" s="47" t="s">
        <v>20</v>
      </c>
      <c r="G30" s="48"/>
      <c r="H30" s="53">
        <f>VLOOKUP(F30,$A$29:$B$29,2,TRUE)</f>
        <v>3500</v>
      </c>
      <c r="I30" s="50">
        <f t="shared" si="1"/>
        <v>0</v>
      </c>
      <c r="J30" s="52"/>
      <c r="K30" s="25"/>
      <c r="L30" s="47" t="s">
        <v>20</v>
      </c>
      <c r="M30" s="43">
        <f>SUMIF(F30:F246,"Minyak Jelantah",G30:G246)</f>
        <v>0</v>
      </c>
      <c r="N30" s="25"/>
    </row>
    <row r="31" ht="15.75" customHeight="1">
      <c r="C31" s="44"/>
      <c r="D31" s="13"/>
      <c r="E31" s="13"/>
      <c r="F31" s="47" t="s">
        <v>60</v>
      </c>
      <c r="G31" s="48">
        <v>2.5</v>
      </c>
      <c r="H31" s="53">
        <f>VLOOKUP(F31,$A$30:$B$30,2,TRUE)</f>
        <v>0</v>
      </c>
      <c r="I31" s="50">
        <f t="shared" si="1"/>
        <v>0</v>
      </c>
      <c r="J31" s="13"/>
      <c r="K31" s="25"/>
      <c r="L31" s="47" t="s">
        <v>60</v>
      </c>
      <c r="M31" s="43">
        <f>SUMIF(F31:F247,"Lainnya",G31:G247)</f>
        <v>19</v>
      </c>
      <c r="N31" s="25"/>
    </row>
    <row r="32" ht="15.75" customHeight="1">
      <c r="A32" s="44"/>
      <c r="B32" s="44"/>
      <c r="C32" s="44"/>
      <c r="D32" s="45">
        <v>2.0</v>
      </c>
      <c r="E32" s="46" t="s">
        <v>61</v>
      </c>
      <c r="F32" s="47" t="s">
        <v>22</v>
      </c>
      <c r="G32" s="48"/>
      <c r="H32" s="57">
        <f>VLOOKUP(F32,$A$4:$B$4,2,TRUE)</f>
        <v>4500</v>
      </c>
      <c r="I32" s="50">
        <f t="shared" si="1"/>
        <v>0</v>
      </c>
      <c r="J32" s="51">
        <f>SUM(I32:I58)</f>
        <v>7000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57</v>
      </c>
      <c r="G33" s="48"/>
      <c r="H33" s="57">
        <f>VLOOKUP(F33,$A$5:$B$5,2,TRUE)</f>
        <v>3000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59</v>
      </c>
      <c r="G34" s="48"/>
      <c r="H34" s="57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25</v>
      </c>
      <c r="G35" s="48"/>
      <c r="H35" s="57">
        <f>VLOOKUP(F35,$A$7:$B$7,2,TRUE)</f>
        <v>2800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26</v>
      </c>
      <c r="G36" s="48"/>
      <c r="H36" s="57">
        <f>VLOOKUP(F36,$A$8:$B$8,2,TRUE)</f>
        <v>3500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27</v>
      </c>
      <c r="G37" s="48"/>
      <c r="H37" s="57">
        <f>VLOOKUP(F37,$A$9:$B$9,2,TRUE)</f>
        <v>1000</v>
      </c>
      <c r="I37" s="50">
        <f t="shared" si="1"/>
        <v>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28</v>
      </c>
      <c r="G38" s="48">
        <v>3.5</v>
      </c>
      <c r="H38" s="57">
        <f>VLOOKUP(F38,$A$10:$B$10,2,TRUE)</f>
        <v>2000</v>
      </c>
      <c r="I38" s="50">
        <f t="shared" si="1"/>
        <v>7000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29</v>
      </c>
      <c r="G39" s="48"/>
      <c r="H39" s="57">
        <f>VLOOKUP(F39,$A$11:$B$11,2,TRUE)</f>
        <v>1500</v>
      </c>
      <c r="I39" s="50">
        <f t="shared" si="1"/>
        <v>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30</v>
      </c>
      <c r="G40" s="48"/>
      <c r="H40" s="57">
        <f>VLOOKUP(F40,$A$12:$B$12,2,TRUE)</f>
        <v>1300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31</v>
      </c>
      <c r="G41" s="48"/>
      <c r="H41" s="57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32</v>
      </c>
      <c r="G42" s="48"/>
      <c r="H42" s="57">
        <f>VLOOKUP(F42,$A$14:$B$14,2,TRUE)</f>
        <v>500</v>
      </c>
      <c r="I42" s="50">
        <f t="shared" si="1"/>
        <v>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33</v>
      </c>
      <c r="G43" s="48"/>
      <c r="H43" s="57">
        <f>VLOOKUP(F43,$A$15:$B$15,2,TRUE)</f>
        <v>7500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34</v>
      </c>
      <c r="G44" s="48"/>
      <c r="H44" s="57">
        <f>VLOOKUP(F44,$A$16:$B$16,2,TRUE)</f>
        <v>2000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35</v>
      </c>
      <c r="G45" s="48"/>
      <c r="H45" s="57">
        <f>VLOOKUP(F45,$A$17:$B$17,2,TRUE)</f>
        <v>1000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36</v>
      </c>
      <c r="G46" s="48"/>
      <c r="H46" s="57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37</v>
      </c>
      <c r="G47" s="48"/>
      <c r="H47" s="57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38</v>
      </c>
      <c r="G48" s="48"/>
      <c r="H48" s="57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39</v>
      </c>
      <c r="G49" s="48"/>
      <c r="H49" s="57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40</v>
      </c>
      <c r="G50" s="48"/>
      <c r="H50" s="57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41</v>
      </c>
      <c r="G51" s="48"/>
      <c r="H51" s="57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42</v>
      </c>
      <c r="G52" s="48"/>
      <c r="H52" s="57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43</v>
      </c>
      <c r="G53" s="48"/>
      <c r="H53" s="57">
        <f>VLOOKUP(F53,$A$25:$B$25,2,TRUE)</f>
        <v>1000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18</v>
      </c>
      <c r="G54" s="48"/>
      <c r="H54" s="57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44</v>
      </c>
      <c r="G55" s="48"/>
      <c r="H55" s="57">
        <f>VLOOKUP(F55,$A$27:$B$27,2,TRUE)</f>
        <v>100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13</v>
      </c>
      <c r="G56" s="48"/>
      <c r="H56" s="58">
        <f>VLOOKUP(F56,$A$28:$B$28,2,TRUE)</f>
        <v>1500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20</v>
      </c>
      <c r="G57" s="48"/>
      <c r="H57" s="57">
        <f>VLOOKUP(F57,$A$29:$B$29,2,TRUE)</f>
        <v>3500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13"/>
      <c r="E58" s="13"/>
      <c r="F58" s="47" t="s">
        <v>60</v>
      </c>
      <c r="G58" s="48"/>
      <c r="H58" s="57">
        <f>VLOOKUP(F58,$A$30:$B$30,2,TRUE)</f>
        <v>0</v>
      </c>
      <c r="I58" s="50">
        <f t="shared" si="1"/>
        <v>0</v>
      </c>
      <c r="J58" s="13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9" t="s">
        <v>62</v>
      </c>
      <c r="F59" s="47" t="s">
        <v>22</v>
      </c>
      <c r="G59" s="48"/>
      <c r="H59" s="57">
        <f>VLOOKUP(F59,$A$4:$B$4,2,TRUE)</f>
        <v>4500</v>
      </c>
      <c r="I59" s="50">
        <f t="shared" si="1"/>
        <v>0</v>
      </c>
      <c r="J59" s="51">
        <f>SUM(I59:I85)</f>
        <v>3250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57</v>
      </c>
      <c r="G60" s="48"/>
      <c r="H60" s="57">
        <f>VLOOKUP(F60,$A$5:$B$5,2,TRUE)</f>
        <v>3000</v>
      </c>
      <c r="I60" s="50">
        <f t="shared" si="1"/>
        <v>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59</v>
      </c>
      <c r="G61" s="48"/>
      <c r="H61" s="57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25</v>
      </c>
      <c r="G62" s="48"/>
      <c r="H62" s="57">
        <f>VLOOKUP(F62,$A$7:$B$7,2,TRUE)</f>
        <v>2800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26</v>
      </c>
      <c r="G63" s="48"/>
      <c r="H63" s="57">
        <f>VLOOKUP(F63,$A$8:$B$8,2,TRUE)</f>
        <v>3500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27</v>
      </c>
      <c r="G64" s="48">
        <v>1.5</v>
      </c>
      <c r="H64" s="57">
        <f>VLOOKUP(F64,$A$9:$B$9,2,TRUE)</f>
        <v>1000</v>
      </c>
      <c r="I64" s="50">
        <f t="shared" si="1"/>
        <v>1500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28</v>
      </c>
      <c r="G65" s="48"/>
      <c r="H65" s="57">
        <f>VLOOKUP(F65,$A$10:$B$10,2,TRUE)</f>
        <v>2000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29</v>
      </c>
      <c r="G66" s="48"/>
      <c r="H66" s="57">
        <f>VLOOKUP(F66,$A$11:$B$11,2,TRUE)</f>
        <v>1500</v>
      </c>
      <c r="I66" s="50">
        <f t="shared" si="1"/>
        <v>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30</v>
      </c>
      <c r="G67" s="48"/>
      <c r="H67" s="57">
        <f>VLOOKUP(F67,$A$12:$B$12,2,TRUE)</f>
        <v>1300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31</v>
      </c>
      <c r="G68" s="48"/>
      <c r="H68" s="57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32</v>
      </c>
      <c r="G69" s="48">
        <v>3.5</v>
      </c>
      <c r="H69" s="57">
        <f>VLOOKUP(F69,$A$14:$B$14,2,TRUE)</f>
        <v>500</v>
      </c>
      <c r="I69" s="50">
        <f t="shared" si="1"/>
        <v>1750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33</v>
      </c>
      <c r="G70" s="48"/>
      <c r="H70" s="57">
        <f>VLOOKUP(F70,$A$15:$B$15,2,TRUE)</f>
        <v>7500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34</v>
      </c>
      <c r="G71" s="48"/>
      <c r="H71" s="57">
        <f>VLOOKUP(F71,$A$16:$B$16,2,TRUE)</f>
        <v>2000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35</v>
      </c>
      <c r="G72" s="48"/>
      <c r="H72" s="57">
        <f>VLOOKUP(F72,$A$17:$B$17,2,TRUE)</f>
        <v>1000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36</v>
      </c>
      <c r="G73" s="48"/>
      <c r="H73" s="57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37</v>
      </c>
      <c r="G74" s="48"/>
      <c r="H74" s="57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38</v>
      </c>
      <c r="G75" s="48"/>
      <c r="H75" s="57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39</v>
      </c>
      <c r="G76" s="48"/>
      <c r="H76" s="57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40</v>
      </c>
      <c r="G77" s="48"/>
      <c r="H77" s="57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41</v>
      </c>
      <c r="G78" s="48"/>
      <c r="H78" s="57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42</v>
      </c>
      <c r="G79" s="48"/>
      <c r="H79" s="57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43</v>
      </c>
      <c r="G80" s="48"/>
      <c r="H80" s="57">
        <f>VLOOKUP(F80,$A$25:$B$25,2,TRUE)</f>
        <v>1000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18</v>
      </c>
      <c r="G81" s="48"/>
      <c r="H81" s="57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44</v>
      </c>
      <c r="G82" s="48"/>
      <c r="H82" s="57">
        <f>VLOOKUP(F82,$A$27:$B$27,2,TRUE)</f>
        <v>100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13</v>
      </c>
      <c r="G83" s="48"/>
      <c r="H83" s="57">
        <f>VLOOKUP(F83,$A$28:$B$28,2,TRUE)</f>
        <v>1500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20</v>
      </c>
      <c r="G84" s="48"/>
      <c r="H84" s="57">
        <f>VLOOKUP(F84,$A$29:$B$29,2,TRUE)</f>
        <v>3500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13"/>
      <c r="E85" s="13"/>
      <c r="F85" s="47" t="s">
        <v>60</v>
      </c>
      <c r="G85" s="48">
        <v>1.0</v>
      </c>
      <c r="H85" s="57">
        <f>VLOOKUP(F85,$A$30:$B$30,2,TRUE)</f>
        <v>0</v>
      </c>
      <c r="I85" s="50">
        <f t="shared" si="1"/>
        <v>0</v>
      </c>
      <c r="J85" s="13"/>
      <c r="K85" s="25"/>
      <c r="L85" s="25"/>
      <c r="M85" s="25"/>
      <c r="N85" s="25"/>
    </row>
    <row r="86" ht="15.75" customHeight="1">
      <c r="A86" s="44"/>
      <c r="B86" s="44"/>
      <c r="C86" s="44"/>
      <c r="D86" s="45">
        <v>4.0</v>
      </c>
      <c r="E86" s="46" t="s">
        <v>63</v>
      </c>
      <c r="F86" s="47" t="s">
        <v>22</v>
      </c>
      <c r="G86" s="48">
        <v>3.5</v>
      </c>
      <c r="H86" s="57">
        <f>VLOOKUP(F86,$A$4:$B$4,2,TRUE)</f>
        <v>4500</v>
      </c>
      <c r="I86" s="50">
        <f t="shared" si="1"/>
        <v>15750</v>
      </c>
      <c r="J86" s="51">
        <f>SUM(I86:I112)</f>
        <v>21250</v>
      </c>
      <c r="K86" s="25"/>
      <c r="L86" s="25"/>
      <c r="M86" s="25"/>
      <c r="N86" s="25"/>
    </row>
    <row r="87" ht="15.75" customHeight="1">
      <c r="A87" s="44"/>
      <c r="B87" s="44"/>
      <c r="C87" s="44"/>
      <c r="D87" s="52"/>
      <c r="E87" s="52"/>
      <c r="F87" s="47" t="s">
        <v>57</v>
      </c>
      <c r="G87" s="48"/>
      <c r="H87" s="57">
        <f>VLOOKUP(F87,$A$5:$B$5,2,TRUE)</f>
        <v>3000</v>
      </c>
      <c r="I87" s="50">
        <f t="shared" si="1"/>
        <v>0</v>
      </c>
      <c r="J87" s="52"/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59</v>
      </c>
      <c r="G88" s="48"/>
      <c r="H88" s="57">
        <f>VLOOKUP(F88,$A$6:$B$6,2,TRUE)</f>
        <v>1000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25</v>
      </c>
      <c r="G89" s="48"/>
      <c r="H89" s="57">
        <f>VLOOKUP(F89,$A$7:$B$7,2,TRUE)</f>
        <v>2800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26</v>
      </c>
      <c r="G90" s="48"/>
      <c r="H90" s="57">
        <f>VLOOKUP(F90,$A$8:$B$8,2,TRUE)</f>
        <v>3500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27</v>
      </c>
      <c r="G91" s="48"/>
      <c r="H91" s="57">
        <f>VLOOKUP(F91,$A$9:$B$9,2,TRUE)</f>
        <v>1000</v>
      </c>
      <c r="I91" s="50">
        <f t="shared" si="1"/>
        <v>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28</v>
      </c>
      <c r="G92" s="48">
        <v>2.0</v>
      </c>
      <c r="H92" s="57">
        <f>VLOOKUP(F92,$A$10:$B$10,2,TRUE)</f>
        <v>2000</v>
      </c>
      <c r="I92" s="50">
        <f t="shared" si="1"/>
        <v>4000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29</v>
      </c>
      <c r="G93" s="48"/>
      <c r="H93" s="57">
        <f>VLOOKUP(F93,$A$11:$B$11,2,TRUE)</f>
        <v>1500</v>
      </c>
      <c r="I93" s="50">
        <f t="shared" si="1"/>
        <v>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30</v>
      </c>
      <c r="G94" s="48"/>
      <c r="H94" s="57">
        <f>VLOOKUP(F94,$A$12:$B$12,2,TRUE)</f>
        <v>1300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31</v>
      </c>
      <c r="G95" s="48"/>
      <c r="H95" s="57">
        <f>VLOOKUP(F95,$A$13:$B$13,2,TRUE)</f>
        <v>1000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32</v>
      </c>
      <c r="G96" s="48">
        <v>3.0</v>
      </c>
      <c r="H96" s="57">
        <f>VLOOKUP(F96,$A$14:$B$14,2,TRUE)</f>
        <v>500</v>
      </c>
      <c r="I96" s="50">
        <f t="shared" si="1"/>
        <v>1500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33</v>
      </c>
      <c r="G97" s="48"/>
      <c r="H97" s="57">
        <f>VLOOKUP(F97,$A$15:$B$15,2,TRUE)</f>
        <v>7500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34</v>
      </c>
      <c r="G98" s="48"/>
      <c r="H98" s="57">
        <f>VLOOKUP(F98,$A$16:$B$16,2,TRUE)</f>
        <v>2000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35</v>
      </c>
      <c r="G99" s="48"/>
      <c r="H99" s="57">
        <f>VLOOKUP(F99,$A$17:$B$17,2,TRUE)</f>
        <v>1000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36</v>
      </c>
      <c r="G100" s="48"/>
      <c r="H100" s="57">
        <f>VLOOKUP(F100,$A$18:$B$18,2,TRUE)</f>
        <v>5000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37</v>
      </c>
      <c r="G101" s="48"/>
      <c r="H101" s="57">
        <f>VLOOKUP(F101,$A$19:$B$19,2,TRUE)</f>
        <v>2700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38</v>
      </c>
      <c r="G102" s="48"/>
      <c r="H102" s="57">
        <f>VLOOKUP(F102,$A$20:$B$20,2,TRUE)</f>
        <v>50000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39</v>
      </c>
      <c r="G103" s="48"/>
      <c r="H103" s="57">
        <f>VLOOKUP(F103,$A$21:$B$21,2,TRUE)</f>
        <v>10000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40</v>
      </c>
      <c r="G104" s="48"/>
      <c r="H104" s="57">
        <f>VLOOKUP(F104,$A$22:$B$22,2,TRUE)</f>
        <v>1000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41</v>
      </c>
      <c r="G105" s="48"/>
      <c r="H105" s="57">
        <f>VLOOKUP(F105,$A$23:$B$23,2,TRUE)</f>
        <v>500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42</v>
      </c>
      <c r="G106" s="48"/>
      <c r="H106" s="57">
        <f>VLOOKUP(F106,$A$24:$B$24,2,TRUE)</f>
        <v>200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43</v>
      </c>
      <c r="G107" s="48"/>
      <c r="H107" s="57">
        <f>VLOOKUP(F107,$A$25:$B$25,2,TRUE)</f>
        <v>1000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18</v>
      </c>
      <c r="G108" s="48"/>
      <c r="H108" s="57">
        <f>VLOOKUP(F108,$A$26:$B$26,2,TRUE)</f>
        <v>300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44</v>
      </c>
      <c r="G109" s="48"/>
      <c r="H109" s="57">
        <f>VLOOKUP(F109,$A$27:$B$27,2,TRUE)</f>
        <v>100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13</v>
      </c>
      <c r="G110" s="48"/>
      <c r="H110" s="57">
        <f>VLOOKUP(F110,$A$28:$B$28,2,TRUE)</f>
        <v>1500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20</v>
      </c>
      <c r="G111" s="48"/>
      <c r="H111" s="57">
        <f>VLOOKUP(F111,$A$29:$B$29,2,TRUE)</f>
        <v>3500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13"/>
      <c r="E112" s="13"/>
      <c r="F112" s="47" t="s">
        <v>60</v>
      </c>
      <c r="G112" s="48">
        <v>2.0</v>
      </c>
      <c r="H112" s="57">
        <f>VLOOKUP(F112,$A$30:$B$30,2,TRUE)</f>
        <v>0</v>
      </c>
      <c r="I112" s="50">
        <f t="shared" si="1"/>
        <v>0</v>
      </c>
      <c r="J112" s="13"/>
      <c r="K112" s="25"/>
      <c r="L112" s="25"/>
      <c r="M112" s="25"/>
      <c r="N112" s="25"/>
    </row>
    <row r="113" ht="15.75" customHeight="1">
      <c r="A113" s="44"/>
      <c r="B113" s="44"/>
      <c r="C113" s="44"/>
      <c r="D113" s="45">
        <v>5.0</v>
      </c>
      <c r="E113" s="46" t="s">
        <v>64</v>
      </c>
      <c r="F113" s="47" t="s">
        <v>22</v>
      </c>
      <c r="G113" s="48">
        <v>0.5</v>
      </c>
      <c r="H113" s="57">
        <f>VLOOKUP(F113,$A$4:$B$4,2,TRUE)</f>
        <v>4500</v>
      </c>
      <c r="I113" s="50">
        <f t="shared" si="1"/>
        <v>2250</v>
      </c>
      <c r="J113" s="51">
        <f>SUM(I113:I139)</f>
        <v>6650</v>
      </c>
      <c r="K113" s="25"/>
      <c r="L113" s="25"/>
      <c r="M113" s="25"/>
      <c r="N113" s="25"/>
    </row>
    <row r="114" ht="15.75" customHeight="1">
      <c r="A114" s="44"/>
      <c r="B114" s="44"/>
      <c r="C114" s="44"/>
      <c r="D114" s="52"/>
      <c r="E114" s="52"/>
      <c r="F114" s="47" t="s">
        <v>57</v>
      </c>
      <c r="G114" s="48">
        <v>0.5</v>
      </c>
      <c r="H114" s="57">
        <f>VLOOKUP(F114,$A$5:$B$5,2,TRUE)</f>
        <v>3000</v>
      </c>
      <c r="I114" s="50">
        <f t="shared" si="1"/>
        <v>1500</v>
      </c>
      <c r="J114" s="52"/>
      <c r="K114" s="25"/>
      <c r="L114" s="25"/>
      <c r="M114" s="25"/>
      <c r="N114" s="25"/>
    </row>
    <row r="115" ht="15.75" customHeight="1">
      <c r="A115" s="44"/>
      <c r="B115" s="44"/>
      <c r="C115" s="44"/>
      <c r="D115" s="52"/>
      <c r="E115" s="52"/>
      <c r="F115" s="47" t="s">
        <v>59</v>
      </c>
      <c r="G115" s="48"/>
      <c r="H115" s="57">
        <f>VLOOKUP(F115,$A$6:$B$6,2,TRUE)</f>
        <v>1000</v>
      </c>
      <c r="I115" s="50">
        <f t="shared" si="1"/>
        <v>0</v>
      </c>
      <c r="J115" s="52"/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25</v>
      </c>
      <c r="G116" s="48">
        <v>0.5</v>
      </c>
      <c r="H116" s="57">
        <f>VLOOKUP(F116,$A$7:$B$7,2,TRUE)</f>
        <v>2800</v>
      </c>
      <c r="I116" s="50">
        <f t="shared" si="1"/>
        <v>1400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26</v>
      </c>
      <c r="G117" s="48"/>
      <c r="H117" s="57">
        <f>VLOOKUP(F117,$A$8:$B$8,2,TRUE)</f>
        <v>3500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27</v>
      </c>
      <c r="G118" s="48"/>
      <c r="H118" s="57">
        <f>VLOOKUP(F118,$A$9:$B$9,2,TRUE)</f>
        <v>1000</v>
      </c>
      <c r="I118" s="50">
        <f t="shared" si="1"/>
        <v>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28</v>
      </c>
      <c r="G119" s="48">
        <v>0.5</v>
      </c>
      <c r="H119" s="57">
        <f>VLOOKUP(F119,$A$10:$B$10,2,TRUE)</f>
        <v>2000</v>
      </c>
      <c r="I119" s="50">
        <f t="shared" si="1"/>
        <v>1000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29</v>
      </c>
      <c r="G120" s="48"/>
      <c r="H120" s="57">
        <f>VLOOKUP(F120,$A$11:$B$11,2,TRUE)</f>
        <v>1500</v>
      </c>
      <c r="I120" s="50">
        <f t="shared" si="1"/>
        <v>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30</v>
      </c>
      <c r="G121" s="48"/>
      <c r="H121" s="57">
        <f>VLOOKUP(F121,$A$12:$B$12,2,TRUE)</f>
        <v>1300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31</v>
      </c>
      <c r="G122" s="48"/>
      <c r="H122" s="57">
        <f>VLOOKUP(F122,$A$13:$B$13,2,TRUE)</f>
        <v>1000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32</v>
      </c>
      <c r="G123" s="48"/>
      <c r="H123" s="57">
        <f>VLOOKUP(F123,$A$14:$B$14,2,TRUE)</f>
        <v>500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33</v>
      </c>
      <c r="G124" s="48"/>
      <c r="H124" s="57">
        <f>VLOOKUP(F124,$A$15:$B$15,2,TRUE)</f>
        <v>7500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34</v>
      </c>
      <c r="G125" s="48"/>
      <c r="H125" s="57">
        <f>VLOOKUP(F125,$A$16:$B$16,2,TRUE)</f>
        <v>2000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35</v>
      </c>
      <c r="G126" s="48"/>
      <c r="H126" s="57">
        <f>VLOOKUP(F126,$A$17:$B$17,2,TRUE)</f>
        <v>1000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36</v>
      </c>
      <c r="G127" s="48"/>
      <c r="H127" s="57">
        <f>VLOOKUP(F127,$A$18:$B$18,2,TRUE)</f>
        <v>5000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37</v>
      </c>
      <c r="G128" s="48"/>
      <c r="H128" s="57">
        <f>VLOOKUP(F128,$A$19:$B$19,2,TRUE)</f>
        <v>2700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38</v>
      </c>
      <c r="G129" s="48"/>
      <c r="H129" s="57">
        <f>VLOOKUP(F129,$A$20:$B$20,2,TRUE)</f>
        <v>50000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39</v>
      </c>
      <c r="G130" s="48"/>
      <c r="H130" s="57">
        <f>VLOOKUP(F130,$A$21:$B$21,2,TRUE)</f>
        <v>10000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40</v>
      </c>
      <c r="G131" s="48"/>
      <c r="H131" s="57">
        <f>VLOOKUP(F131,$A$22:$B$22,2,TRUE)</f>
        <v>1000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41</v>
      </c>
      <c r="G132" s="48">
        <v>1.0</v>
      </c>
      <c r="H132" s="57">
        <f>VLOOKUP(F132,$A$23:$B$23,2,TRUE)</f>
        <v>500</v>
      </c>
      <c r="I132" s="50">
        <f t="shared" si="1"/>
        <v>500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42</v>
      </c>
      <c r="G133" s="48"/>
      <c r="H133" s="57">
        <f>VLOOKUP(F133,$A$24:$B$24,2,TRUE)</f>
        <v>200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43</v>
      </c>
      <c r="G134" s="48"/>
      <c r="H134" s="57">
        <f>VLOOKUP(F134,$A$25:$B$25,2,TRUE)</f>
        <v>1000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18</v>
      </c>
      <c r="G135" s="48"/>
      <c r="H135" s="57">
        <f>VLOOKUP(F135,$A$26:$B$26,2,TRUE)</f>
        <v>300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44</v>
      </c>
      <c r="G136" s="48"/>
      <c r="H136" s="57">
        <f>VLOOKUP(F136,$A$27:$B$27,2,TRUE)</f>
        <v>100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7">
        <f>VLOOKUP(F137,$A$28:$B$28,2,TRUE)</f>
        <v>1500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20</v>
      </c>
      <c r="G138" s="48"/>
      <c r="H138" s="57">
        <f>VLOOKUP(F138,$A$29:$B$29,2,TRUE)</f>
        <v>3500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13"/>
      <c r="E139" s="13"/>
      <c r="F139" s="47" t="s">
        <v>60</v>
      </c>
      <c r="G139" s="48">
        <v>2.5</v>
      </c>
      <c r="H139" s="57">
        <f>VLOOKUP(F139,$A$30:$B$30,2,TRUE)</f>
        <v>0</v>
      </c>
      <c r="I139" s="50">
        <f t="shared" si="1"/>
        <v>0</v>
      </c>
      <c r="J139" s="13"/>
      <c r="K139" s="25"/>
      <c r="L139" s="25"/>
      <c r="M139" s="25"/>
      <c r="N139" s="25"/>
    </row>
    <row r="140" ht="15.75" customHeight="1">
      <c r="A140" s="44"/>
      <c r="B140" s="44"/>
      <c r="C140" s="44"/>
      <c r="D140" s="45">
        <v>6.0</v>
      </c>
      <c r="E140" s="46" t="s">
        <v>65</v>
      </c>
      <c r="F140" s="47" t="s">
        <v>22</v>
      </c>
      <c r="G140" s="48"/>
      <c r="H140" s="57">
        <f>VLOOKUP(F140,$A$4:$B$4,2,TRUE)</f>
        <v>4500</v>
      </c>
      <c r="I140" s="50">
        <f t="shared" si="1"/>
        <v>0</v>
      </c>
      <c r="J140" s="51">
        <f>SUM(I140:I166)</f>
        <v>2000</v>
      </c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57</v>
      </c>
      <c r="G141" s="48"/>
      <c r="H141" s="57">
        <f>VLOOKUP(F141,$A$5:$B$5,2,TRUE)</f>
        <v>3000</v>
      </c>
      <c r="I141" s="50">
        <f t="shared" si="1"/>
        <v>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52"/>
      <c r="E142" s="52"/>
      <c r="F142" s="47" t="s">
        <v>59</v>
      </c>
      <c r="G142" s="48"/>
      <c r="H142" s="57">
        <f>VLOOKUP(F142,$A$6:$B$6,2,TRUE)</f>
        <v>1000</v>
      </c>
      <c r="I142" s="50">
        <f t="shared" si="1"/>
        <v>0</v>
      </c>
      <c r="J142" s="52"/>
      <c r="K142" s="25"/>
      <c r="L142" s="25"/>
      <c r="M142" s="25"/>
      <c r="N142" s="25"/>
    </row>
    <row r="143" ht="15.75" customHeight="1">
      <c r="A143" s="44"/>
      <c r="B143" s="44"/>
      <c r="C143" s="44"/>
      <c r="D143" s="52"/>
      <c r="E143" s="52"/>
      <c r="F143" s="47" t="s">
        <v>25</v>
      </c>
      <c r="G143" s="48"/>
      <c r="H143" s="57">
        <f>VLOOKUP(F143,$A$7:$B$7,2,TRUE)</f>
        <v>2800</v>
      </c>
      <c r="I143" s="50">
        <f t="shared" si="1"/>
        <v>0</v>
      </c>
      <c r="J143" s="52"/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26</v>
      </c>
      <c r="G144" s="48"/>
      <c r="H144" s="57">
        <f>VLOOKUP(F144,$A$8:$B$8,2,TRUE)</f>
        <v>3500</v>
      </c>
      <c r="I144" s="50">
        <f t="shared" si="1"/>
        <v>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27</v>
      </c>
      <c r="G145" s="48">
        <v>2.0</v>
      </c>
      <c r="H145" s="57">
        <f>VLOOKUP(F145,$A$9:$B$9,2,TRUE)</f>
        <v>1000</v>
      </c>
      <c r="I145" s="50">
        <f t="shared" si="1"/>
        <v>2000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28</v>
      </c>
      <c r="G146" s="48"/>
      <c r="H146" s="57">
        <f>VLOOKUP(F146,$A$10:$B$10,2,TRUE)</f>
        <v>2000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29</v>
      </c>
      <c r="G147" s="48"/>
      <c r="H147" s="57">
        <f>VLOOKUP(F147,$A$11:$B$11,2,TRUE)</f>
        <v>1500</v>
      </c>
      <c r="I147" s="50">
        <f t="shared" si="1"/>
        <v>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30</v>
      </c>
      <c r="G148" s="48"/>
      <c r="H148" s="57">
        <f>VLOOKUP(F148,$A$12:$B$12,2,TRUE)</f>
        <v>1300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31</v>
      </c>
      <c r="G149" s="48"/>
      <c r="H149" s="57">
        <f>VLOOKUP(F149,$A$13:$B$13,2,TRUE)</f>
        <v>1000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32</v>
      </c>
      <c r="G150" s="48"/>
      <c r="H150" s="57">
        <f>VLOOKUP(F150,$A$14:$B$14,2,TRUE)</f>
        <v>500</v>
      </c>
      <c r="I150" s="50">
        <f t="shared" si="1"/>
        <v>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33</v>
      </c>
      <c r="G151" s="48"/>
      <c r="H151" s="57">
        <f>VLOOKUP(F151,$A$15:$B$15,2,TRUE)</f>
        <v>7500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34</v>
      </c>
      <c r="G152" s="48"/>
      <c r="H152" s="57">
        <f>VLOOKUP(F152,$A$16:$B$16,2,TRUE)</f>
        <v>2000</v>
      </c>
      <c r="I152" s="50">
        <f t="shared" si="1"/>
        <v>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35</v>
      </c>
      <c r="G153" s="48"/>
      <c r="H153" s="57">
        <f>VLOOKUP(F153,$A$17:$B$17,2,TRUE)</f>
        <v>1000</v>
      </c>
      <c r="I153" s="50">
        <f t="shared" si="1"/>
        <v>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36</v>
      </c>
      <c r="G154" s="48"/>
      <c r="H154" s="57">
        <f>VLOOKUP(F154,$A$18:$B$18,2,TRUE)</f>
        <v>5000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37</v>
      </c>
      <c r="G155" s="48"/>
      <c r="H155" s="57">
        <f>VLOOKUP(F155,$A$19:$B$19,2,TRUE)</f>
        <v>2700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38</v>
      </c>
      <c r="G156" s="48"/>
      <c r="H156" s="57">
        <f>VLOOKUP(F156,$A$20:$B$20,2,TRUE)</f>
        <v>50000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39</v>
      </c>
      <c r="G157" s="48"/>
      <c r="H157" s="57">
        <f>VLOOKUP(F157,$A$21:$B$21,2,TRUE)</f>
        <v>10000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40</v>
      </c>
      <c r="G158" s="48"/>
      <c r="H158" s="57">
        <f>VLOOKUP(F158,$A$22:$B$22,2,TRUE)</f>
        <v>1000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41</v>
      </c>
      <c r="G159" s="48"/>
      <c r="H159" s="57">
        <f>VLOOKUP(F159,$A$23:$B$23,2,TRUE)</f>
        <v>500</v>
      </c>
      <c r="I159" s="50">
        <f t="shared" si="1"/>
        <v>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42</v>
      </c>
      <c r="G160" s="48"/>
      <c r="H160" s="57">
        <f>VLOOKUP(F160,$A$24:$B$24,2,TRUE)</f>
        <v>200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43</v>
      </c>
      <c r="G161" s="48"/>
      <c r="H161" s="57">
        <f>VLOOKUP(F161,$A$25:$B$25,2,TRUE)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18</v>
      </c>
      <c r="G162" s="48"/>
      <c r="H162" s="57">
        <f>VLOOKUP(F162,$A$26:$B$26,2,TRUE)</f>
        <v>300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44</v>
      </c>
      <c r="G163" s="48"/>
      <c r="H163" s="57">
        <f>VLOOKUP(F163,$A$27:$B$27,2,TRUE)</f>
        <v>100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13</v>
      </c>
      <c r="G164" s="48"/>
      <c r="H164" s="57">
        <f>VLOOKUP(F164,$A$28:$B$28,2,TRUE)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20</v>
      </c>
      <c r="G165" s="48"/>
      <c r="H165" s="57">
        <f>VLOOKUP(F165,$A$29:$B$29,2,TRUE)</f>
        <v>3500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13"/>
      <c r="E166" s="13"/>
      <c r="F166" s="47" t="s">
        <v>60</v>
      </c>
      <c r="G166" s="48">
        <v>1.0</v>
      </c>
      <c r="H166" s="57">
        <f>VLOOKUP(F166,$A$30:$B$30,2,TRUE)</f>
        <v>0</v>
      </c>
      <c r="I166" s="50">
        <f t="shared" si="1"/>
        <v>0</v>
      </c>
      <c r="J166" s="13"/>
      <c r="K166" s="25"/>
      <c r="L166" s="25"/>
      <c r="M166" s="25"/>
      <c r="N166" s="25"/>
    </row>
    <row r="167" ht="15.75" customHeight="1">
      <c r="A167" s="44"/>
      <c r="B167" s="44"/>
      <c r="C167" s="44"/>
      <c r="D167" s="45">
        <v>7.0</v>
      </c>
      <c r="E167" s="46" t="s">
        <v>66</v>
      </c>
      <c r="F167" s="47" t="s">
        <v>22</v>
      </c>
      <c r="G167" s="48">
        <v>1.0</v>
      </c>
      <c r="H167" s="57">
        <f>VLOOKUP(F167,$A$4:$B$4,2,TRUE)</f>
        <v>4500</v>
      </c>
      <c r="I167" s="50">
        <f t="shared" si="1"/>
        <v>4500</v>
      </c>
      <c r="J167" s="51">
        <f>SUM(I167:I193)</f>
        <v>29650</v>
      </c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57</v>
      </c>
      <c r="G168" s="48">
        <v>1.5</v>
      </c>
      <c r="H168" s="57">
        <f>VLOOKUP(F168,$A$5:$B$5,2,TRUE)</f>
        <v>3000</v>
      </c>
      <c r="I168" s="50">
        <f t="shared" si="1"/>
        <v>4500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59</v>
      </c>
      <c r="G169" s="48"/>
      <c r="H169" s="57">
        <f>VLOOKUP(F169,$A$6:$B$6,2,TRUE)</f>
        <v>1000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52"/>
      <c r="E170" s="52"/>
      <c r="F170" s="47" t="s">
        <v>25</v>
      </c>
      <c r="G170" s="48"/>
      <c r="H170" s="57">
        <f>VLOOKUP(F170,$A$7:$B$7,2,TRUE)</f>
        <v>2800</v>
      </c>
      <c r="I170" s="50">
        <f t="shared" si="1"/>
        <v>0</v>
      </c>
      <c r="J170" s="52"/>
      <c r="K170" s="25"/>
      <c r="L170" s="25"/>
      <c r="M170" s="25"/>
      <c r="N170" s="25"/>
    </row>
    <row r="171" ht="15.75" customHeight="1">
      <c r="A171" s="44"/>
      <c r="B171" s="44"/>
      <c r="C171" s="44"/>
      <c r="D171" s="52"/>
      <c r="E171" s="52"/>
      <c r="F171" s="47" t="s">
        <v>26</v>
      </c>
      <c r="G171" s="48"/>
      <c r="H171" s="57">
        <f>VLOOKUP(F171,$A$8:$B$8,2,TRUE)</f>
        <v>3500</v>
      </c>
      <c r="I171" s="50">
        <f t="shared" si="1"/>
        <v>0</v>
      </c>
      <c r="J171" s="52"/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27</v>
      </c>
      <c r="G172" s="48">
        <v>11.5</v>
      </c>
      <c r="H172" s="57">
        <f>VLOOKUP(F172,$A$9:$B$9,2,TRUE)</f>
        <v>1000</v>
      </c>
      <c r="I172" s="50">
        <f t="shared" si="1"/>
        <v>11500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28</v>
      </c>
      <c r="G173" s="48"/>
      <c r="H173" s="57">
        <f>VLOOKUP(F173,$A$10:$B$10,2,TRUE)</f>
        <v>2000</v>
      </c>
      <c r="I173" s="50">
        <f t="shared" si="1"/>
        <v>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29</v>
      </c>
      <c r="G174" s="48"/>
      <c r="H174" s="57">
        <f>VLOOKUP(F174,$A$11:$B$11,2,TRUE)</f>
        <v>1500</v>
      </c>
      <c r="I174" s="50">
        <f t="shared" si="1"/>
        <v>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30</v>
      </c>
      <c r="G175" s="48"/>
      <c r="H175" s="57">
        <f>VLOOKUP(F175,$A$12:$B$12,2,TRUE)</f>
        <v>1300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31</v>
      </c>
      <c r="G176" s="48"/>
      <c r="H176" s="57">
        <f>VLOOKUP(F176,$A$13:$B$13,2,TRUE)</f>
        <v>1000</v>
      </c>
      <c r="I176" s="50">
        <f t="shared" si="1"/>
        <v>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32</v>
      </c>
      <c r="G177" s="48">
        <v>1.5</v>
      </c>
      <c r="H177" s="57">
        <f>VLOOKUP(F177,$A$14:$B$14,2,TRUE)</f>
        <v>500</v>
      </c>
      <c r="I177" s="50">
        <f t="shared" si="1"/>
        <v>750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33</v>
      </c>
      <c r="G178" s="48"/>
      <c r="H178" s="57">
        <f>VLOOKUP(F178,$A$15:$B$15,2,TRUE)</f>
        <v>7500</v>
      </c>
      <c r="I178" s="50">
        <f t="shared" si="1"/>
        <v>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34</v>
      </c>
      <c r="G179" s="48"/>
      <c r="H179" s="57">
        <f>VLOOKUP(F179,$A$16:$B$16,2,TRUE)</f>
        <v>2000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35</v>
      </c>
      <c r="G180" s="48">
        <v>2.5</v>
      </c>
      <c r="H180" s="57">
        <f>VLOOKUP(F180,$A$17:$B$17,2,TRUE)</f>
        <v>1000</v>
      </c>
      <c r="I180" s="50">
        <f t="shared" si="1"/>
        <v>2500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36</v>
      </c>
      <c r="G181" s="48">
        <v>1.0</v>
      </c>
      <c r="H181" s="57">
        <f>VLOOKUP(F181,$A$18:$B$18,2,TRUE)</f>
        <v>5000</v>
      </c>
      <c r="I181" s="50">
        <f t="shared" si="1"/>
        <v>5000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37</v>
      </c>
      <c r="G182" s="48"/>
      <c r="H182" s="57">
        <f>VLOOKUP(F182,$A$19:$B$19,2,TRUE)</f>
        <v>2700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38</v>
      </c>
      <c r="G183" s="48"/>
      <c r="H183" s="57">
        <f>VLOOKUP(F183,$A$20:$B$20,2,TRUE)</f>
        <v>50000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39</v>
      </c>
      <c r="G184" s="48"/>
      <c r="H184" s="57">
        <f>VLOOKUP(F184,$A$21:$B$21,2,TRUE)</f>
        <v>10000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40</v>
      </c>
      <c r="G185" s="48"/>
      <c r="H185" s="57">
        <f>VLOOKUP(F185,$A$22:$B$22,2,TRUE)</f>
        <v>1000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41</v>
      </c>
      <c r="G186" s="48"/>
      <c r="H186" s="57">
        <f>VLOOKUP(F186,$A$23:$B$23,2,TRUE)</f>
        <v>500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42</v>
      </c>
      <c r="G187" s="48"/>
      <c r="H187" s="57">
        <f>VLOOKUP(F187,$A$24:$B$24,2,TRUE)</f>
        <v>200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43</v>
      </c>
      <c r="G188" s="48"/>
      <c r="H188" s="57">
        <f>VLOOKUP(F188,$A$25:$B$25,2,TRUE)</f>
        <v>1000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18</v>
      </c>
      <c r="G189" s="48">
        <v>3.0</v>
      </c>
      <c r="H189" s="57">
        <f>VLOOKUP(F189,$A$26:$B$26,2,TRUE)</f>
        <v>300</v>
      </c>
      <c r="I189" s="50">
        <f t="shared" si="1"/>
        <v>900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44</v>
      </c>
      <c r="G190" s="48"/>
      <c r="H190" s="57">
        <f>VLOOKUP(F190,$A$27:$B$27,2,TRUE)</f>
        <v>100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13</v>
      </c>
      <c r="G191" s="48"/>
      <c r="H191" s="57">
        <f>VLOOKUP(F191,$A$28:$B$28,2,TRUE)</f>
        <v>1500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20</v>
      </c>
      <c r="G192" s="48"/>
      <c r="H192" s="57">
        <f>VLOOKUP(F192,$A$29:$B$29,2,TRUE)</f>
        <v>3500</v>
      </c>
      <c r="I192" s="50">
        <f t="shared" si="1"/>
        <v>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13"/>
      <c r="E193" s="13"/>
      <c r="F193" s="47" t="s">
        <v>60</v>
      </c>
      <c r="G193" s="48">
        <v>5.5</v>
      </c>
      <c r="H193" s="57">
        <f>VLOOKUP(F193,$A$30:$B$30,2,TRUE)</f>
        <v>0</v>
      </c>
      <c r="I193" s="50">
        <f t="shared" si="1"/>
        <v>0</v>
      </c>
      <c r="J193" s="13"/>
      <c r="K193" s="25"/>
      <c r="L193" s="25"/>
      <c r="M193" s="25"/>
      <c r="N193" s="25"/>
    </row>
    <row r="194" ht="15.75" customHeight="1">
      <c r="A194" s="44"/>
      <c r="B194" s="44"/>
      <c r="C194" s="44"/>
      <c r="D194" s="45">
        <v>8.0</v>
      </c>
      <c r="E194" s="46" t="s">
        <v>67</v>
      </c>
      <c r="F194" s="47" t="s">
        <v>22</v>
      </c>
      <c r="G194" s="48">
        <v>2.0</v>
      </c>
      <c r="H194" s="57">
        <f>VLOOKUP(F194,$A$4:$B$4,2,TRUE)</f>
        <v>4500</v>
      </c>
      <c r="I194" s="50">
        <f t="shared" si="1"/>
        <v>9000</v>
      </c>
      <c r="J194" s="51">
        <f>SUM(I194:I220)</f>
        <v>34500</v>
      </c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57</v>
      </c>
      <c r="G195" s="48">
        <v>1.0</v>
      </c>
      <c r="H195" s="57">
        <f>VLOOKUP(F195,$A$5:$B$5,2,TRUE)</f>
        <v>3000</v>
      </c>
      <c r="I195" s="50">
        <f t="shared" si="1"/>
        <v>3000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59</v>
      </c>
      <c r="G196" s="48"/>
      <c r="H196" s="57">
        <f>VLOOKUP(F196,$A$6:$B$6,2,TRUE)</f>
        <v>1000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25</v>
      </c>
      <c r="G197" s="48"/>
      <c r="H197" s="57">
        <f>VLOOKUP(F197,$A$7:$B$7,2,TRUE)</f>
        <v>2800</v>
      </c>
      <c r="I197" s="50">
        <f t="shared" si="1"/>
        <v>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52"/>
      <c r="E198" s="52"/>
      <c r="F198" s="47" t="s">
        <v>26</v>
      </c>
      <c r="G198" s="48"/>
      <c r="H198" s="57">
        <f>VLOOKUP(F198,$A$8:$B$8,2,TRUE)</f>
        <v>3500</v>
      </c>
      <c r="I198" s="50">
        <f t="shared" si="1"/>
        <v>0</v>
      </c>
      <c r="J198" s="52"/>
      <c r="K198" s="25"/>
      <c r="L198" s="25"/>
      <c r="M198" s="25"/>
      <c r="N198" s="25"/>
    </row>
    <row r="199" ht="15.75" customHeight="1">
      <c r="A199" s="44"/>
      <c r="B199" s="44"/>
      <c r="C199" s="44"/>
      <c r="D199" s="52"/>
      <c r="E199" s="52"/>
      <c r="F199" s="47" t="s">
        <v>27</v>
      </c>
      <c r="G199" s="48"/>
      <c r="H199" s="57">
        <f>VLOOKUP(F199,$A$9:$B$9,2,TRUE)</f>
        <v>1000</v>
      </c>
      <c r="I199" s="50">
        <f t="shared" si="1"/>
        <v>0</v>
      </c>
      <c r="J199" s="52"/>
      <c r="K199" s="25"/>
      <c r="L199" s="25"/>
      <c r="M199" s="25"/>
      <c r="N199" s="25"/>
    </row>
    <row r="200" ht="15.75" customHeight="1">
      <c r="A200" s="44"/>
      <c r="B200" s="44"/>
      <c r="C200" s="44"/>
      <c r="D200" s="52"/>
      <c r="E200" s="52"/>
      <c r="F200" s="47" t="s">
        <v>28</v>
      </c>
      <c r="G200" s="48">
        <v>4.0</v>
      </c>
      <c r="H200" s="57">
        <f>VLOOKUP(F200,$A$10:$B$10,2,TRUE)</f>
        <v>2000</v>
      </c>
      <c r="I200" s="50">
        <f t="shared" si="1"/>
        <v>8000</v>
      </c>
      <c r="J200" s="52"/>
      <c r="K200" s="25"/>
      <c r="L200" s="25"/>
      <c r="M200" s="25"/>
      <c r="N200" s="25"/>
    </row>
    <row r="201" ht="15.75" customHeight="1">
      <c r="A201" s="44"/>
      <c r="B201" s="44"/>
      <c r="C201" s="44"/>
      <c r="D201" s="52"/>
      <c r="E201" s="52"/>
      <c r="F201" s="47" t="s">
        <v>29</v>
      </c>
      <c r="G201" s="48">
        <v>6.0</v>
      </c>
      <c r="H201" s="57">
        <f>VLOOKUP(F201,$A$11:$B$11,2,TRUE)</f>
        <v>1500</v>
      </c>
      <c r="I201" s="50">
        <f t="shared" si="1"/>
        <v>9000</v>
      </c>
      <c r="J201" s="52"/>
      <c r="K201" s="25"/>
      <c r="L201" s="25"/>
      <c r="M201" s="25"/>
      <c r="N201" s="25"/>
    </row>
    <row r="202" ht="15.75" customHeight="1">
      <c r="A202" s="44"/>
      <c r="B202" s="44"/>
      <c r="C202" s="44"/>
      <c r="D202" s="52"/>
      <c r="E202" s="52"/>
      <c r="F202" s="47" t="s">
        <v>30</v>
      </c>
      <c r="G202" s="48"/>
      <c r="H202" s="57">
        <f>VLOOKUP(F202,$A$12:$B$12,2,TRUE)</f>
        <v>1300</v>
      </c>
      <c r="I202" s="50">
        <f t="shared" si="1"/>
        <v>0</v>
      </c>
      <c r="J202" s="52"/>
      <c r="K202" s="25"/>
      <c r="L202" s="25"/>
      <c r="M202" s="25"/>
      <c r="N202" s="25"/>
    </row>
    <row r="203" ht="15.75" customHeight="1">
      <c r="A203" s="44"/>
      <c r="B203" s="44"/>
      <c r="C203" s="44"/>
      <c r="D203" s="52"/>
      <c r="E203" s="52"/>
      <c r="F203" s="47" t="s">
        <v>31</v>
      </c>
      <c r="G203" s="48"/>
      <c r="H203" s="57">
        <f>VLOOKUP(F203,$A$13:$B$13,2,TRUE)</f>
        <v>1000</v>
      </c>
      <c r="I203" s="50">
        <f t="shared" si="1"/>
        <v>0</v>
      </c>
      <c r="J203" s="52"/>
      <c r="K203" s="25"/>
      <c r="L203" s="25"/>
      <c r="M203" s="25"/>
      <c r="N203" s="25"/>
    </row>
    <row r="204" ht="15.75" customHeight="1">
      <c r="A204" s="44"/>
      <c r="B204" s="44"/>
      <c r="C204" s="44"/>
      <c r="D204" s="52"/>
      <c r="E204" s="52"/>
      <c r="F204" s="47" t="s">
        <v>32</v>
      </c>
      <c r="G204" s="48">
        <v>1.0</v>
      </c>
      <c r="H204" s="57">
        <f>VLOOKUP(F204,$A$14:$B$14,2,TRUE)</f>
        <v>500</v>
      </c>
      <c r="I204" s="50">
        <f t="shared" si="1"/>
        <v>500</v>
      </c>
      <c r="J204" s="52"/>
      <c r="K204" s="25"/>
      <c r="L204" s="25"/>
      <c r="M204" s="25"/>
      <c r="N204" s="25"/>
    </row>
    <row r="205" ht="15.75" customHeight="1">
      <c r="A205" s="44"/>
      <c r="B205" s="44"/>
      <c r="C205" s="44"/>
      <c r="D205" s="52"/>
      <c r="E205" s="52"/>
      <c r="F205" s="47" t="s">
        <v>33</v>
      </c>
      <c r="G205" s="48"/>
      <c r="H205" s="57">
        <f>VLOOKUP(F205,$A$15:$B$15,2,TRUE)</f>
        <v>7500</v>
      </c>
      <c r="I205" s="50">
        <f t="shared" si="1"/>
        <v>0</v>
      </c>
      <c r="J205" s="52"/>
      <c r="K205" s="25"/>
      <c r="L205" s="25"/>
      <c r="M205" s="25"/>
      <c r="N205" s="25"/>
    </row>
    <row r="206" ht="15.75" customHeight="1">
      <c r="A206" s="44"/>
      <c r="B206" s="44"/>
      <c r="C206" s="44"/>
      <c r="D206" s="52"/>
      <c r="E206" s="52"/>
      <c r="F206" s="47" t="s">
        <v>34</v>
      </c>
      <c r="G206" s="48"/>
      <c r="H206" s="57">
        <f>VLOOKUP(F206,$A$16:$B$16,2,TRUE)</f>
        <v>2000</v>
      </c>
      <c r="I206" s="50">
        <f t="shared" si="1"/>
        <v>0</v>
      </c>
      <c r="J206" s="52"/>
      <c r="K206" s="25"/>
      <c r="L206" s="25"/>
      <c r="M206" s="25"/>
      <c r="N206" s="25"/>
    </row>
    <row r="207" ht="15.75" customHeight="1">
      <c r="A207" s="44"/>
      <c r="B207" s="44"/>
      <c r="C207" s="44"/>
      <c r="D207" s="52"/>
      <c r="E207" s="52"/>
      <c r="F207" s="47" t="s">
        <v>35</v>
      </c>
      <c r="G207" s="48"/>
      <c r="H207" s="57">
        <f>VLOOKUP(F207,$A$17:$B$17,2,TRUE)</f>
        <v>1000</v>
      </c>
      <c r="I207" s="50">
        <f t="shared" si="1"/>
        <v>0</v>
      </c>
      <c r="J207" s="52"/>
      <c r="K207" s="25"/>
      <c r="L207" s="25"/>
      <c r="M207" s="25"/>
      <c r="N207" s="25"/>
    </row>
    <row r="208" ht="15.75" customHeight="1">
      <c r="A208" s="44"/>
      <c r="B208" s="44"/>
      <c r="C208" s="44"/>
      <c r="D208" s="52"/>
      <c r="E208" s="52"/>
      <c r="F208" s="47" t="s">
        <v>36</v>
      </c>
      <c r="G208" s="48">
        <v>1.0</v>
      </c>
      <c r="H208" s="57">
        <f>VLOOKUP(F208,$A$18:$B$18,2,TRUE)</f>
        <v>5000</v>
      </c>
      <c r="I208" s="50">
        <f t="shared" si="1"/>
        <v>5000</v>
      </c>
      <c r="J208" s="52"/>
      <c r="K208" s="25"/>
      <c r="L208" s="25"/>
      <c r="M208" s="25"/>
      <c r="N208" s="25"/>
    </row>
    <row r="209" ht="15.75" customHeight="1">
      <c r="A209" s="44"/>
      <c r="B209" s="44"/>
      <c r="C209" s="44"/>
      <c r="D209" s="52"/>
      <c r="E209" s="52"/>
      <c r="F209" s="47" t="s">
        <v>37</v>
      </c>
      <c r="G209" s="48"/>
      <c r="H209" s="57">
        <f>VLOOKUP(F209,$A$19:$B$19,2,TRUE)</f>
        <v>2700</v>
      </c>
      <c r="I209" s="50">
        <f t="shared" si="1"/>
        <v>0</v>
      </c>
      <c r="J209" s="52"/>
      <c r="K209" s="25"/>
      <c r="L209" s="25"/>
      <c r="M209" s="25"/>
      <c r="N209" s="25"/>
    </row>
    <row r="210" ht="15.75" customHeight="1">
      <c r="A210" s="44"/>
      <c r="B210" s="44"/>
      <c r="C210" s="44"/>
      <c r="D210" s="52"/>
      <c r="E210" s="52"/>
      <c r="F210" s="47" t="s">
        <v>38</v>
      </c>
      <c r="G210" s="48"/>
      <c r="H210" s="57">
        <f>VLOOKUP(F210,$A$20:$B$20,2,TRUE)</f>
        <v>50000</v>
      </c>
      <c r="I210" s="50">
        <f t="shared" si="1"/>
        <v>0</v>
      </c>
      <c r="J210" s="52"/>
      <c r="K210" s="25"/>
      <c r="L210" s="25"/>
      <c r="M210" s="25"/>
      <c r="N210" s="25"/>
    </row>
    <row r="211" ht="15.75" customHeight="1">
      <c r="A211" s="44"/>
      <c r="B211" s="44"/>
      <c r="C211" s="44"/>
      <c r="D211" s="52"/>
      <c r="E211" s="52"/>
      <c r="F211" s="47" t="s">
        <v>39</v>
      </c>
      <c r="G211" s="48"/>
      <c r="H211" s="57">
        <f>VLOOKUP(F211,$A$21:$B$21,2,TRUE)</f>
        <v>10000</v>
      </c>
      <c r="I211" s="50">
        <f t="shared" si="1"/>
        <v>0</v>
      </c>
      <c r="J211" s="52"/>
      <c r="K211" s="25"/>
      <c r="L211" s="25"/>
      <c r="M211" s="25"/>
      <c r="N211" s="25"/>
    </row>
    <row r="212" ht="15.75" customHeight="1">
      <c r="A212" s="44"/>
      <c r="B212" s="44"/>
      <c r="C212" s="44"/>
      <c r="D212" s="52"/>
      <c r="E212" s="52"/>
      <c r="F212" s="47" t="s">
        <v>40</v>
      </c>
      <c r="G212" s="48"/>
      <c r="H212" s="57">
        <f>VLOOKUP(F212,$A$22:$B$22,2,TRUE)</f>
        <v>1000</v>
      </c>
      <c r="I212" s="50">
        <f t="shared" si="1"/>
        <v>0</v>
      </c>
      <c r="J212" s="52"/>
      <c r="K212" s="25"/>
      <c r="L212" s="25"/>
      <c r="M212" s="25"/>
      <c r="N212" s="25"/>
    </row>
    <row r="213" ht="15.75" customHeight="1">
      <c r="A213" s="44"/>
      <c r="B213" s="44"/>
      <c r="C213" s="44"/>
      <c r="D213" s="52"/>
      <c r="E213" s="52"/>
      <c r="F213" s="47" t="s">
        <v>41</v>
      </c>
      <c r="G213" s="48"/>
      <c r="H213" s="57">
        <f>VLOOKUP(F213,$A$23:$B$23,2,TRUE)</f>
        <v>500</v>
      </c>
      <c r="I213" s="50">
        <f t="shared" si="1"/>
        <v>0</v>
      </c>
      <c r="J213" s="52"/>
      <c r="K213" s="25"/>
      <c r="L213" s="25"/>
      <c r="M213" s="25"/>
      <c r="N213" s="25"/>
    </row>
    <row r="214" ht="15.75" customHeight="1">
      <c r="A214" s="44"/>
      <c r="B214" s="44"/>
      <c r="C214" s="44"/>
      <c r="D214" s="52"/>
      <c r="E214" s="52"/>
      <c r="F214" s="47" t="s">
        <v>42</v>
      </c>
      <c r="G214" s="48"/>
      <c r="H214" s="57">
        <f>VLOOKUP(F214,$A$24:$B$24,2,TRUE)</f>
        <v>200</v>
      </c>
      <c r="I214" s="50">
        <f t="shared" si="1"/>
        <v>0</v>
      </c>
      <c r="J214" s="52"/>
      <c r="K214" s="25"/>
      <c r="L214" s="25"/>
      <c r="M214" s="25"/>
      <c r="N214" s="25"/>
    </row>
    <row r="215" ht="15.75" customHeight="1">
      <c r="A215" s="44"/>
      <c r="B215" s="44"/>
      <c r="C215" s="44"/>
      <c r="D215" s="52"/>
      <c r="E215" s="52"/>
      <c r="F215" s="47" t="s">
        <v>43</v>
      </c>
      <c r="G215" s="48"/>
      <c r="H215" s="57">
        <f>VLOOKUP(F215,$A$25:$B$25,2,TRUE)</f>
        <v>1000</v>
      </c>
      <c r="I215" s="50">
        <f t="shared" si="1"/>
        <v>0</v>
      </c>
      <c r="J215" s="52"/>
      <c r="K215" s="25"/>
      <c r="L215" s="25"/>
      <c r="M215" s="25"/>
      <c r="N215" s="25"/>
    </row>
    <row r="216" ht="15.75" customHeight="1">
      <c r="A216" s="44"/>
      <c r="B216" s="44"/>
      <c r="C216" s="44"/>
      <c r="D216" s="52"/>
      <c r="E216" s="52"/>
      <c r="F216" s="47" t="s">
        <v>18</v>
      </c>
      <c r="G216" s="48"/>
      <c r="H216" s="57">
        <f>VLOOKUP(F216,$A$26:$B$26,2,TRUE)</f>
        <v>300</v>
      </c>
      <c r="I216" s="50">
        <f t="shared" si="1"/>
        <v>0</v>
      </c>
      <c r="J216" s="52"/>
      <c r="K216" s="25"/>
      <c r="L216" s="25"/>
      <c r="M216" s="25"/>
      <c r="N216" s="25"/>
    </row>
    <row r="217" ht="15.75" customHeight="1">
      <c r="A217" s="44"/>
      <c r="B217" s="44"/>
      <c r="C217" s="44"/>
      <c r="D217" s="52"/>
      <c r="E217" s="52"/>
      <c r="F217" s="47" t="s">
        <v>44</v>
      </c>
      <c r="G217" s="48"/>
      <c r="H217" s="57">
        <f>VLOOKUP(F217,$A$27:$B$27,2,TRUE)</f>
        <v>100</v>
      </c>
      <c r="I217" s="50">
        <f t="shared" si="1"/>
        <v>0</v>
      </c>
      <c r="J217" s="52"/>
      <c r="K217" s="25"/>
      <c r="L217" s="25"/>
      <c r="M217" s="25"/>
      <c r="N217" s="25"/>
    </row>
    <row r="218" ht="15.75" customHeight="1">
      <c r="A218" s="44"/>
      <c r="B218" s="44"/>
      <c r="C218" s="44"/>
      <c r="D218" s="52"/>
      <c r="E218" s="52"/>
      <c r="F218" s="47" t="s">
        <v>13</v>
      </c>
      <c r="G218" s="48"/>
      <c r="H218" s="57">
        <f>VLOOKUP(F218,$A$28:$B$28,2,TRUE)</f>
        <v>1500</v>
      </c>
      <c r="I218" s="50">
        <f t="shared" si="1"/>
        <v>0</v>
      </c>
      <c r="J218" s="52"/>
      <c r="K218" s="25"/>
      <c r="L218" s="25"/>
      <c r="M218" s="25"/>
      <c r="N218" s="25"/>
    </row>
    <row r="219" ht="15.75" customHeight="1">
      <c r="A219" s="44"/>
      <c r="B219" s="44"/>
      <c r="C219" s="44"/>
      <c r="D219" s="52"/>
      <c r="E219" s="52"/>
      <c r="F219" s="47" t="s">
        <v>20</v>
      </c>
      <c r="G219" s="48"/>
      <c r="H219" s="57">
        <f>VLOOKUP(F219,$A$29:$B$29,2,TRUE)</f>
        <v>3500</v>
      </c>
      <c r="I219" s="50">
        <f t="shared" si="1"/>
        <v>0</v>
      </c>
      <c r="J219" s="52"/>
      <c r="K219" s="25"/>
      <c r="L219" s="25"/>
      <c r="M219" s="25"/>
      <c r="N219" s="25"/>
    </row>
    <row r="220" ht="15.75" customHeight="1">
      <c r="A220" s="44"/>
      <c r="B220" s="44"/>
      <c r="C220" s="44"/>
      <c r="D220" s="13"/>
      <c r="E220" s="13"/>
      <c r="F220" s="47" t="s">
        <v>60</v>
      </c>
      <c r="G220" s="48">
        <v>4.5</v>
      </c>
      <c r="H220" s="57">
        <f>VLOOKUP(F220,$A$30:$B$30,2,TRUE)</f>
        <v>0</v>
      </c>
      <c r="I220" s="50">
        <f t="shared" si="1"/>
        <v>0</v>
      </c>
      <c r="J220" s="13"/>
      <c r="K220" s="25"/>
      <c r="L220" s="25"/>
      <c r="M220" s="25"/>
      <c r="N220" s="25"/>
    </row>
    <row r="221" ht="15.75" customHeight="1">
      <c r="A221" s="44"/>
      <c r="B221" s="44"/>
      <c r="C221" s="44"/>
      <c r="D221" s="60" t="s">
        <v>68</v>
      </c>
      <c r="E221" s="61"/>
      <c r="F221" s="61"/>
      <c r="G221" s="61"/>
      <c r="H221" s="61"/>
      <c r="I221" s="62"/>
      <c r="J221" s="63">
        <f>SUM(J5:J220)</f>
        <v>110050</v>
      </c>
      <c r="K221" s="25"/>
      <c r="L221" s="25"/>
      <c r="M221" s="25"/>
      <c r="N221" s="25"/>
    </row>
    <row r="222" ht="15.75" customHeight="1">
      <c r="A222" s="44"/>
      <c r="B222" s="44"/>
      <c r="C222" s="44"/>
      <c r="D222" s="60" t="s">
        <v>69</v>
      </c>
      <c r="E222" s="61"/>
      <c r="F222" s="61"/>
      <c r="G222" s="61"/>
      <c r="H222" s="61"/>
      <c r="I222" s="62"/>
      <c r="J222" s="63">
        <f>J221*5%</f>
        <v>5502.5</v>
      </c>
      <c r="K222" s="25"/>
      <c r="L222" s="25"/>
      <c r="M222" s="25"/>
      <c r="N222" s="25"/>
    </row>
    <row r="223" ht="15.75" customHeight="1">
      <c r="A223" s="24"/>
      <c r="B223" s="24"/>
      <c r="C223" s="24"/>
      <c r="D223" s="24"/>
      <c r="E223" s="24"/>
      <c r="F223" s="25"/>
      <c r="G223" s="25"/>
      <c r="H223" s="25"/>
      <c r="I223" s="25"/>
      <c r="J223" s="26"/>
      <c r="K223" s="25"/>
      <c r="L223" s="25"/>
      <c r="M223" s="25"/>
      <c r="N223" s="25"/>
    </row>
    <row r="224" ht="15.75" customHeight="1">
      <c r="A224" s="24"/>
      <c r="B224" s="24"/>
      <c r="C224" s="24"/>
      <c r="D224" s="24"/>
      <c r="E224" s="24"/>
      <c r="F224" s="25"/>
      <c r="G224" s="25"/>
      <c r="H224" s="25"/>
      <c r="I224" s="25"/>
      <c r="J224" s="26"/>
      <c r="K224" s="25"/>
      <c r="L224" s="25"/>
      <c r="M224" s="25"/>
      <c r="N224" s="25"/>
    </row>
    <row r="225" ht="15.75" customHeight="1">
      <c r="A225" s="24"/>
      <c r="B225" s="24"/>
      <c r="C225" s="24"/>
      <c r="D225" s="24"/>
      <c r="E225" s="24"/>
      <c r="F225" s="25"/>
      <c r="G225" s="25"/>
      <c r="H225" s="25"/>
      <c r="I225" s="25"/>
      <c r="J225" s="26"/>
      <c r="K225" s="25"/>
      <c r="L225" s="25"/>
      <c r="M225" s="25"/>
      <c r="N225" s="25"/>
    </row>
    <row r="226" ht="15.75" customHeight="1">
      <c r="A226" s="24"/>
      <c r="B226" s="24"/>
      <c r="C226" s="24"/>
      <c r="D226" s="24"/>
      <c r="E226" s="24"/>
      <c r="F226" s="25"/>
      <c r="G226" s="25"/>
      <c r="H226" s="25"/>
      <c r="I226" s="25"/>
      <c r="J226" s="26"/>
      <c r="K226" s="25"/>
      <c r="L226" s="25"/>
      <c r="M226" s="25"/>
      <c r="N226" s="25"/>
    </row>
    <row r="227" ht="15.75" customHeight="1">
      <c r="A227" s="24"/>
      <c r="B227" s="24"/>
      <c r="C227" s="24"/>
      <c r="D227" s="24"/>
      <c r="E227" s="24"/>
      <c r="F227" s="25"/>
      <c r="G227" s="25"/>
      <c r="H227" s="25"/>
      <c r="I227" s="25"/>
      <c r="J227" s="26"/>
      <c r="K227" s="25"/>
      <c r="L227" s="25"/>
      <c r="M227" s="25"/>
      <c r="N227" s="25"/>
    </row>
    <row r="228" ht="15.75" customHeight="1">
      <c r="A228" s="24"/>
      <c r="B228" s="24"/>
      <c r="C228" s="24"/>
      <c r="D228" s="24"/>
      <c r="E228" s="24"/>
      <c r="F228" s="25"/>
      <c r="G228" s="25"/>
      <c r="H228" s="25"/>
      <c r="I228" s="25"/>
      <c r="J228" s="26"/>
      <c r="K228" s="25"/>
      <c r="L228" s="25"/>
      <c r="M228" s="25"/>
      <c r="N228" s="25"/>
    </row>
    <row r="229" ht="15.75" customHeight="1">
      <c r="A229" s="24"/>
      <c r="B229" s="24"/>
      <c r="C229" s="24"/>
      <c r="D229" s="24"/>
      <c r="E229" s="24"/>
      <c r="F229" s="25"/>
      <c r="G229" s="25"/>
      <c r="H229" s="25"/>
      <c r="I229" s="25"/>
      <c r="J229" s="26"/>
      <c r="K229" s="25"/>
      <c r="L229" s="25"/>
      <c r="M229" s="25"/>
      <c r="N229" s="25"/>
    </row>
    <row r="230" ht="15.75" customHeight="1">
      <c r="A230" s="24"/>
      <c r="B230" s="24"/>
      <c r="C230" s="24"/>
      <c r="D230" s="24"/>
      <c r="E230" s="24"/>
      <c r="F230" s="25"/>
      <c r="G230" s="25"/>
      <c r="H230" s="25"/>
      <c r="I230" s="25"/>
      <c r="J230" s="26"/>
      <c r="K230" s="25"/>
      <c r="L230" s="25"/>
      <c r="M230" s="25"/>
      <c r="N230" s="25"/>
    </row>
    <row r="231" ht="15.75" customHeight="1">
      <c r="A231" s="24"/>
      <c r="B231" s="24"/>
      <c r="C231" s="24"/>
      <c r="D231" s="24"/>
      <c r="E231" s="24"/>
      <c r="J231" s="26"/>
    </row>
    <row r="232" ht="15.75" customHeight="1">
      <c r="A232" s="24"/>
      <c r="B232" s="24"/>
      <c r="C232" s="24"/>
      <c r="D232" s="24"/>
      <c r="E232" s="24"/>
      <c r="J232" s="26"/>
    </row>
    <row r="233" ht="15.75" customHeight="1">
      <c r="A233" s="24"/>
      <c r="B233" s="24"/>
      <c r="C233" s="24"/>
      <c r="D233" s="24"/>
      <c r="E233" s="24"/>
      <c r="J233" s="26"/>
    </row>
    <row r="234" ht="15.75" customHeight="1">
      <c r="A234" s="24"/>
      <c r="B234" s="24"/>
      <c r="C234" s="24"/>
      <c r="D234" s="24"/>
      <c r="E234" s="24"/>
      <c r="J234" s="26"/>
    </row>
    <row r="235" ht="15.75" customHeight="1">
      <c r="A235" s="24"/>
      <c r="B235" s="24"/>
      <c r="C235" s="24"/>
      <c r="D235" s="24"/>
      <c r="E235" s="24"/>
      <c r="J235" s="26"/>
    </row>
    <row r="236" ht="15.75" customHeight="1">
      <c r="A236" s="24"/>
      <c r="B236" s="24"/>
      <c r="C236" s="24"/>
      <c r="D236" s="24"/>
      <c r="E236" s="24"/>
      <c r="J236" s="26"/>
    </row>
    <row r="237" ht="15.75" customHeight="1">
      <c r="A237" s="24"/>
      <c r="B237" s="24"/>
      <c r="C237" s="24"/>
      <c r="D237" s="24"/>
      <c r="E237" s="24"/>
      <c r="J237" s="26"/>
    </row>
    <row r="238" ht="15.75" customHeight="1">
      <c r="A238" s="24"/>
      <c r="B238" s="24"/>
      <c r="C238" s="24"/>
      <c r="D238" s="24"/>
      <c r="E238" s="24"/>
      <c r="J238" s="26"/>
    </row>
    <row r="239" ht="15.75" customHeight="1">
      <c r="A239" s="24"/>
      <c r="B239" s="24"/>
      <c r="C239" s="24"/>
      <c r="D239" s="24"/>
      <c r="E239" s="24"/>
      <c r="J239" s="26"/>
    </row>
    <row r="240" ht="15.75" customHeight="1">
      <c r="A240" s="24"/>
      <c r="B240" s="24"/>
      <c r="C240" s="24"/>
      <c r="D240" s="24"/>
      <c r="E240" s="24"/>
      <c r="J240" s="26"/>
    </row>
    <row r="241" ht="15.75" customHeight="1">
      <c r="A241" s="24"/>
      <c r="B241" s="24"/>
      <c r="C241" s="24"/>
      <c r="D241" s="24"/>
      <c r="E241" s="24"/>
      <c r="J241" s="26"/>
    </row>
    <row r="242" ht="15.75" customHeight="1">
      <c r="A242" s="24"/>
      <c r="B242" s="24"/>
      <c r="C242" s="24"/>
      <c r="D242" s="24"/>
      <c r="E242" s="24"/>
      <c r="J242" s="26"/>
    </row>
    <row r="243" ht="15.75" customHeight="1">
      <c r="A243" s="24"/>
      <c r="B243" s="24"/>
      <c r="C243" s="24"/>
      <c r="D243" s="24"/>
      <c r="E243" s="24"/>
      <c r="J243" s="26"/>
    </row>
    <row r="244" ht="15.75" customHeight="1">
      <c r="A244" s="24"/>
      <c r="B244" s="24"/>
      <c r="C244" s="24"/>
      <c r="D244" s="24"/>
      <c r="E244" s="24"/>
      <c r="J244" s="26"/>
    </row>
    <row r="245" ht="15.75" customHeight="1">
      <c r="A245" s="24"/>
      <c r="B245" s="24"/>
      <c r="C245" s="24"/>
      <c r="D245" s="24"/>
      <c r="E245" s="24"/>
      <c r="J245" s="26"/>
    </row>
    <row r="246" ht="15.75" customHeight="1">
      <c r="A246" s="24"/>
      <c r="B246" s="24"/>
      <c r="C246" s="24"/>
      <c r="D246" s="24"/>
      <c r="E246" s="24"/>
      <c r="J246" s="26"/>
    </row>
    <row r="247" ht="15.75" customHeight="1">
      <c r="A247" s="24"/>
      <c r="B247" s="24"/>
      <c r="C247" s="24"/>
      <c r="D247" s="24"/>
      <c r="E247" s="24"/>
      <c r="J247" s="26"/>
    </row>
    <row r="248" ht="15.75" customHeight="1">
      <c r="A248" s="24"/>
      <c r="B248" s="24"/>
      <c r="C248" s="24"/>
      <c r="D248" s="24"/>
      <c r="E248" s="24"/>
      <c r="J248" s="26"/>
    </row>
    <row r="249" ht="15.75" customHeight="1">
      <c r="A249" s="24"/>
      <c r="B249" s="24"/>
      <c r="C249" s="24"/>
      <c r="D249" s="24"/>
      <c r="E249" s="24"/>
      <c r="J249" s="26"/>
    </row>
    <row r="250" ht="15.75" customHeight="1">
      <c r="A250" s="24"/>
      <c r="B250" s="24"/>
      <c r="C250" s="24"/>
      <c r="D250" s="24"/>
      <c r="E250" s="24"/>
      <c r="J250" s="26"/>
    </row>
    <row r="251" ht="15.75" customHeight="1">
      <c r="A251" s="24"/>
      <c r="B251" s="24"/>
      <c r="C251" s="24"/>
      <c r="D251" s="24"/>
      <c r="E251" s="24"/>
      <c r="J251" s="26"/>
    </row>
    <row r="252" ht="15.75" customHeight="1">
      <c r="A252" s="24"/>
      <c r="B252" s="24"/>
      <c r="C252" s="24"/>
      <c r="D252" s="24"/>
      <c r="E252" s="24"/>
      <c r="J252" s="26"/>
    </row>
    <row r="253" ht="15.75" customHeight="1">
      <c r="A253" s="24"/>
      <c r="B253" s="24"/>
      <c r="C253" s="24"/>
      <c r="D253" s="24"/>
      <c r="E253" s="24"/>
      <c r="J253" s="26"/>
    </row>
    <row r="254" ht="15.75" customHeight="1">
      <c r="A254" s="24"/>
      <c r="B254" s="24"/>
      <c r="C254" s="24"/>
      <c r="D254" s="24"/>
      <c r="E254" s="24"/>
      <c r="J254" s="26"/>
    </row>
    <row r="255" ht="15.75" customHeight="1">
      <c r="A255" s="24"/>
      <c r="B255" s="24"/>
      <c r="C255" s="24"/>
      <c r="D255" s="24"/>
      <c r="E255" s="24"/>
      <c r="J255" s="26"/>
    </row>
    <row r="256" ht="15.75" customHeight="1">
      <c r="A256" s="24"/>
      <c r="B256" s="24"/>
      <c r="C256" s="24"/>
      <c r="D256" s="24"/>
      <c r="E256" s="24"/>
      <c r="J256" s="26"/>
    </row>
    <row r="257" ht="15.75" customHeight="1">
      <c r="A257" s="24"/>
      <c r="B257" s="24"/>
      <c r="C257" s="24"/>
      <c r="D257" s="24"/>
      <c r="E257" s="24"/>
      <c r="J257" s="26"/>
    </row>
    <row r="258" ht="15.75" customHeight="1">
      <c r="A258" s="24"/>
      <c r="B258" s="24"/>
      <c r="C258" s="24"/>
      <c r="D258" s="24"/>
      <c r="E258" s="24"/>
      <c r="J258" s="26"/>
    </row>
    <row r="259" ht="15.75" customHeight="1">
      <c r="A259" s="24"/>
      <c r="B259" s="24"/>
      <c r="C259" s="24"/>
      <c r="D259" s="24"/>
      <c r="E259" s="24"/>
      <c r="J259" s="26"/>
    </row>
    <row r="260" ht="15.75" customHeight="1">
      <c r="A260" s="24"/>
      <c r="B260" s="24"/>
      <c r="C260" s="24"/>
      <c r="D260" s="24"/>
      <c r="E260" s="24"/>
      <c r="J260" s="26"/>
    </row>
    <row r="261" ht="15.75" customHeight="1">
      <c r="A261" s="24"/>
      <c r="B261" s="24"/>
      <c r="C261" s="24"/>
      <c r="D261" s="24"/>
      <c r="E261" s="24"/>
      <c r="J261" s="26"/>
    </row>
    <row r="262" ht="15.75" customHeight="1">
      <c r="A262" s="24"/>
      <c r="B262" s="24"/>
      <c r="C262" s="24"/>
      <c r="D262" s="24"/>
      <c r="E262" s="24"/>
      <c r="J262" s="26"/>
    </row>
    <row r="263" ht="15.75" customHeight="1">
      <c r="A263" s="24"/>
      <c r="B263" s="24"/>
      <c r="C263" s="24"/>
      <c r="D263" s="24"/>
      <c r="E263" s="24"/>
      <c r="J263" s="26"/>
    </row>
    <row r="264" ht="15.75" customHeight="1">
      <c r="A264" s="24"/>
      <c r="B264" s="24"/>
      <c r="C264" s="24"/>
      <c r="D264" s="24"/>
      <c r="E264" s="24"/>
      <c r="J264" s="26"/>
    </row>
    <row r="265" ht="15.75" customHeight="1">
      <c r="A265" s="24"/>
      <c r="B265" s="24"/>
      <c r="C265" s="24"/>
      <c r="D265" s="24"/>
      <c r="E265" s="24"/>
      <c r="J265" s="26"/>
    </row>
    <row r="266" ht="15.75" customHeight="1">
      <c r="A266" s="24"/>
      <c r="B266" s="24"/>
      <c r="C266" s="24"/>
      <c r="D266" s="24"/>
      <c r="E266" s="24"/>
      <c r="J266" s="26"/>
    </row>
    <row r="267" ht="15.75" customHeight="1">
      <c r="A267" s="24"/>
      <c r="B267" s="24"/>
      <c r="C267" s="24"/>
      <c r="D267" s="24"/>
      <c r="E267" s="24"/>
      <c r="J267" s="26"/>
    </row>
    <row r="268" ht="15.75" customHeight="1">
      <c r="A268" s="24"/>
      <c r="B268" s="24"/>
      <c r="C268" s="24"/>
      <c r="D268" s="24"/>
      <c r="E268" s="24"/>
      <c r="J268" s="26"/>
    </row>
    <row r="269" ht="15.75" customHeight="1">
      <c r="A269" s="24"/>
      <c r="B269" s="24"/>
      <c r="C269" s="24"/>
      <c r="D269" s="24"/>
      <c r="E269" s="24"/>
      <c r="J269" s="26"/>
    </row>
    <row r="270" ht="15.75" customHeight="1">
      <c r="A270" s="24"/>
      <c r="B270" s="24"/>
      <c r="C270" s="24"/>
      <c r="D270" s="24"/>
      <c r="E270" s="24"/>
      <c r="J270" s="26"/>
    </row>
    <row r="271" ht="15.75" customHeight="1">
      <c r="A271" s="24"/>
      <c r="B271" s="24"/>
      <c r="C271" s="24"/>
      <c r="D271" s="24"/>
      <c r="E271" s="24"/>
      <c r="J271" s="26"/>
    </row>
    <row r="272" ht="15.75" customHeight="1">
      <c r="A272" s="24"/>
      <c r="B272" s="24"/>
      <c r="C272" s="24"/>
      <c r="D272" s="24"/>
      <c r="E272" s="24"/>
      <c r="J272" s="26"/>
    </row>
    <row r="273" ht="15.75" customHeight="1">
      <c r="A273" s="24"/>
      <c r="B273" s="24"/>
      <c r="C273" s="24"/>
      <c r="D273" s="24"/>
      <c r="E273" s="24"/>
      <c r="J273" s="26"/>
    </row>
    <row r="274" ht="15.75" customHeight="1">
      <c r="A274" s="24"/>
      <c r="B274" s="24"/>
      <c r="C274" s="24"/>
      <c r="D274" s="24"/>
      <c r="E274" s="24"/>
      <c r="J274" s="26"/>
    </row>
    <row r="275" ht="15.75" customHeight="1">
      <c r="A275" s="24"/>
      <c r="B275" s="24"/>
      <c r="C275" s="24"/>
      <c r="D275" s="24"/>
      <c r="E275" s="24"/>
      <c r="J275" s="26"/>
    </row>
    <row r="276" ht="15.75" customHeight="1">
      <c r="A276" s="24"/>
      <c r="B276" s="24"/>
      <c r="C276" s="24"/>
      <c r="D276" s="24"/>
      <c r="E276" s="24"/>
      <c r="J276" s="26"/>
    </row>
    <row r="277" ht="15.75" customHeight="1">
      <c r="A277" s="24"/>
      <c r="B277" s="24"/>
      <c r="C277" s="24"/>
      <c r="D277" s="24"/>
      <c r="E277" s="24"/>
      <c r="J277" s="26"/>
    </row>
    <row r="278" ht="15.75" customHeight="1">
      <c r="A278" s="24"/>
      <c r="B278" s="24"/>
      <c r="C278" s="24"/>
      <c r="D278" s="24"/>
      <c r="E278" s="24"/>
      <c r="J278" s="26"/>
    </row>
    <row r="279" ht="15.75" customHeight="1">
      <c r="A279" s="24"/>
      <c r="B279" s="24"/>
      <c r="C279" s="24"/>
      <c r="D279" s="24"/>
      <c r="E279" s="24"/>
      <c r="J279" s="26"/>
    </row>
    <row r="280" ht="15.75" customHeight="1">
      <c r="A280" s="24"/>
      <c r="B280" s="24"/>
      <c r="C280" s="24"/>
      <c r="D280" s="24"/>
      <c r="E280" s="24"/>
      <c r="J280" s="26"/>
    </row>
    <row r="281" ht="15.75" customHeight="1">
      <c r="A281" s="24"/>
      <c r="B281" s="24"/>
      <c r="C281" s="24"/>
      <c r="D281" s="24"/>
      <c r="E281" s="24"/>
      <c r="J281" s="26"/>
    </row>
    <row r="282" ht="15.75" customHeight="1">
      <c r="A282" s="24"/>
      <c r="B282" s="24"/>
      <c r="C282" s="24"/>
      <c r="D282" s="24"/>
      <c r="E282" s="24"/>
      <c r="J282" s="26"/>
    </row>
    <row r="283" ht="15.75" customHeight="1">
      <c r="A283" s="24"/>
      <c r="B283" s="24"/>
      <c r="C283" s="24"/>
      <c r="D283" s="24"/>
      <c r="E283" s="24"/>
      <c r="J283" s="26"/>
    </row>
    <row r="284" ht="15.75" customHeight="1">
      <c r="A284" s="24"/>
      <c r="B284" s="24"/>
      <c r="C284" s="24"/>
      <c r="D284" s="24"/>
      <c r="E284" s="24"/>
      <c r="J284" s="26"/>
    </row>
    <row r="285" ht="15.75" customHeight="1">
      <c r="A285" s="24"/>
      <c r="B285" s="24"/>
      <c r="C285" s="24"/>
      <c r="D285" s="24"/>
      <c r="E285" s="24"/>
      <c r="J285" s="26"/>
    </row>
    <row r="286" ht="15.75" customHeight="1">
      <c r="A286" s="24"/>
      <c r="B286" s="24"/>
      <c r="C286" s="24"/>
      <c r="D286" s="24"/>
      <c r="E286" s="24"/>
      <c r="J286" s="26"/>
    </row>
    <row r="287" ht="15.75" customHeight="1">
      <c r="A287" s="24"/>
      <c r="B287" s="24"/>
      <c r="C287" s="24"/>
      <c r="D287" s="24"/>
      <c r="E287" s="24"/>
      <c r="J287" s="26"/>
    </row>
    <row r="288" ht="15.75" customHeight="1">
      <c r="A288" s="24"/>
      <c r="B288" s="24"/>
      <c r="C288" s="24"/>
      <c r="D288" s="24"/>
      <c r="E288" s="24"/>
      <c r="J288" s="26"/>
    </row>
    <row r="289" ht="15.75" customHeight="1">
      <c r="A289" s="24"/>
      <c r="B289" s="24"/>
      <c r="C289" s="24"/>
      <c r="D289" s="24"/>
      <c r="E289" s="24"/>
      <c r="J289" s="26"/>
    </row>
    <row r="290" ht="15.75" customHeight="1">
      <c r="A290" s="24"/>
      <c r="B290" s="24"/>
      <c r="C290" s="24"/>
      <c r="D290" s="24"/>
      <c r="E290" s="24"/>
      <c r="J290" s="26"/>
    </row>
    <row r="291" ht="15.75" customHeight="1">
      <c r="A291" s="24"/>
      <c r="B291" s="24"/>
      <c r="C291" s="24"/>
      <c r="D291" s="24"/>
      <c r="E291" s="24"/>
      <c r="J291" s="26"/>
    </row>
    <row r="292" ht="15.75" customHeight="1">
      <c r="A292" s="24"/>
      <c r="B292" s="24"/>
      <c r="C292" s="24"/>
      <c r="D292" s="24"/>
      <c r="E292" s="24"/>
      <c r="J292" s="26"/>
    </row>
    <row r="293" ht="15.75" customHeight="1">
      <c r="A293" s="24"/>
      <c r="B293" s="24"/>
      <c r="C293" s="24"/>
      <c r="D293" s="24"/>
      <c r="E293" s="24"/>
      <c r="J293" s="26"/>
    </row>
    <row r="294" ht="15.75" customHeight="1">
      <c r="A294" s="24"/>
      <c r="B294" s="24"/>
      <c r="C294" s="24"/>
      <c r="D294" s="24"/>
      <c r="E294" s="24"/>
      <c r="J294" s="26"/>
    </row>
    <row r="295" ht="15.75" customHeight="1">
      <c r="A295" s="24"/>
      <c r="B295" s="24"/>
      <c r="C295" s="24"/>
      <c r="D295" s="24"/>
      <c r="E295" s="24"/>
      <c r="J295" s="26"/>
    </row>
    <row r="296" ht="15.75" customHeight="1">
      <c r="A296" s="24"/>
      <c r="B296" s="24"/>
      <c r="C296" s="24"/>
      <c r="D296" s="24"/>
      <c r="E296" s="24"/>
      <c r="J296" s="26"/>
    </row>
    <row r="297" ht="15.75" customHeight="1">
      <c r="A297" s="24"/>
      <c r="B297" s="24"/>
      <c r="C297" s="24"/>
      <c r="D297" s="24"/>
      <c r="E297" s="24"/>
      <c r="J297" s="26"/>
    </row>
    <row r="298" ht="15.75" customHeight="1">
      <c r="A298" s="24"/>
      <c r="B298" s="24"/>
      <c r="C298" s="24"/>
      <c r="D298" s="24"/>
      <c r="E298" s="24"/>
      <c r="J298" s="26"/>
    </row>
    <row r="299" ht="15.75" customHeight="1">
      <c r="A299" s="24"/>
      <c r="B299" s="24"/>
      <c r="C299" s="24"/>
      <c r="D299" s="24"/>
      <c r="E299" s="24"/>
      <c r="J299" s="26"/>
    </row>
    <row r="300" ht="15.75" customHeight="1">
      <c r="A300" s="24"/>
      <c r="B300" s="24"/>
      <c r="C300" s="24"/>
      <c r="D300" s="24"/>
      <c r="E300" s="24"/>
      <c r="J300" s="26"/>
    </row>
    <row r="301" ht="15.75" customHeight="1">
      <c r="A301" s="24"/>
      <c r="B301" s="24"/>
      <c r="C301" s="24"/>
      <c r="D301" s="24"/>
      <c r="E301" s="24"/>
      <c r="J301" s="26"/>
    </row>
    <row r="302" ht="15.75" customHeight="1">
      <c r="A302" s="24"/>
      <c r="B302" s="24"/>
      <c r="C302" s="24"/>
      <c r="D302" s="24"/>
      <c r="E302" s="24"/>
      <c r="J302" s="26"/>
    </row>
    <row r="303" ht="15.75" customHeight="1">
      <c r="A303" s="24"/>
      <c r="B303" s="24"/>
      <c r="C303" s="24"/>
      <c r="D303" s="24"/>
      <c r="E303" s="24"/>
      <c r="J303" s="26"/>
    </row>
    <row r="304" ht="15.75" customHeight="1">
      <c r="A304" s="24"/>
      <c r="B304" s="24"/>
      <c r="C304" s="24"/>
      <c r="D304" s="24"/>
      <c r="E304" s="24"/>
      <c r="J304" s="26"/>
    </row>
    <row r="305" ht="15.75" customHeight="1">
      <c r="A305" s="24"/>
      <c r="B305" s="24"/>
      <c r="C305" s="24"/>
      <c r="D305" s="24"/>
      <c r="E305" s="24"/>
      <c r="J305" s="26"/>
    </row>
    <row r="306" ht="15.75" customHeight="1">
      <c r="A306" s="24"/>
      <c r="B306" s="24"/>
      <c r="C306" s="24"/>
      <c r="D306" s="24"/>
      <c r="E306" s="24"/>
      <c r="J306" s="26"/>
    </row>
    <row r="307" ht="15.75" customHeight="1">
      <c r="A307" s="24"/>
      <c r="B307" s="24"/>
      <c r="C307" s="24"/>
      <c r="D307" s="24"/>
      <c r="E307" s="24"/>
      <c r="J307" s="26"/>
    </row>
    <row r="308" ht="15.75" customHeight="1">
      <c r="A308" s="24"/>
      <c r="B308" s="24"/>
      <c r="C308" s="24"/>
      <c r="D308" s="24"/>
      <c r="E308" s="24"/>
      <c r="J308" s="26"/>
    </row>
    <row r="309" ht="15.75" customHeight="1">
      <c r="A309" s="24"/>
      <c r="B309" s="24"/>
      <c r="C309" s="24"/>
      <c r="D309" s="24"/>
      <c r="E309" s="24"/>
      <c r="J309" s="26"/>
    </row>
    <row r="310" ht="15.75" customHeight="1">
      <c r="A310" s="24"/>
      <c r="B310" s="24"/>
      <c r="C310" s="24"/>
      <c r="D310" s="24"/>
      <c r="E310" s="24"/>
      <c r="J310" s="26"/>
    </row>
    <row r="311" ht="15.75" customHeight="1">
      <c r="A311" s="24"/>
      <c r="B311" s="24"/>
      <c r="C311" s="24"/>
      <c r="D311" s="24"/>
      <c r="E311" s="24"/>
      <c r="J311" s="26"/>
    </row>
    <row r="312" ht="15.75" customHeight="1">
      <c r="A312" s="24"/>
      <c r="B312" s="24"/>
      <c r="C312" s="24"/>
      <c r="D312" s="24"/>
      <c r="E312" s="24"/>
      <c r="J312" s="26"/>
    </row>
    <row r="313" ht="15.75" customHeight="1">
      <c r="A313" s="24"/>
      <c r="B313" s="24"/>
      <c r="C313" s="24"/>
      <c r="D313" s="24"/>
      <c r="E313" s="24"/>
      <c r="J313" s="26"/>
    </row>
    <row r="314" ht="15.75" customHeight="1">
      <c r="A314" s="24"/>
      <c r="B314" s="24"/>
      <c r="C314" s="24"/>
      <c r="D314" s="24"/>
      <c r="E314" s="24"/>
      <c r="J314" s="26"/>
    </row>
    <row r="315" ht="15.75" customHeight="1">
      <c r="A315" s="24"/>
      <c r="B315" s="24"/>
      <c r="C315" s="24"/>
      <c r="D315" s="24"/>
      <c r="E315" s="24"/>
      <c r="J315" s="26"/>
    </row>
    <row r="316" ht="15.75" customHeight="1">
      <c r="A316" s="24"/>
      <c r="B316" s="24"/>
      <c r="C316" s="24"/>
      <c r="D316" s="24"/>
      <c r="E316" s="24"/>
      <c r="J316" s="26"/>
    </row>
    <row r="317" ht="15.75" customHeight="1">
      <c r="A317" s="24"/>
      <c r="B317" s="24"/>
      <c r="C317" s="24"/>
      <c r="D317" s="24"/>
      <c r="E317" s="24"/>
      <c r="J317" s="26"/>
    </row>
    <row r="318" ht="15.75" customHeight="1">
      <c r="A318" s="24"/>
      <c r="B318" s="24"/>
      <c r="C318" s="24"/>
      <c r="D318" s="24"/>
      <c r="E318" s="24"/>
      <c r="J318" s="26"/>
    </row>
    <row r="319" ht="15.75" customHeight="1">
      <c r="A319" s="24"/>
      <c r="B319" s="24"/>
      <c r="C319" s="24"/>
      <c r="D319" s="24"/>
      <c r="E319" s="24"/>
      <c r="J319" s="26"/>
    </row>
    <row r="320" ht="15.75" customHeight="1">
      <c r="A320" s="24"/>
      <c r="B320" s="24"/>
      <c r="C320" s="24"/>
      <c r="D320" s="24"/>
      <c r="E320" s="24"/>
      <c r="J320" s="26"/>
    </row>
    <row r="321" ht="15.75" customHeight="1">
      <c r="A321" s="24"/>
      <c r="B321" s="24"/>
      <c r="C321" s="24"/>
      <c r="D321" s="24"/>
      <c r="E321" s="24"/>
      <c r="J321" s="26"/>
    </row>
    <row r="322" ht="15.75" customHeight="1">
      <c r="A322" s="24"/>
      <c r="B322" s="24"/>
      <c r="C322" s="24"/>
      <c r="D322" s="24"/>
      <c r="E322" s="24"/>
      <c r="J322" s="26"/>
    </row>
    <row r="323" ht="15.75" customHeight="1">
      <c r="A323" s="24"/>
      <c r="B323" s="24"/>
      <c r="C323" s="24"/>
      <c r="D323" s="24"/>
      <c r="E323" s="24"/>
      <c r="J323" s="26"/>
    </row>
    <row r="324" ht="15.75" customHeight="1">
      <c r="A324" s="24"/>
      <c r="B324" s="24"/>
      <c r="C324" s="24"/>
      <c r="D324" s="24"/>
      <c r="E324" s="24"/>
      <c r="J324" s="26"/>
    </row>
    <row r="325" ht="15.75" customHeight="1">
      <c r="A325" s="24"/>
      <c r="B325" s="24"/>
      <c r="C325" s="24"/>
      <c r="D325" s="24"/>
      <c r="E325" s="24"/>
      <c r="J325" s="26"/>
    </row>
    <row r="326" ht="15.75" customHeight="1">
      <c r="A326" s="24"/>
      <c r="B326" s="24"/>
      <c r="C326" s="24"/>
      <c r="D326" s="24"/>
      <c r="E326" s="24"/>
      <c r="J326" s="26"/>
    </row>
    <row r="327" ht="15.75" customHeight="1">
      <c r="A327" s="24"/>
      <c r="B327" s="24"/>
      <c r="C327" s="24"/>
      <c r="D327" s="24"/>
      <c r="E327" s="24"/>
      <c r="J327" s="26"/>
    </row>
    <row r="328" ht="15.75" customHeight="1">
      <c r="A328" s="24"/>
      <c r="B328" s="24"/>
      <c r="C328" s="24"/>
      <c r="D328" s="24"/>
      <c r="E328" s="24"/>
      <c r="J328" s="26"/>
    </row>
    <row r="329" ht="15.75" customHeight="1">
      <c r="A329" s="24"/>
      <c r="B329" s="24"/>
      <c r="C329" s="24"/>
      <c r="D329" s="24"/>
      <c r="E329" s="24"/>
      <c r="J329" s="26"/>
    </row>
    <row r="330" ht="15.75" customHeight="1">
      <c r="A330" s="24"/>
      <c r="B330" s="24"/>
      <c r="C330" s="24"/>
      <c r="D330" s="24"/>
      <c r="E330" s="24"/>
      <c r="J330" s="26"/>
    </row>
    <row r="331" ht="15.75" customHeight="1">
      <c r="A331" s="24"/>
      <c r="B331" s="24"/>
      <c r="C331" s="24"/>
      <c r="D331" s="24"/>
      <c r="E331" s="24"/>
      <c r="J331" s="26"/>
    </row>
    <row r="332" ht="15.75" customHeight="1">
      <c r="A332" s="24"/>
      <c r="B332" s="24"/>
      <c r="C332" s="24"/>
      <c r="D332" s="24"/>
      <c r="E332" s="24"/>
      <c r="J332" s="26"/>
    </row>
    <row r="333" ht="15.75" customHeight="1">
      <c r="A333" s="24"/>
      <c r="B333" s="24"/>
      <c r="C333" s="24"/>
      <c r="D333" s="24"/>
      <c r="E333" s="24"/>
      <c r="J333" s="26"/>
    </row>
    <row r="334" ht="15.75" customHeight="1">
      <c r="A334" s="24"/>
      <c r="B334" s="24"/>
      <c r="C334" s="24"/>
      <c r="D334" s="24"/>
      <c r="E334" s="24"/>
      <c r="J334" s="26"/>
    </row>
    <row r="335" ht="15.75" customHeight="1">
      <c r="A335" s="24"/>
      <c r="B335" s="24"/>
      <c r="C335" s="24"/>
      <c r="D335" s="24"/>
      <c r="E335" s="24"/>
      <c r="J335" s="26"/>
    </row>
    <row r="336" ht="15.75" customHeight="1">
      <c r="A336" s="24"/>
      <c r="B336" s="24"/>
      <c r="C336" s="24"/>
      <c r="D336" s="24"/>
      <c r="E336" s="24"/>
      <c r="J336" s="26"/>
    </row>
    <row r="337" ht="15.75" customHeight="1">
      <c r="A337" s="24"/>
      <c r="B337" s="24"/>
      <c r="C337" s="24"/>
      <c r="D337" s="24"/>
      <c r="E337" s="24"/>
      <c r="J337" s="26"/>
    </row>
    <row r="338" ht="15.75" customHeight="1">
      <c r="A338" s="24"/>
      <c r="B338" s="24"/>
      <c r="C338" s="24"/>
      <c r="D338" s="24"/>
      <c r="E338" s="24"/>
      <c r="J338" s="26"/>
    </row>
    <row r="339" ht="15.75" customHeight="1">
      <c r="A339" s="24"/>
      <c r="B339" s="24"/>
      <c r="C339" s="24"/>
      <c r="D339" s="24"/>
      <c r="E339" s="24"/>
      <c r="J339" s="26"/>
    </row>
    <row r="340" ht="15.75" customHeight="1">
      <c r="A340" s="24"/>
      <c r="B340" s="24"/>
      <c r="C340" s="24"/>
      <c r="D340" s="24"/>
      <c r="E340" s="24"/>
      <c r="J340" s="26"/>
    </row>
    <row r="341" ht="15.75" customHeight="1">
      <c r="A341" s="24"/>
      <c r="B341" s="24"/>
      <c r="C341" s="24"/>
      <c r="D341" s="24"/>
      <c r="E341" s="24"/>
      <c r="J341" s="26"/>
    </row>
    <row r="342" ht="15.75" customHeight="1">
      <c r="A342" s="24"/>
      <c r="B342" s="24"/>
      <c r="C342" s="24"/>
      <c r="D342" s="24"/>
      <c r="E342" s="24"/>
      <c r="J342" s="26"/>
    </row>
    <row r="343" ht="15.75" customHeight="1">
      <c r="A343" s="24"/>
      <c r="B343" s="24"/>
      <c r="C343" s="24"/>
      <c r="D343" s="24"/>
      <c r="E343" s="24"/>
      <c r="J343" s="26"/>
    </row>
    <row r="344" ht="15.75" customHeight="1">
      <c r="A344" s="24"/>
      <c r="B344" s="24"/>
      <c r="C344" s="24"/>
      <c r="D344" s="24"/>
      <c r="E344" s="24"/>
      <c r="J344" s="26"/>
    </row>
    <row r="345" ht="15.75" customHeight="1">
      <c r="A345" s="24"/>
      <c r="B345" s="24"/>
      <c r="C345" s="24"/>
      <c r="D345" s="24"/>
      <c r="E345" s="24"/>
      <c r="J345" s="26"/>
    </row>
    <row r="346" ht="15.75" customHeight="1">
      <c r="A346" s="24"/>
      <c r="B346" s="24"/>
      <c r="C346" s="24"/>
      <c r="D346" s="24"/>
      <c r="E346" s="24"/>
      <c r="J346" s="26"/>
    </row>
    <row r="347" ht="15.75" customHeight="1">
      <c r="A347" s="24"/>
      <c r="B347" s="24"/>
      <c r="C347" s="24"/>
      <c r="D347" s="24"/>
      <c r="E347" s="24"/>
      <c r="J347" s="26"/>
    </row>
    <row r="348" ht="15.75" customHeight="1">
      <c r="A348" s="24"/>
      <c r="B348" s="24"/>
      <c r="C348" s="24"/>
      <c r="D348" s="24"/>
      <c r="E348" s="24"/>
      <c r="J348" s="26"/>
    </row>
    <row r="349" ht="15.75" customHeight="1">
      <c r="A349" s="24"/>
      <c r="B349" s="24"/>
      <c r="C349" s="24"/>
      <c r="D349" s="24"/>
      <c r="E349" s="24"/>
      <c r="J349" s="26"/>
    </row>
    <row r="350" ht="15.75" customHeight="1">
      <c r="A350" s="24"/>
      <c r="B350" s="24"/>
      <c r="C350" s="24"/>
      <c r="D350" s="24"/>
      <c r="E350" s="24"/>
      <c r="J350" s="26"/>
    </row>
    <row r="351" ht="15.75" customHeight="1">
      <c r="A351" s="24"/>
      <c r="B351" s="24"/>
      <c r="C351" s="24"/>
      <c r="D351" s="24"/>
      <c r="E351" s="24"/>
      <c r="J351" s="26"/>
    </row>
    <row r="352" ht="15.75" customHeight="1">
      <c r="A352" s="24"/>
      <c r="B352" s="24"/>
      <c r="C352" s="24"/>
      <c r="D352" s="24"/>
      <c r="E352" s="24"/>
      <c r="J352" s="26"/>
    </row>
    <row r="353" ht="15.75" customHeight="1">
      <c r="A353" s="24"/>
      <c r="B353" s="24"/>
      <c r="C353" s="24"/>
      <c r="D353" s="24"/>
      <c r="E353" s="24"/>
      <c r="J353" s="26"/>
    </row>
    <row r="354" ht="15.75" customHeight="1">
      <c r="A354" s="24"/>
      <c r="B354" s="24"/>
      <c r="C354" s="24"/>
      <c r="D354" s="24"/>
      <c r="E354" s="24"/>
      <c r="J354" s="26"/>
    </row>
    <row r="355" ht="15.75" customHeight="1">
      <c r="A355" s="24"/>
      <c r="B355" s="24"/>
      <c r="C355" s="24"/>
      <c r="D355" s="24"/>
      <c r="E355" s="24"/>
      <c r="J355" s="26"/>
    </row>
    <row r="356" ht="15.75" customHeight="1">
      <c r="A356" s="24"/>
      <c r="B356" s="24"/>
      <c r="C356" s="24"/>
      <c r="D356" s="24"/>
      <c r="E356" s="24"/>
      <c r="J356" s="26"/>
    </row>
    <row r="357" ht="15.75" customHeight="1">
      <c r="A357" s="24"/>
      <c r="B357" s="24"/>
      <c r="C357" s="24"/>
      <c r="D357" s="24"/>
      <c r="E357" s="24"/>
      <c r="J357" s="26"/>
    </row>
    <row r="358" ht="15.75" customHeight="1">
      <c r="A358" s="24"/>
      <c r="B358" s="24"/>
      <c r="C358" s="24"/>
      <c r="D358" s="24"/>
      <c r="E358" s="24"/>
      <c r="J358" s="26"/>
    </row>
    <row r="359" ht="15.75" customHeight="1">
      <c r="A359" s="24"/>
      <c r="B359" s="24"/>
      <c r="C359" s="24"/>
      <c r="D359" s="24"/>
      <c r="E359" s="24"/>
      <c r="J359" s="26"/>
    </row>
    <row r="360" ht="15.75" customHeight="1">
      <c r="A360" s="24"/>
      <c r="B360" s="24"/>
      <c r="C360" s="24"/>
      <c r="D360" s="24"/>
      <c r="E360" s="24"/>
      <c r="J360" s="26"/>
    </row>
    <row r="361" ht="15.75" customHeight="1">
      <c r="A361" s="24"/>
      <c r="B361" s="24"/>
      <c r="C361" s="24"/>
      <c r="D361" s="24"/>
      <c r="E361" s="24"/>
      <c r="J361" s="26"/>
    </row>
    <row r="362" ht="15.75" customHeight="1">
      <c r="A362" s="24"/>
      <c r="B362" s="24"/>
      <c r="C362" s="24"/>
      <c r="D362" s="24"/>
      <c r="E362" s="24"/>
      <c r="J362" s="26"/>
    </row>
    <row r="363" ht="15.75" customHeight="1">
      <c r="A363" s="24"/>
      <c r="B363" s="24"/>
      <c r="C363" s="24"/>
      <c r="D363" s="24"/>
      <c r="E363" s="24"/>
      <c r="J363" s="26"/>
    </row>
    <row r="364" ht="15.75" customHeight="1">
      <c r="A364" s="24"/>
      <c r="B364" s="24"/>
      <c r="C364" s="24"/>
      <c r="D364" s="24"/>
      <c r="E364" s="24"/>
      <c r="J364" s="26"/>
    </row>
    <row r="365" ht="15.75" customHeight="1">
      <c r="A365" s="24"/>
      <c r="B365" s="24"/>
      <c r="C365" s="24"/>
      <c r="D365" s="24"/>
      <c r="E365" s="24"/>
      <c r="J365" s="26"/>
    </row>
    <row r="366" ht="15.75" customHeight="1">
      <c r="A366" s="24"/>
      <c r="B366" s="24"/>
      <c r="C366" s="24"/>
      <c r="D366" s="24"/>
      <c r="E366" s="24"/>
      <c r="J366" s="26"/>
    </row>
    <row r="367" ht="15.75" customHeight="1">
      <c r="A367" s="24"/>
      <c r="B367" s="24"/>
      <c r="C367" s="24"/>
      <c r="D367" s="24"/>
      <c r="E367" s="24"/>
      <c r="J367" s="26"/>
    </row>
    <row r="368" ht="15.75" customHeight="1">
      <c r="A368" s="24"/>
      <c r="B368" s="24"/>
      <c r="C368" s="24"/>
      <c r="D368" s="24"/>
      <c r="E368" s="24"/>
      <c r="J368" s="26"/>
    </row>
    <row r="369" ht="15.75" customHeight="1">
      <c r="A369" s="24"/>
      <c r="B369" s="24"/>
      <c r="C369" s="24"/>
      <c r="D369" s="24"/>
      <c r="E369" s="24"/>
      <c r="J369" s="26"/>
    </row>
    <row r="370" ht="15.75" customHeight="1">
      <c r="A370" s="24"/>
      <c r="B370" s="24"/>
      <c r="C370" s="24"/>
      <c r="D370" s="24"/>
      <c r="E370" s="24"/>
      <c r="J370" s="26"/>
    </row>
    <row r="371" ht="15.75" customHeight="1">
      <c r="A371" s="24"/>
      <c r="B371" s="24"/>
      <c r="C371" s="24"/>
      <c r="D371" s="24"/>
      <c r="E371" s="24"/>
      <c r="J371" s="26"/>
    </row>
    <row r="372" ht="15.75" customHeight="1">
      <c r="A372" s="24"/>
      <c r="B372" s="24"/>
      <c r="C372" s="24"/>
      <c r="D372" s="24"/>
      <c r="E372" s="24"/>
      <c r="J372" s="26"/>
    </row>
    <row r="373" ht="15.75" customHeight="1">
      <c r="A373" s="24"/>
      <c r="B373" s="24"/>
      <c r="C373" s="24"/>
      <c r="D373" s="24"/>
      <c r="E373" s="24"/>
      <c r="J373" s="26"/>
    </row>
    <row r="374" ht="15.75" customHeight="1">
      <c r="J374" s="26"/>
    </row>
    <row r="375" ht="15.75" customHeight="1">
      <c r="J375" s="26"/>
    </row>
    <row r="376" ht="15.75" customHeight="1">
      <c r="J376" s="26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J5:J31"/>
    <mergeCell ref="J32:J58"/>
    <mergeCell ref="J59:J85"/>
    <mergeCell ref="J86:J112"/>
    <mergeCell ref="J113:J139"/>
    <mergeCell ref="J140:J166"/>
    <mergeCell ref="J167:J193"/>
    <mergeCell ref="J194:J220"/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E167:E193"/>
    <mergeCell ref="E194:E220"/>
    <mergeCell ref="D221:I221"/>
    <mergeCell ref="D222:I222"/>
    <mergeCell ref="D59:D85"/>
    <mergeCell ref="E59:E85"/>
    <mergeCell ref="D86:D112"/>
    <mergeCell ref="E86:E112"/>
    <mergeCell ref="D113:D139"/>
    <mergeCell ref="E113:E139"/>
    <mergeCell ref="E140:E16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4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70</v>
      </c>
      <c r="F5" s="47" t="s">
        <v>22</v>
      </c>
      <c r="G5" s="48"/>
      <c r="H5" s="49">
        <f>VLOOKUP(F5,$A$4:$B$4,2,TRUE)</f>
        <v>4500</v>
      </c>
      <c r="I5" s="50">
        <f t="shared" ref="I5:I301" si="1">G5*H5</f>
        <v>0</v>
      </c>
      <c r="J5" s="51">
        <f>SUM(I5:I31)</f>
        <v>16250</v>
      </c>
      <c r="K5" s="25"/>
      <c r="L5" s="47" t="s">
        <v>22</v>
      </c>
      <c r="M5" s="43">
        <f>SUMIF(F5:F301,"Gelas bersih",G5:G301)</f>
        <v>31.5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/>
      <c r="H6" s="53">
        <f>VLOOKUP(F6,$A$5:$B$5,2,TRUE)</f>
        <v>3000</v>
      </c>
      <c r="I6" s="50">
        <f t="shared" si="1"/>
        <v>0</v>
      </c>
      <c r="J6" s="52"/>
      <c r="K6" s="25"/>
      <c r="L6" s="47" t="s">
        <v>57</v>
      </c>
      <c r="M6" s="43">
        <f>SUMIF(F6:F302,"Botol bersih",G6:G302)</f>
        <v>26</v>
      </c>
      <c r="N6" s="25"/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SUMIF(F7:F302,"Botol Warna",G7:G302)</f>
        <v>0</v>
      </c>
      <c r="N7" s="25"/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/>
      <c r="H8" s="53">
        <f>VLOOKUP(F8,$A$7:$B$7,2,TRUE)</f>
        <v>2800</v>
      </c>
      <c r="I8" s="50">
        <f t="shared" si="1"/>
        <v>0</v>
      </c>
      <c r="J8" s="52"/>
      <c r="K8" s="25"/>
      <c r="L8" s="47" t="s">
        <v>25</v>
      </c>
      <c r="M8" s="43">
        <f>SUMIF(F8:F303,"Tutup botol",G8:G303)</f>
        <v>2</v>
      </c>
      <c r="N8" s="25"/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/>
      <c r="H9" s="53">
        <f>VLOOKUP(F9,$A$8:$B$8,2,TRUE)</f>
        <v>3500</v>
      </c>
      <c r="I9" s="50">
        <f t="shared" si="1"/>
        <v>0</v>
      </c>
      <c r="J9" s="52"/>
      <c r="K9" s="25"/>
      <c r="L9" s="47" t="s">
        <v>26</v>
      </c>
      <c r="M9" s="43">
        <f>SUMIF(F9:F304,"Tutup galon",G9:G304)</f>
        <v>0.5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>
        <v>3.5</v>
      </c>
      <c r="H10" s="53">
        <f>VLOOKUP(F10,$A$9:$B$9,2,TRUE)</f>
        <v>1000</v>
      </c>
      <c r="I10" s="50">
        <f t="shared" si="1"/>
        <v>3500</v>
      </c>
      <c r="J10" s="52"/>
      <c r="K10" s="25"/>
      <c r="L10" s="47" t="s">
        <v>27</v>
      </c>
      <c r="M10" s="43">
        <f>SUMIF(F10:F305,"Hitam",G10:G305)</f>
        <v>19</v>
      </c>
      <c r="N10" s="25"/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/>
      <c r="H11" s="53">
        <f>VLOOKUP(F11,$A$10:$B$10,2,TRUE)</f>
        <v>2000</v>
      </c>
      <c r="I11" s="50">
        <f t="shared" si="1"/>
        <v>0</v>
      </c>
      <c r="J11" s="52"/>
      <c r="K11" s="25"/>
      <c r="L11" s="47" t="s">
        <v>28</v>
      </c>
      <c r="M11" s="43">
        <f>SUMIF(F11:F306,"Plastik Campur",G11:G306)</f>
        <v>7.5</v>
      </c>
      <c r="N11" s="25"/>
      <c r="O11" s="54" t="s">
        <v>71</v>
      </c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>
        <v>2.0</v>
      </c>
      <c r="H12" s="53">
        <f>VLOOKUP(F12,$A$11:$B$11,2,TRUE)</f>
        <v>1500</v>
      </c>
      <c r="I12" s="50">
        <f t="shared" si="1"/>
        <v>3000</v>
      </c>
      <c r="J12" s="52"/>
      <c r="K12" s="25"/>
      <c r="L12" s="47" t="s">
        <v>29</v>
      </c>
      <c r="M12" s="43">
        <f>SUMIF(F12:F307,"Kardus",G12:G307)</f>
        <v>44.5</v>
      </c>
      <c r="N12" s="25"/>
      <c r="O12" s="55">
        <f>M5+M6+M7+M8+M9+M10+M11+M24+M25</f>
        <v>103</v>
      </c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>
        <v>7.5</v>
      </c>
      <c r="H13" s="53">
        <f>VLOOKUP(F13,$A$12:$B$12,2,TRUE)</f>
        <v>1300</v>
      </c>
      <c r="I13" s="50">
        <f t="shared" si="1"/>
        <v>9750</v>
      </c>
      <c r="J13" s="52"/>
      <c r="K13" s="25"/>
      <c r="L13" s="47" t="s">
        <v>30</v>
      </c>
      <c r="M13" s="43">
        <f>SUMIF(F13:F308,"Kertas Putihan/ HVS",G13:G308)</f>
        <v>7.5</v>
      </c>
      <c r="N13" s="25"/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SUMIF(F14:F309,"Koran/Buku",G14:G309)</f>
        <v>0</v>
      </c>
      <c r="N14" s="25"/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32</v>
      </c>
      <c r="M15" s="43">
        <f>SUMIF(F15:F310,"Duplex",G15:G310)</f>
        <v>13.5</v>
      </c>
      <c r="N15" s="25"/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SUMIF(F16:F311,"Alumunium",G16:G311)</f>
        <v>0</v>
      </c>
      <c r="N16" s="25"/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SUMIF(F17:F312,"Besi",G17:G312)</f>
        <v>5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/>
      <c r="H18" s="53">
        <f>VLOOKUP(F18,$A$17:$B$17,2,TRUE)</f>
        <v>1000</v>
      </c>
      <c r="I18" s="50">
        <f t="shared" si="1"/>
        <v>0</v>
      </c>
      <c r="J18" s="52"/>
      <c r="K18" s="25"/>
      <c r="L18" s="47" t="s">
        <v>35</v>
      </c>
      <c r="M18" s="43">
        <f>SUMIF(F18:F313,"Kaleng kue/susu",G18:G313)</f>
        <v>4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SUMIF(F19:F314,"Kaleng Minuman",G19:G314)</f>
        <v>0.5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SUMIF(F20:F315,"Stanless",G20:G315)</f>
        <v>0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SUMIF(F21:F316,"Tembaga",G21:G316)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SUMIF(F22:F317,"Aki Motor",G22:G317)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SUMIF(F23:F318,"Paralon",G23:G318)</f>
        <v>0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41</v>
      </c>
      <c r="M24" s="43">
        <f>SUMIF(F24:F319,"Plastik bening",G24:G319)</f>
        <v>15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42</v>
      </c>
      <c r="M25" s="43">
        <f>SUMIF(F25:F320,"Plastik Warna",G25:G320)</f>
        <v>1.5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SUMIF(F26:F321,"Selang",G26:G321)</f>
        <v>0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18</v>
      </c>
      <c r="M27" s="43">
        <f>SUMIF(F27:F322,"Beling",G27:G322)</f>
        <v>20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/>
      <c r="H28" s="53">
        <f>VLOOKUP(F28,$A$27:$B$27,2,TRUE)</f>
        <v>100</v>
      </c>
      <c r="I28" s="50">
        <f t="shared" si="1"/>
        <v>0</v>
      </c>
      <c r="J28" s="52"/>
      <c r="K28" s="25"/>
      <c r="L28" s="47" t="s">
        <v>44</v>
      </c>
      <c r="M28" s="43">
        <f>SUMIF(F28:F323,"Pecahan",G28:G323)</f>
        <v>0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/>
      <c r="H29" s="53">
        <f>VLOOKUP(F29,$A$28:$B$28,2,TRUE)</f>
        <v>1500</v>
      </c>
      <c r="I29" s="50">
        <f t="shared" si="1"/>
        <v>0</v>
      </c>
      <c r="J29" s="52"/>
      <c r="K29" s="25"/>
      <c r="L29" s="47" t="s">
        <v>13</v>
      </c>
      <c r="M29" s="43">
        <f>SUMIF(F29:F325,"Paku",G29:G325)</f>
        <v>0</v>
      </c>
      <c r="N29" s="25"/>
    </row>
    <row r="30" ht="15.75" customHeight="1">
      <c r="A30" s="36" t="s">
        <v>60</v>
      </c>
      <c r="B30" s="37">
        <v>0.0</v>
      </c>
      <c r="C30" s="44"/>
      <c r="D30" s="52"/>
      <c r="E30" s="52"/>
      <c r="F30" s="47" t="s">
        <v>20</v>
      </c>
      <c r="G30" s="48"/>
      <c r="H30" s="53">
        <f>VLOOKUP(F30,$A$29:$B$29,2,TRUE)</f>
        <v>3500</v>
      </c>
      <c r="I30" s="50">
        <f t="shared" si="1"/>
        <v>0</v>
      </c>
      <c r="J30" s="52"/>
      <c r="K30" s="25"/>
      <c r="L30" s="47" t="s">
        <v>20</v>
      </c>
      <c r="M30" s="43">
        <f>SUMIF(F30:F326,"Minyak Jelantah",G30:G326)</f>
        <v>15</v>
      </c>
      <c r="N30" s="25"/>
    </row>
    <row r="31" ht="15.75" customHeight="1">
      <c r="C31" s="44"/>
      <c r="D31" s="13"/>
      <c r="E31" s="13"/>
      <c r="F31" s="47" t="s">
        <v>60</v>
      </c>
      <c r="G31" s="48">
        <v>1.0</v>
      </c>
      <c r="H31" s="53">
        <f>VLOOKUP(F31,$A$30:$B$30,2,TRUE)</f>
        <v>0</v>
      </c>
      <c r="I31" s="50">
        <f t="shared" si="1"/>
        <v>0</v>
      </c>
      <c r="J31" s="13"/>
      <c r="K31" s="25"/>
      <c r="L31" s="47" t="s">
        <v>60</v>
      </c>
      <c r="M31" s="43">
        <f>SUMIF(F31:F327,"Lainnya",G31:G327)</f>
        <v>28.5</v>
      </c>
      <c r="N31" s="25"/>
    </row>
    <row r="32" ht="15.75" customHeight="1">
      <c r="A32" s="44"/>
      <c r="B32" s="44"/>
      <c r="C32" s="44"/>
      <c r="D32" s="45">
        <v>2.0</v>
      </c>
      <c r="E32" s="46" t="s">
        <v>72</v>
      </c>
      <c r="F32" s="47" t="s">
        <v>22</v>
      </c>
      <c r="G32" s="48">
        <v>1.0</v>
      </c>
      <c r="H32" s="57">
        <f>VLOOKUP(F32,$A$4:$B$4,2,TRUE)</f>
        <v>4500</v>
      </c>
      <c r="I32" s="50">
        <f t="shared" si="1"/>
        <v>4500</v>
      </c>
      <c r="J32" s="51">
        <f>SUM(I32:I58)</f>
        <v>34000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57</v>
      </c>
      <c r="G33" s="48">
        <v>2.0</v>
      </c>
      <c r="H33" s="57">
        <f>VLOOKUP(F33,$A$5:$B$5,2,TRUE)</f>
        <v>3000</v>
      </c>
      <c r="I33" s="50">
        <f t="shared" si="1"/>
        <v>6000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59</v>
      </c>
      <c r="G34" s="48"/>
      <c r="H34" s="57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25</v>
      </c>
      <c r="G35" s="48"/>
      <c r="H35" s="57">
        <f>VLOOKUP(F35,$A$7:$B$7,2,TRUE)</f>
        <v>2800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26</v>
      </c>
      <c r="G36" s="48"/>
      <c r="H36" s="57">
        <f>VLOOKUP(F36,$A$8:$B$8,2,TRUE)</f>
        <v>3500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27</v>
      </c>
      <c r="G37" s="48"/>
      <c r="H37" s="57">
        <f>VLOOKUP(F37,$A$9:$B$9,2,TRUE)</f>
        <v>1000</v>
      </c>
      <c r="I37" s="50">
        <f t="shared" si="1"/>
        <v>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28</v>
      </c>
      <c r="G38" s="48"/>
      <c r="H38" s="57">
        <f>VLOOKUP(F38,$A$10:$B$10,2,TRUE)</f>
        <v>2000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29</v>
      </c>
      <c r="G39" s="48">
        <v>10.0</v>
      </c>
      <c r="H39" s="57">
        <f>VLOOKUP(F39,$A$11:$B$11,2,TRUE)</f>
        <v>1500</v>
      </c>
      <c r="I39" s="50">
        <f t="shared" si="1"/>
        <v>15000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30</v>
      </c>
      <c r="G40" s="48"/>
      <c r="H40" s="57">
        <f>VLOOKUP(F40,$A$12:$B$12,2,TRUE)</f>
        <v>1300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31</v>
      </c>
      <c r="G41" s="48"/>
      <c r="H41" s="57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32</v>
      </c>
      <c r="G42" s="48">
        <v>1.5</v>
      </c>
      <c r="H42" s="57">
        <f>VLOOKUP(F42,$A$14:$B$14,2,TRUE)</f>
        <v>500</v>
      </c>
      <c r="I42" s="50">
        <f t="shared" si="1"/>
        <v>750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33</v>
      </c>
      <c r="G43" s="48"/>
      <c r="H43" s="57">
        <f>VLOOKUP(F43,$A$15:$B$15,2,TRUE)</f>
        <v>7500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34</v>
      </c>
      <c r="G44" s="48"/>
      <c r="H44" s="57">
        <f>VLOOKUP(F44,$A$16:$B$16,2,TRUE)</f>
        <v>2000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35</v>
      </c>
      <c r="G45" s="48"/>
      <c r="H45" s="57">
        <f>VLOOKUP(F45,$A$17:$B$17,2,TRUE)</f>
        <v>1000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36</v>
      </c>
      <c r="G46" s="48"/>
      <c r="H46" s="57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37</v>
      </c>
      <c r="G47" s="48"/>
      <c r="H47" s="57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38</v>
      </c>
      <c r="G48" s="48"/>
      <c r="H48" s="57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39</v>
      </c>
      <c r="G49" s="48"/>
      <c r="H49" s="57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40</v>
      </c>
      <c r="G50" s="48"/>
      <c r="H50" s="57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41</v>
      </c>
      <c r="G51" s="48">
        <v>1.5</v>
      </c>
      <c r="H51" s="57">
        <f>VLOOKUP(F51,$A$23:$B$23,2,TRUE)</f>
        <v>500</v>
      </c>
      <c r="I51" s="50">
        <f t="shared" si="1"/>
        <v>750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42</v>
      </c>
      <c r="G52" s="48"/>
      <c r="H52" s="57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43</v>
      </c>
      <c r="G53" s="48"/>
      <c r="H53" s="57">
        <f>VLOOKUP(F53,$A$25:$B$25,2,TRUE)</f>
        <v>1000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18</v>
      </c>
      <c r="G54" s="48"/>
      <c r="H54" s="57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44</v>
      </c>
      <c r="G55" s="48"/>
      <c r="H55" s="57">
        <f>VLOOKUP(F55,$A$27:$B$27,2,TRUE)</f>
        <v>100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13</v>
      </c>
      <c r="G56" s="48"/>
      <c r="H56" s="58">
        <f>VLOOKUP(F56,$A$28:$B$28,2,TRUE)</f>
        <v>1500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20</v>
      </c>
      <c r="G57" s="48">
        <v>2.0</v>
      </c>
      <c r="H57" s="57">
        <f>VLOOKUP(F57,$A$29:$B$29,2,TRUE)</f>
        <v>3500</v>
      </c>
      <c r="I57" s="50">
        <f t="shared" si="1"/>
        <v>7000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13"/>
      <c r="E58" s="13"/>
      <c r="F58" s="47" t="s">
        <v>60</v>
      </c>
      <c r="G58" s="48">
        <v>3.0</v>
      </c>
      <c r="H58" s="57">
        <f>VLOOKUP(F58,$A$30:$B$30,2,TRUE)</f>
        <v>0</v>
      </c>
      <c r="I58" s="50">
        <f t="shared" si="1"/>
        <v>0</v>
      </c>
      <c r="J58" s="13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9" t="s">
        <v>73</v>
      </c>
      <c r="F59" s="47" t="s">
        <v>22</v>
      </c>
      <c r="G59" s="48"/>
      <c r="H59" s="57">
        <f>VLOOKUP(F59,$A$4:$B$4,2,TRUE)</f>
        <v>4500</v>
      </c>
      <c r="I59" s="50">
        <f t="shared" si="1"/>
        <v>0</v>
      </c>
      <c r="J59" s="51">
        <f>SUM(I59:I85)</f>
        <v>45300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57</v>
      </c>
      <c r="G60" s="48">
        <v>6.0</v>
      </c>
      <c r="H60" s="57">
        <f>VLOOKUP(F60,$A$5:$B$5,2,TRUE)</f>
        <v>3000</v>
      </c>
      <c r="I60" s="50">
        <f t="shared" si="1"/>
        <v>18000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59</v>
      </c>
      <c r="G61" s="48"/>
      <c r="H61" s="57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25</v>
      </c>
      <c r="G62" s="48">
        <v>1.5</v>
      </c>
      <c r="H62" s="57">
        <f>VLOOKUP(F62,$A$7:$B$7,2,TRUE)</f>
        <v>2800</v>
      </c>
      <c r="I62" s="50">
        <f t="shared" si="1"/>
        <v>4200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26</v>
      </c>
      <c r="G63" s="48"/>
      <c r="H63" s="57">
        <f>VLOOKUP(F63,$A$8:$B$8,2,TRUE)</f>
        <v>3500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27</v>
      </c>
      <c r="G64" s="48">
        <v>6.0</v>
      </c>
      <c r="H64" s="57">
        <f>VLOOKUP(F64,$A$9:$B$9,2,TRUE)</f>
        <v>1000</v>
      </c>
      <c r="I64" s="50">
        <f t="shared" si="1"/>
        <v>6000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28</v>
      </c>
      <c r="G65" s="48"/>
      <c r="H65" s="57">
        <f>VLOOKUP(F65,$A$10:$B$10,2,TRUE)</f>
        <v>2000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29</v>
      </c>
      <c r="G66" s="48">
        <v>2.5</v>
      </c>
      <c r="H66" s="57">
        <f>VLOOKUP(F66,$A$11:$B$11,2,TRUE)</f>
        <v>1500</v>
      </c>
      <c r="I66" s="50">
        <f t="shared" si="1"/>
        <v>3750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30</v>
      </c>
      <c r="G67" s="48"/>
      <c r="H67" s="57">
        <f>VLOOKUP(F67,$A$12:$B$12,2,TRUE)</f>
        <v>1300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31</v>
      </c>
      <c r="G68" s="48"/>
      <c r="H68" s="57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32</v>
      </c>
      <c r="G69" s="48">
        <v>5.0</v>
      </c>
      <c r="H69" s="57">
        <f>VLOOKUP(F69,$A$14:$B$14,2,TRUE)</f>
        <v>500</v>
      </c>
      <c r="I69" s="50">
        <f t="shared" si="1"/>
        <v>2500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33</v>
      </c>
      <c r="G70" s="48"/>
      <c r="H70" s="57">
        <f>VLOOKUP(F70,$A$15:$B$15,2,TRUE)</f>
        <v>7500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34</v>
      </c>
      <c r="G71" s="48"/>
      <c r="H71" s="57">
        <f>VLOOKUP(F71,$A$16:$B$16,2,TRUE)</f>
        <v>2000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35</v>
      </c>
      <c r="G72" s="48">
        <v>1.5</v>
      </c>
      <c r="H72" s="57">
        <f>VLOOKUP(F72,$A$17:$B$17,2,TRUE)</f>
        <v>1000</v>
      </c>
      <c r="I72" s="50">
        <f t="shared" si="1"/>
        <v>1500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36</v>
      </c>
      <c r="G73" s="48"/>
      <c r="H73" s="57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37</v>
      </c>
      <c r="G74" s="48"/>
      <c r="H74" s="57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38</v>
      </c>
      <c r="G75" s="48"/>
      <c r="H75" s="57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39</v>
      </c>
      <c r="G76" s="48"/>
      <c r="H76" s="57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40</v>
      </c>
      <c r="G77" s="48"/>
      <c r="H77" s="57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41</v>
      </c>
      <c r="G78" s="48">
        <v>1.0</v>
      </c>
      <c r="H78" s="57">
        <f>VLOOKUP(F78,$A$23:$B$23,2,TRUE)</f>
        <v>500</v>
      </c>
      <c r="I78" s="50">
        <f t="shared" si="1"/>
        <v>500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42</v>
      </c>
      <c r="G79" s="48"/>
      <c r="H79" s="57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43</v>
      </c>
      <c r="G80" s="48"/>
      <c r="H80" s="57">
        <f>VLOOKUP(F80,$A$25:$B$25,2,TRUE)</f>
        <v>1000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18</v>
      </c>
      <c r="G81" s="48">
        <v>12.0</v>
      </c>
      <c r="H81" s="57">
        <f>VLOOKUP(F81,$A$26:$B$26,2,TRUE)</f>
        <v>300</v>
      </c>
      <c r="I81" s="50">
        <f t="shared" si="1"/>
        <v>3600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44</v>
      </c>
      <c r="G82" s="48"/>
      <c r="H82" s="57">
        <f>VLOOKUP(F82,$A$27:$B$27,2,TRUE)</f>
        <v>100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13</v>
      </c>
      <c r="G83" s="48"/>
      <c r="H83" s="57">
        <f>VLOOKUP(F83,$A$28:$B$28,2,TRUE)</f>
        <v>1500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20</v>
      </c>
      <c r="G84" s="48">
        <v>1.5</v>
      </c>
      <c r="H84" s="57">
        <f>VLOOKUP(F84,$A$29:$B$29,2,TRUE)</f>
        <v>3500</v>
      </c>
      <c r="I84" s="50">
        <f t="shared" si="1"/>
        <v>5250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13"/>
      <c r="E85" s="13"/>
      <c r="F85" s="47" t="s">
        <v>60</v>
      </c>
      <c r="G85" s="48">
        <v>4.5</v>
      </c>
      <c r="H85" s="57">
        <f>VLOOKUP(F85,$A$30:$B$30,2,TRUE)</f>
        <v>0</v>
      </c>
      <c r="I85" s="50">
        <f t="shared" si="1"/>
        <v>0</v>
      </c>
      <c r="J85" s="13"/>
      <c r="K85" s="25"/>
      <c r="L85" s="25"/>
      <c r="M85" s="25"/>
      <c r="N85" s="25"/>
    </row>
    <row r="86" ht="15.75" customHeight="1">
      <c r="A86" s="44"/>
      <c r="B86" s="44"/>
      <c r="C86" s="44"/>
      <c r="D86" s="45">
        <v>4.0</v>
      </c>
      <c r="E86" s="46" t="s">
        <v>74</v>
      </c>
      <c r="F86" s="47" t="s">
        <v>22</v>
      </c>
      <c r="G86" s="48"/>
      <c r="H86" s="57">
        <f>VLOOKUP(F86,$A$4:$B$4,2,TRUE)</f>
        <v>4500</v>
      </c>
      <c r="I86" s="50">
        <f t="shared" si="1"/>
        <v>0</v>
      </c>
      <c r="J86" s="51">
        <f>SUM(I86:I112)</f>
        <v>9050</v>
      </c>
      <c r="K86" s="25"/>
      <c r="L86" s="25"/>
      <c r="M86" s="25"/>
      <c r="N86" s="25"/>
    </row>
    <row r="87" ht="15.75" customHeight="1">
      <c r="A87" s="44"/>
      <c r="B87" s="44"/>
      <c r="C87" s="44"/>
      <c r="D87" s="52"/>
      <c r="E87" s="52"/>
      <c r="F87" s="47" t="s">
        <v>57</v>
      </c>
      <c r="G87" s="48"/>
      <c r="H87" s="57">
        <f>VLOOKUP(F87,$A$5:$B$5,2,TRUE)</f>
        <v>3000</v>
      </c>
      <c r="I87" s="50">
        <f t="shared" si="1"/>
        <v>0</v>
      </c>
      <c r="J87" s="52"/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59</v>
      </c>
      <c r="G88" s="48"/>
      <c r="H88" s="57">
        <f>VLOOKUP(F88,$A$6:$B$6,2,TRUE)</f>
        <v>1000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25</v>
      </c>
      <c r="G89" s="48"/>
      <c r="H89" s="57">
        <f>VLOOKUP(F89,$A$7:$B$7,2,TRUE)</f>
        <v>2800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26</v>
      </c>
      <c r="G90" s="48"/>
      <c r="H90" s="57">
        <f>VLOOKUP(F90,$A$8:$B$8,2,TRUE)</f>
        <v>3500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27</v>
      </c>
      <c r="G91" s="48"/>
      <c r="H91" s="57">
        <f>VLOOKUP(F91,$A$9:$B$9,2,TRUE)</f>
        <v>1000</v>
      </c>
      <c r="I91" s="50">
        <f t="shared" si="1"/>
        <v>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28</v>
      </c>
      <c r="G92" s="48"/>
      <c r="H92" s="57">
        <f>VLOOKUP(F92,$A$10:$B$10,2,TRUE)</f>
        <v>2000</v>
      </c>
      <c r="I92" s="50">
        <f t="shared" si="1"/>
        <v>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29</v>
      </c>
      <c r="G93" s="48">
        <v>4.0</v>
      </c>
      <c r="H93" s="57">
        <f>VLOOKUP(F93,$A$11:$B$11,2,TRUE)</f>
        <v>1500</v>
      </c>
      <c r="I93" s="50">
        <f t="shared" si="1"/>
        <v>6000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30</v>
      </c>
      <c r="G94" s="48"/>
      <c r="H94" s="57">
        <f>VLOOKUP(F94,$A$12:$B$12,2,TRUE)</f>
        <v>1300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31</v>
      </c>
      <c r="G95" s="48"/>
      <c r="H95" s="57">
        <f>VLOOKUP(F95,$A$13:$B$13,2,TRUE)</f>
        <v>1000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32</v>
      </c>
      <c r="G96" s="48">
        <v>2.5</v>
      </c>
      <c r="H96" s="57">
        <f>VLOOKUP(F96,$A$14:$B$14,2,TRUE)</f>
        <v>500</v>
      </c>
      <c r="I96" s="50">
        <f t="shared" si="1"/>
        <v>1250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33</v>
      </c>
      <c r="G97" s="48"/>
      <c r="H97" s="57">
        <f>VLOOKUP(F97,$A$15:$B$15,2,TRUE)</f>
        <v>7500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34</v>
      </c>
      <c r="G98" s="48"/>
      <c r="H98" s="57">
        <f>VLOOKUP(F98,$A$16:$B$16,2,TRUE)</f>
        <v>2000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35</v>
      </c>
      <c r="G99" s="48"/>
      <c r="H99" s="57">
        <f>VLOOKUP(F99,$A$17:$B$17,2,TRUE)</f>
        <v>1000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36</v>
      </c>
      <c r="G100" s="48"/>
      <c r="H100" s="57">
        <f>VLOOKUP(F100,$A$18:$B$18,2,TRUE)</f>
        <v>5000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37</v>
      </c>
      <c r="G101" s="48"/>
      <c r="H101" s="57">
        <f>VLOOKUP(F101,$A$19:$B$19,2,TRUE)</f>
        <v>2700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38</v>
      </c>
      <c r="G102" s="48"/>
      <c r="H102" s="57">
        <f>VLOOKUP(F102,$A$20:$B$20,2,TRUE)</f>
        <v>50000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39</v>
      </c>
      <c r="G103" s="48"/>
      <c r="H103" s="57">
        <f>VLOOKUP(F103,$A$21:$B$21,2,TRUE)</f>
        <v>10000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40</v>
      </c>
      <c r="G104" s="48"/>
      <c r="H104" s="57">
        <f>VLOOKUP(F104,$A$22:$B$22,2,TRUE)</f>
        <v>1000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41</v>
      </c>
      <c r="G105" s="48"/>
      <c r="H105" s="57">
        <f>VLOOKUP(F105,$A$23:$B$23,2,TRUE)</f>
        <v>500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42</v>
      </c>
      <c r="G106" s="48"/>
      <c r="H106" s="57">
        <f>VLOOKUP(F106,$A$24:$B$24,2,TRUE)</f>
        <v>200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43</v>
      </c>
      <c r="G107" s="48"/>
      <c r="H107" s="57">
        <f>VLOOKUP(F107,$A$25:$B$25,2,TRUE)</f>
        <v>1000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18</v>
      </c>
      <c r="G108" s="48">
        <v>6.0</v>
      </c>
      <c r="H108" s="57">
        <f>VLOOKUP(F108,$A$26:$B$26,2,TRUE)</f>
        <v>300</v>
      </c>
      <c r="I108" s="50">
        <f t="shared" si="1"/>
        <v>1800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44</v>
      </c>
      <c r="G109" s="48"/>
      <c r="H109" s="57">
        <f>VLOOKUP(F109,$A$27:$B$27,2,TRUE)</f>
        <v>100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13</v>
      </c>
      <c r="G110" s="48"/>
      <c r="H110" s="57">
        <f>VLOOKUP(F110,$A$28:$B$28,2,TRUE)</f>
        <v>1500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20</v>
      </c>
      <c r="G111" s="48"/>
      <c r="H111" s="57">
        <f>VLOOKUP(F111,$A$29:$B$29,2,TRUE)</f>
        <v>3500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13"/>
      <c r="E112" s="13"/>
      <c r="F112" s="47" t="s">
        <v>60</v>
      </c>
      <c r="G112" s="48">
        <v>17.0</v>
      </c>
      <c r="H112" s="57">
        <f>VLOOKUP(F112,$A$30:$B$30,2,TRUE)</f>
        <v>0</v>
      </c>
      <c r="I112" s="50">
        <f t="shared" si="1"/>
        <v>0</v>
      </c>
      <c r="J112" s="13"/>
      <c r="K112" s="25"/>
      <c r="L112" s="25"/>
      <c r="M112" s="25"/>
      <c r="N112" s="25"/>
    </row>
    <row r="113" ht="15.75" customHeight="1">
      <c r="A113" s="44"/>
      <c r="B113" s="44"/>
      <c r="C113" s="44"/>
      <c r="D113" s="45">
        <v>5.0</v>
      </c>
      <c r="E113" s="46" t="s">
        <v>75</v>
      </c>
      <c r="F113" s="47" t="s">
        <v>22</v>
      </c>
      <c r="G113" s="48">
        <v>18.0</v>
      </c>
      <c r="H113" s="57">
        <f>VLOOKUP(F113,$A$4:$B$4,2,TRUE)</f>
        <v>4500</v>
      </c>
      <c r="I113" s="50">
        <f t="shared" si="1"/>
        <v>81000</v>
      </c>
      <c r="J113" s="51">
        <f>SUM(I113:I139)</f>
        <v>120000</v>
      </c>
      <c r="K113" s="25"/>
      <c r="L113" s="25"/>
      <c r="M113" s="25"/>
      <c r="N113" s="25"/>
    </row>
    <row r="114" ht="15.75" customHeight="1">
      <c r="A114" s="44"/>
      <c r="B114" s="44"/>
      <c r="C114" s="44"/>
      <c r="D114" s="52"/>
      <c r="E114" s="52"/>
      <c r="F114" s="47" t="s">
        <v>57</v>
      </c>
      <c r="G114" s="48">
        <v>13.0</v>
      </c>
      <c r="H114" s="57">
        <f>VLOOKUP(F114,$A$5:$B$5,2,TRUE)</f>
        <v>3000</v>
      </c>
      <c r="I114" s="50">
        <f t="shared" si="1"/>
        <v>39000</v>
      </c>
      <c r="J114" s="52"/>
      <c r="K114" s="25"/>
      <c r="L114" s="25"/>
      <c r="M114" s="25"/>
      <c r="N114" s="25"/>
    </row>
    <row r="115" ht="15.75" customHeight="1">
      <c r="A115" s="44"/>
      <c r="B115" s="44"/>
      <c r="C115" s="44"/>
      <c r="D115" s="52"/>
      <c r="E115" s="52"/>
      <c r="F115" s="47" t="s">
        <v>59</v>
      </c>
      <c r="G115" s="48"/>
      <c r="H115" s="57">
        <f>VLOOKUP(F115,$A$6:$B$6,2,TRUE)</f>
        <v>1000</v>
      </c>
      <c r="I115" s="50">
        <f t="shared" si="1"/>
        <v>0</v>
      </c>
      <c r="J115" s="52"/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25</v>
      </c>
      <c r="G116" s="48"/>
      <c r="H116" s="57">
        <f>VLOOKUP(F116,$A$7:$B$7,2,TRUE)</f>
        <v>2800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26</v>
      </c>
      <c r="G117" s="48"/>
      <c r="H117" s="57">
        <f>VLOOKUP(F117,$A$8:$B$8,2,TRUE)</f>
        <v>3500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27</v>
      </c>
      <c r="G118" s="48"/>
      <c r="H118" s="57">
        <f>VLOOKUP(F118,$A$9:$B$9,2,TRUE)</f>
        <v>1000</v>
      </c>
      <c r="I118" s="50">
        <f t="shared" si="1"/>
        <v>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28</v>
      </c>
      <c r="G119" s="48"/>
      <c r="H119" s="57">
        <f>VLOOKUP(F119,$A$10:$B$10,2,TRUE)</f>
        <v>2000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29</v>
      </c>
      <c r="G120" s="48"/>
      <c r="H120" s="57">
        <f>VLOOKUP(F120,$A$11:$B$11,2,TRUE)</f>
        <v>1500</v>
      </c>
      <c r="I120" s="50">
        <f t="shared" si="1"/>
        <v>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30</v>
      </c>
      <c r="G121" s="48"/>
      <c r="H121" s="57">
        <f>VLOOKUP(F121,$A$12:$B$12,2,TRUE)</f>
        <v>1300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31</v>
      </c>
      <c r="G122" s="48"/>
      <c r="H122" s="57">
        <f>VLOOKUP(F122,$A$13:$B$13,2,TRUE)</f>
        <v>1000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32</v>
      </c>
      <c r="G123" s="48"/>
      <c r="H123" s="57">
        <f>VLOOKUP(F123,$A$14:$B$14,2,TRUE)</f>
        <v>500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33</v>
      </c>
      <c r="G124" s="48"/>
      <c r="H124" s="57">
        <f>VLOOKUP(F124,$A$15:$B$15,2,TRUE)</f>
        <v>7500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34</v>
      </c>
      <c r="G125" s="48"/>
      <c r="H125" s="57">
        <f>VLOOKUP(F125,$A$16:$B$16,2,TRUE)</f>
        <v>2000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35</v>
      </c>
      <c r="G126" s="48"/>
      <c r="H126" s="57">
        <f>VLOOKUP(F126,$A$17:$B$17,2,TRUE)</f>
        <v>1000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36</v>
      </c>
      <c r="G127" s="48"/>
      <c r="H127" s="57">
        <f>VLOOKUP(F127,$A$18:$B$18,2,TRUE)</f>
        <v>5000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37</v>
      </c>
      <c r="G128" s="48"/>
      <c r="H128" s="57">
        <f>VLOOKUP(F128,$A$19:$B$19,2,TRUE)</f>
        <v>2700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38</v>
      </c>
      <c r="G129" s="48"/>
      <c r="H129" s="57">
        <f>VLOOKUP(F129,$A$20:$B$20,2,TRUE)</f>
        <v>50000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39</v>
      </c>
      <c r="G130" s="48"/>
      <c r="H130" s="57">
        <f>VLOOKUP(F130,$A$21:$B$21,2,TRUE)</f>
        <v>10000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40</v>
      </c>
      <c r="G131" s="48"/>
      <c r="H131" s="57">
        <f>VLOOKUP(F131,$A$22:$B$22,2,TRUE)</f>
        <v>1000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41</v>
      </c>
      <c r="G132" s="48"/>
      <c r="H132" s="57">
        <f>VLOOKUP(F132,$A$23:$B$23,2,TRUE)</f>
        <v>500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42</v>
      </c>
      <c r="G133" s="48"/>
      <c r="H133" s="57">
        <f>VLOOKUP(F133,$A$24:$B$24,2,TRUE)</f>
        <v>200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43</v>
      </c>
      <c r="G134" s="48"/>
      <c r="H134" s="57">
        <f>VLOOKUP(F134,$A$25:$B$25,2,TRUE)</f>
        <v>1000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18</v>
      </c>
      <c r="G135" s="48"/>
      <c r="H135" s="57">
        <f>VLOOKUP(F135,$A$26:$B$26,2,TRUE)</f>
        <v>300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44</v>
      </c>
      <c r="G136" s="48"/>
      <c r="H136" s="57">
        <f>VLOOKUP(F136,$A$27:$B$27,2,TRUE)</f>
        <v>100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7">
        <f>VLOOKUP(F137,$A$28:$B$28,2,TRUE)</f>
        <v>1500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20</v>
      </c>
      <c r="G138" s="48"/>
      <c r="H138" s="57">
        <f>VLOOKUP(F138,$A$29:$B$29,2,TRUE)</f>
        <v>3500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13"/>
      <c r="E139" s="13"/>
      <c r="F139" s="47" t="s">
        <v>60</v>
      </c>
      <c r="G139" s="48"/>
      <c r="H139" s="57">
        <f>VLOOKUP(F139,$A$30:$B$30,2,TRUE)</f>
        <v>0</v>
      </c>
      <c r="I139" s="50">
        <f t="shared" si="1"/>
        <v>0</v>
      </c>
      <c r="J139" s="13"/>
      <c r="K139" s="25"/>
      <c r="L139" s="25"/>
      <c r="M139" s="25"/>
      <c r="N139" s="25"/>
    </row>
    <row r="140" ht="15.75" customHeight="1">
      <c r="A140" s="44"/>
      <c r="B140" s="44"/>
      <c r="C140" s="44"/>
      <c r="D140" s="45">
        <v>6.0</v>
      </c>
      <c r="E140" s="46" t="s">
        <v>76</v>
      </c>
      <c r="F140" s="47" t="s">
        <v>22</v>
      </c>
      <c r="G140" s="48">
        <v>11.5</v>
      </c>
      <c r="H140" s="57">
        <f>VLOOKUP(F140,$A$4:$B$4,2,TRUE)</f>
        <v>4500</v>
      </c>
      <c r="I140" s="50">
        <f t="shared" si="1"/>
        <v>51750</v>
      </c>
      <c r="J140" s="51">
        <f>SUM(I140:I166)</f>
        <v>94750</v>
      </c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57</v>
      </c>
      <c r="G141" s="48">
        <v>1.0</v>
      </c>
      <c r="H141" s="57">
        <f>VLOOKUP(F141,$A$5:$B$5,2,TRUE)</f>
        <v>3000</v>
      </c>
      <c r="I141" s="50">
        <f t="shared" si="1"/>
        <v>3000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52"/>
      <c r="E142" s="52"/>
      <c r="F142" s="47" t="s">
        <v>59</v>
      </c>
      <c r="G142" s="48"/>
      <c r="H142" s="57">
        <f>VLOOKUP(F142,$A$6:$B$6,2,TRUE)</f>
        <v>1000</v>
      </c>
      <c r="I142" s="50">
        <f t="shared" si="1"/>
        <v>0</v>
      </c>
      <c r="J142" s="52"/>
      <c r="K142" s="25"/>
      <c r="L142" s="25"/>
      <c r="M142" s="25"/>
      <c r="N142" s="25"/>
    </row>
    <row r="143" ht="15.75" customHeight="1">
      <c r="A143" s="44"/>
      <c r="B143" s="44"/>
      <c r="C143" s="44"/>
      <c r="D143" s="52"/>
      <c r="E143" s="52"/>
      <c r="F143" s="47" t="s">
        <v>25</v>
      </c>
      <c r="G143" s="48"/>
      <c r="H143" s="57">
        <f>VLOOKUP(F143,$A$7:$B$7,2,TRUE)</f>
        <v>2800</v>
      </c>
      <c r="I143" s="50">
        <f t="shared" si="1"/>
        <v>0</v>
      </c>
      <c r="J143" s="52"/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26</v>
      </c>
      <c r="G144" s="48"/>
      <c r="H144" s="57">
        <f>VLOOKUP(F144,$A$8:$B$8,2,TRUE)</f>
        <v>3500</v>
      </c>
      <c r="I144" s="50">
        <f t="shared" si="1"/>
        <v>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27</v>
      </c>
      <c r="G145" s="48">
        <v>6.0</v>
      </c>
      <c r="H145" s="57">
        <f>VLOOKUP(F145,$A$9:$B$9,2,TRUE)</f>
        <v>1000</v>
      </c>
      <c r="I145" s="50">
        <f t="shared" si="1"/>
        <v>6000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28</v>
      </c>
      <c r="G146" s="48"/>
      <c r="H146" s="57">
        <f>VLOOKUP(F146,$A$10:$B$10,2,TRUE)</f>
        <v>2000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29</v>
      </c>
      <c r="G147" s="48">
        <v>12.0</v>
      </c>
      <c r="H147" s="57">
        <f>VLOOKUP(F147,$A$11:$B$11,2,TRUE)</f>
        <v>1500</v>
      </c>
      <c r="I147" s="50">
        <f t="shared" si="1"/>
        <v>18000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30</v>
      </c>
      <c r="G148" s="48"/>
      <c r="H148" s="57">
        <f>VLOOKUP(F148,$A$12:$B$12,2,TRUE)</f>
        <v>1300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31</v>
      </c>
      <c r="G149" s="48"/>
      <c r="H149" s="57">
        <f>VLOOKUP(F149,$A$13:$B$13,2,TRUE)</f>
        <v>1000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32</v>
      </c>
      <c r="G150" s="48"/>
      <c r="H150" s="57">
        <f>VLOOKUP(F150,$A$14:$B$14,2,TRUE)</f>
        <v>500</v>
      </c>
      <c r="I150" s="50">
        <f t="shared" si="1"/>
        <v>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33</v>
      </c>
      <c r="G151" s="48"/>
      <c r="H151" s="57">
        <f>VLOOKUP(F151,$A$15:$B$15,2,TRUE)</f>
        <v>7500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34</v>
      </c>
      <c r="G152" s="48">
        <v>5.0</v>
      </c>
      <c r="H152" s="57">
        <f>VLOOKUP(F152,$A$16:$B$16,2,TRUE)</f>
        <v>2000</v>
      </c>
      <c r="I152" s="50">
        <f t="shared" si="1"/>
        <v>10000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35</v>
      </c>
      <c r="G153" s="48"/>
      <c r="H153" s="57">
        <f>VLOOKUP(F153,$A$17:$B$17,2,TRUE)</f>
        <v>1000</v>
      </c>
      <c r="I153" s="50">
        <f t="shared" si="1"/>
        <v>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36</v>
      </c>
      <c r="G154" s="48"/>
      <c r="H154" s="57">
        <f>VLOOKUP(F154,$A$18:$B$18,2,TRUE)</f>
        <v>5000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37</v>
      </c>
      <c r="G155" s="48"/>
      <c r="H155" s="57">
        <f>VLOOKUP(F155,$A$19:$B$19,2,TRUE)</f>
        <v>2700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38</v>
      </c>
      <c r="G156" s="48"/>
      <c r="H156" s="57">
        <f>VLOOKUP(F156,$A$20:$B$20,2,TRUE)</f>
        <v>50000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39</v>
      </c>
      <c r="G157" s="48"/>
      <c r="H157" s="57">
        <f>VLOOKUP(F157,$A$21:$B$21,2,TRUE)</f>
        <v>10000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40</v>
      </c>
      <c r="G158" s="48"/>
      <c r="H158" s="57">
        <f>VLOOKUP(F158,$A$22:$B$22,2,TRUE)</f>
        <v>1000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41</v>
      </c>
      <c r="G159" s="48">
        <v>12.0</v>
      </c>
      <c r="H159" s="57">
        <f>VLOOKUP(F159,$A$23:$B$23,2,TRUE)</f>
        <v>500</v>
      </c>
      <c r="I159" s="50">
        <f t="shared" si="1"/>
        <v>6000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42</v>
      </c>
      <c r="G160" s="48"/>
      <c r="H160" s="57">
        <f>VLOOKUP(F160,$A$24:$B$24,2,TRUE)</f>
        <v>200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43</v>
      </c>
      <c r="G161" s="48"/>
      <c r="H161" s="57">
        <f>VLOOKUP(F161,$A$25:$B$25,2,TRUE)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18</v>
      </c>
      <c r="G162" s="48"/>
      <c r="H162" s="57">
        <f>VLOOKUP(F162,$A$26:$B$26,2,TRUE)</f>
        <v>300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44</v>
      </c>
      <c r="G163" s="48"/>
      <c r="H163" s="57">
        <f>VLOOKUP(F163,$A$27:$B$27,2,TRUE)</f>
        <v>100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13</v>
      </c>
      <c r="G164" s="48"/>
      <c r="H164" s="57">
        <f>VLOOKUP(F164,$A$28:$B$28,2,TRUE)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20</v>
      </c>
      <c r="G165" s="48"/>
      <c r="H165" s="57">
        <f>VLOOKUP(F165,$A$29:$B$29,2,TRUE)</f>
        <v>3500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13"/>
      <c r="E166" s="13"/>
      <c r="F166" s="47" t="s">
        <v>60</v>
      </c>
      <c r="G166" s="48"/>
      <c r="H166" s="57">
        <f>VLOOKUP(F166,$A$30:$B$30,2,TRUE)</f>
        <v>0</v>
      </c>
      <c r="I166" s="50">
        <f t="shared" si="1"/>
        <v>0</v>
      </c>
      <c r="J166" s="13"/>
      <c r="K166" s="25"/>
      <c r="L166" s="25"/>
      <c r="M166" s="25"/>
      <c r="N166" s="25"/>
    </row>
    <row r="167" ht="15.75" customHeight="1">
      <c r="A167" s="44"/>
      <c r="B167" s="44"/>
      <c r="C167" s="44"/>
      <c r="D167" s="45">
        <v>7.0</v>
      </c>
      <c r="E167" s="46" t="s">
        <v>77</v>
      </c>
      <c r="F167" s="47" t="s">
        <v>22</v>
      </c>
      <c r="G167" s="48">
        <v>0.5</v>
      </c>
      <c r="H167" s="57">
        <f>VLOOKUP(F167,$A$4:$B$4,2,TRUE)</f>
        <v>4500</v>
      </c>
      <c r="I167" s="50">
        <f t="shared" si="1"/>
        <v>2250</v>
      </c>
      <c r="J167" s="51">
        <f>SUM(I167:I193)</f>
        <v>25350</v>
      </c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57</v>
      </c>
      <c r="G168" s="48">
        <v>2.0</v>
      </c>
      <c r="H168" s="57">
        <f>VLOOKUP(F168,$A$5:$B$5,2,TRUE)</f>
        <v>3000</v>
      </c>
      <c r="I168" s="50">
        <f t="shared" si="1"/>
        <v>6000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59</v>
      </c>
      <c r="G169" s="48"/>
      <c r="H169" s="57">
        <f>VLOOKUP(F169,$A$6:$B$6,2,TRUE)</f>
        <v>1000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52"/>
      <c r="E170" s="52"/>
      <c r="F170" s="47" t="s">
        <v>25</v>
      </c>
      <c r="G170" s="48"/>
      <c r="H170" s="57">
        <f>VLOOKUP(F170,$A$7:$B$7,2,TRUE)</f>
        <v>2800</v>
      </c>
      <c r="I170" s="50">
        <f t="shared" si="1"/>
        <v>0</v>
      </c>
      <c r="J170" s="52"/>
      <c r="K170" s="25"/>
      <c r="L170" s="25"/>
      <c r="M170" s="25"/>
      <c r="N170" s="25"/>
    </row>
    <row r="171" ht="15.75" customHeight="1">
      <c r="A171" s="44"/>
      <c r="B171" s="44"/>
      <c r="C171" s="44"/>
      <c r="D171" s="52"/>
      <c r="E171" s="52"/>
      <c r="F171" s="47" t="s">
        <v>26</v>
      </c>
      <c r="G171" s="48"/>
      <c r="H171" s="57">
        <f>VLOOKUP(F171,$A$8:$B$8,2,TRUE)</f>
        <v>3500</v>
      </c>
      <c r="I171" s="50">
        <f t="shared" si="1"/>
        <v>0</v>
      </c>
      <c r="J171" s="52"/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27</v>
      </c>
      <c r="G172" s="48">
        <v>1.5</v>
      </c>
      <c r="H172" s="57">
        <f>VLOOKUP(F172,$A$9:$B$9,2,TRUE)</f>
        <v>1000</v>
      </c>
      <c r="I172" s="50">
        <f t="shared" si="1"/>
        <v>1500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28</v>
      </c>
      <c r="G173" s="48"/>
      <c r="H173" s="57">
        <f>VLOOKUP(F173,$A$10:$B$10,2,TRUE)</f>
        <v>2000</v>
      </c>
      <c r="I173" s="50">
        <f t="shared" si="1"/>
        <v>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29</v>
      </c>
      <c r="G174" s="48">
        <v>2.0</v>
      </c>
      <c r="H174" s="57">
        <f>VLOOKUP(F174,$A$11:$B$11,2,TRUE)</f>
        <v>1500</v>
      </c>
      <c r="I174" s="50">
        <f t="shared" si="1"/>
        <v>3000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30</v>
      </c>
      <c r="G175" s="48"/>
      <c r="H175" s="57">
        <f>VLOOKUP(F175,$A$12:$B$12,2,TRUE)</f>
        <v>1300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31</v>
      </c>
      <c r="G176" s="48"/>
      <c r="H176" s="57">
        <f>VLOOKUP(F176,$A$13:$B$13,2,TRUE)</f>
        <v>1000</v>
      </c>
      <c r="I176" s="50">
        <f t="shared" si="1"/>
        <v>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32</v>
      </c>
      <c r="G177" s="48">
        <v>4.5</v>
      </c>
      <c r="H177" s="57">
        <f>VLOOKUP(F177,$A$14:$B$14,2,TRUE)</f>
        <v>500</v>
      </c>
      <c r="I177" s="50">
        <f t="shared" si="1"/>
        <v>2250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33</v>
      </c>
      <c r="G178" s="48"/>
      <c r="H178" s="57">
        <f>VLOOKUP(F178,$A$15:$B$15,2,TRUE)</f>
        <v>7500</v>
      </c>
      <c r="I178" s="50">
        <f t="shared" si="1"/>
        <v>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34</v>
      </c>
      <c r="G179" s="48"/>
      <c r="H179" s="57">
        <f>VLOOKUP(F179,$A$16:$B$16,2,TRUE)</f>
        <v>2000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35</v>
      </c>
      <c r="G180" s="48"/>
      <c r="H180" s="57">
        <f>VLOOKUP(F180,$A$17:$B$17,2,TRUE)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36</v>
      </c>
      <c r="G181" s="48">
        <v>0.5</v>
      </c>
      <c r="H181" s="57">
        <f>VLOOKUP(F181,$A$18:$B$18,2,TRUE)</f>
        <v>5000</v>
      </c>
      <c r="I181" s="50">
        <f t="shared" si="1"/>
        <v>2500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37</v>
      </c>
      <c r="G182" s="48"/>
      <c r="H182" s="57">
        <f>VLOOKUP(F182,$A$19:$B$19,2,TRUE)</f>
        <v>2700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38</v>
      </c>
      <c r="G183" s="48"/>
      <c r="H183" s="57">
        <f>VLOOKUP(F183,$A$20:$B$20,2,TRUE)</f>
        <v>50000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39</v>
      </c>
      <c r="G184" s="48"/>
      <c r="H184" s="57">
        <f>VLOOKUP(F184,$A$21:$B$21,2,TRUE)</f>
        <v>10000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40</v>
      </c>
      <c r="G185" s="48"/>
      <c r="H185" s="57">
        <f>VLOOKUP(F185,$A$22:$B$22,2,TRUE)</f>
        <v>1000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41</v>
      </c>
      <c r="G186" s="48">
        <v>0.5</v>
      </c>
      <c r="H186" s="57">
        <f>VLOOKUP(F186,$A$23:$B$23,2,TRUE)</f>
        <v>500</v>
      </c>
      <c r="I186" s="50">
        <f t="shared" si="1"/>
        <v>250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42</v>
      </c>
      <c r="G187" s="48">
        <v>1.5</v>
      </c>
      <c r="H187" s="57">
        <f>VLOOKUP(F187,$A$24:$B$24,2,TRUE)</f>
        <v>200</v>
      </c>
      <c r="I187" s="50">
        <f t="shared" si="1"/>
        <v>300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43</v>
      </c>
      <c r="G188" s="48"/>
      <c r="H188" s="57">
        <f>VLOOKUP(F188,$A$25:$B$25,2,TRUE)</f>
        <v>1000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18</v>
      </c>
      <c r="G189" s="48">
        <v>1.0</v>
      </c>
      <c r="H189" s="57">
        <f>VLOOKUP(F189,$A$26:$B$26,2,TRUE)</f>
        <v>300</v>
      </c>
      <c r="I189" s="50">
        <f t="shared" si="1"/>
        <v>300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44</v>
      </c>
      <c r="G190" s="48"/>
      <c r="H190" s="57">
        <f>VLOOKUP(F190,$A$27:$B$27,2,TRUE)</f>
        <v>100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13</v>
      </c>
      <c r="G191" s="48"/>
      <c r="H191" s="57">
        <f>VLOOKUP(F191,$A$28:$B$28,2,TRUE)</f>
        <v>1500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20</v>
      </c>
      <c r="G192" s="48">
        <v>2.0</v>
      </c>
      <c r="H192" s="57">
        <f>VLOOKUP(F192,$A$29:$B$29,2,TRUE)</f>
        <v>3500</v>
      </c>
      <c r="I192" s="50">
        <f t="shared" si="1"/>
        <v>7000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13"/>
      <c r="E193" s="13"/>
      <c r="F193" s="47" t="s">
        <v>60</v>
      </c>
      <c r="G193" s="48">
        <v>1.5</v>
      </c>
      <c r="H193" s="57">
        <f>VLOOKUP(F193,$A$30:$B$30,2,TRUE)</f>
        <v>0</v>
      </c>
      <c r="I193" s="50">
        <f t="shared" si="1"/>
        <v>0</v>
      </c>
      <c r="J193" s="13"/>
      <c r="K193" s="25"/>
      <c r="L193" s="25"/>
      <c r="M193" s="25"/>
      <c r="N193" s="25"/>
    </row>
    <row r="194" ht="15.75" customHeight="1">
      <c r="A194" s="44"/>
      <c r="B194" s="44"/>
      <c r="C194" s="44"/>
      <c r="D194" s="45">
        <v>8.0</v>
      </c>
      <c r="E194" s="46" t="s">
        <v>78</v>
      </c>
      <c r="F194" s="47" t="s">
        <v>22</v>
      </c>
      <c r="G194" s="48"/>
      <c r="H194" s="57">
        <f>VLOOKUP(F194,$A$4:$B$4,2,TRUE)</f>
        <v>4500</v>
      </c>
      <c r="I194" s="50">
        <f t="shared" si="1"/>
        <v>0</v>
      </c>
      <c r="J194" s="51">
        <f>SUM(I194:I220)</f>
        <v>18000</v>
      </c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57</v>
      </c>
      <c r="G195" s="48"/>
      <c r="H195" s="57">
        <f>VLOOKUP(F195,$A$5:$B$5,2,TRUE)</f>
        <v>3000</v>
      </c>
      <c r="I195" s="50">
        <f t="shared" si="1"/>
        <v>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59</v>
      </c>
      <c r="G196" s="48"/>
      <c r="H196" s="57">
        <f>VLOOKUP(F196,$A$6:$B$6,2,TRUE)</f>
        <v>1000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25</v>
      </c>
      <c r="G197" s="48"/>
      <c r="H197" s="57">
        <f>VLOOKUP(F197,$A$7:$B$7,2,TRUE)</f>
        <v>2800</v>
      </c>
      <c r="I197" s="50">
        <f t="shared" si="1"/>
        <v>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52"/>
      <c r="E198" s="52"/>
      <c r="F198" s="47" t="s">
        <v>26</v>
      </c>
      <c r="G198" s="48"/>
      <c r="H198" s="57">
        <f>VLOOKUP(F198,$A$8:$B$8,2,TRUE)</f>
        <v>3500</v>
      </c>
      <c r="I198" s="50">
        <f t="shared" si="1"/>
        <v>0</v>
      </c>
      <c r="J198" s="52"/>
      <c r="K198" s="25"/>
      <c r="L198" s="25"/>
      <c r="M198" s="25"/>
      <c r="N198" s="25"/>
    </row>
    <row r="199" ht="15.75" customHeight="1">
      <c r="A199" s="44"/>
      <c r="B199" s="44"/>
      <c r="C199" s="44"/>
      <c r="D199" s="52"/>
      <c r="E199" s="52"/>
      <c r="F199" s="47" t="s">
        <v>27</v>
      </c>
      <c r="G199" s="48"/>
      <c r="H199" s="57">
        <f>VLOOKUP(F199,$A$9:$B$9,2,TRUE)</f>
        <v>1000</v>
      </c>
      <c r="I199" s="50">
        <f t="shared" si="1"/>
        <v>0</v>
      </c>
      <c r="J199" s="52"/>
      <c r="K199" s="25"/>
      <c r="L199" s="25"/>
      <c r="M199" s="25"/>
      <c r="N199" s="25"/>
    </row>
    <row r="200" ht="15.75" customHeight="1">
      <c r="A200" s="44"/>
      <c r="B200" s="44"/>
      <c r="C200" s="44"/>
      <c r="D200" s="52"/>
      <c r="E200" s="52"/>
      <c r="F200" s="47" t="s">
        <v>28</v>
      </c>
      <c r="G200" s="48"/>
      <c r="H200" s="57">
        <f>VLOOKUP(F200,$A$10:$B$10,2,TRUE)</f>
        <v>2000</v>
      </c>
      <c r="I200" s="50">
        <f t="shared" si="1"/>
        <v>0</v>
      </c>
      <c r="J200" s="52"/>
      <c r="K200" s="25"/>
      <c r="L200" s="25"/>
      <c r="M200" s="25"/>
      <c r="N200" s="25"/>
    </row>
    <row r="201" ht="15.75" customHeight="1">
      <c r="A201" s="44"/>
      <c r="B201" s="44"/>
      <c r="C201" s="44"/>
      <c r="D201" s="52"/>
      <c r="E201" s="52"/>
      <c r="F201" s="47" t="s">
        <v>29</v>
      </c>
      <c r="G201" s="48">
        <v>12.0</v>
      </c>
      <c r="H201" s="57">
        <f>VLOOKUP(F201,$A$11:$B$11,2,TRUE)</f>
        <v>1500</v>
      </c>
      <c r="I201" s="50">
        <f t="shared" si="1"/>
        <v>18000</v>
      </c>
      <c r="J201" s="52"/>
      <c r="K201" s="25"/>
      <c r="L201" s="25"/>
      <c r="M201" s="25"/>
      <c r="N201" s="25"/>
    </row>
    <row r="202" ht="15.75" customHeight="1">
      <c r="A202" s="44"/>
      <c r="B202" s="44"/>
      <c r="C202" s="44"/>
      <c r="D202" s="52"/>
      <c r="E202" s="52"/>
      <c r="F202" s="47" t="s">
        <v>30</v>
      </c>
      <c r="G202" s="48"/>
      <c r="H202" s="57">
        <f>VLOOKUP(F202,$A$12:$B$12,2,TRUE)</f>
        <v>1300</v>
      </c>
      <c r="I202" s="50">
        <f t="shared" si="1"/>
        <v>0</v>
      </c>
      <c r="J202" s="52"/>
      <c r="K202" s="25"/>
      <c r="L202" s="25"/>
      <c r="M202" s="25"/>
      <c r="N202" s="25"/>
    </row>
    <row r="203" ht="15.75" customHeight="1">
      <c r="A203" s="44"/>
      <c r="B203" s="44"/>
      <c r="C203" s="44"/>
      <c r="D203" s="52"/>
      <c r="E203" s="52"/>
      <c r="F203" s="47" t="s">
        <v>31</v>
      </c>
      <c r="G203" s="48"/>
      <c r="H203" s="57">
        <f>VLOOKUP(F203,$A$13:$B$13,2,TRUE)</f>
        <v>1000</v>
      </c>
      <c r="I203" s="50">
        <f t="shared" si="1"/>
        <v>0</v>
      </c>
      <c r="J203" s="52"/>
      <c r="K203" s="25"/>
      <c r="L203" s="25"/>
      <c r="M203" s="25"/>
      <c r="N203" s="25"/>
    </row>
    <row r="204" ht="15.75" customHeight="1">
      <c r="A204" s="44"/>
      <c r="B204" s="44"/>
      <c r="C204" s="44"/>
      <c r="D204" s="52"/>
      <c r="E204" s="52"/>
      <c r="F204" s="47" t="s">
        <v>32</v>
      </c>
      <c r="G204" s="48"/>
      <c r="H204" s="57">
        <f>VLOOKUP(F204,$A$14:$B$14,2,TRUE)</f>
        <v>500</v>
      </c>
      <c r="I204" s="50">
        <f t="shared" si="1"/>
        <v>0</v>
      </c>
      <c r="J204" s="52"/>
      <c r="K204" s="25"/>
      <c r="L204" s="25"/>
      <c r="M204" s="25"/>
      <c r="N204" s="25"/>
    </row>
    <row r="205" ht="15.75" customHeight="1">
      <c r="A205" s="44"/>
      <c r="B205" s="44"/>
      <c r="C205" s="44"/>
      <c r="D205" s="52"/>
      <c r="E205" s="52"/>
      <c r="F205" s="47" t="s">
        <v>33</v>
      </c>
      <c r="G205" s="48"/>
      <c r="H205" s="57">
        <f>VLOOKUP(F205,$A$15:$B$15,2,TRUE)</f>
        <v>7500</v>
      </c>
      <c r="I205" s="50">
        <f t="shared" si="1"/>
        <v>0</v>
      </c>
      <c r="J205" s="52"/>
      <c r="K205" s="25"/>
      <c r="L205" s="25"/>
      <c r="M205" s="25"/>
      <c r="N205" s="25"/>
    </row>
    <row r="206" ht="15.75" customHeight="1">
      <c r="A206" s="44"/>
      <c r="B206" s="44"/>
      <c r="C206" s="44"/>
      <c r="D206" s="52"/>
      <c r="E206" s="52"/>
      <c r="F206" s="47" t="s">
        <v>34</v>
      </c>
      <c r="G206" s="48"/>
      <c r="H206" s="57">
        <f>VLOOKUP(F206,$A$16:$B$16,2,TRUE)</f>
        <v>2000</v>
      </c>
      <c r="I206" s="50">
        <f t="shared" si="1"/>
        <v>0</v>
      </c>
      <c r="J206" s="52"/>
      <c r="K206" s="25"/>
      <c r="L206" s="25"/>
      <c r="M206" s="25"/>
      <c r="N206" s="25"/>
    </row>
    <row r="207" ht="15.75" customHeight="1">
      <c r="A207" s="44"/>
      <c r="B207" s="44"/>
      <c r="C207" s="44"/>
      <c r="D207" s="52"/>
      <c r="E207" s="52"/>
      <c r="F207" s="47" t="s">
        <v>35</v>
      </c>
      <c r="G207" s="48"/>
      <c r="H207" s="57">
        <f>VLOOKUP(F207,$A$17:$B$17,2,TRUE)</f>
        <v>1000</v>
      </c>
      <c r="I207" s="50">
        <f t="shared" si="1"/>
        <v>0</v>
      </c>
      <c r="J207" s="52"/>
      <c r="K207" s="25"/>
      <c r="L207" s="25"/>
      <c r="M207" s="25"/>
      <c r="N207" s="25"/>
    </row>
    <row r="208" ht="15.75" customHeight="1">
      <c r="A208" s="44"/>
      <c r="B208" s="44"/>
      <c r="C208" s="44"/>
      <c r="D208" s="52"/>
      <c r="E208" s="52"/>
      <c r="F208" s="47" t="s">
        <v>36</v>
      </c>
      <c r="G208" s="48"/>
      <c r="H208" s="57">
        <f>VLOOKUP(F208,$A$18:$B$18,2,TRUE)</f>
        <v>5000</v>
      </c>
      <c r="I208" s="50">
        <f t="shared" si="1"/>
        <v>0</v>
      </c>
      <c r="J208" s="52"/>
      <c r="K208" s="25"/>
      <c r="L208" s="25"/>
      <c r="M208" s="25"/>
      <c r="N208" s="25"/>
    </row>
    <row r="209" ht="15.75" customHeight="1">
      <c r="A209" s="44"/>
      <c r="B209" s="44"/>
      <c r="C209" s="44"/>
      <c r="D209" s="52"/>
      <c r="E209" s="52"/>
      <c r="F209" s="47" t="s">
        <v>37</v>
      </c>
      <c r="G209" s="48"/>
      <c r="H209" s="57">
        <f>VLOOKUP(F209,$A$19:$B$19,2,TRUE)</f>
        <v>2700</v>
      </c>
      <c r="I209" s="50">
        <f t="shared" si="1"/>
        <v>0</v>
      </c>
      <c r="J209" s="52"/>
      <c r="K209" s="25"/>
      <c r="L209" s="25"/>
      <c r="M209" s="25"/>
      <c r="N209" s="25"/>
    </row>
    <row r="210" ht="15.75" customHeight="1">
      <c r="A210" s="44"/>
      <c r="B210" s="44"/>
      <c r="C210" s="44"/>
      <c r="D210" s="52"/>
      <c r="E210" s="52"/>
      <c r="F210" s="47" t="s">
        <v>38</v>
      </c>
      <c r="G210" s="48"/>
      <c r="H210" s="57">
        <f>VLOOKUP(F210,$A$20:$B$20,2,TRUE)</f>
        <v>50000</v>
      </c>
      <c r="I210" s="50">
        <f t="shared" si="1"/>
        <v>0</v>
      </c>
      <c r="J210" s="52"/>
      <c r="K210" s="25"/>
      <c r="L210" s="25"/>
      <c r="M210" s="25"/>
      <c r="N210" s="25"/>
    </row>
    <row r="211" ht="15.75" customHeight="1">
      <c r="A211" s="44"/>
      <c r="B211" s="44"/>
      <c r="C211" s="44"/>
      <c r="D211" s="52"/>
      <c r="E211" s="52"/>
      <c r="F211" s="47" t="s">
        <v>39</v>
      </c>
      <c r="G211" s="48"/>
      <c r="H211" s="57">
        <f>VLOOKUP(F211,$A$21:$B$21,2,TRUE)</f>
        <v>10000</v>
      </c>
      <c r="I211" s="50">
        <f t="shared" si="1"/>
        <v>0</v>
      </c>
      <c r="J211" s="52"/>
      <c r="K211" s="25"/>
      <c r="L211" s="25"/>
      <c r="M211" s="25"/>
      <c r="N211" s="25"/>
    </row>
    <row r="212" ht="15.75" customHeight="1">
      <c r="A212" s="44"/>
      <c r="B212" s="44"/>
      <c r="C212" s="44"/>
      <c r="D212" s="52"/>
      <c r="E212" s="52"/>
      <c r="F212" s="47" t="s">
        <v>40</v>
      </c>
      <c r="G212" s="48"/>
      <c r="H212" s="57">
        <f>VLOOKUP(F212,$A$22:$B$22,2,TRUE)</f>
        <v>1000</v>
      </c>
      <c r="I212" s="50">
        <f t="shared" si="1"/>
        <v>0</v>
      </c>
      <c r="J212" s="52"/>
      <c r="K212" s="25"/>
      <c r="L212" s="25"/>
      <c r="M212" s="25"/>
      <c r="N212" s="25"/>
    </row>
    <row r="213" ht="15.75" customHeight="1">
      <c r="A213" s="44"/>
      <c r="B213" s="44"/>
      <c r="C213" s="44"/>
      <c r="D213" s="52"/>
      <c r="E213" s="52"/>
      <c r="F213" s="47" t="s">
        <v>41</v>
      </c>
      <c r="G213" s="48"/>
      <c r="H213" s="57">
        <f>VLOOKUP(F213,$A$23:$B$23,2,TRUE)</f>
        <v>500</v>
      </c>
      <c r="I213" s="50">
        <f t="shared" si="1"/>
        <v>0</v>
      </c>
      <c r="J213" s="52"/>
      <c r="K213" s="25"/>
      <c r="L213" s="25"/>
      <c r="M213" s="25"/>
      <c r="N213" s="25"/>
    </row>
    <row r="214" ht="15.75" customHeight="1">
      <c r="A214" s="44"/>
      <c r="B214" s="44"/>
      <c r="C214" s="44"/>
      <c r="D214" s="52"/>
      <c r="E214" s="52"/>
      <c r="F214" s="47" t="s">
        <v>42</v>
      </c>
      <c r="G214" s="48"/>
      <c r="H214" s="57">
        <f>VLOOKUP(F214,$A$24:$B$24,2,TRUE)</f>
        <v>200</v>
      </c>
      <c r="I214" s="50">
        <f t="shared" si="1"/>
        <v>0</v>
      </c>
      <c r="J214" s="52"/>
      <c r="K214" s="25"/>
      <c r="L214" s="25"/>
      <c r="M214" s="25"/>
      <c r="N214" s="25"/>
    </row>
    <row r="215" ht="15.75" customHeight="1">
      <c r="A215" s="44"/>
      <c r="B215" s="44"/>
      <c r="C215" s="44"/>
      <c r="D215" s="52"/>
      <c r="E215" s="52"/>
      <c r="F215" s="47" t="s">
        <v>43</v>
      </c>
      <c r="G215" s="48"/>
      <c r="H215" s="57">
        <f>VLOOKUP(F215,$A$25:$B$25,2,TRUE)</f>
        <v>1000</v>
      </c>
      <c r="I215" s="50">
        <f t="shared" si="1"/>
        <v>0</v>
      </c>
      <c r="J215" s="52"/>
      <c r="K215" s="25"/>
      <c r="L215" s="25"/>
      <c r="M215" s="25"/>
      <c r="N215" s="25"/>
    </row>
    <row r="216" ht="15.75" customHeight="1">
      <c r="A216" s="44"/>
      <c r="B216" s="44"/>
      <c r="C216" s="44"/>
      <c r="D216" s="52"/>
      <c r="E216" s="52"/>
      <c r="F216" s="47" t="s">
        <v>18</v>
      </c>
      <c r="G216" s="48"/>
      <c r="H216" s="57">
        <f>VLOOKUP(F216,$A$26:$B$26,2,TRUE)</f>
        <v>300</v>
      </c>
      <c r="I216" s="50">
        <f t="shared" si="1"/>
        <v>0</v>
      </c>
      <c r="J216" s="52"/>
      <c r="K216" s="25"/>
      <c r="L216" s="25"/>
      <c r="M216" s="25"/>
      <c r="N216" s="25"/>
    </row>
    <row r="217" ht="15.75" customHeight="1">
      <c r="A217" s="44"/>
      <c r="B217" s="44"/>
      <c r="C217" s="44"/>
      <c r="D217" s="52"/>
      <c r="E217" s="52"/>
      <c r="F217" s="47" t="s">
        <v>44</v>
      </c>
      <c r="G217" s="48"/>
      <c r="H217" s="57">
        <f>VLOOKUP(F217,$A$27:$B$27,2,TRUE)</f>
        <v>100</v>
      </c>
      <c r="I217" s="50">
        <f t="shared" si="1"/>
        <v>0</v>
      </c>
      <c r="J217" s="52"/>
      <c r="K217" s="25"/>
      <c r="L217" s="25"/>
      <c r="M217" s="25"/>
      <c r="N217" s="25"/>
    </row>
    <row r="218" ht="15.75" customHeight="1">
      <c r="A218" s="44"/>
      <c r="B218" s="44"/>
      <c r="C218" s="44"/>
      <c r="D218" s="52"/>
      <c r="E218" s="52"/>
      <c r="F218" s="47" t="s">
        <v>13</v>
      </c>
      <c r="G218" s="48"/>
      <c r="H218" s="57">
        <f>VLOOKUP(F218,$A$28:$B$28,2,TRUE)</f>
        <v>1500</v>
      </c>
      <c r="I218" s="50">
        <f t="shared" si="1"/>
        <v>0</v>
      </c>
      <c r="J218" s="52"/>
      <c r="K218" s="25"/>
      <c r="L218" s="25"/>
      <c r="M218" s="25"/>
      <c r="N218" s="25"/>
    </row>
    <row r="219" ht="15.75" customHeight="1">
      <c r="A219" s="44"/>
      <c r="B219" s="44"/>
      <c r="C219" s="44"/>
      <c r="D219" s="52"/>
      <c r="E219" s="52"/>
      <c r="F219" s="47" t="s">
        <v>20</v>
      </c>
      <c r="G219" s="48"/>
      <c r="H219" s="57">
        <f>VLOOKUP(F219,$A$29:$B$29,2,TRUE)</f>
        <v>3500</v>
      </c>
      <c r="I219" s="50">
        <f t="shared" si="1"/>
        <v>0</v>
      </c>
      <c r="J219" s="52"/>
      <c r="K219" s="25"/>
      <c r="L219" s="25"/>
      <c r="M219" s="25"/>
      <c r="N219" s="25"/>
    </row>
    <row r="220" ht="15.75" customHeight="1">
      <c r="A220" s="44"/>
      <c r="B220" s="44"/>
      <c r="C220" s="44"/>
      <c r="D220" s="13"/>
      <c r="E220" s="13"/>
      <c r="F220" s="47" t="s">
        <v>60</v>
      </c>
      <c r="G220" s="48"/>
      <c r="H220" s="57">
        <f>VLOOKUP(F220,$A$30:$B$30,2,TRUE)</f>
        <v>0</v>
      </c>
      <c r="I220" s="50">
        <f t="shared" si="1"/>
        <v>0</v>
      </c>
      <c r="J220" s="13"/>
      <c r="K220" s="25"/>
      <c r="L220" s="25"/>
      <c r="M220" s="25"/>
      <c r="N220" s="25"/>
    </row>
    <row r="221" ht="15.75" customHeight="1">
      <c r="A221" s="44"/>
      <c r="B221" s="44"/>
      <c r="C221" s="44"/>
      <c r="D221" s="45">
        <v>9.0</v>
      </c>
      <c r="E221" s="46" t="s">
        <v>79</v>
      </c>
      <c r="F221" s="47" t="s">
        <v>22</v>
      </c>
      <c r="G221" s="48">
        <v>0.5</v>
      </c>
      <c r="H221" s="57">
        <f>VLOOKUP(F221,$A$4:$B$4,2,TRUE)</f>
        <v>4500</v>
      </c>
      <c r="I221" s="50">
        <f t="shared" si="1"/>
        <v>2250</v>
      </c>
      <c r="J221" s="51">
        <f>SUM(I221:I247)</f>
        <v>38950</v>
      </c>
      <c r="K221" s="25"/>
      <c r="L221" s="25"/>
      <c r="M221" s="25"/>
      <c r="N221" s="25"/>
    </row>
    <row r="222" ht="15.75" customHeight="1">
      <c r="A222" s="44"/>
      <c r="B222" s="44"/>
      <c r="C222" s="44"/>
      <c r="D222" s="52"/>
      <c r="E222" s="52"/>
      <c r="F222" s="47" t="s">
        <v>57</v>
      </c>
      <c r="G222" s="48">
        <v>2.0</v>
      </c>
      <c r="H222" s="57">
        <f>VLOOKUP(F222,$A$5:$B$5,2,TRUE)</f>
        <v>3000</v>
      </c>
      <c r="I222" s="50">
        <f t="shared" si="1"/>
        <v>6000</v>
      </c>
      <c r="J222" s="52"/>
      <c r="K222" s="25"/>
      <c r="L222" s="25"/>
      <c r="M222" s="25"/>
      <c r="N222" s="25"/>
    </row>
    <row r="223" ht="15.75" customHeight="1">
      <c r="A223" s="44"/>
      <c r="B223" s="44"/>
      <c r="C223" s="44"/>
      <c r="D223" s="52"/>
      <c r="E223" s="52"/>
      <c r="F223" s="47" t="s">
        <v>59</v>
      </c>
      <c r="G223" s="48"/>
      <c r="H223" s="57">
        <f>VLOOKUP(F223,$A$6:$B$6,2,TRUE)</f>
        <v>1000</v>
      </c>
      <c r="I223" s="50">
        <f t="shared" si="1"/>
        <v>0</v>
      </c>
      <c r="J223" s="52"/>
      <c r="K223" s="25"/>
      <c r="L223" s="25"/>
      <c r="M223" s="25"/>
      <c r="N223" s="25"/>
    </row>
    <row r="224" ht="15.75" customHeight="1">
      <c r="A224" s="44"/>
      <c r="B224" s="44"/>
      <c r="C224" s="44"/>
      <c r="D224" s="52"/>
      <c r="E224" s="52"/>
      <c r="F224" s="47" t="s">
        <v>25</v>
      </c>
      <c r="G224" s="48">
        <v>0.5</v>
      </c>
      <c r="H224" s="57">
        <f>VLOOKUP(F224,$A$7:$B$7,2,TRUE)</f>
        <v>2800</v>
      </c>
      <c r="I224" s="50">
        <f t="shared" si="1"/>
        <v>1400</v>
      </c>
      <c r="J224" s="52"/>
      <c r="K224" s="25"/>
      <c r="L224" s="25"/>
      <c r="M224" s="25"/>
      <c r="N224" s="25"/>
    </row>
    <row r="225" ht="15.75" customHeight="1">
      <c r="A225" s="44"/>
      <c r="B225" s="44"/>
      <c r="C225" s="44"/>
      <c r="D225" s="52"/>
      <c r="E225" s="52"/>
      <c r="F225" s="47" t="s">
        <v>26</v>
      </c>
      <c r="G225" s="48">
        <v>0.5</v>
      </c>
      <c r="H225" s="57">
        <f>VLOOKUP(F225,$A$8:$B$8,2,TRUE)</f>
        <v>3500</v>
      </c>
      <c r="I225" s="50">
        <f t="shared" si="1"/>
        <v>1750</v>
      </c>
      <c r="J225" s="52"/>
      <c r="K225" s="25"/>
      <c r="L225" s="25"/>
      <c r="M225" s="25"/>
      <c r="N225" s="25"/>
    </row>
    <row r="226" ht="15.75" customHeight="1">
      <c r="A226" s="44"/>
      <c r="B226" s="44"/>
      <c r="C226" s="44"/>
      <c r="D226" s="52"/>
      <c r="E226" s="52"/>
      <c r="F226" s="47" t="s">
        <v>27</v>
      </c>
      <c r="G226" s="48">
        <v>2.0</v>
      </c>
      <c r="H226" s="57">
        <f>VLOOKUP(F226,$A$9:$B$9,2,TRUE)</f>
        <v>1000</v>
      </c>
      <c r="I226" s="50">
        <f t="shared" si="1"/>
        <v>2000</v>
      </c>
      <c r="J226" s="52"/>
      <c r="K226" s="25"/>
      <c r="L226" s="25"/>
      <c r="M226" s="25"/>
      <c r="N226" s="25"/>
    </row>
    <row r="227" ht="15.75" customHeight="1">
      <c r="A227" s="44"/>
      <c r="B227" s="44"/>
      <c r="C227" s="44"/>
      <c r="D227" s="52"/>
      <c r="E227" s="52"/>
      <c r="F227" s="47" t="s">
        <v>28</v>
      </c>
      <c r="G227" s="48"/>
      <c r="H227" s="57">
        <f>VLOOKUP(F227,$A$10:$B$10,2,TRUE)</f>
        <v>2000</v>
      </c>
      <c r="I227" s="50">
        <f t="shared" si="1"/>
        <v>0</v>
      </c>
      <c r="J227" s="52"/>
      <c r="K227" s="25"/>
      <c r="L227" s="25"/>
      <c r="M227" s="25"/>
      <c r="N227" s="25"/>
    </row>
    <row r="228" ht="15.75" customHeight="1">
      <c r="A228" s="44"/>
      <c r="B228" s="44"/>
      <c r="C228" s="44"/>
      <c r="D228" s="52"/>
      <c r="E228" s="52"/>
      <c r="F228" s="47" t="s">
        <v>29</v>
      </c>
      <c r="G228" s="48"/>
      <c r="H228" s="57">
        <f>VLOOKUP(F228,$A$11:$B$11,2,TRUE)</f>
        <v>1500</v>
      </c>
      <c r="I228" s="50">
        <f t="shared" si="1"/>
        <v>0</v>
      </c>
      <c r="J228" s="52"/>
      <c r="K228" s="25"/>
      <c r="L228" s="25"/>
      <c r="M228" s="25"/>
      <c r="N228" s="25"/>
    </row>
    <row r="229" ht="15.75" customHeight="1">
      <c r="A229" s="44"/>
      <c r="B229" s="44"/>
      <c r="C229" s="44"/>
      <c r="D229" s="52"/>
      <c r="E229" s="52"/>
      <c r="F229" s="47" t="s">
        <v>30</v>
      </c>
      <c r="G229" s="48"/>
      <c r="H229" s="57">
        <f>VLOOKUP(F229,$A$12:$B$12,2,TRUE)</f>
        <v>1300</v>
      </c>
      <c r="I229" s="50">
        <f t="shared" si="1"/>
        <v>0</v>
      </c>
      <c r="J229" s="52"/>
      <c r="K229" s="25"/>
      <c r="L229" s="25"/>
      <c r="M229" s="25"/>
      <c r="N229" s="25"/>
    </row>
    <row r="230" ht="15.75" customHeight="1">
      <c r="A230" s="44"/>
      <c r="B230" s="44"/>
      <c r="C230" s="44"/>
      <c r="D230" s="52"/>
      <c r="E230" s="52"/>
      <c r="F230" s="47" t="s">
        <v>31</v>
      </c>
      <c r="G230" s="48"/>
      <c r="H230" s="57">
        <f>VLOOKUP(F230,$A$13:$B$13,2,TRUE)</f>
        <v>1000</v>
      </c>
      <c r="I230" s="50">
        <f t="shared" si="1"/>
        <v>0</v>
      </c>
      <c r="J230" s="52"/>
      <c r="K230" s="25"/>
      <c r="L230" s="25"/>
      <c r="M230" s="25"/>
      <c r="N230" s="25"/>
    </row>
    <row r="231" ht="15.75" customHeight="1">
      <c r="A231" s="44"/>
      <c r="B231" s="44"/>
      <c r="C231" s="44"/>
      <c r="D231" s="52"/>
      <c r="E231" s="52"/>
      <c r="F231" s="47" t="s">
        <v>32</v>
      </c>
      <c r="G231" s="48"/>
      <c r="H231" s="57">
        <f>VLOOKUP(F231,$A$14:$B$14,2,TRUE)</f>
        <v>500</v>
      </c>
      <c r="I231" s="50">
        <f t="shared" si="1"/>
        <v>0</v>
      </c>
      <c r="J231" s="52"/>
      <c r="K231" s="25"/>
      <c r="L231" s="25"/>
      <c r="M231" s="25"/>
      <c r="N231" s="25"/>
    </row>
    <row r="232" ht="15.75" customHeight="1">
      <c r="A232" s="44"/>
      <c r="B232" s="44"/>
      <c r="C232" s="44"/>
      <c r="D232" s="52"/>
      <c r="E232" s="52"/>
      <c r="F232" s="47" t="s">
        <v>33</v>
      </c>
      <c r="G232" s="48"/>
      <c r="H232" s="57">
        <f>VLOOKUP(F232,$A$15:$B$15,2,TRUE)</f>
        <v>7500</v>
      </c>
      <c r="I232" s="50">
        <f t="shared" si="1"/>
        <v>0</v>
      </c>
      <c r="J232" s="52"/>
      <c r="K232" s="25"/>
      <c r="L232" s="25"/>
      <c r="M232" s="25"/>
      <c r="N232" s="25"/>
    </row>
    <row r="233" ht="15.75" customHeight="1">
      <c r="A233" s="44"/>
      <c r="B233" s="44"/>
      <c r="C233" s="44"/>
      <c r="D233" s="52"/>
      <c r="E233" s="52"/>
      <c r="F233" s="47" t="s">
        <v>34</v>
      </c>
      <c r="G233" s="48"/>
      <c r="H233" s="57">
        <f>VLOOKUP(F233,$A$16:$B$16,2,TRUE)</f>
        <v>2000</v>
      </c>
      <c r="I233" s="50">
        <f t="shared" si="1"/>
        <v>0</v>
      </c>
      <c r="J233" s="52"/>
      <c r="K233" s="25"/>
      <c r="L233" s="25"/>
      <c r="M233" s="25"/>
      <c r="N233" s="25"/>
    </row>
    <row r="234" ht="15.75" customHeight="1">
      <c r="A234" s="44"/>
      <c r="B234" s="44"/>
      <c r="C234" s="44"/>
      <c r="D234" s="52"/>
      <c r="E234" s="52"/>
      <c r="F234" s="47" t="s">
        <v>35</v>
      </c>
      <c r="G234" s="48">
        <v>2.5</v>
      </c>
      <c r="H234" s="57">
        <f>VLOOKUP(F234,$A$17:$B$17,2,TRUE)</f>
        <v>1000</v>
      </c>
      <c r="I234" s="50">
        <f t="shared" si="1"/>
        <v>2500</v>
      </c>
      <c r="J234" s="52"/>
      <c r="K234" s="25"/>
      <c r="L234" s="25"/>
      <c r="M234" s="25"/>
      <c r="N234" s="25"/>
    </row>
    <row r="235" ht="15.75" customHeight="1">
      <c r="A235" s="44"/>
      <c r="B235" s="44"/>
      <c r="C235" s="44"/>
      <c r="D235" s="52"/>
      <c r="E235" s="52"/>
      <c r="F235" s="47" t="s">
        <v>36</v>
      </c>
      <c r="G235" s="48"/>
      <c r="H235" s="57">
        <f>VLOOKUP(F235,$A$18:$B$18,2,TRUE)</f>
        <v>5000</v>
      </c>
      <c r="I235" s="50">
        <f t="shared" si="1"/>
        <v>0</v>
      </c>
      <c r="J235" s="52"/>
      <c r="K235" s="25"/>
      <c r="L235" s="25"/>
      <c r="M235" s="25"/>
      <c r="N235" s="25"/>
    </row>
    <row r="236" ht="15.75" customHeight="1">
      <c r="A236" s="44"/>
      <c r="B236" s="44"/>
      <c r="C236" s="44"/>
      <c r="D236" s="52"/>
      <c r="E236" s="52"/>
      <c r="F236" s="47" t="s">
        <v>37</v>
      </c>
      <c r="G236" s="48"/>
      <c r="H236" s="57">
        <f>VLOOKUP(F236,$A$19:$B$19,2,TRUE)</f>
        <v>2700</v>
      </c>
      <c r="I236" s="50">
        <f t="shared" si="1"/>
        <v>0</v>
      </c>
      <c r="J236" s="52"/>
      <c r="K236" s="25"/>
      <c r="L236" s="25"/>
      <c r="M236" s="25"/>
      <c r="N236" s="25"/>
    </row>
    <row r="237" ht="15.75" customHeight="1">
      <c r="A237" s="44"/>
      <c r="B237" s="44"/>
      <c r="C237" s="44"/>
      <c r="D237" s="52"/>
      <c r="E237" s="52"/>
      <c r="F237" s="47" t="s">
        <v>38</v>
      </c>
      <c r="G237" s="48"/>
      <c r="H237" s="57">
        <f>VLOOKUP(F237,$A$20:$B$20,2,TRUE)</f>
        <v>50000</v>
      </c>
      <c r="I237" s="50">
        <f t="shared" si="1"/>
        <v>0</v>
      </c>
      <c r="J237" s="52"/>
      <c r="K237" s="25"/>
      <c r="L237" s="25"/>
      <c r="M237" s="25"/>
      <c r="N237" s="25"/>
    </row>
    <row r="238" ht="15.75" customHeight="1">
      <c r="A238" s="44"/>
      <c r="B238" s="44"/>
      <c r="C238" s="44"/>
      <c r="D238" s="52"/>
      <c r="E238" s="52"/>
      <c r="F238" s="47" t="s">
        <v>39</v>
      </c>
      <c r="G238" s="48"/>
      <c r="H238" s="57">
        <f>VLOOKUP(F238,$A$21:$B$21,2,TRUE)</f>
        <v>10000</v>
      </c>
      <c r="I238" s="50">
        <f t="shared" si="1"/>
        <v>0</v>
      </c>
      <c r="J238" s="52"/>
      <c r="K238" s="25"/>
      <c r="L238" s="25"/>
      <c r="M238" s="25"/>
      <c r="N238" s="25"/>
    </row>
    <row r="239" ht="15.75" customHeight="1">
      <c r="A239" s="44"/>
      <c r="B239" s="44"/>
      <c r="C239" s="44"/>
      <c r="D239" s="52"/>
      <c r="E239" s="52"/>
      <c r="F239" s="47" t="s">
        <v>40</v>
      </c>
      <c r="G239" s="48"/>
      <c r="H239" s="57">
        <f>VLOOKUP(F239,$A$22:$B$22,2,TRUE)</f>
        <v>1000</v>
      </c>
      <c r="I239" s="50">
        <f t="shared" si="1"/>
        <v>0</v>
      </c>
      <c r="J239" s="52"/>
      <c r="K239" s="25"/>
      <c r="L239" s="25"/>
      <c r="M239" s="25"/>
      <c r="N239" s="25"/>
    </row>
    <row r="240" ht="15.75" customHeight="1">
      <c r="A240" s="44"/>
      <c r="B240" s="44"/>
      <c r="C240" s="44"/>
      <c r="D240" s="52"/>
      <c r="E240" s="52"/>
      <c r="F240" s="47" t="s">
        <v>41</v>
      </c>
      <c r="G240" s="48"/>
      <c r="H240" s="57">
        <f>VLOOKUP(F240,$A$23:$B$23,2,TRUE)</f>
        <v>500</v>
      </c>
      <c r="I240" s="50">
        <f t="shared" si="1"/>
        <v>0</v>
      </c>
      <c r="J240" s="52"/>
      <c r="K240" s="25"/>
      <c r="L240" s="25"/>
      <c r="M240" s="25"/>
      <c r="N240" s="25"/>
    </row>
    <row r="241" ht="15.75" customHeight="1">
      <c r="A241" s="44"/>
      <c r="B241" s="44"/>
      <c r="C241" s="44"/>
      <c r="D241" s="52"/>
      <c r="E241" s="52"/>
      <c r="F241" s="47" t="s">
        <v>42</v>
      </c>
      <c r="G241" s="48"/>
      <c r="H241" s="57">
        <f>VLOOKUP(F241,$A$24:$B$24,2,TRUE)</f>
        <v>200</v>
      </c>
      <c r="I241" s="50">
        <f t="shared" si="1"/>
        <v>0</v>
      </c>
      <c r="J241" s="52"/>
      <c r="K241" s="25"/>
      <c r="L241" s="25"/>
      <c r="M241" s="25"/>
      <c r="N241" s="25"/>
    </row>
    <row r="242" ht="15.75" customHeight="1">
      <c r="A242" s="44"/>
      <c r="B242" s="44"/>
      <c r="C242" s="44"/>
      <c r="D242" s="52"/>
      <c r="E242" s="52"/>
      <c r="F242" s="47" t="s">
        <v>43</v>
      </c>
      <c r="G242" s="48"/>
      <c r="H242" s="57">
        <f>VLOOKUP(F242,$A$25:$B$25,2,TRUE)</f>
        <v>1000</v>
      </c>
      <c r="I242" s="50">
        <f t="shared" si="1"/>
        <v>0</v>
      </c>
      <c r="J242" s="52"/>
      <c r="K242" s="25"/>
      <c r="L242" s="25"/>
      <c r="M242" s="25"/>
      <c r="N242" s="25"/>
    </row>
    <row r="243" ht="15.75" customHeight="1">
      <c r="A243" s="44"/>
      <c r="B243" s="44"/>
      <c r="C243" s="44"/>
      <c r="D243" s="52"/>
      <c r="E243" s="52"/>
      <c r="F243" s="47" t="s">
        <v>18</v>
      </c>
      <c r="G243" s="48">
        <v>1.0</v>
      </c>
      <c r="H243" s="57">
        <f>VLOOKUP(F243,$A$26:$B$26,2,TRUE)</f>
        <v>300</v>
      </c>
      <c r="I243" s="50">
        <f t="shared" si="1"/>
        <v>300</v>
      </c>
      <c r="J243" s="52"/>
      <c r="K243" s="25"/>
      <c r="L243" s="25"/>
      <c r="M243" s="25"/>
      <c r="N243" s="25"/>
    </row>
    <row r="244" ht="15.75" customHeight="1">
      <c r="A244" s="44"/>
      <c r="B244" s="44"/>
      <c r="C244" s="44"/>
      <c r="D244" s="52"/>
      <c r="E244" s="52"/>
      <c r="F244" s="47" t="s">
        <v>44</v>
      </c>
      <c r="G244" s="48"/>
      <c r="H244" s="57">
        <f>VLOOKUP(F244,$A$27:$B$27,2,TRUE)</f>
        <v>100</v>
      </c>
      <c r="I244" s="50">
        <f t="shared" si="1"/>
        <v>0</v>
      </c>
      <c r="J244" s="52"/>
      <c r="K244" s="25"/>
      <c r="L244" s="25"/>
      <c r="M244" s="25"/>
      <c r="N244" s="25"/>
    </row>
    <row r="245" ht="15.75" customHeight="1">
      <c r="A245" s="44"/>
      <c r="B245" s="44"/>
      <c r="C245" s="44"/>
      <c r="D245" s="52"/>
      <c r="E245" s="52"/>
      <c r="F245" s="47" t="s">
        <v>13</v>
      </c>
      <c r="G245" s="48"/>
      <c r="H245" s="57">
        <f>VLOOKUP(F245,$A$28:$B$28,2,TRUE)</f>
        <v>1500</v>
      </c>
      <c r="I245" s="50">
        <f t="shared" si="1"/>
        <v>0</v>
      </c>
      <c r="J245" s="52"/>
      <c r="K245" s="25"/>
      <c r="L245" s="25"/>
      <c r="M245" s="25"/>
      <c r="N245" s="25"/>
    </row>
    <row r="246" ht="15.75" customHeight="1">
      <c r="A246" s="44"/>
      <c r="B246" s="44"/>
      <c r="C246" s="44"/>
      <c r="D246" s="52"/>
      <c r="E246" s="52"/>
      <c r="F246" s="47" t="s">
        <v>20</v>
      </c>
      <c r="G246" s="48">
        <v>6.5</v>
      </c>
      <c r="H246" s="57">
        <f>VLOOKUP(F246,$A$29:$B$29,2,TRUE)</f>
        <v>3500</v>
      </c>
      <c r="I246" s="50">
        <f t="shared" si="1"/>
        <v>22750</v>
      </c>
      <c r="J246" s="52"/>
      <c r="K246" s="25"/>
      <c r="L246" s="25"/>
      <c r="M246" s="25"/>
      <c r="N246" s="25"/>
    </row>
    <row r="247" ht="15.75" customHeight="1">
      <c r="A247" s="44"/>
      <c r="B247" s="44"/>
      <c r="C247" s="44"/>
      <c r="D247" s="13"/>
      <c r="E247" s="13"/>
      <c r="F247" s="47" t="s">
        <v>60</v>
      </c>
      <c r="G247" s="48">
        <v>1.5</v>
      </c>
      <c r="H247" s="57">
        <f>VLOOKUP(F247,$A$30:$B$30,2,TRUE)</f>
        <v>0</v>
      </c>
      <c r="I247" s="50">
        <f t="shared" si="1"/>
        <v>0</v>
      </c>
      <c r="J247" s="13"/>
      <c r="K247" s="25"/>
      <c r="L247" s="25"/>
      <c r="M247" s="25"/>
      <c r="N247" s="25"/>
    </row>
    <row r="248" ht="15.75" customHeight="1">
      <c r="A248" s="44"/>
      <c r="B248" s="44"/>
      <c r="C248" s="44"/>
      <c r="D248" s="45">
        <v>10.0</v>
      </c>
      <c r="E248" s="46" t="s">
        <v>80</v>
      </c>
      <c r="F248" s="47" t="s">
        <v>22</v>
      </c>
      <c r="G248" s="48"/>
      <c r="H248" s="57">
        <f>VLOOKUP(F248,$A$4:$B$4,2,TRUE)</f>
        <v>4500</v>
      </c>
      <c r="I248" s="50">
        <f t="shared" si="1"/>
        <v>0</v>
      </c>
      <c r="J248" s="51">
        <f>SUM(I248:I274)</f>
        <v>15000</v>
      </c>
      <c r="K248" s="25"/>
      <c r="L248" s="25"/>
      <c r="M248" s="25"/>
      <c r="N248" s="25"/>
    </row>
    <row r="249" ht="15.75" customHeight="1">
      <c r="A249" s="44"/>
      <c r="B249" s="44"/>
      <c r="C249" s="44"/>
      <c r="D249" s="52"/>
      <c r="E249" s="52"/>
      <c r="F249" s="47" t="s">
        <v>57</v>
      </c>
      <c r="G249" s="48"/>
      <c r="H249" s="57">
        <f>VLOOKUP(F249,$A$5:$B$5,2,TRUE)</f>
        <v>3000</v>
      </c>
      <c r="I249" s="50">
        <f t="shared" si="1"/>
        <v>0</v>
      </c>
      <c r="J249" s="52"/>
      <c r="K249" s="25"/>
      <c r="L249" s="25"/>
      <c r="M249" s="25"/>
      <c r="N249" s="25"/>
    </row>
    <row r="250" ht="15.75" customHeight="1">
      <c r="A250" s="44"/>
      <c r="B250" s="44"/>
      <c r="C250" s="44"/>
      <c r="D250" s="52"/>
      <c r="E250" s="52"/>
      <c r="F250" s="47" t="s">
        <v>59</v>
      </c>
      <c r="G250" s="48"/>
      <c r="H250" s="57">
        <f>VLOOKUP(F250,$A$6:$B$6,2,TRUE)</f>
        <v>1000</v>
      </c>
      <c r="I250" s="50">
        <f t="shared" si="1"/>
        <v>0</v>
      </c>
      <c r="J250" s="52"/>
      <c r="K250" s="25"/>
      <c r="L250" s="25"/>
      <c r="M250" s="25"/>
      <c r="N250" s="25"/>
    </row>
    <row r="251" ht="15.75" customHeight="1">
      <c r="A251" s="44"/>
      <c r="B251" s="44"/>
      <c r="C251" s="44"/>
      <c r="D251" s="52"/>
      <c r="E251" s="52"/>
      <c r="F251" s="47" t="s">
        <v>25</v>
      </c>
      <c r="G251" s="48"/>
      <c r="H251" s="57">
        <f>VLOOKUP(F251,$A$7:$B$7,2,TRUE)</f>
        <v>2800</v>
      </c>
      <c r="I251" s="50">
        <f t="shared" si="1"/>
        <v>0</v>
      </c>
      <c r="J251" s="52"/>
      <c r="K251" s="25"/>
      <c r="L251" s="25"/>
      <c r="M251" s="25"/>
      <c r="N251" s="25"/>
    </row>
    <row r="252" ht="15.75" customHeight="1">
      <c r="A252" s="44"/>
      <c r="B252" s="44"/>
      <c r="C252" s="44"/>
      <c r="D252" s="52"/>
      <c r="E252" s="52"/>
      <c r="F252" s="47" t="s">
        <v>26</v>
      </c>
      <c r="G252" s="48"/>
      <c r="H252" s="57">
        <f>VLOOKUP(F252,$A$8:$B$8,2,TRUE)</f>
        <v>3500</v>
      </c>
      <c r="I252" s="50">
        <f t="shared" si="1"/>
        <v>0</v>
      </c>
      <c r="J252" s="52"/>
      <c r="K252" s="25"/>
      <c r="L252" s="25"/>
      <c r="M252" s="25"/>
      <c r="N252" s="25"/>
    </row>
    <row r="253" ht="15.75" customHeight="1">
      <c r="A253" s="44"/>
      <c r="B253" s="44"/>
      <c r="C253" s="44"/>
      <c r="D253" s="52"/>
      <c r="E253" s="52"/>
      <c r="F253" s="47" t="s">
        <v>27</v>
      </c>
      <c r="G253" s="48"/>
      <c r="H253" s="57">
        <f>VLOOKUP(F253,$A$9:$B$9,2,TRUE)</f>
        <v>1000</v>
      </c>
      <c r="I253" s="50">
        <f t="shared" si="1"/>
        <v>0</v>
      </c>
      <c r="J253" s="52"/>
      <c r="K253" s="25"/>
      <c r="L253" s="25"/>
      <c r="M253" s="25"/>
      <c r="N253" s="25"/>
    </row>
    <row r="254" ht="15.75" customHeight="1">
      <c r="A254" s="44"/>
      <c r="B254" s="44"/>
      <c r="C254" s="44"/>
      <c r="D254" s="52"/>
      <c r="E254" s="52"/>
      <c r="F254" s="47" t="s">
        <v>28</v>
      </c>
      <c r="G254" s="48">
        <v>7.5</v>
      </c>
      <c r="H254" s="57">
        <f>VLOOKUP(F254,$A$10:$B$10,2,TRUE)</f>
        <v>2000</v>
      </c>
      <c r="I254" s="50">
        <f t="shared" si="1"/>
        <v>15000</v>
      </c>
      <c r="J254" s="52"/>
      <c r="K254" s="25"/>
      <c r="L254" s="25"/>
      <c r="M254" s="25"/>
      <c r="N254" s="25"/>
    </row>
    <row r="255" ht="15.75" customHeight="1">
      <c r="A255" s="44"/>
      <c r="B255" s="44"/>
      <c r="C255" s="44"/>
      <c r="D255" s="52"/>
      <c r="E255" s="52"/>
      <c r="F255" s="47" t="s">
        <v>29</v>
      </c>
      <c r="G255" s="48"/>
      <c r="H255" s="57">
        <f>VLOOKUP(F255,$A$11:$B$11,2,TRUE)</f>
        <v>1500</v>
      </c>
      <c r="I255" s="50">
        <f t="shared" si="1"/>
        <v>0</v>
      </c>
      <c r="J255" s="52"/>
      <c r="K255" s="25"/>
      <c r="L255" s="25"/>
      <c r="M255" s="25"/>
      <c r="N255" s="25"/>
    </row>
    <row r="256" ht="15.75" customHeight="1">
      <c r="A256" s="44"/>
      <c r="B256" s="44"/>
      <c r="C256" s="44"/>
      <c r="D256" s="52"/>
      <c r="E256" s="52"/>
      <c r="F256" s="47" t="s">
        <v>30</v>
      </c>
      <c r="G256" s="48"/>
      <c r="H256" s="57">
        <f>VLOOKUP(F256,$A$12:$B$12,2,TRUE)</f>
        <v>1300</v>
      </c>
      <c r="I256" s="50">
        <f t="shared" si="1"/>
        <v>0</v>
      </c>
      <c r="J256" s="52"/>
      <c r="K256" s="25"/>
      <c r="L256" s="25"/>
      <c r="M256" s="25"/>
      <c r="N256" s="25"/>
    </row>
    <row r="257" ht="15.75" customHeight="1">
      <c r="A257" s="44"/>
      <c r="B257" s="44"/>
      <c r="C257" s="44"/>
      <c r="D257" s="52"/>
      <c r="E257" s="52"/>
      <c r="F257" s="47" t="s">
        <v>31</v>
      </c>
      <c r="G257" s="48"/>
      <c r="H257" s="57">
        <f>VLOOKUP(F257,$A$13:$B$13,2,TRUE)</f>
        <v>1000</v>
      </c>
      <c r="I257" s="50">
        <f t="shared" si="1"/>
        <v>0</v>
      </c>
      <c r="J257" s="52"/>
      <c r="K257" s="25"/>
      <c r="L257" s="25"/>
      <c r="M257" s="25"/>
      <c r="N257" s="25"/>
    </row>
    <row r="258" ht="15.75" customHeight="1">
      <c r="A258" s="44"/>
      <c r="B258" s="44"/>
      <c r="C258" s="44"/>
      <c r="D258" s="52"/>
      <c r="E258" s="52"/>
      <c r="F258" s="47" t="s">
        <v>32</v>
      </c>
      <c r="G258" s="48"/>
      <c r="H258" s="57">
        <f>VLOOKUP(F258,$A$14:$B$14,2,TRUE)</f>
        <v>500</v>
      </c>
      <c r="I258" s="50">
        <f t="shared" si="1"/>
        <v>0</v>
      </c>
      <c r="J258" s="52"/>
      <c r="K258" s="25"/>
      <c r="L258" s="25"/>
      <c r="M258" s="25"/>
      <c r="N258" s="25"/>
    </row>
    <row r="259" ht="15.75" customHeight="1">
      <c r="A259" s="44"/>
      <c r="B259" s="44"/>
      <c r="C259" s="44"/>
      <c r="D259" s="52"/>
      <c r="E259" s="52"/>
      <c r="F259" s="47" t="s">
        <v>33</v>
      </c>
      <c r="G259" s="48"/>
      <c r="H259" s="57">
        <f>VLOOKUP(F259,$A$15:$B$15,2,TRUE)</f>
        <v>7500</v>
      </c>
      <c r="I259" s="50">
        <f t="shared" si="1"/>
        <v>0</v>
      </c>
      <c r="J259" s="52"/>
      <c r="K259" s="25"/>
      <c r="L259" s="25"/>
      <c r="M259" s="25"/>
      <c r="N259" s="25"/>
    </row>
    <row r="260" ht="15.75" customHeight="1">
      <c r="A260" s="44"/>
      <c r="B260" s="44"/>
      <c r="C260" s="44"/>
      <c r="D260" s="52"/>
      <c r="E260" s="52"/>
      <c r="F260" s="47" t="s">
        <v>34</v>
      </c>
      <c r="G260" s="48"/>
      <c r="H260" s="57">
        <f>VLOOKUP(F260,$A$16:$B$16,2,TRUE)</f>
        <v>2000</v>
      </c>
      <c r="I260" s="50">
        <f t="shared" si="1"/>
        <v>0</v>
      </c>
      <c r="J260" s="52"/>
      <c r="K260" s="25"/>
      <c r="L260" s="25"/>
      <c r="M260" s="25"/>
      <c r="N260" s="25"/>
    </row>
    <row r="261" ht="15.75" customHeight="1">
      <c r="A261" s="44"/>
      <c r="B261" s="44"/>
      <c r="C261" s="44"/>
      <c r="D261" s="52"/>
      <c r="E261" s="52"/>
      <c r="F261" s="47" t="s">
        <v>35</v>
      </c>
      <c r="G261" s="48"/>
      <c r="H261" s="57">
        <f>VLOOKUP(F261,$A$17:$B$17,2,TRUE)</f>
        <v>1000</v>
      </c>
      <c r="I261" s="50">
        <f t="shared" si="1"/>
        <v>0</v>
      </c>
      <c r="J261" s="52"/>
      <c r="K261" s="25"/>
      <c r="L261" s="25"/>
      <c r="M261" s="25"/>
      <c r="N261" s="25"/>
    </row>
    <row r="262" ht="15.75" customHeight="1">
      <c r="A262" s="44"/>
      <c r="B262" s="44"/>
      <c r="C262" s="44"/>
      <c r="D262" s="52"/>
      <c r="E262" s="52"/>
      <c r="F262" s="47" t="s">
        <v>36</v>
      </c>
      <c r="G262" s="48"/>
      <c r="H262" s="57">
        <f>VLOOKUP(F262,$A$18:$B$18,2,TRUE)</f>
        <v>5000</v>
      </c>
      <c r="I262" s="50">
        <f t="shared" si="1"/>
        <v>0</v>
      </c>
      <c r="J262" s="52"/>
      <c r="K262" s="25"/>
      <c r="L262" s="25"/>
      <c r="M262" s="25"/>
      <c r="N262" s="25"/>
    </row>
    <row r="263" ht="15.75" customHeight="1">
      <c r="A263" s="44"/>
      <c r="B263" s="44"/>
      <c r="C263" s="44"/>
      <c r="D263" s="52"/>
      <c r="E263" s="52"/>
      <c r="F263" s="47" t="s">
        <v>37</v>
      </c>
      <c r="G263" s="48"/>
      <c r="H263" s="57">
        <f>VLOOKUP(F263,$A$19:$B$19,2,TRUE)</f>
        <v>2700</v>
      </c>
      <c r="I263" s="50">
        <f t="shared" si="1"/>
        <v>0</v>
      </c>
      <c r="J263" s="52"/>
      <c r="K263" s="25"/>
      <c r="L263" s="25"/>
      <c r="M263" s="25"/>
      <c r="N263" s="25"/>
    </row>
    <row r="264" ht="15.75" customHeight="1">
      <c r="A264" s="44"/>
      <c r="B264" s="44"/>
      <c r="C264" s="44"/>
      <c r="D264" s="52"/>
      <c r="E264" s="52"/>
      <c r="F264" s="47" t="s">
        <v>38</v>
      </c>
      <c r="G264" s="48"/>
      <c r="H264" s="57">
        <f>VLOOKUP(F264,$A$20:$B$20,2,TRUE)</f>
        <v>50000</v>
      </c>
      <c r="I264" s="50">
        <f t="shared" si="1"/>
        <v>0</v>
      </c>
      <c r="J264" s="52"/>
      <c r="K264" s="25"/>
      <c r="L264" s="25"/>
      <c r="M264" s="25"/>
      <c r="N264" s="25"/>
    </row>
    <row r="265" ht="15.75" customHeight="1">
      <c r="A265" s="44"/>
      <c r="B265" s="44"/>
      <c r="C265" s="44"/>
      <c r="D265" s="52"/>
      <c r="E265" s="52"/>
      <c r="F265" s="47" t="s">
        <v>39</v>
      </c>
      <c r="G265" s="48"/>
      <c r="H265" s="57">
        <f>VLOOKUP(F265,$A$21:$B$21,2,TRUE)</f>
        <v>10000</v>
      </c>
      <c r="I265" s="50">
        <f t="shared" si="1"/>
        <v>0</v>
      </c>
      <c r="J265" s="52"/>
      <c r="K265" s="25"/>
      <c r="L265" s="25"/>
      <c r="M265" s="25"/>
      <c r="N265" s="25"/>
    </row>
    <row r="266" ht="15.75" customHeight="1">
      <c r="A266" s="44"/>
      <c r="B266" s="44"/>
      <c r="C266" s="44"/>
      <c r="D266" s="52"/>
      <c r="E266" s="52"/>
      <c r="F266" s="47" t="s">
        <v>40</v>
      </c>
      <c r="G266" s="48"/>
      <c r="H266" s="57">
        <f>VLOOKUP(F266,$A$22:$B$22,2,TRUE)</f>
        <v>1000</v>
      </c>
      <c r="I266" s="50">
        <f t="shared" si="1"/>
        <v>0</v>
      </c>
      <c r="J266" s="52"/>
      <c r="K266" s="25"/>
      <c r="L266" s="25"/>
      <c r="M266" s="25"/>
      <c r="N266" s="25"/>
    </row>
    <row r="267" ht="15.75" customHeight="1">
      <c r="A267" s="44"/>
      <c r="B267" s="44"/>
      <c r="C267" s="44"/>
      <c r="D267" s="52"/>
      <c r="E267" s="52"/>
      <c r="F267" s="47" t="s">
        <v>41</v>
      </c>
      <c r="G267" s="48"/>
      <c r="H267" s="57">
        <f>VLOOKUP(F267,$A$23:$B$23,2,TRUE)</f>
        <v>500</v>
      </c>
      <c r="I267" s="50">
        <f t="shared" si="1"/>
        <v>0</v>
      </c>
      <c r="J267" s="52"/>
      <c r="K267" s="25"/>
      <c r="L267" s="25"/>
      <c r="M267" s="25"/>
      <c r="N267" s="25"/>
    </row>
    <row r="268" ht="15.75" customHeight="1">
      <c r="A268" s="44"/>
      <c r="B268" s="44"/>
      <c r="C268" s="44"/>
      <c r="D268" s="52"/>
      <c r="E268" s="52"/>
      <c r="F268" s="47" t="s">
        <v>42</v>
      </c>
      <c r="G268" s="48"/>
      <c r="H268" s="57">
        <f>VLOOKUP(F268,$A$24:$B$24,2,TRUE)</f>
        <v>200</v>
      </c>
      <c r="I268" s="50">
        <f t="shared" si="1"/>
        <v>0</v>
      </c>
      <c r="J268" s="52"/>
      <c r="K268" s="25"/>
      <c r="L268" s="25"/>
      <c r="M268" s="25"/>
      <c r="N268" s="25"/>
    </row>
    <row r="269" ht="15.75" customHeight="1">
      <c r="A269" s="44"/>
      <c r="B269" s="44"/>
      <c r="C269" s="44"/>
      <c r="D269" s="52"/>
      <c r="E269" s="52"/>
      <c r="F269" s="47" t="s">
        <v>43</v>
      </c>
      <c r="G269" s="48"/>
      <c r="H269" s="57">
        <f>VLOOKUP(F269,$A$25:$B$25,2,TRUE)</f>
        <v>1000</v>
      </c>
      <c r="I269" s="50">
        <f t="shared" si="1"/>
        <v>0</v>
      </c>
      <c r="J269" s="52"/>
      <c r="K269" s="25"/>
      <c r="L269" s="25"/>
      <c r="M269" s="25"/>
      <c r="N269" s="25"/>
    </row>
    <row r="270" ht="15.75" customHeight="1">
      <c r="A270" s="44"/>
      <c r="B270" s="44"/>
      <c r="C270" s="44"/>
      <c r="D270" s="52"/>
      <c r="E270" s="52"/>
      <c r="F270" s="47" t="s">
        <v>18</v>
      </c>
      <c r="G270" s="48"/>
      <c r="H270" s="57">
        <f>VLOOKUP(F270,$A$26:$B$26,2,TRUE)</f>
        <v>300</v>
      </c>
      <c r="I270" s="50">
        <f t="shared" si="1"/>
        <v>0</v>
      </c>
      <c r="J270" s="52"/>
      <c r="K270" s="25"/>
      <c r="L270" s="25"/>
      <c r="M270" s="25"/>
      <c r="N270" s="25"/>
    </row>
    <row r="271" ht="15.75" customHeight="1">
      <c r="A271" s="44"/>
      <c r="B271" s="44"/>
      <c r="C271" s="44"/>
      <c r="D271" s="52"/>
      <c r="E271" s="52"/>
      <c r="F271" s="47" t="s">
        <v>44</v>
      </c>
      <c r="G271" s="48"/>
      <c r="H271" s="57">
        <f>VLOOKUP(F271,$A$27:$B$27,2,TRUE)</f>
        <v>100</v>
      </c>
      <c r="I271" s="50">
        <f t="shared" si="1"/>
        <v>0</v>
      </c>
      <c r="J271" s="52"/>
      <c r="K271" s="25"/>
      <c r="L271" s="25"/>
      <c r="M271" s="25"/>
      <c r="N271" s="25"/>
    </row>
    <row r="272" ht="15.75" customHeight="1">
      <c r="A272" s="44"/>
      <c r="B272" s="44"/>
      <c r="C272" s="44"/>
      <c r="D272" s="52"/>
      <c r="E272" s="52"/>
      <c r="F272" s="47" t="s">
        <v>13</v>
      </c>
      <c r="G272" s="48"/>
      <c r="H272" s="57">
        <f>VLOOKUP(F272,$A$28:$B$28,2,TRUE)</f>
        <v>1500</v>
      </c>
      <c r="I272" s="50">
        <f t="shared" si="1"/>
        <v>0</v>
      </c>
      <c r="J272" s="52"/>
      <c r="K272" s="25"/>
      <c r="L272" s="25"/>
      <c r="M272" s="25"/>
      <c r="N272" s="25"/>
    </row>
    <row r="273" ht="15.75" customHeight="1">
      <c r="A273" s="44"/>
      <c r="B273" s="44"/>
      <c r="C273" s="44"/>
      <c r="D273" s="52"/>
      <c r="E273" s="52"/>
      <c r="F273" s="47" t="s">
        <v>20</v>
      </c>
      <c r="G273" s="48"/>
      <c r="H273" s="57">
        <f>VLOOKUP(F273,$A$29:$B$29,2,TRUE)</f>
        <v>3500</v>
      </c>
      <c r="I273" s="50">
        <f t="shared" si="1"/>
        <v>0</v>
      </c>
      <c r="J273" s="52"/>
      <c r="K273" s="25"/>
      <c r="L273" s="25"/>
      <c r="M273" s="25"/>
      <c r="N273" s="25"/>
    </row>
    <row r="274" ht="15.75" customHeight="1">
      <c r="A274" s="44"/>
      <c r="B274" s="44"/>
      <c r="C274" s="44"/>
      <c r="D274" s="13"/>
      <c r="E274" s="13"/>
      <c r="F274" s="47" t="s">
        <v>60</v>
      </c>
      <c r="G274" s="48"/>
      <c r="H274" s="57">
        <f>VLOOKUP(F274,$A$30:$B$30,2,TRUE)</f>
        <v>0</v>
      </c>
      <c r="I274" s="50">
        <f t="shared" si="1"/>
        <v>0</v>
      </c>
      <c r="J274" s="13"/>
      <c r="K274" s="25"/>
      <c r="L274" s="25"/>
      <c r="M274" s="25"/>
      <c r="N274" s="25"/>
    </row>
    <row r="275" ht="15.75" customHeight="1">
      <c r="A275" s="44"/>
      <c r="B275" s="44"/>
      <c r="C275" s="44"/>
      <c r="D275" s="45">
        <v>11.0</v>
      </c>
      <c r="E275" s="46" t="s">
        <v>81</v>
      </c>
      <c r="F275" s="47" t="s">
        <v>22</v>
      </c>
      <c r="G275" s="48"/>
      <c r="H275" s="57">
        <f>VLOOKUP(F275,$A$4:$B$4,2,TRUE)</f>
        <v>4500</v>
      </c>
      <c r="I275" s="50">
        <f t="shared" si="1"/>
        <v>0</v>
      </c>
      <c r="J275" s="51">
        <f>SUM(I275:I301)</f>
        <v>10500</v>
      </c>
      <c r="K275" s="25"/>
      <c r="L275" s="25"/>
      <c r="M275" s="25"/>
      <c r="N275" s="25"/>
    </row>
    <row r="276" ht="15.75" customHeight="1">
      <c r="A276" s="44"/>
      <c r="B276" s="44"/>
      <c r="C276" s="44"/>
      <c r="D276" s="52"/>
      <c r="E276" s="52"/>
      <c r="F276" s="47" t="s">
        <v>57</v>
      </c>
      <c r="G276" s="48"/>
      <c r="H276" s="57">
        <f>VLOOKUP(F276,$A$5:$B$5,2,TRUE)</f>
        <v>3000</v>
      </c>
      <c r="I276" s="50">
        <f t="shared" si="1"/>
        <v>0</v>
      </c>
      <c r="J276" s="52"/>
      <c r="K276" s="25"/>
      <c r="L276" s="25"/>
      <c r="M276" s="25"/>
      <c r="N276" s="25"/>
    </row>
    <row r="277" ht="15.75" customHeight="1">
      <c r="A277" s="44"/>
      <c r="B277" s="44"/>
      <c r="C277" s="44"/>
      <c r="D277" s="52"/>
      <c r="E277" s="52"/>
      <c r="F277" s="47" t="s">
        <v>59</v>
      </c>
      <c r="G277" s="48"/>
      <c r="H277" s="57">
        <f>VLOOKUP(F277,$A$6:$B$6,2,TRUE)</f>
        <v>1000</v>
      </c>
      <c r="I277" s="50">
        <f t="shared" si="1"/>
        <v>0</v>
      </c>
      <c r="J277" s="52"/>
      <c r="K277" s="25"/>
      <c r="L277" s="25"/>
      <c r="M277" s="25"/>
      <c r="N277" s="25"/>
    </row>
    <row r="278" ht="15.75" customHeight="1">
      <c r="A278" s="44"/>
      <c r="B278" s="44"/>
      <c r="C278" s="44"/>
      <c r="D278" s="52"/>
      <c r="E278" s="52"/>
      <c r="F278" s="47" t="s">
        <v>25</v>
      </c>
      <c r="G278" s="48"/>
      <c r="H278" s="57">
        <f>VLOOKUP(F278,$A$7:$B$7,2,TRUE)</f>
        <v>2800</v>
      </c>
      <c r="I278" s="50">
        <f t="shared" si="1"/>
        <v>0</v>
      </c>
      <c r="J278" s="52"/>
      <c r="K278" s="25"/>
      <c r="L278" s="25"/>
      <c r="M278" s="25"/>
      <c r="N278" s="25"/>
    </row>
    <row r="279" ht="15.75" customHeight="1">
      <c r="A279" s="44"/>
      <c r="B279" s="44"/>
      <c r="C279" s="44"/>
      <c r="D279" s="52"/>
      <c r="E279" s="52"/>
      <c r="F279" s="47" t="s">
        <v>26</v>
      </c>
      <c r="G279" s="48"/>
      <c r="H279" s="57">
        <f>VLOOKUP(F279,$A$8:$B$8,2,TRUE)</f>
        <v>3500</v>
      </c>
      <c r="I279" s="50">
        <f t="shared" si="1"/>
        <v>0</v>
      </c>
      <c r="J279" s="52"/>
      <c r="K279" s="25"/>
      <c r="L279" s="25"/>
      <c r="M279" s="25"/>
      <c r="N279" s="25"/>
    </row>
    <row r="280" ht="15.75" customHeight="1">
      <c r="A280" s="44"/>
      <c r="B280" s="44"/>
      <c r="C280" s="44"/>
      <c r="D280" s="52"/>
      <c r="E280" s="52"/>
      <c r="F280" s="47" t="s">
        <v>27</v>
      </c>
      <c r="G280" s="48"/>
      <c r="H280" s="57">
        <f>VLOOKUP(F280,$A$9:$B$9,2,TRUE)</f>
        <v>1000</v>
      </c>
      <c r="I280" s="50">
        <f t="shared" si="1"/>
        <v>0</v>
      </c>
      <c r="J280" s="52"/>
      <c r="K280" s="25"/>
      <c r="L280" s="25"/>
      <c r="M280" s="25"/>
      <c r="N280" s="25"/>
    </row>
    <row r="281" ht="15.75" customHeight="1">
      <c r="A281" s="44"/>
      <c r="B281" s="44"/>
      <c r="C281" s="44"/>
      <c r="D281" s="52"/>
      <c r="E281" s="52"/>
      <c r="F281" s="47" t="s">
        <v>28</v>
      </c>
      <c r="G281" s="48"/>
      <c r="H281" s="57">
        <f>VLOOKUP(F281,$A$10:$B$10,2,TRUE)</f>
        <v>2000</v>
      </c>
      <c r="I281" s="50">
        <f t="shared" si="1"/>
        <v>0</v>
      </c>
      <c r="J281" s="52"/>
      <c r="K281" s="25"/>
      <c r="L281" s="25"/>
      <c r="M281" s="25"/>
      <c r="N281" s="25"/>
    </row>
    <row r="282" ht="15.75" customHeight="1">
      <c r="A282" s="44"/>
      <c r="B282" s="44"/>
      <c r="C282" s="44"/>
      <c r="D282" s="52"/>
      <c r="E282" s="52"/>
      <c r="F282" s="47" t="s">
        <v>29</v>
      </c>
      <c r="G282" s="48"/>
      <c r="H282" s="57">
        <f>VLOOKUP(F282,$A$11:$B$11,2,TRUE)</f>
        <v>1500</v>
      </c>
      <c r="I282" s="50">
        <f t="shared" si="1"/>
        <v>0</v>
      </c>
      <c r="J282" s="52"/>
      <c r="K282" s="25"/>
      <c r="L282" s="25"/>
      <c r="M282" s="25"/>
      <c r="N282" s="25"/>
    </row>
    <row r="283" ht="15.75" customHeight="1">
      <c r="A283" s="44"/>
      <c r="B283" s="44"/>
      <c r="C283" s="44"/>
      <c r="D283" s="52"/>
      <c r="E283" s="52"/>
      <c r="F283" s="47" t="s">
        <v>30</v>
      </c>
      <c r="G283" s="48"/>
      <c r="H283" s="57">
        <f>VLOOKUP(F283,$A$12:$B$12,2,TRUE)</f>
        <v>1300</v>
      </c>
      <c r="I283" s="50">
        <f t="shared" si="1"/>
        <v>0</v>
      </c>
      <c r="J283" s="52"/>
      <c r="K283" s="25"/>
      <c r="L283" s="25"/>
      <c r="M283" s="25"/>
      <c r="N283" s="25"/>
    </row>
    <row r="284" ht="15.75" customHeight="1">
      <c r="A284" s="44"/>
      <c r="B284" s="44"/>
      <c r="C284" s="44"/>
      <c r="D284" s="52"/>
      <c r="E284" s="52"/>
      <c r="F284" s="47" t="s">
        <v>31</v>
      </c>
      <c r="G284" s="48"/>
      <c r="H284" s="57">
        <f>VLOOKUP(F284,$A$13:$B$13,2,TRUE)</f>
        <v>1000</v>
      </c>
      <c r="I284" s="50">
        <f t="shared" si="1"/>
        <v>0</v>
      </c>
      <c r="J284" s="52"/>
      <c r="K284" s="25"/>
      <c r="L284" s="25"/>
      <c r="M284" s="25"/>
      <c r="N284" s="25"/>
    </row>
    <row r="285" ht="15.75" customHeight="1">
      <c r="A285" s="44"/>
      <c r="B285" s="44"/>
      <c r="C285" s="44"/>
      <c r="D285" s="52"/>
      <c r="E285" s="52"/>
      <c r="F285" s="47" t="s">
        <v>32</v>
      </c>
      <c r="G285" s="48"/>
      <c r="H285" s="57">
        <f>VLOOKUP(F285,$A$14:$B$14,2,TRUE)</f>
        <v>500</v>
      </c>
      <c r="I285" s="50">
        <f t="shared" si="1"/>
        <v>0</v>
      </c>
      <c r="J285" s="52"/>
      <c r="K285" s="25"/>
      <c r="L285" s="25"/>
      <c r="M285" s="25"/>
      <c r="N285" s="25"/>
    </row>
    <row r="286" ht="15.75" customHeight="1">
      <c r="A286" s="44"/>
      <c r="B286" s="44"/>
      <c r="C286" s="44"/>
      <c r="D286" s="52"/>
      <c r="E286" s="52"/>
      <c r="F286" s="47" t="s">
        <v>33</v>
      </c>
      <c r="G286" s="48"/>
      <c r="H286" s="57">
        <f>VLOOKUP(F286,$A$15:$B$15,2,TRUE)</f>
        <v>7500</v>
      </c>
      <c r="I286" s="50">
        <f t="shared" si="1"/>
        <v>0</v>
      </c>
      <c r="J286" s="52"/>
      <c r="K286" s="25"/>
      <c r="L286" s="25"/>
      <c r="M286" s="25"/>
      <c r="N286" s="25"/>
    </row>
    <row r="287" ht="15.75" customHeight="1">
      <c r="A287" s="44"/>
      <c r="B287" s="44"/>
      <c r="C287" s="44"/>
      <c r="D287" s="52"/>
      <c r="E287" s="52"/>
      <c r="F287" s="47" t="s">
        <v>34</v>
      </c>
      <c r="G287" s="48"/>
      <c r="H287" s="57">
        <f>VLOOKUP(F287,$A$16:$B$16,2,TRUE)</f>
        <v>2000</v>
      </c>
      <c r="I287" s="50">
        <f t="shared" si="1"/>
        <v>0</v>
      </c>
      <c r="J287" s="52"/>
      <c r="K287" s="25"/>
      <c r="L287" s="25"/>
      <c r="M287" s="25"/>
      <c r="N287" s="25"/>
    </row>
    <row r="288" ht="15.75" customHeight="1">
      <c r="A288" s="44"/>
      <c r="B288" s="44"/>
      <c r="C288" s="44"/>
      <c r="D288" s="52"/>
      <c r="E288" s="52"/>
      <c r="F288" s="47" t="s">
        <v>35</v>
      </c>
      <c r="G288" s="48"/>
      <c r="H288" s="57">
        <f>VLOOKUP(F288,$A$17:$B$17,2,TRUE)</f>
        <v>1000</v>
      </c>
      <c r="I288" s="50">
        <f t="shared" si="1"/>
        <v>0</v>
      </c>
      <c r="J288" s="52"/>
      <c r="K288" s="25"/>
      <c r="L288" s="25"/>
      <c r="M288" s="25"/>
      <c r="N288" s="25"/>
    </row>
    <row r="289" ht="15.75" customHeight="1">
      <c r="A289" s="44"/>
      <c r="B289" s="44"/>
      <c r="C289" s="44"/>
      <c r="D289" s="52"/>
      <c r="E289" s="52"/>
      <c r="F289" s="47" t="s">
        <v>36</v>
      </c>
      <c r="G289" s="48"/>
      <c r="H289" s="57">
        <f>VLOOKUP(F289,$A$18:$B$18,2,TRUE)</f>
        <v>5000</v>
      </c>
      <c r="I289" s="50">
        <f t="shared" si="1"/>
        <v>0</v>
      </c>
      <c r="J289" s="52"/>
      <c r="K289" s="25"/>
      <c r="L289" s="25"/>
      <c r="M289" s="25"/>
      <c r="N289" s="25"/>
    </row>
    <row r="290" ht="15.75" customHeight="1">
      <c r="A290" s="44"/>
      <c r="B290" s="44"/>
      <c r="C290" s="44"/>
      <c r="D290" s="52"/>
      <c r="E290" s="52"/>
      <c r="F290" s="47" t="s">
        <v>37</v>
      </c>
      <c r="G290" s="48"/>
      <c r="H290" s="57">
        <f>VLOOKUP(F290,$A$19:$B$19,2,TRUE)</f>
        <v>2700</v>
      </c>
      <c r="I290" s="50">
        <f t="shared" si="1"/>
        <v>0</v>
      </c>
      <c r="J290" s="52"/>
      <c r="K290" s="25"/>
      <c r="L290" s="25"/>
      <c r="M290" s="25"/>
      <c r="N290" s="25"/>
    </row>
    <row r="291" ht="15.75" customHeight="1">
      <c r="A291" s="44"/>
      <c r="B291" s="44"/>
      <c r="C291" s="44"/>
      <c r="D291" s="52"/>
      <c r="E291" s="52"/>
      <c r="F291" s="47" t="s">
        <v>38</v>
      </c>
      <c r="G291" s="48"/>
      <c r="H291" s="57">
        <f>VLOOKUP(F291,$A$20:$B$20,2,TRUE)</f>
        <v>50000</v>
      </c>
      <c r="I291" s="50">
        <f t="shared" si="1"/>
        <v>0</v>
      </c>
      <c r="J291" s="52"/>
      <c r="K291" s="25"/>
      <c r="L291" s="25"/>
      <c r="M291" s="25"/>
      <c r="N291" s="25"/>
    </row>
    <row r="292" ht="15.75" customHeight="1">
      <c r="A292" s="44"/>
      <c r="B292" s="44"/>
      <c r="C292" s="44"/>
      <c r="D292" s="52"/>
      <c r="E292" s="52"/>
      <c r="F292" s="47" t="s">
        <v>39</v>
      </c>
      <c r="G292" s="48"/>
      <c r="H292" s="57">
        <f>VLOOKUP(F292,$A$21:$B$21,2,TRUE)</f>
        <v>10000</v>
      </c>
      <c r="I292" s="50">
        <f t="shared" si="1"/>
        <v>0</v>
      </c>
      <c r="J292" s="52"/>
      <c r="K292" s="25"/>
      <c r="L292" s="25"/>
      <c r="M292" s="25"/>
      <c r="N292" s="25"/>
    </row>
    <row r="293" ht="15.75" customHeight="1">
      <c r="A293" s="44"/>
      <c r="B293" s="44"/>
      <c r="C293" s="44"/>
      <c r="D293" s="52"/>
      <c r="E293" s="52"/>
      <c r="F293" s="47" t="s">
        <v>40</v>
      </c>
      <c r="G293" s="48"/>
      <c r="H293" s="57">
        <f>VLOOKUP(F293,$A$22:$B$22,2,TRUE)</f>
        <v>1000</v>
      </c>
      <c r="I293" s="50">
        <f t="shared" si="1"/>
        <v>0</v>
      </c>
      <c r="J293" s="52"/>
      <c r="K293" s="25"/>
      <c r="L293" s="25"/>
      <c r="M293" s="25"/>
      <c r="N293" s="25"/>
    </row>
    <row r="294" ht="15.75" customHeight="1">
      <c r="A294" s="44"/>
      <c r="B294" s="44"/>
      <c r="C294" s="44"/>
      <c r="D294" s="52"/>
      <c r="E294" s="52"/>
      <c r="F294" s="47" t="s">
        <v>41</v>
      </c>
      <c r="G294" s="48"/>
      <c r="H294" s="57">
        <f>VLOOKUP(F294,$A$23:$B$23,2,TRUE)</f>
        <v>500</v>
      </c>
      <c r="I294" s="50">
        <f t="shared" si="1"/>
        <v>0</v>
      </c>
      <c r="J294" s="52"/>
      <c r="K294" s="25"/>
      <c r="L294" s="25"/>
      <c r="M294" s="25"/>
      <c r="N294" s="25"/>
    </row>
    <row r="295" ht="15.75" customHeight="1">
      <c r="A295" s="44"/>
      <c r="B295" s="44"/>
      <c r="C295" s="44"/>
      <c r="D295" s="52"/>
      <c r="E295" s="52"/>
      <c r="F295" s="47" t="s">
        <v>42</v>
      </c>
      <c r="G295" s="48"/>
      <c r="H295" s="57">
        <f>VLOOKUP(F295,$A$24:$B$24,2,TRUE)</f>
        <v>200</v>
      </c>
      <c r="I295" s="50">
        <f t="shared" si="1"/>
        <v>0</v>
      </c>
      <c r="J295" s="52"/>
      <c r="K295" s="25"/>
      <c r="L295" s="25"/>
      <c r="M295" s="25"/>
      <c r="N295" s="25"/>
    </row>
    <row r="296" ht="15.75" customHeight="1">
      <c r="A296" s="44"/>
      <c r="B296" s="44"/>
      <c r="C296" s="44"/>
      <c r="D296" s="52"/>
      <c r="E296" s="52"/>
      <c r="F296" s="47" t="s">
        <v>43</v>
      </c>
      <c r="G296" s="48"/>
      <c r="H296" s="57">
        <f>VLOOKUP(F296,$A$25:$B$25,2,TRUE)</f>
        <v>1000</v>
      </c>
      <c r="I296" s="50">
        <f t="shared" si="1"/>
        <v>0</v>
      </c>
      <c r="J296" s="52"/>
      <c r="K296" s="25"/>
      <c r="L296" s="25"/>
      <c r="M296" s="25"/>
      <c r="N296" s="25"/>
    </row>
    <row r="297" ht="15.75" customHeight="1">
      <c r="A297" s="44"/>
      <c r="B297" s="44"/>
      <c r="C297" s="44"/>
      <c r="D297" s="52"/>
      <c r="E297" s="52"/>
      <c r="F297" s="47" t="s">
        <v>18</v>
      </c>
      <c r="G297" s="48"/>
      <c r="H297" s="57">
        <f>VLOOKUP(F297,$A$26:$B$26,2,TRUE)</f>
        <v>300</v>
      </c>
      <c r="I297" s="50">
        <f t="shared" si="1"/>
        <v>0</v>
      </c>
      <c r="J297" s="52"/>
      <c r="K297" s="25"/>
      <c r="L297" s="25"/>
      <c r="M297" s="25"/>
      <c r="N297" s="25"/>
    </row>
    <row r="298" ht="15.75" customHeight="1">
      <c r="A298" s="44"/>
      <c r="B298" s="44"/>
      <c r="C298" s="44"/>
      <c r="D298" s="52"/>
      <c r="E298" s="52"/>
      <c r="F298" s="47" t="s">
        <v>44</v>
      </c>
      <c r="G298" s="48"/>
      <c r="H298" s="57">
        <f>VLOOKUP(F298,$A$27:$B$27,2,TRUE)</f>
        <v>100</v>
      </c>
      <c r="I298" s="50">
        <f t="shared" si="1"/>
        <v>0</v>
      </c>
      <c r="J298" s="52"/>
      <c r="K298" s="25"/>
      <c r="L298" s="25"/>
      <c r="M298" s="25"/>
      <c r="N298" s="25"/>
    </row>
    <row r="299" ht="15.75" customHeight="1">
      <c r="A299" s="44"/>
      <c r="B299" s="44"/>
      <c r="C299" s="44"/>
      <c r="D299" s="52"/>
      <c r="E299" s="52"/>
      <c r="F299" s="47" t="s">
        <v>13</v>
      </c>
      <c r="G299" s="48"/>
      <c r="H299" s="57">
        <f>VLOOKUP(F299,$A$28:$B$28,2,TRUE)</f>
        <v>1500</v>
      </c>
      <c r="I299" s="50">
        <f t="shared" si="1"/>
        <v>0</v>
      </c>
      <c r="J299" s="52"/>
      <c r="K299" s="25"/>
      <c r="L299" s="25"/>
      <c r="M299" s="25"/>
      <c r="N299" s="25"/>
    </row>
    <row r="300" ht="15.75" customHeight="1">
      <c r="A300" s="44"/>
      <c r="B300" s="44"/>
      <c r="C300" s="44"/>
      <c r="D300" s="52"/>
      <c r="E300" s="52"/>
      <c r="F300" s="47" t="s">
        <v>20</v>
      </c>
      <c r="G300" s="48">
        <v>3.0</v>
      </c>
      <c r="H300" s="57">
        <f>VLOOKUP(F300,$A$29:$B$29,2,TRUE)</f>
        <v>3500</v>
      </c>
      <c r="I300" s="50">
        <f t="shared" si="1"/>
        <v>10500</v>
      </c>
      <c r="J300" s="52"/>
      <c r="K300" s="25"/>
      <c r="L300" s="25"/>
      <c r="M300" s="25"/>
      <c r="N300" s="25"/>
    </row>
    <row r="301" ht="15.75" customHeight="1">
      <c r="A301" s="44"/>
      <c r="B301" s="44"/>
      <c r="C301" s="44"/>
      <c r="D301" s="13"/>
      <c r="E301" s="13"/>
      <c r="F301" s="47" t="s">
        <v>60</v>
      </c>
      <c r="G301" s="48"/>
      <c r="H301" s="57">
        <f>VLOOKUP(F301,$A$30:$B$30,2,TRUE)</f>
        <v>0</v>
      </c>
      <c r="I301" s="50">
        <f t="shared" si="1"/>
        <v>0</v>
      </c>
      <c r="J301" s="13"/>
      <c r="K301" s="25"/>
      <c r="L301" s="25"/>
      <c r="M301" s="25"/>
      <c r="N301" s="25"/>
    </row>
    <row r="302" ht="15.75" customHeight="1">
      <c r="A302" s="44"/>
      <c r="B302" s="44"/>
      <c r="C302" s="44"/>
      <c r="D302" s="60" t="s">
        <v>68</v>
      </c>
      <c r="E302" s="61"/>
      <c r="F302" s="61"/>
      <c r="G302" s="61"/>
      <c r="H302" s="61"/>
      <c r="I302" s="62"/>
      <c r="J302" s="63">
        <f>SUM(J5:J301)</f>
        <v>427150</v>
      </c>
      <c r="K302" s="25"/>
      <c r="L302" s="25"/>
      <c r="M302" s="25"/>
      <c r="N302" s="25"/>
    </row>
    <row r="303" ht="15.75" customHeight="1">
      <c r="A303" s="24"/>
      <c r="B303" s="24"/>
      <c r="C303" s="24"/>
      <c r="D303" s="24"/>
      <c r="E303" s="24"/>
      <c r="F303" s="25"/>
      <c r="G303" s="25"/>
      <c r="H303" s="25"/>
      <c r="I303" s="25"/>
      <c r="J303" s="26"/>
      <c r="K303" s="25"/>
      <c r="L303" s="25"/>
      <c r="M303" s="25"/>
      <c r="N303" s="25"/>
    </row>
    <row r="304" ht="15.75" customHeight="1">
      <c r="A304" s="24"/>
      <c r="B304" s="24"/>
      <c r="C304" s="24"/>
      <c r="D304" s="24"/>
      <c r="E304" s="24"/>
      <c r="F304" s="25"/>
      <c r="G304" s="25"/>
      <c r="H304" s="25"/>
      <c r="I304" s="25"/>
      <c r="J304" s="26"/>
      <c r="K304" s="25"/>
      <c r="L304" s="25"/>
      <c r="M304" s="25"/>
      <c r="N304" s="25"/>
    </row>
    <row r="305" ht="15.75" customHeight="1">
      <c r="A305" s="24"/>
      <c r="B305" s="24"/>
      <c r="C305" s="24"/>
      <c r="D305" s="24"/>
      <c r="E305" s="24"/>
      <c r="F305" s="25"/>
      <c r="G305" s="25"/>
      <c r="H305" s="25"/>
      <c r="I305" s="25"/>
      <c r="J305" s="26"/>
      <c r="K305" s="25"/>
      <c r="L305" s="25"/>
      <c r="M305" s="25"/>
      <c r="N305" s="25"/>
    </row>
    <row r="306" ht="15.75" customHeight="1">
      <c r="A306" s="24"/>
      <c r="B306" s="24"/>
      <c r="C306" s="24"/>
      <c r="D306" s="24"/>
      <c r="E306" s="24"/>
      <c r="F306" s="25"/>
      <c r="G306" s="25"/>
      <c r="H306" s="25"/>
      <c r="I306" s="25"/>
      <c r="J306" s="26"/>
      <c r="K306" s="25"/>
      <c r="L306" s="25"/>
      <c r="M306" s="25"/>
      <c r="N306" s="25"/>
    </row>
    <row r="307" ht="15.75" customHeight="1">
      <c r="A307" s="24"/>
      <c r="B307" s="24"/>
      <c r="C307" s="24"/>
      <c r="D307" s="24"/>
      <c r="E307" s="24"/>
      <c r="F307" s="25"/>
      <c r="G307" s="25"/>
      <c r="H307" s="25"/>
      <c r="I307" s="25"/>
      <c r="J307" s="26"/>
      <c r="K307" s="25"/>
      <c r="L307" s="25"/>
      <c r="M307" s="25"/>
      <c r="N307" s="25"/>
    </row>
    <row r="308" ht="15.75" customHeight="1">
      <c r="A308" s="24"/>
      <c r="B308" s="24"/>
      <c r="C308" s="24"/>
      <c r="D308" s="24"/>
      <c r="E308" s="24"/>
      <c r="F308" s="25"/>
      <c r="G308" s="25"/>
      <c r="H308" s="25"/>
      <c r="I308" s="25"/>
      <c r="J308" s="26"/>
      <c r="K308" s="25"/>
      <c r="L308" s="25"/>
      <c r="M308" s="25"/>
      <c r="N308" s="25"/>
    </row>
    <row r="309" ht="15.75" customHeight="1">
      <c r="A309" s="24"/>
      <c r="B309" s="24"/>
      <c r="C309" s="24"/>
      <c r="D309" s="24"/>
      <c r="E309" s="24"/>
      <c r="F309" s="25"/>
      <c r="G309" s="25"/>
      <c r="H309" s="25"/>
      <c r="I309" s="25"/>
      <c r="J309" s="26"/>
      <c r="K309" s="25"/>
      <c r="L309" s="25"/>
      <c r="M309" s="25"/>
      <c r="N309" s="25"/>
    </row>
    <row r="310" ht="15.75" customHeight="1">
      <c r="A310" s="24"/>
      <c r="B310" s="24"/>
      <c r="C310" s="24"/>
      <c r="D310" s="24"/>
      <c r="E310" s="24"/>
      <c r="F310" s="25"/>
      <c r="G310" s="25"/>
      <c r="H310" s="25"/>
      <c r="I310" s="25"/>
      <c r="J310" s="26"/>
      <c r="K310" s="25"/>
      <c r="L310" s="25"/>
      <c r="M310" s="25"/>
      <c r="N310" s="25"/>
    </row>
    <row r="311" ht="15.75" customHeight="1">
      <c r="A311" s="24"/>
      <c r="B311" s="24"/>
      <c r="C311" s="24"/>
      <c r="D311" s="24"/>
      <c r="E311" s="24"/>
      <c r="J311" s="26"/>
    </row>
    <row r="312" ht="15.75" customHeight="1">
      <c r="A312" s="24"/>
      <c r="B312" s="24"/>
      <c r="C312" s="24"/>
      <c r="D312" s="24"/>
      <c r="E312" s="24"/>
      <c r="J312" s="26"/>
    </row>
    <row r="313" ht="15.75" customHeight="1">
      <c r="A313" s="24"/>
      <c r="B313" s="24"/>
      <c r="C313" s="24"/>
      <c r="D313" s="24"/>
      <c r="E313" s="24"/>
      <c r="J313" s="26"/>
    </row>
    <row r="314" ht="15.75" customHeight="1">
      <c r="A314" s="24"/>
      <c r="B314" s="24"/>
      <c r="C314" s="24"/>
      <c r="D314" s="24"/>
      <c r="E314" s="24"/>
      <c r="J314" s="26"/>
    </row>
    <row r="315" ht="15.75" customHeight="1">
      <c r="A315" s="24"/>
      <c r="B315" s="24"/>
      <c r="C315" s="24"/>
      <c r="D315" s="24"/>
      <c r="E315" s="24"/>
      <c r="J315" s="26"/>
    </row>
    <row r="316" ht="15.75" customHeight="1">
      <c r="A316" s="24"/>
      <c r="B316" s="24"/>
      <c r="C316" s="24"/>
      <c r="D316" s="24"/>
      <c r="E316" s="24"/>
      <c r="J316" s="26"/>
    </row>
    <row r="317" ht="15.75" customHeight="1">
      <c r="A317" s="24"/>
      <c r="B317" s="24"/>
      <c r="C317" s="24"/>
      <c r="D317" s="24"/>
      <c r="E317" s="24"/>
      <c r="J317" s="26"/>
    </row>
    <row r="318" ht="15.75" customHeight="1">
      <c r="A318" s="24"/>
      <c r="B318" s="24"/>
      <c r="C318" s="24"/>
      <c r="D318" s="24"/>
      <c r="E318" s="24"/>
      <c r="J318" s="26"/>
    </row>
    <row r="319" ht="15.75" customHeight="1">
      <c r="A319" s="24"/>
      <c r="B319" s="24"/>
      <c r="C319" s="24"/>
      <c r="D319" s="24"/>
      <c r="E319" s="24"/>
      <c r="J319" s="26"/>
    </row>
    <row r="320" ht="15.75" customHeight="1">
      <c r="A320" s="24"/>
      <c r="B320" s="24"/>
      <c r="C320" s="24"/>
      <c r="D320" s="24"/>
      <c r="E320" s="24"/>
      <c r="J320" s="26"/>
    </row>
    <row r="321" ht="15.75" customHeight="1">
      <c r="A321" s="24"/>
      <c r="B321" s="24"/>
      <c r="C321" s="24"/>
      <c r="D321" s="24"/>
      <c r="E321" s="24"/>
      <c r="J321" s="26"/>
    </row>
    <row r="322" ht="15.75" customHeight="1">
      <c r="A322" s="24"/>
      <c r="B322" s="24"/>
      <c r="C322" s="24"/>
      <c r="D322" s="24"/>
      <c r="E322" s="24"/>
      <c r="J322" s="26"/>
    </row>
    <row r="323" ht="15.75" customHeight="1">
      <c r="A323" s="24"/>
      <c r="B323" s="24"/>
      <c r="C323" s="24"/>
      <c r="D323" s="24"/>
      <c r="E323" s="24"/>
      <c r="J323" s="26"/>
    </row>
    <row r="324" ht="15.75" customHeight="1">
      <c r="A324" s="24"/>
      <c r="B324" s="24"/>
      <c r="C324" s="24"/>
      <c r="D324" s="24"/>
      <c r="E324" s="24"/>
      <c r="J324" s="26"/>
    </row>
    <row r="325" ht="15.75" customHeight="1">
      <c r="A325" s="24"/>
      <c r="B325" s="24"/>
      <c r="C325" s="24"/>
      <c r="D325" s="24"/>
      <c r="E325" s="24"/>
      <c r="J325" s="26"/>
    </row>
    <row r="326" ht="15.75" customHeight="1">
      <c r="A326" s="24"/>
      <c r="B326" s="24"/>
      <c r="C326" s="24"/>
      <c r="D326" s="24"/>
      <c r="E326" s="24"/>
      <c r="J326" s="26"/>
    </row>
    <row r="327" ht="15.75" customHeight="1">
      <c r="A327" s="24"/>
      <c r="B327" s="24"/>
      <c r="C327" s="24"/>
      <c r="D327" s="24"/>
      <c r="E327" s="24"/>
      <c r="J327" s="26"/>
    </row>
    <row r="328" ht="15.75" customHeight="1">
      <c r="A328" s="24"/>
      <c r="B328" s="24"/>
      <c r="C328" s="24"/>
      <c r="D328" s="24"/>
      <c r="E328" s="24"/>
      <c r="J328" s="26"/>
    </row>
    <row r="329" ht="15.75" customHeight="1">
      <c r="A329" s="24"/>
      <c r="B329" s="24"/>
      <c r="C329" s="24"/>
      <c r="D329" s="24"/>
      <c r="E329" s="24"/>
      <c r="J329" s="26"/>
    </row>
    <row r="330" ht="15.75" customHeight="1">
      <c r="A330" s="24"/>
      <c r="B330" s="24"/>
      <c r="C330" s="24"/>
      <c r="D330" s="24"/>
      <c r="E330" s="24"/>
      <c r="J330" s="26"/>
    </row>
    <row r="331" ht="15.75" customHeight="1">
      <c r="A331" s="24"/>
      <c r="B331" s="24"/>
      <c r="C331" s="24"/>
      <c r="D331" s="24"/>
      <c r="E331" s="24"/>
      <c r="J331" s="26"/>
    </row>
    <row r="332" ht="15.75" customHeight="1">
      <c r="A332" s="24"/>
      <c r="B332" s="24"/>
      <c r="C332" s="24"/>
      <c r="D332" s="24"/>
      <c r="E332" s="24"/>
      <c r="J332" s="26"/>
    </row>
    <row r="333" ht="15.75" customHeight="1">
      <c r="A333" s="24"/>
      <c r="B333" s="24"/>
      <c r="C333" s="24"/>
      <c r="D333" s="24"/>
      <c r="E333" s="24"/>
      <c r="J333" s="26"/>
    </row>
    <row r="334" ht="15.75" customHeight="1">
      <c r="A334" s="24"/>
      <c r="B334" s="24"/>
      <c r="C334" s="24"/>
      <c r="D334" s="24"/>
      <c r="E334" s="24"/>
      <c r="J334" s="26"/>
    </row>
    <row r="335" ht="15.75" customHeight="1">
      <c r="A335" s="24"/>
      <c r="B335" s="24"/>
      <c r="C335" s="24"/>
      <c r="D335" s="24"/>
      <c r="E335" s="24"/>
      <c r="J335" s="26"/>
    </row>
    <row r="336" ht="15.75" customHeight="1">
      <c r="A336" s="24"/>
      <c r="B336" s="24"/>
      <c r="C336" s="24"/>
      <c r="D336" s="24"/>
      <c r="E336" s="24"/>
      <c r="J336" s="26"/>
    </row>
    <row r="337" ht="15.75" customHeight="1">
      <c r="A337" s="24"/>
      <c r="B337" s="24"/>
      <c r="C337" s="24"/>
      <c r="D337" s="24"/>
      <c r="E337" s="24"/>
      <c r="J337" s="26"/>
    </row>
    <row r="338" ht="15.75" customHeight="1">
      <c r="A338" s="24"/>
      <c r="B338" s="24"/>
      <c r="C338" s="24"/>
      <c r="D338" s="24"/>
      <c r="E338" s="24"/>
      <c r="J338" s="26"/>
    </row>
    <row r="339" ht="15.75" customHeight="1">
      <c r="A339" s="24"/>
      <c r="B339" s="24"/>
      <c r="C339" s="24"/>
      <c r="D339" s="24"/>
      <c r="E339" s="24"/>
      <c r="J339" s="26"/>
    </row>
    <row r="340" ht="15.75" customHeight="1">
      <c r="A340" s="24"/>
      <c r="B340" s="24"/>
      <c r="C340" s="24"/>
      <c r="D340" s="24"/>
      <c r="E340" s="24"/>
      <c r="J340" s="26"/>
    </row>
    <row r="341" ht="15.75" customHeight="1">
      <c r="A341" s="24"/>
      <c r="B341" s="24"/>
      <c r="C341" s="24"/>
      <c r="D341" s="24"/>
      <c r="E341" s="24"/>
      <c r="J341" s="26"/>
    </row>
    <row r="342" ht="15.75" customHeight="1">
      <c r="A342" s="24"/>
      <c r="B342" s="24"/>
      <c r="C342" s="24"/>
      <c r="D342" s="24"/>
      <c r="E342" s="24"/>
      <c r="J342" s="26"/>
    </row>
    <row r="343" ht="15.75" customHeight="1">
      <c r="A343" s="24"/>
      <c r="B343" s="24"/>
      <c r="C343" s="24"/>
      <c r="D343" s="24"/>
      <c r="E343" s="24"/>
      <c r="J343" s="26"/>
    </row>
    <row r="344" ht="15.75" customHeight="1">
      <c r="A344" s="24"/>
      <c r="B344" s="24"/>
      <c r="C344" s="24"/>
      <c r="D344" s="24"/>
      <c r="E344" s="24"/>
      <c r="J344" s="26"/>
    </row>
    <row r="345" ht="15.75" customHeight="1">
      <c r="A345" s="24"/>
      <c r="B345" s="24"/>
      <c r="C345" s="24"/>
      <c r="D345" s="24"/>
      <c r="E345" s="24"/>
      <c r="J345" s="26"/>
    </row>
    <row r="346" ht="15.75" customHeight="1">
      <c r="A346" s="24"/>
      <c r="B346" s="24"/>
      <c r="C346" s="24"/>
      <c r="D346" s="24"/>
      <c r="E346" s="24"/>
      <c r="J346" s="26"/>
    </row>
    <row r="347" ht="15.75" customHeight="1">
      <c r="A347" s="24"/>
      <c r="B347" s="24"/>
      <c r="C347" s="24"/>
      <c r="D347" s="24"/>
      <c r="E347" s="24"/>
      <c r="J347" s="26"/>
    </row>
    <row r="348" ht="15.75" customHeight="1">
      <c r="A348" s="24"/>
      <c r="B348" s="24"/>
      <c r="C348" s="24"/>
      <c r="D348" s="24"/>
      <c r="E348" s="24"/>
      <c r="J348" s="26"/>
    </row>
    <row r="349" ht="15.75" customHeight="1">
      <c r="A349" s="24"/>
      <c r="B349" s="24"/>
      <c r="C349" s="24"/>
      <c r="D349" s="24"/>
      <c r="E349" s="24"/>
      <c r="J349" s="26"/>
    </row>
    <row r="350" ht="15.75" customHeight="1">
      <c r="A350" s="24"/>
      <c r="B350" s="24"/>
      <c r="C350" s="24"/>
      <c r="D350" s="24"/>
      <c r="E350" s="24"/>
      <c r="J350" s="26"/>
    </row>
    <row r="351" ht="15.75" customHeight="1">
      <c r="A351" s="24"/>
      <c r="B351" s="24"/>
      <c r="C351" s="24"/>
      <c r="D351" s="24"/>
      <c r="E351" s="24"/>
      <c r="J351" s="26"/>
    </row>
    <row r="352" ht="15.75" customHeight="1">
      <c r="A352" s="24"/>
      <c r="B352" s="24"/>
      <c r="C352" s="24"/>
      <c r="D352" s="24"/>
      <c r="E352" s="24"/>
      <c r="J352" s="26"/>
    </row>
    <row r="353" ht="15.75" customHeight="1">
      <c r="A353" s="24"/>
      <c r="B353" s="24"/>
      <c r="C353" s="24"/>
      <c r="D353" s="24"/>
      <c r="E353" s="24"/>
      <c r="J353" s="26"/>
    </row>
    <row r="354" ht="15.75" customHeight="1">
      <c r="A354" s="24"/>
      <c r="B354" s="24"/>
      <c r="C354" s="24"/>
      <c r="D354" s="24"/>
      <c r="E354" s="24"/>
      <c r="J354" s="26"/>
    </row>
    <row r="355" ht="15.75" customHeight="1">
      <c r="A355" s="24"/>
      <c r="B355" s="24"/>
      <c r="C355" s="24"/>
      <c r="D355" s="24"/>
      <c r="E355" s="24"/>
      <c r="J355" s="26"/>
    </row>
    <row r="356" ht="15.75" customHeight="1">
      <c r="A356" s="24"/>
      <c r="B356" s="24"/>
      <c r="C356" s="24"/>
      <c r="D356" s="24"/>
      <c r="E356" s="24"/>
      <c r="J356" s="26"/>
    </row>
    <row r="357" ht="15.75" customHeight="1">
      <c r="A357" s="24"/>
      <c r="B357" s="24"/>
      <c r="C357" s="24"/>
      <c r="D357" s="24"/>
      <c r="E357" s="24"/>
      <c r="J357" s="26"/>
    </row>
    <row r="358" ht="15.75" customHeight="1">
      <c r="A358" s="24"/>
      <c r="B358" s="24"/>
      <c r="C358" s="24"/>
      <c r="D358" s="24"/>
      <c r="E358" s="24"/>
      <c r="J358" s="26"/>
    </row>
    <row r="359" ht="15.75" customHeight="1">
      <c r="A359" s="24"/>
      <c r="B359" s="24"/>
      <c r="C359" s="24"/>
      <c r="D359" s="24"/>
      <c r="E359" s="24"/>
      <c r="J359" s="26"/>
    </row>
    <row r="360" ht="15.75" customHeight="1">
      <c r="A360" s="24"/>
      <c r="B360" s="24"/>
      <c r="C360" s="24"/>
      <c r="D360" s="24"/>
      <c r="E360" s="24"/>
      <c r="J360" s="26"/>
    </row>
    <row r="361" ht="15.75" customHeight="1">
      <c r="A361" s="24"/>
      <c r="B361" s="24"/>
      <c r="C361" s="24"/>
      <c r="D361" s="24"/>
      <c r="E361" s="24"/>
      <c r="J361" s="26"/>
    </row>
    <row r="362" ht="15.75" customHeight="1">
      <c r="A362" s="24"/>
      <c r="B362" s="24"/>
      <c r="C362" s="24"/>
      <c r="D362" s="24"/>
      <c r="E362" s="24"/>
      <c r="J362" s="26"/>
    </row>
    <row r="363" ht="15.75" customHeight="1">
      <c r="A363" s="24"/>
      <c r="B363" s="24"/>
      <c r="C363" s="24"/>
      <c r="D363" s="24"/>
      <c r="E363" s="24"/>
      <c r="J363" s="26"/>
    </row>
    <row r="364" ht="15.75" customHeight="1">
      <c r="A364" s="24"/>
      <c r="B364" s="24"/>
      <c r="C364" s="24"/>
      <c r="D364" s="24"/>
      <c r="E364" s="24"/>
      <c r="J364" s="26"/>
    </row>
    <row r="365" ht="15.75" customHeight="1">
      <c r="A365" s="24"/>
      <c r="B365" s="24"/>
      <c r="C365" s="24"/>
      <c r="D365" s="24"/>
      <c r="E365" s="24"/>
      <c r="J365" s="26"/>
    </row>
    <row r="366" ht="15.75" customHeight="1">
      <c r="A366" s="24"/>
      <c r="B366" s="24"/>
      <c r="C366" s="24"/>
      <c r="D366" s="24"/>
      <c r="E366" s="24"/>
      <c r="J366" s="26"/>
    </row>
    <row r="367" ht="15.75" customHeight="1">
      <c r="A367" s="24"/>
      <c r="B367" s="24"/>
      <c r="C367" s="24"/>
      <c r="D367" s="24"/>
      <c r="E367" s="24"/>
      <c r="J367" s="26"/>
    </row>
    <row r="368" ht="15.75" customHeight="1">
      <c r="A368" s="24"/>
      <c r="B368" s="24"/>
      <c r="C368" s="24"/>
      <c r="D368" s="24"/>
      <c r="E368" s="24"/>
      <c r="J368" s="26"/>
    </row>
    <row r="369" ht="15.75" customHeight="1">
      <c r="A369" s="24"/>
      <c r="B369" s="24"/>
      <c r="C369" s="24"/>
      <c r="D369" s="24"/>
      <c r="E369" s="24"/>
      <c r="J369" s="26"/>
    </row>
    <row r="370" ht="15.75" customHeight="1">
      <c r="A370" s="24"/>
      <c r="B370" s="24"/>
      <c r="C370" s="24"/>
      <c r="D370" s="24"/>
      <c r="E370" s="24"/>
      <c r="J370" s="26"/>
    </row>
    <row r="371" ht="15.75" customHeight="1">
      <c r="A371" s="24"/>
      <c r="B371" s="24"/>
      <c r="C371" s="24"/>
      <c r="D371" s="24"/>
      <c r="E371" s="24"/>
      <c r="J371" s="26"/>
    </row>
    <row r="372" ht="15.75" customHeight="1">
      <c r="A372" s="24"/>
      <c r="B372" s="24"/>
      <c r="C372" s="24"/>
      <c r="D372" s="24"/>
      <c r="E372" s="24"/>
      <c r="J372" s="26"/>
    </row>
    <row r="373" ht="15.75" customHeight="1">
      <c r="A373" s="24"/>
      <c r="B373" s="24"/>
      <c r="C373" s="24"/>
      <c r="D373" s="24"/>
      <c r="E373" s="24"/>
      <c r="J373" s="26"/>
    </row>
    <row r="374" ht="15.75" customHeight="1">
      <c r="A374" s="24"/>
      <c r="B374" s="24"/>
      <c r="C374" s="24"/>
      <c r="D374" s="24"/>
      <c r="E374" s="24"/>
      <c r="J374" s="26"/>
    </row>
    <row r="375" ht="15.75" customHeight="1">
      <c r="A375" s="24"/>
      <c r="B375" s="24"/>
      <c r="C375" s="24"/>
      <c r="D375" s="24"/>
      <c r="E375" s="24"/>
      <c r="J375" s="26"/>
    </row>
    <row r="376" ht="15.75" customHeight="1">
      <c r="A376" s="24"/>
      <c r="B376" s="24"/>
      <c r="C376" s="24"/>
      <c r="D376" s="24"/>
      <c r="E376" s="24"/>
      <c r="J376" s="26"/>
    </row>
    <row r="377" ht="15.75" customHeight="1">
      <c r="A377" s="24"/>
      <c r="B377" s="24"/>
      <c r="C377" s="24"/>
      <c r="D377" s="24"/>
      <c r="E377" s="24"/>
      <c r="J377" s="26"/>
    </row>
    <row r="378" ht="15.75" customHeight="1">
      <c r="A378" s="24"/>
      <c r="B378" s="24"/>
      <c r="C378" s="24"/>
      <c r="D378" s="24"/>
      <c r="E378" s="24"/>
      <c r="J378" s="26"/>
    </row>
    <row r="379" ht="15.75" customHeight="1">
      <c r="A379" s="24"/>
      <c r="B379" s="24"/>
      <c r="C379" s="24"/>
      <c r="D379" s="24"/>
      <c r="E379" s="24"/>
      <c r="J379" s="26"/>
    </row>
    <row r="380" ht="15.75" customHeight="1">
      <c r="A380" s="24"/>
      <c r="B380" s="24"/>
      <c r="C380" s="24"/>
      <c r="D380" s="24"/>
      <c r="E380" s="24"/>
      <c r="J380" s="26"/>
    </row>
    <row r="381" ht="15.75" customHeight="1">
      <c r="A381" s="24"/>
      <c r="B381" s="24"/>
      <c r="C381" s="24"/>
      <c r="D381" s="24"/>
      <c r="E381" s="24"/>
      <c r="J381" s="26"/>
    </row>
    <row r="382" ht="15.75" customHeight="1">
      <c r="A382" s="24"/>
      <c r="B382" s="24"/>
      <c r="C382" s="24"/>
      <c r="D382" s="24"/>
      <c r="E382" s="24"/>
      <c r="J382" s="26"/>
    </row>
    <row r="383" ht="15.75" customHeight="1">
      <c r="A383" s="24"/>
      <c r="B383" s="24"/>
      <c r="C383" s="24"/>
      <c r="D383" s="24"/>
      <c r="E383" s="24"/>
      <c r="J383" s="26"/>
    </row>
    <row r="384" ht="15.75" customHeight="1">
      <c r="A384" s="24"/>
      <c r="B384" s="24"/>
      <c r="C384" s="24"/>
      <c r="D384" s="24"/>
      <c r="E384" s="24"/>
      <c r="J384" s="26"/>
    </row>
    <row r="385" ht="15.75" customHeight="1">
      <c r="A385" s="24"/>
      <c r="B385" s="24"/>
      <c r="C385" s="24"/>
      <c r="D385" s="24"/>
      <c r="E385" s="24"/>
      <c r="J385" s="26"/>
    </row>
    <row r="386" ht="15.75" customHeight="1">
      <c r="A386" s="24"/>
      <c r="B386" s="24"/>
      <c r="C386" s="24"/>
      <c r="D386" s="24"/>
      <c r="E386" s="24"/>
      <c r="J386" s="26"/>
    </row>
    <row r="387" ht="15.75" customHeight="1">
      <c r="A387" s="24"/>
      <c r="B387" s="24"/>
      <c r="C387" s="24"/>
      <c r="D387" s="24"/>
      <c r="E387" s="24"/>
      <c r="J387" s="26"/>
    </row>
    <row r="388" ht="15.75" customHeight="1">
      <c r="A388" s="24"/>
      <c r="B388" s="24"/>
      <c r="C388" s="24"/>
      <c r="D388" s="24"/>
      <c r="E388" s="24"/>
      <c r="J388" s="26"/>
    </row>
    <row r="389" ht="15.75" customHeight="1">
      <c r="A389" s="24"/>
      <c r="B389" s="24"/>
      <c r="C389" s="24"/>
      <c r="D389" s="24"/>
      <c r="E389" s="24"/>
      <c r="J389" s="26"/>
    </row>
    <row r="390" ht="15.75" customHeight="1">
      <c r="A390" s="24"/>
      <c r="B390" s="24"/>
      <c r="C390" s="24"/>
      <c r="D390" s="24"/>
      <c r="E390" s="24"/>
      <c r="J390" s="26"/>
    </row>
    <row r="391" ht="15.75" customHeight="1">
      <c r="A391" s="24"/>
      <c r="B391" s="24"/>
      <c r="C391" s="24"/>
      <c r="D391" s="24"/>
      <c r="E391" s="24"/>
      <c r="J391" s="26"/>
    </row>
    <row r="392" ht="15.75" customHeight="1">
      <c r="A392" s="24"/>
      <c r="B392" s="24"/>
      <c r="C392" s="24"/>
      <c r="D392" s="24"/>
      <c r="E392" s="24"/>
      <c r="J392" s="26"/>
    </row>
    <row r="393" ht="15.75" customHeight="1">
      <c r="A393" s="24"/>
      <c r="B393" s="24"/>
      <c r="C393" s="24"/>
      <c r="D393" s="24"/>
      <c r="E393" s="24"/>
      <c r="J393" s="26"/>
    </row>
    <row r="394" ht="15.75" customHeight="1">
      <c r="A394" s="24"/>
      <c r="B394" s="24"/>
      <c r="C394" s="24"/>
      <c r="D394" s="24"/>
      <c r="E394" s="24"/>
      <c r="J394" s="26"/>
    </row>
    <row r="395" ht="15.75" customHeight="1">
      <c r="A395" s="24"/>
      <c r="B395" s="24"/>
      <c r="C395" s="24"/>
      <c r="D395" s="24"/>
      <c r="E395" s="24"/>
      <c r="J395" s="26"/>
    </row>
    <row r="396" ht="15.75" customHeight="1">
      <c r="A396" s="24"/>
      <c r="B396" s="24"/>
      <c r="C396" s="24"/>
      <c r="D396" s="24"/>
      <c r="E396" s="24"/>
      <c r="J396" s="26"/>
    </row>
    <row r="397" ht="15.75" customHeight="1">
      <c r="A397" s="24"/>
      <c r="B397" s="24"/>
      <c r="C397" s="24"/>
      <c r="D397" s="24"/>
      <c r="E397" s="24"/>
      <c r="J397" s="26"/>
    </row>
    <row r="398" ht="15.75" customHeight="1">
      <c r="A398" s="24"/>
      <c r="B398" s="24"/>
      <c r="C398" s="24"/>
      <c r="D398" s="24"/>
      <c r="E398" s="24"/>
      <c r="J398" s="26"/>
    </row>
    <row r="399" ht="15.75" customHeight="1">
      <c r="A399" s="24"/>
      <c r="B399" s="24"/>
      <c r="C399" s="24"/>
      <c r="D399" s="24"/>
      <c r="E399" s="24"/>
      <c r="J399" s="26"/>
    </row>
    <row r="400" ht="15.75" customHeight="1">
      <c r="A400" s="24"/>
      <c r="B400" s="24"/>
      <c r="C400" s="24"/>
      <c r="D400" s="24"/>
      <c r="E400" s="24"/>
      <c r="J400" s="26"/>
    </row>
    <row r="401" ht="15.75" customHeight="1">
      <c r="A401" s="24"/>
      <c r="B401" s="24"/>
      <c r="C401" s="24"/>
      <c r="D401" s="24"/>
      <c r="E401" s="24"/>
      <c r="J401" s="26"/>
    </row>
    <row r="402" ht="15.75" customHeight="1">
      <c r="A402" s="24"/>
      <c r="B402" s="24"/>
      <c r="C402" s="24"/>
      <c r="D402" s="24"/>
      <c r="E402" s="24"/>
      <c r="J402" s="26"/>
    </row>
    <row r="403" ht="15.75" customHeight="1">
      <c r="A403" s="24"/>
      <c r="B403" s="24"/>
      <c r="C403" s="24"/>
      <c r="D403" s="24"/>
      <c r="E403" s="24"/>
      <c r="J403" s="26"/>
    </row>
    <row r="404" ht="15.75" customHeight="1">
      <c r="A404" s="24"/>
      <c r="B404" s="24"/>
      <c r="C404" s="24"/>
      <c r="D404" s="24"/>
      <c r="E404" s="24"/>
      <c r="J404" s="26"/>
    </row>
    <row r="405" ht="15.75" customHeight="1">
      <c r="A405" s="24"/>
      <c r="B405" s="24"/>
      <c r="C405" s="24"/>
      <c r="D405" s="24"/>
      <c r="E405" s="24"/>
      <c r="J405" s="26"/>
    </row>
    <row r="406" ht="15.75" customHeight="1">
      <c r="A406" s="24"/>
      <c r="B406" s="24"/>
      <c r="C406" s="24"/>
      <c r="D406" s="24"/>
      <c r="E406" s="24"/>
      <c r="J406" s="26"/>
    </row>
    <row r="407" ht="15.75" customHeight="1">
      <c r="A407" s="24"/>
      <c r="B407" s="24"/>
      <c r="C407" s="24"/>
      <c r="D407" s="24"/>
      <c r="E407" s="24"/>
      <c r="J407" s="26"/>
    </row>
    <row r="408" ht="15.75" customHeight="1">
      <c r="A408" s="24"/>
      <c r="B408" s="24"/>
      <c r="C408" s="24"/>
      <c r="D408" s="24"/>
      <c r="E408" s="24"/>
      <c r="J408" s="26"/>
    </row>
    <row r="409" ht="15.75" customHeight="1">
      <c r="A409" s="24"/>
      <c r="B409" s="24"/>
      <c r="C409" s="24"/>
      <c r="D409" s="24"/>
      <c r="E409" s="24"/>
      <c r="J409" s="26"/>
    </row>
    <row r="410" ht="15.75" customHeight="1">
      <c r="A410" s="24"/>
      <c r="B410" s="24"/>
      <c r="C410" s="24"/>
      <c r="D410" s="24"/>
      <c r="E410" s="24"/>
      <c r="J410" s="26"/>
    </row>
    <row r="411" ht="15.75" customHeight="1">
      <c r="A411" s="24"/>
      <c r="B411" s="24"/>
      <c r="C411" s="24"/>
      <c r="D411" s="24"/>
      <c r="E411" s="24"/>
      <c r="J411" s="26"/>
    </row>
    <row r="412" ht="15.75" customHeight="1">
      <c r="A412" s="24"/>
      <c r="B412" s="24"/>
      <c r="C412" s="24"/>
      <c r="D412" s="24"/>
      <c r="E412" s="24"/>
      <c r="J412" s="26"/>
    </row>
    <row r="413" ht="15.75" customHeight="1">
      <c r="A413" s="24"/>
      <c r="B413" s="24"/>
      <c r="C413" s="24"/>
      <c r="D413" s="24"/>
      <c r="E413" s="24"/>
      <c r="J413" s="26"/>
    </row>
    <row r="414" ht="15.75" customHeight="1">
      <c r="A414" s="24"/>
      <c r="B414" s="24"/>
      <c r="C414" s="24"/>
      <c r="D414" s="24"/>
      <c r="E414" s="24"/>
      <c r="J414" s="26"/>
    </row>
    <row r="415" ht="15.75" customHeight="1">
      <c r="A415" s="24"/>
      <c r="B415" s="24"/>
      <c r="C415" s="24"/>
      <c r="D415" s="24"/>
      <c r="E415" s="24"/>
      <c r="J415" s="26"/>
    </row>
    <row r="416" ht="15.75" customHeight="1">
      <c r="A416" s="24"/>
      <c r="B416" s="24"/>
      <c r="C416" s="24"/>
      <c r="D416" s="24"/>
      <c r="E416" s="24"/>
      <c r="J416" s="26"/>
    </row>
    <row r="417" ht="15.75" customHeight="1">
      <c r="A417" s="24"/>
      <c r="B417" s="24"/>
      <c r="C417" s="24"/>
      <c r="D417" s="24"/>
      <c r="E417" s="24"/>
      <c r="J417" s="26"/>
    </row>
    <row r="418" ht="15.75" customHeight="1">
      <c r="A418" s="24"/>
      <c r="B418" s="24"/>
      <c r="C418" s="24"/>
      <c r="D418" s="24"/>
      <c r="E418" s="24"/>
      <c r="J418" s="26"/>
    </row>
    <row r="419" ht="15.75" customHeight="1">
      <c r="A419" s="24"/>
      <c r="B419" s="24"/>
      <c r="C419" s="24"/>
      <c r="D419" s="24"/>
      <c r="E419" s="24"/>
      <c r="J419" s="26"/>
    </row>
    <row r="420" ht="15.75" customHeight="1">
      <c r="A420" s="24"/>
      <c r="B420" s="24"/>
      <c r="C420" s="24"/>
      <c r="D420" s="24"/>
      <c r="E420" s="24"/>
      <c r="J420" s="26"/>
    </row>
    <row r="421" ht="15.75" customHeight="1">
      <c r="A421" s="24"/>
      <c r="B421" s="24"/>
      <c r="C421" s="24"/>
      <c r="D421" s="24"/>
      <c r="E421" s="24"/>
      <c r="J421" s="26"/>
    </row>
    <row r="422" ht="15.75" customHeight="1">
      <c r="A422" s="24"/>
      <c r="B422" s="24"/>
      <c r="C422" s="24"/>
      <c r="D422" s="24"/>
      <c r="E422" s="24"/>
      <c r="J422" s="26"/>
    </row>
    <row r="423" ht="15.75" customHeight="1">
      <c r="A423" s="24"/>
      <c r="B423" s="24"/>
      <c r="C423" s="24"/>
      <c r="D423" s="24"/>
      <c r="E423" s="24"/>
      <c r="J423" s="26"/>
    </row>
    <row r="424" ht="15.75" customHeight="1">
      <c r="A424" s="24"/>
      <c r="B424" s="24"/>
      <c r="C424" s="24"/>
      <c r="D424" s="24"/>
      <c r="E424" s="24"/>
      <c r="J424" s="26"/>
    </row>
    <row r="425" ht="15.75" customHeight="1">
      <c r="A425" s="24"/>
      <c r="B425" s="24"/>
      <c r="C425" s="24"/>
      <c r="D425" s="24"/>
      <c r="E425" s="24"/>
      <c r="J425" s="26"/>
    </row>
    <row r="426" ht="15.75" customHeight="1">
      <c r="A426" s="24"/>
      <c r="B426" s="24"/>
      <c r="C426" s="24"/>
      <c r="D426" s="24"/>
      <c r="E426" s="24"/>
      <c r="J426" s="26"/>
    </row>
    <row r="427" ht="15.75" customHeight="1">
      <c r="A427" s="24"/>
      <c r="B427" s="24"/>
      <c r="C427" s="24"/>
      <c r="D427" s="24"/>
      <c r="E427" s="24"/>
      <c r="J427" s="26"/>
    </row>
    <row r="428" ht="15.75" customHeight="1">
      <c r="A428" s="24"/>
      <c r="B428" s="24"/>
      <c r="C428" s="24"/>
      <c r="D428" s="24"/>
      <c r="E428" s="24"/>
      <c r="J428" s="26"/>
    </row>
    <row r="429" ht="15.75" customHeight="1">
      <c r="A429" s="24"/>
      <c r="B429" s="24"/>
      <c r="C429" s="24"/>
      <c r="D429" s="24"/>
      <c r="E429" s="24"/>
      <c r="J429" s="26"/>
    </row>
    <row r="430" ht="15.75" customHeight="1">
      <c r="A430" s="24"/>
      <c r="B430" s="24"/>
      <c r="C430" s="24"/>
      <c r="D430" s="24"/>
      <c r="E430" s="24"/>
      <c r="J430" s="26"/>
    </row>
    <row r="431" ht="15.75" customHeight="1">
      <c r="A431" s="24"/>
      <c r="B431" s="24"/>
      <c r="C431" s="24"/>
      <c r="D431" s="24"/>
      <c r="E431" s="24"/>
      <c r="J431" s="26"/>
    </row>
    <row r="432" ht="15.75" customHeight="1">
      <c r="A432" s="24"/>
      <c r="B432" s="24"/>
      <c r="C432" s="24"/>
      <c r="D432" s="24"/>
      <c r="E432" s="24"/>
      <c r="J432" s="26"/>
    </row>
    <row r="433" ht="15.75" customHeight="1">
      <c r="A433" s="24"/>
      <c r="B433" s="24"/>
      <c r="C433" s="24"/>
      <c r="D433" s="24"/>
      <c r="E433" s="24"/>
      <c r="J433" s="26"/>
    </row>
    <row r="434" ht="15.75" customHeight="1">
      <c r="A434" s="24"/>
      <c r="B434" s="24"/>
      <c r="C434" s="24"/>
      <c r="D434" s="24"/>
      <c r="E434" s="24"/>
      <c r="J434" s="26"/>
    </row>
    <row r="435" ht="15.75" customHeight="1">
      <c r="A435" s="24"/>
      <c r="B435" s="24"/>
      <c r="C435" s="24"/>
      <c r="D435" s="24"/>
      <c r="E435" s="24"/>
      <c r="J435" s="26"/>
    </row>
    <row r="436" ht="15.75" customHeight="1">
      <c r="A436" s="24"/>
      <c r="B436" s="24"/>
      <c r="C436" s="24"/>
      <c r="D436" s="24"/>
      <c r="E436" s="24"/>
      <c r="J436" s="26"/>
    </row>
    <row r="437" ht="15.75" customHeight="1">
      <c r="A437" s="24"/>
      <c r="B437" s="24"/>
      <c r="C437" s="24"/>
      <c r="D437" s="24"/>
      <c r="E437" s="24"/>
      <c r="J437" s="26"/>
    </row>
    <row r="438" ht="15.75" customHeight="1">
      <c r="A438" s="24"/>
      <c r="B438" s="24"/>
      <c r="C438" s="24"/>
      <c r="D438" s="24"/>
      <c r="E438" s="24"/>
      <c r="J438" s="26"/>
    </row>
    <row r="439" ht="15.75" customHeight="1">
      <c r="A439" s="24"/>
      <c r="B439" s="24"/>
      <c r="C439" s="24"/>
      <c r="D439" s="24"/>
      <c r="E439" s="24"/>
      <c r="J439" s="26"/>
    </row>
    <row r="440" ht="15.75" customHeight="1">
      <c r="A440" s="24"/>
      <c r="B440" s="24"/>
      <c r="C440" s="24"/>
      <c r="D440" s="24"/>
      <c r="E440" s="24"/>
      <c r="J440" s="26"/>
    </row>
    <row r="441" ht="15.75" customHeight="1">
      <c r="A441" s="24"/>
      <c r="B441" s="24"/>
      <c r="C441" s="24"/>
      <c r="D441" s="24"/>
      <c r="E441" s="24"/>
      <c r="J441" s="26"/>
    </row>
    <row r="442" ht="15.75" customHeight="1">
      <c r="A442" s="24"/>
      <c r="B442" s="24"/>
      <c r="C442" s="24"/>
      <c r="D442" s="24"/>
      <c r="E442" s="24"/>
      <c r="J442" s="26"/>
    </row>
    <row r="443" ht="15.75" customHeight="1">
      <c r="A443" s="24"/>
      <c r="B443" s="24"/>
      <c r="C443" s="24"/>
      <c r="D443" s="24"/>
      <c r="E443" s="24"/>
      <c r="J443" s="26"/>
    </row>
    <row r="444" ht="15.75" customHeight="1">
      <c r="A444" s="24"/>
      <c r="B444" s="24"/>
      <c r="C444" s="24"/>
      <c r="D444" s="24"/>
      <c r="E444" s="24"/>
      <c r="J444" s="26"/>
    </row>
    <row r="445" ht="15.75" customHeight="1">
      <c r="A445" s="24"/>
      <c r="B445" s="24"/>
      <c r="C445" s="24"/>
      <c r="D445" s="24"/>
      <c r="E445" s="24"/>
      <c r="J445" s="26"/>
    </row>
    <row r="446" ht="15.75" customHeight="1">
      <c r="A446" s="24"/>
      <c r="B446" s="24"/>
      <c r="C446" s="24"/>
      <c r="D446" s="24"/>
      <c r="E446" s="24"/>
      <c r="J446" s="26"/>
    </row>
    <row r="447" ht="15.75" customHeight="1">
      <c r="A447" s="24"/>
      <c r="B447" s="24"/>
      <c r="C447" s="24"/>
      <c r="D447" s="24"/>
      <c r="E447" s="24"/>
      <c r="J447" s="26"/>
    </row>
    <row r="448" ht="15.75" customHeight="1">
      <c r="A448" s="24"/>
      <c r="B448" s="24"/>
      <c r="C448" s="24"/>
      <c r="D448" s="24"/>
      <c r="E448" s="24"/>
      <c r="J448" s="26"/>
    </row>
    <row r="449" ht="15.75" customHeight="1">
      <c r="A449" s="24"/>
      <c r="B449" s="24"/>
      <c r="C449" s="24"/>
      <c r="D449" s="24"/>
      <c r="E449" s="24"/>
      <c r="J449" s="26"/>
    </row>
    <row r="450" ht="15.75" customHeight="1">
      <c r="A450" s="24"/>
      <c r="B450" s="24"/>
      <c r="C450" s="24"/>
      <c r="D450" s="24"/>
      <c r="E450" s="24"/>
      <c r="J450" s="26"/>
    </row>
    <row r="451" ht="15.75" customHeight="1">
      <c r="A451" s="24"/>
      <c r="B451" s="24"/>
      <c r="C451" s="24"/>
      <c r="D451" s="24"/>
      <c r="E451" s="24"/>
      <c r="J451" s="26"/>
    </row>
    <row r="452" ht="15.75" customHeight="1">
      <c r="A452" s="24"/>
      <c r="B452" s="24"/>
      <c r="C452" s="24"/>
      <c r="D452" s="24"/>
      <c r="E452" s="24"/>
      <c r="J452" s="26"/>
    </row>
    <row r="453" ht="15.75" customHeight="1">
      <c r="A453" s="24"/>
      <c r="B453" s="24"/>
      <c r="C453" s="24"/>
      <c r="D453" s="24"/>
      <c r="E453" s="24"/>
      <c r="J453" s="26"/>
    </row>
    <row r="454" ht="15.75" customHeight="1">
      <c r="J454" s="26"/>
    </row>
    <row r="455" ht="15.75" customHeight="1">
      <c r="J455" s="26"/>
    </row>
    <row r="456" ht="15.75" customHeight="1">
      <c r="J456" s="26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D221:D247"/>
    <mergeCell ref="D248:D274"/>
    <mergeCell ref="D275:D301"/>
    <mergeCell ref="E167:E193"/>
    <mergeCell ref="E194:E220"/>
    <mergeCell ref="E221:E247"/>
    <mergeCell ref="E248:E274"/>
    <mergeCell ref="E275:E301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J275:J301"/>
    <mergeCell ref="D302:I302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4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82</v>
      </c>
      <c r="F5" s="47" t="s">
        <v>22</v>
      </c>
      <c r="G5" s="48"/>
      <c r="H5" s="49">
        <f>VLOOKUP(F5,$A$4:$B$4,2,TRUE)</f>
        <v>4500</v>
      </c>
      <c r="I5" s="50">
        <f t="shared" ref="I5:I382" si="1">G5*H5</f>
        <v>0</v>
      </c>
      <c r="J5" s="51">
        <f>SUM(I5:I31)</f>
        <v>25250</v>
      </c>
      <c r="K5" s="25"/>
      <c r="L5" s="47" t="s">
        <v>22</v>
      </c>
      <c r="M5" s="43">
        <f>SUMIF(F5:F382,"Gelas bersih",G5:G382)</f>
        <v>2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/>
      <c r="H6" s="53">
        <f>VLOOKUP(F6,$A$5:$B$5,2,TRUE)</f>
        <v>3000</v>
      </c>
      <c r="I6" s="50">
        <f t="shared" si="1"/>
        <v>0</v>
      </c>
      <c r="J6" s="52"/>
      <c r="K6" s="25"/>
      <c r="L6" s="47" t="s">
        <v>57</v>
      </c>
      <c r="M6" s="43">
        <f>SUMIF(F6:F383,"Botol bersih",G6:G383)</f>
        <v>22</v>
      </c>
      <c r="N6" s="25"/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SUMIF(F7:F383,"Botol Warna",G7:G383)</f>
        <v>0</v>
      </c>
      <c r="N7" s="25"/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/>
      <c r="H8" s="53">
        <f>VLOOKUP(F8,$A$7:$B$7,2,TRUE)</f>
        <v>2800</v>
      </c>
      <c r="I8" s="50">
        <f t="shared" si="1"/>
        <v>0</v>
      </c>
      <c r="J8" s="52"/>
      <c r="K8" s="25"/>
      <c r="L8" s="47" t="s">
        <v>25</v>
      </c>
      <c r="M8" s="43">
        <f>SUMIF(F8:F384,"Tutup botol",G8:G384)</f>
        <v>1</v>
      </c>
      <c r="N8" s="25"/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/>
      <c r="H9" s="53">
        <f>VLOOKUP(F9,$A$8:$B$8,2,TRUE)</f>
        <v>3500</v>
      </c>
      <c r="I9" s="50">
        <f t="shared" si="1"/>
        <v>0</v>
      </c>
      <c r="J9" s="52"/>
      <c r="K9" s="25"/>
      <c r="L9" s="47" t="s">
        <v>26</v>
      </c>
      <c r="M9" s="43">
        <f>SUMIF(F9:F385,"Tutup galon",G9:G385)</f>
        <v>1.5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>
        <v>2.5</v>
      </c>
      <c r="H10" s="53">
        <f>VLOOKUP(F10,$A$9:$B$9,2,TRUE)</f>
        <v>1000</v>
      </c>
      <c r="I10" s="50">
        <f t="shared" si="1"/>
        <v>2500</v>
      </c>
      <c r="J10" s="52"/>
      <c r="K10" s="25"/>
      <c r="L10" s="47" t="s">
        <v>27</v>
      </c>
      <c r="M10" s="43">
        <f>SUMIF(F10:F386,"Hitam",G10:G386)</f>
        <v>36</v>
      </c>
      <c r="N10" s="25"/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>
        <v>1.5</v>
      </c>
      <c r="H11" s="53">
        <f>VLOOKUP(F11,$A$10:$B$10,2,TRUE)</f>
        <v>2000</v>
      </c>
      <c r="I11" s="50">
        <f t="shared" si="1"/>
        <v>3000</v>
      </c>
      <c r="J11" s="52"/>
      <c r="K11" s="25"/>
      <c r="L11" s="47" t="s">
        <v>28</v>
      </c>
      <c r="M11" s="43">
        <f>SUMIF(F11:F387,"Plastik Campur",G11:G387)</f>
        <v>6.75</v>
      </c>
      <c r="N11" s="25"/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>
        <v>5.0</v>
      </c>
      <c r="H12" s="53">
        <f>VLOOKUP(F12,$A$11:$B$11,2,TRUE)</f>
        <v>1500</v>
      </c>
      <c r="I12" s="50">
        <f t="shared" si="1"/>
        <v>7500</v>
      </c>
      <c r="J12" s="52"/>
      <c r="K12" s="25"/>
      <c r="L12" s="47" t="s">
        <v>29</v>
      </c>
      <c r="M12" s="43">
        <f>SUMIF(F12:F388,"Kardus",G12:G388)</f>
        <v>61.5</v>
      </c>
      <c r="N12" s="25"/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/>
      <c r="H13" s="53">
        <f>VLOOKUP(F13,$A$12:$B$12,2,TRUE)</f>
        <v>1300</v>
      </c>
      <c r="I13" s="50">
        <f t="shared" si="1"/>
        <v>0</v>
      </c>
      <c r="J13" s="52"/>
      <c r="K13" s="25"/>
      <c r="L13" s="47" t="s">
        <v>30</v>
      </c>
      <c r="M13" s="43">
        <f>SUMIF(F13:F389,"Kertas Putihan/ HVS",G13:G389)</f>
        <v>0</v>
      </c>
      <c r="N13" s="25"/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SUMIF(F14:F390,"Koran/Buku",G14:G390)</f>
        <v>10</v>
      </c>
      <c r="N14" s="25"/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32</v>
      </c>
      <c r="M15" s="43">
        <f>SUMIF(F15:F391,"Duplex",G15:G391)</f>
        <v>2</v>
      </c>
      <c r="N15" s="25"/>
      <c r="O15" s="54" t="s">
        <v>16</v>
      </c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SUMIF(F16:F392,"Alumunium",G16:G392)</f>
        <v>0</v>
      </c>
      <c r="N16" s="25"/>
      <c r="O16" s="55">
        <f>M5+M6+M7+M8+M9+M10+M11</f>
        <v>69.25</v>
      </c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SUMIF(F17:F393,"Besi",G17:G393)</f>
        <v>2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/>
      <c r="H18" s="53">
        <f>VLOOKUP(F18,$A$17:$B$17,2,TRUE)</f>
        <v>1000</v>
      </c>
      <c r="I18" s="50">
        <f t="shared" si="1"/>
        <v>0</v>
      </c>
      <c r="J18" s="52"/>
      <c r="K18" s="25"/>
      <c r="L18" s="47" t="s">
        <v>35</v>
      </c>
      <c r="M18" s="43">
        <f>SUMIF(F18:F394,"Kaleng kue/susu",G18:G394)</f>
        <v>2.5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SUMIF(F19:F395,"Kaleng Minuman",G19:G395)</f>
        <v>0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SUMIF(F20:F396,"Stanless",G20:G396)</f>
        <v>0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SUMIF(F21:F397,"Tembaga",G21:G397)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SUMIF(F22:F398,"Aki Motor",G22:G398)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SUMIF(F23:F399,"Paralon",G23:G399)</f>
        <v>0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41</v>
      </c>
      <c r="M24" s="43">
        <f>SUMIF(F24:F400,"Plastik bening",G24:G400)</f>
        <v>0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42</v>
      </c>
      <c r="M25" s="43">
        <f>SUMIF(F25:F401,"Plastik Warna",G25:G401)</f>
        <v>0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SUMIF(F26:F402,"Selang",G26:G402)</f>
        <v>0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18</v>
      </c>
      <c r="M27" s="43">
        <f>SUMIF(F27:F403,"Beling",G27:G403)</f>
        <v>36.5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/>
      <c r="H28" s="53">
        <f>VLOOKUP(F28,$A$27:$B$27,2,TRUE)</f>
        <v>100</v>
      </c>
      <c r="I28" s="50">
        <f t="shared" si="1"/>
        <v>0</v>
      </c>
      <c r="J28" s="52"/>
      <c r="K28" s="25"/>
      <c r="L28" s="47" t="s">
        <v>44</v>
      </c>
      <c r="M28" s="43">
        <f>SUMIF(F28:F404,"Pecahan",G28:G404)</f>
        <v>0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/>
      <c r="H29" s="53">
        <f>VLOOKUP(F29,$A$28:$B$28,2,TRUE)</f>
        <v>1500</v>
      </c>
      <c r="I29" s="50">
        <f t="shared" si="1"/>
        <v>0</v>
      </c>
      <c r="J29" s="52"/>
      <c r="K29" s="25"/>
      <c r="L29" s="47" t="s">
        <v>13</v>
      </c>
      <c r="M29" s="43">
        <f>SUMIF(F29:F406,"Paku",G29:G406)</f>
        <v>2</v>
      </c>
      <c r="N29" s="25"/>
    </row>
    <row r="30" ht="15.75" customHeight="1">
      <c r="A30" s="36" t="s">
        <v>60</v>
      </c>
      <c r="B30" s="37">
        <v>0.0</v>
      </c>
      <c r="C30" s="44"/>
      <c r="D30" s="52"/>
      <c r="E30" s="52"/>
      <c r="F30" s="47" t="s">
        <v>20</v>
      </c>
      <c r="G30" s="48">
        <v>3.5</v>
      </c>
      <c r="H30" s="53">
        <f>VLOOKUP(F30,$A$29:$B$29,2,TRUE)</f>
        <v>3500</v>
      </c>
      <c r="I30" s="50">
        <f t="shared" si="1"/>
        <v>12250</v>
      </c>
      <c r="J30" s="52"/>
      <c r="K30" s="25"/>
      <c r="L30" s="47" t="s">
        <v>20</v>
      </c>
      <c r="M30" s="43">
        <f>SUMIF(F30:F407,"Minyak Jelantah",G30:G407)</f>
        <v>15.5</v>
      </c>
      <c r="N30" s="25"/>
    </row>
    <row r="31" ht="15.75" customHeight="1">
      <c r="C31" s="44"/>
      <c r="D31" s="13"/>
      <c r="E31" s="13"/>
      <c r="F31" s="47" t="s">
        <v>60</v>
      </c>
      <c r="G31" s="48">
        <v>3.0</v>
      </c>
      <c r="H31" s="53">
        <f>VLOOKUP(F31,$A$30:$B$30,2,TRUE)</f>
        <v>0</v>
      </c>
      <c r="I31" s="50">
        <f t="shared" si="1"/>
        <v>0</v>
      </c>
      <c r="J31" s="13"/>
      <c r="K31" s="25"/>
      <c r="L31" s="47" t="s">
        <v>60</v>
      </c>
      <c r="M31" s="43">
        <f>SUMIF(F31:F408,"Lainnya",G31:G408)</f>
        <v>40</v>
      </c>
      <c r="N31" s="25"/>
    </row>
    <row r="32" ht="15.75" customHeight="1">
      <c r="A32" s="44"/>
      <c r="B32" s="44"/>
      <c r="C32" s="44"/>
      <c r="D32" s="45">
        <v>2.0</v>
      </c>
      <c r="E32" s="46" t="s">
        <v>83</v>
      </c>
      <c r="F32" s="47" t="s">
        <v>22</v>
      </c>
      <c r="G32" s="48"/>
      <c r="H32" s="57">
        <f>VLOOKUP(F32,$A$4:$B$4,2,TRUE)</f>
        <v>4500</v>
      </c>
      <c r="I32" s="50">
        <f t="shared" si="1"/>
        <v>0</v>
      </c>
      <c r="J32" s="51">
        <f>SUM(I32:I58)</f>
        <v>13750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57</v>
      </c>
      <c r="G33" s="48">
        <v>1.5</v>
      </c>
      <c r="H33" s="57">
        <f>VLOOKUP(F33,$A$5:$B$5,2,TRUE)</f>
        <v>3000</v>
      </c>
      <c r="I33" s="50">
        <f t="shared" si="1"/>
        <v>4500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59</v>
      </c>
      <c r="G34" s="48"/>
      <c r="H34" s="57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25</v>
      </c>
      <c r="G35" s="48"/>
      <c r="H35" s="57">
        <f>VLOOKUP(F35,$A$7:$B$7,2,TRUE)</f>
        <v>2800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26</v>
      </c>
      <c r="G36" s="48"/>
      <c r="H36" s="57">
        <f>VLOOKUP(F36,$A$8:$B$8,2,TRUE)</f>
        <v>3500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27</v>
      </c>
      <c r="G37" s="48">
        <v>1.0</v>
      </c>
      <c r="H37" s="57">
        <f>VLOOKUP(F37,$A$9:$B$9,2,TRUE)</f>
        <v>1000</v>
      </c>
      <c r="I37" s="50">
        <f t="shared" si="1"/>
        <v>1000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28</v>
      </c>
      <c r="G38" s="48"/>
      <c r="H38" s="57">
        <f>VLOOKUP(F38,$A$10:$B$10,2,TRUE)</f>
        <v>2000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29</v>
      </c>
      <c r="G39" s="48">
        <v>5.5</v>
      </c>
      <c r="H39" s="57">
        <f>VLOOKUP(F39,$A$11:$B$11,2,TRUE)</f>
        <v>1500</v>
      </c>
      <c r="I39" s="50">
        <f t="shared" si="1"/>
        <v>8250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30</v>
      </c>
      <c r="G40" s="48"/>
      <c r="H40" s="57">
        <f>VLOOKUP(F40,$A$12:$B$12,2,TRUE)</f>
        <v>1300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31</v>
      </c>
      <c r="G41" s="48"/>
      <c r="H41" s="57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32</v>
      </c>
      <c r="G42" s="48"/>
      <c r="H42" s="57">
        <f>VLOOKUP(F42,$A$14:$B$14,2,TRUE)</f>
        <v>500</v>
      </c>
      <c r="I42" s="50">
        <f t="shared" si="1"/>
        <v>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33</v>
      </c>
      <c r="G43" s="48"/>
      <c r="H43" s="57">
        <f>VLOOKUP(F43,$A$15:$B$15,2,TRUE)</f>
        <v>7500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34</v>
      </c>
      <c r="G44" s="48"/>
      <c r="H44" s="57">
        <f>VLOOKUP(F44,$A$16:$B$16,2,TRUE)</f>
        <v>2000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35</v>
      </c>
      <c r="G45" s="48"/>
      <c r="H45" s="57">
        <f>VLOOKUP(F45,$A$17:$B$17,2,TRUE)</f>
        <v>1000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36</v>
      </c>
      <c r="G46" s="48"/>
      <c r="H46" s="57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37</v>
      </c>
      <c r="G47" s="48"/>
      <c r="H47" s="57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38</v>
      </c>
      <c r="G48" s="48"/>
      <c r="H48" s="57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39</v>
      </c>
      <c r="G49" s="48"/>
      <c r="H49" s="57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40</v>
      </c>
      <c r="G50" s="48"/>
      <c r="H50" s="57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41</v>
      </c>
      <c r="G51" s="48"/>
      <c r="H51" s="57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42</v>
      </c>
      <c r="G52" s="48"/>
      <c r="H52" s="57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43</v>
      </c>
      <c r="G53" s="48"/>
      <c r="H53" s="57">
        <f>VLOOKUP(F53,$A$25:$B$25,2,TRUE)</f>
        <v>1000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18</v>
      </c>
      <c r="G54" s="48"/>
      <c r="H54" s="57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44</v>
      </c>
      <c r="G55" s="48"/>
      <c r="H55" s="57">
        <f>VLOOKUP(F55,$A$27:$B$27,2,TRUE)</f>
        <v>100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13</v>
      </c>
      <c r="G56" s="48"/>
      <c r="H56" s="58">
        <f>VLOOKUP(F56,$A$28:$B$28,2,TRUE)</f>
        <v>1500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20</v>
      </c>
      <c r="G57" s="48"/>
      <c r="H57" s="57">
        <f>VLOOKUP(F57,$A$29:$B$29,2,TRUE)</f>
        <v>3500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13"/>
      <c r="E58" s="13"/>
      <c r="F58" s="47" t="s">
        <v>60</v>
      </c>
      <c r="G58" s="48"/>
      <c r="H58" s="57">
        <f>VLOOKUP(F58,$A$30:$B$30,2,TRUE)</f>
        <v>0</v>
      </c>
      <c r="I58" s="50">
        <f t="shared" si="1"/>
        <v>0</v>
      </c>
      <c r="J58" s="13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9" t="s">
        <v>84</v>
      </c>
      <c r="F59" s="47" t="s">
        <v>22</v>
      </c>
      <c r="G59" s="48"/>
      <c r="H59" s="57">
        <f>VLOOKUP(F59,$A$4:$B$4,2,TRUE)</f>
        <v>4500</v>
      </c>
      <c r="I59" s="50">
        <f t="shared" si="1"/>
        <v>0</v>
      </c>
      <c r="J59" s="51">
        <f>SUM(I59:I85)</f>
        <v>27200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57</v>
      </c>
      <c r="G60" s="48"/>
      <c r="H60" s="57">
        <f>VLOOKUP(F60,$A$5:$B$5,2,TRUE)</f>
        <v>3000</v>
      </c>
      <c r="I60" s="50">
        <f t="shared" si="1"/>
        <v>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59</v>
      </c>
      <c r="G61" s="48"/>
      <c r="H61" s="57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25</v>
      </c>
      <c r="G62" s="48"/>
      <c r="H62" s="57">
        <f>VLOOKUP(F62,$A$7:$B$7,2,TRUE)</f>
        <v>2800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26</v>
      </c>
      <c r="G63" s="48"/>
      <c r="H63" s="57">
        <f>VLOOKUP(F63,$A$8:$B$8,2,TRUE)</f>
        <v>3500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27</v>
      </c>
      <c r="G64" s="48">
        <v>12.0</v>
      </c>
      <c r="H64" s="57">
        <f>VLOOKUP(F64,$A$9:$B$9,2,TRUE)</f>
        <v>1000</v>
      </c>
      <c r="I64" s="50">
        <f t="shared" si="1"/>
        <v>12000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28</v>
      </c>
      <c r="G65" s="48">
        <v>0.25</v>
      </c>
      <c r="H65" s="57">
        <f>VLOOKUP(F65,$A$10:$B$10,2,TRUE)</f>
        <v>2000</v>
      </c>
      <c r="I65" s="50">
        <f t="shared" si="1"/>
        <v>500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29</v>
      </c>
      <c r="G66" s="48">
        <v>7.0</v>
      </c>
      <c r="H66" s="57">
        <f>VLOOKUP(F66,$A$11:$B$11,2,TRUE)</f>
        <v>1500</v>
      </c>
      <c r="I66" s="50">
        <f t="shared" si="1"/>
        <v>10500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30</v>
      </c>
      <c r="G67" s="48"/>
      <c r="H67" s="57">
        <f>VLOOKUP(F67,$A$12:$B$12,2,TRUE)</f>
        <v>1300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31</v>
      </c>
      <c r="G68" s="48"/>
      <c r="H68" s="57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32</v>
      </c>
      <c r="G69" s="48"/>
      <c r="H69" s="57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33</v>
      </c>
      <c r="G70" s="48"/>
      <c r="H70" s="57">
        <f>VLOOKUP(F70,$A$15:$B$15,2,TRUE)</f>
        <v>7500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34</v>
      </c>
      <c r="G71" s="48"/>
      <c r="H71" s="57">
        <f>VLOOKUP(F71,$A$16:$B$16,2,TRUE)</f>
        <v>2000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35</v>
      </c>
      <c r="G72" s="48"/>
      <c r="H72" s="57">
        <f>VLOOKUP(F72,$A$17:$B$17,2,TRUE)</f>
        <v>1000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36</v>
      </c>
      <c r="G73" s="48"/>
      <c r="H73" s="57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37</v>
      </c>
      <c r="G74" s="48"/>
      <c r="H74" s="57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38</v>
      </c>
      <c r="G75" s="48"/>
      <c r="H75" s="57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39</v>
      </c>
      <c r="G76" s="48"/>
      <c r="H76" s="57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40</v>
      </c>
      <c r="G77" s="48"/>
      <c r="H77" s="57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41</v>
      </c>
      <c r="G78" s="48"/>
      <c r="H78" s="57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42</v>
      </c>
      <c r="G79" s="48"/>
      <c r="H79" s="57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43</v>
      </c>
      <c r="G80" s="48"/>
      <c r="H80" s="57">
        <f>VLOOKUP(F80,$A$25:$B$25,2,TRUE)</f>
        <v>1000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18</v>
      </c>
      <c r="G81" s="48">
        <v>14.0</v>
      </c>
      <c r="H81" s="57">
        <f>VLOOKUP(F81,$A$26:$B$26,2,TRUE)</f>
        <v>300</v>
      </c>
      <c r="I81" s="50">
        <f t="shared" si="1"/>
        <v>4200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44</v>
      </c>
      <c r="G82" s="48"/>
      <c r="H82" s="57">
        <f>VLOOKUP(F82,$A$27:$B$27,2,TRUE)</f>
        <v>100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13</v>
      </c>
      <c r="G83" s="48"/>
      <c r="H83" s="57">
        <f>VLOOKUP(F83,$A$28:$B$28,2,TRUE)</f>
        <v>1500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20</v>
      </c>
      <c r="G84" s="48"/>
      <c r="H84" s="57">
        <f>VLOOKUP(F84,$A$29:$B$29,2,TRUE)</f>
        <v>3500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13"/>
      <c r="E85" s="13"/>
      <c r="F85" s="47" t="s">
        <v>60</v>
      </c>
      <c r="G85" s="48">
        <v>6.0</v>
      </c>
      <c r="H85" s="57">
        <f>VLOOKUP(F85,$A$30:$B$30,2,TRUE)</f>
        <v>0</v>
      </c>
      <c r="I85" s="50">
        <f t="shared" si="1"/>
        <v>0</v>
      </c>
      <c r="J85" s="13"/>
      <c r="K85" s="25"/>
      <c r="L85" s="25"/>
      <c r="M85" s="25"/>
      <c r="N85" s="25"/>
    </row>
    <row r="86" ht="15.75" customHeight="1">
      <c r="A86" s="44"/>
      <c r="B86" s="44"/>
      <c r="C86" s="44"/>
      <c r="D86" s="45">
        <v>4.0</v>
      </c>
      <c r="E86" s="46" t="s">
        <v>85</v>
      </c>
      <c r="F86" s="47" t="s">
        <v>22</v>
      </c>
      <c r="G86" s="48"/>
      <c r="H86" s="57">
        <f>VLOOKUP(F86,$A$4:$B$4,2,TRUE)</f>
        <v>4500</v>
      </c>
      <c r="I86" s="50">
        <f t="shared" si="1"/>
        <v>0</v>
      </c>
      <c r="J86" s="51">
        <f>SUM(I86:I112)</f>
        <v>11250</v>
      </c>
      <c r="K86" s="25"/>
      <c r="L86" s="25"/>
      <c r="M86" s="25"/>
      <c r="N86" s="25"/>
    </row>
    <row r="87" ht="15.75" customHeight="1">
      <c r="A87" s="44"/>
      <c r="B87" s="44"/>
      <c r="C87" s="44"/>
      <c r="D87" s="52"/>
      <c r="E87" s="52"/>
      <c r="F87" s="47" t="s">
        <v>57</v>
      </c>
      <c r="G87" s="48"/>
      <c r="H87" s="57">
        <f>VLOOKUP(F87,$A$5:$B$5,2,TRUE)</f>
        <v>3000</v>
      </c>
      <c r="I87" s="50">
        <f t="shared" si="1"/>
        <v>0</v>
      </c>
      <c r="J87" s="52"/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59</v>
      </c>
      <c r="G88" s="48"/>
      <c r="H88" s="57">
        <f>VLOOKUP(F88,$A$6:$B$6,2,TRUE)</f>
        <v>1000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25</v>
      </c>
      <c r="G89" s="48"/>
      <c r="H89" s="57">
        <f>VLOOKUP(F89,$A$7:$B$7,2,TRUE)</f>
        <v>2800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26</v>
      </c>
      <c r="G90" s="48"/>
      <c r="H90" s="57">
        <f>VLOOKUP(F90,$A$8:$B$8,2,TRUE)</f>
        <v>3500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27</v>
      </c>
      <c r="G91" s="48">
        <v>1.0</v>
      </c>
      <c r="H91" s="57">
        <f>VLOOKUP(F91,$A$9:$B$9,2,TRUE)</f>
        <v>1000</v>
      </c>
      <c r="I91" s="50">
        <f t="shared" si="1"/>
        <v>1000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28</v>
      </c>
      <c r="G92" s="48">
        <v>3.0</v>
      </c>
      <c r="H92" s="57">
        <f>VLOOKUP(F92,$A$10:$B$10,2,TRUE)</f>
        <v>2000</v>
      </c>
      <c r="I92" s="50">
        <f t="shared" si="1"/>
        <v>6000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29</v>
      </c>
      <c r="G93" s="48"/>
      <c r="H93" s="57">
        <f>VLOOKUP(F93,$A$11:$B$11,2,TRUE)</f>
        <v>1500</v>
      </c>
      <c r="I93" s="50">
        <f t="shared" si="1"/>
        <v>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30</v>
      </c>
      <c r="G94" s="48"/>
      <c r="H94" s="57">
        <f>VLOOKUP(F94,$A$12:$B$12,2,TRUE)</f>
        <v>1300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31</v>
      </c>
      <c r="G95" s="48"/>
      <c r="H95" s="57">
        <f>VLOOKUP(F95,$A$13:$B$13,2,TRUE)</f>
        <v>1000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32</v>
      </c>
      <c r="G96" s="48"/>
      <c r="H96" s="57">
        <f>VLOOKUP(F96,$A$14:$B$14,2,TRUE)</f>
        <v>500</v>
      </c>
      <c r="I96" s="50">
        <f t="shared" si="1"/>
        <v>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33</v>
      </c>
      <c r="G97" s="48"/>
      <c r="H97" s="57">
        <f>VLOOKUP(F97,$A$15:$B$15,2,TRUE)</f>
        <v>7500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34</v>
      </c>
      <c r="G98" s="48"/>
      <c r="H98" s="57">
        <f>VLOOKUP(F98,$A$16:$B$16,2,TRUE)</f>
        <v>2000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35</v>
      </c>
      <c r="G99" s="48"/>
      <c r="H99" s="57">
        <f>VLOOKUP(F99,$A$17:$B$17,2,TRUE)</f>
        <v>1000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36</v>
      </c>
      <c r="G100" s="48"/>
      <c r="H100" s="57">
        <f>VLOOKUP(F100,$A$18:$B$18,2,TRUE)</f>
        <v>5000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37</v>
      </c>
      <c r="G101" s="48"/>
      <c r="H101" s="57">
        <f>VLOOKUP(F101,$A$19:$B$19,2,TRUE)</f>
        <v>2700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38</v>
      </c>
      <c r="G102" s="48"/>
      <c r="H102" s="57">
        <f>VLOOKUP(F102,$A$20:$B$20,2,TRUE)</f>
        <v>50000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39</v>
      </c>
      <c r="G103" s="48"/>
      <c r="H103" s="57">
        <f>VLOOKUP(F103,$A$21:$B$21,2,TRUE)</f>
        <v>10000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40</v>
      </c>
      <c r="G104" s="48"/>
      <c r="H104" s="57">
        <f>VLOOKUP(F104,$A$22:$B$22,2,TRUE)</f>
        <v>1000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41</v>
      </c>
      <c r="G105" s="48"/>
      <c r="H105" s="57">
        <f>VLOOKUP(F105,$A$23:$B$23,2,TRUE)</f>
        <v>500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42</v>
      </c>
      <c r="G106" s="48"/>
      <c r="H106" s="57">
        <f>VLOOKUP(F106,$A$24:$B$24,2,TRUE)</f>
        <v>200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43</v>
      </c>
      <c r="G107" s="48"/>
      <c r="H107" s="57">
        <f>VLOOKUP(F107,$A$25:$B$25,2,TRUE)</f>
        <v>1000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18</v>
      </c>
      <c r="G108" s="48">
        <v>2.5</v>
      </c>
      <c r="H108" s="57">
        <f>VLOOKUP(F108,$A$26:$B$26,2,TRUE)</f>
        <v>300</v>
      </c>
      <c r="I108" s="50">
        <f t="shared" si="1"/>
        <v>750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44</v>
      </c>
      <c r="G109" s="48"/>
      <c r="H109" s="57">
        <f>VLOOKUP(F109,$A$27:$B$27,2,TRUE)</f>
        <v>100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13</v>
      </c>
      <c r="G110" s="48"/>
      <c r="H110" s="57">
        <f>VLOOKUP(F110,$A$28:$B$28,2,TRUE)</f>
        <v>1500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20</v>
      </c>
      <c r="G111" s="48">
        <v>1.0</v>
      </c>
      <c r="H111" s="57">
        <f>VLOOKUP(F111,$A$29:$B$29,2,TRUE)</f>
        <v>3500</v>
      </c>
      <c r="I111" s="50">
        <f t="shared" si="1"/>
        <v>3500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13"/>
      <c r="E112" s="13"/>
      <c r="F112" s="47" t="s">
        <v>60</v>
      </c>
      <c r="G112" s="48"/>
      <c r="H112" s="57">
        <f>VLOOKUP(F112,$A$30:$B$30,2,TRUE)</f>
        <v>0</v>
      </c>
      <c r="I112" s="50">
        <f t="shared" si="1"/>
        <v>0</v>
      </c>
      <c r="J112" s="13"/>
      <c r="K112" s="25"/>
      <c r="L112" s="25"/>
      <c r="M112" s="25"/>
      <c r="N112" s="25"/>
    </row>
    <row r="113" ht="15.75" customHeight="1">
      <c r="A113" s="44"/>
      <c r="B113" s="44"/>
      <c r="C113" s="44"/>
      <c r="D113" s="45">
        <v>5.0</v>
      </c>
      <c r="E113" s="46" t="s">
        <v>86</v>
      </c>
      <c r="F113" s="47" t="s">
        <v>22</v>
      </c>
      <c r="G113" s="48"/>
      <c r="H113" s="57">
        <f>VLOOKUP(F113,$A$4:$B$4,2,TRUE)</f>
        <v>4500</v>
      </c>
      <c r="I113" s="50">
        <f t="shared" si="1"/>
        <v>0</v>
      </c>
      <c r="J113" s="51">
        <f>SUM(I113:I139)</f>
        <v>5750</v>
      </c>
      <c r="K113" s="25"/>
      <c r="L113" s="25"/>
      <c r="M113" s="25"/>
      <c r="N113" s="25"/>
    </row>
    <row r="114" ht="15.75" customHeight="1">
      <c r="A114" s="44"/>
      <c r="B114" s="44"/>
      <c r="C114" s="44"/>
      <c r="D114" s="52"/>
      <c r="E114" s="52"/>
      <c r="F114" s="47" t="s">
        <v>57</v>
      </c>
      <c r="G114" s="48"/>
      <c r="H114" s="57">
        <f>VLOOKUP(F114,$A$5:$B$5,2,TRUE)</f>
        <v>3000</v>
      </c>
      <c r="I114" s="50">
        <f t="shared" si="1"/>
        <v>0</v>
      </c>
      <c r="J114" s="52"/>
      <c r="K114" s="25"/>
      <c r="L114" s="25"/>
      <c r="M114" s="25"/>
      <c r="N114" s="25"/>
    </row>
    <row r="115" ht="15.75" customHeight="1">
      <c r="A115" s="44"/>
      <c r="B115" s="44"/>
      <c r="C115" s="44"/>
      <c r="D115" s="52"/>
      <c r="E115" s="52"/>
      <c r="F115" s="47" t="s">
        <v>59</v>
      </c>
      <c r="G115" s="48"/>
      <c r="H115" s="57">
        <f>VLOOKUP(F115,$A$6:$B$6,2,TRUE)</f>
        <v>1000</v>
      </c>
      <c r="I115" s="50">
        <f t="shared" si="1"/>
        <v>0</v>
      </c>
      <c r="J115" s="52"/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25</v>
      </c>
      <c r="G116" s="48"/>
      <c r="H116" s="57">
        <f>VLOOKUP(F116,$A$7:$B$7,2,TRUE)</f>
        <v>2800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26</v>
      </c>
      <c r="G117" s="48"/>
      <c r="H117" s="57">
        <f>VLOOKUP(F117,$A$8:$B$8,2,TRUE)</f>
        <v>3500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27</v>
      </c>
      <c r="G118" s="48">
        <v>3.5</v>
      </c>
      <c r="H118" s="57">
        <f>VLOOKUP(F118,$A$9:$B$9,2,TRUE)</f>
        <v>1000</v>
      </c>
      <c r="I118" s="50">
        <f t="shared" si="1"/>
        <v>3500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28</v>
      </c>
      <c r="G119" s="48"/>
      <c r="H119" s="57">
        <f>VLOOKUP(F119,$A$10:$B$10,2,TRUE)</f>
        <v>2000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29</v>
      </c>
      <c r="G120" s="48">
        <v>1.5</v>
      </c>
      <c r="H120" s="57">
        <f>VLOOKUP(F120,$A$11:$B$11,2,TRUE)</f>
        <v>1500</v>
      </c>
      <c r="I120" s="50">
        <f t="shared" si="1"/>
        <v>2250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30</v>
      </c>
      <c r="G121" s="48"/>
      <c r="H121" s="57">
        <f>VLOOKUP(F121,$A$12:$B$12,2,TRUE)</f>
        <v>1300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31</v>
      </c>
      <c r="G122" s="48"/>
      <c r="H122" s="57">
        <f>VLOOKUP(F122,$A$13:$B$13,2,TRUE)</f>
        <v>1000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32</v>
      </c>
      <c r="G123" s="48"/>
      <c r="H123" s="57">
        <f>VLOOKUP(F123,$A$14:$B$14,2,TRUE)</f>
        <v>500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33</v>
      </c>
      <c r="G124" s="48"/>
      <c r="H124" s="57">
        <f>VLOOKUP(F124,$A$15:$B$15,2,TRUE)</f>
        <v>7500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34</v>
      </c>
      <c r="G125" s="48"/>
      <c r="H125" s="57">
        <f>VLOOKUP(F125,$A$16:$B$16,2,TRUE)</f>
        <v>2000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35</v>
      </c>
      <c r="G126" s="48"/>
      <c r="H126" s="57">
        <f>VLOOKUP(F126,$A$17:$B$17,2,TRUE)</f>
        <v>1000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36</v>
      </c>
      <c r="G127" s="48"/>
      <c r="H127" s="57">
        <f>VLOOKUP(F127,$A$18:$B$18,2,TRUE)</f>
        <v>5000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37</v>
      </c>
      <c r="G128" s="48"/>
      <c r="H128" s="57">
        <f>VLOOKUP(F128,$A$19:$B$19,2,TRUE)</f>
        <v>2700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38</v>
      </c>
      <c r="G129" s="48"/>
      <c r="H129" s="57">
        <f>VLOOKUP(F129,$A$20:$B$20,2,TRUE)</f>
        <v>50000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39</v>
      </c>
      <c r="G130" s="48"/>
      <c r="H130" s="57">
        <f>VLOOKUP(F130,$A$21:$B$21,2,TRUE)</f>
        <v>10000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40</v>
      </c>
      <c r="G131" s="48"/>
      <c r="H131" s="57">
        <f>VLOOKUP(F131,$A$22:$B$22,2,TRUE)</f>
        <v>1000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41</v>
      </c>
      <c r="G132" s="48"/>
      <c r="H132" s="57">
        <f>VLOOKUP(F132,$A$23:$B$23,2,TRUE)</f>
        <v>500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42</v>
      </c>
      <c r="G133" s="48"/>
      <c r="H133" s="57">
        <f>VLOOKUP(F133,$A$24:$B$24,2,TRUE)</f>
        <v>200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43</v>
      </c>
      <c r="G134" s="48"/>
      <c r="H134" s="57">
        <f>VLOOKUP(F134,$A$25:$B$25,2,TRUE)</f>
        <v>1000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18</v>
      </c>
      <c r="G135" s="48"/>
      <c r="H135" s="57">
        <f>VLOOKUP(F135,$A$26:$B$26,2,TRUE)</f>
        <v>300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44</v>
      </c>
      <c r="G136" s="48"/>
      <c r="H136" s="57">
        <f>VLOOKUP(F136,$A$27:$B$27,2,TRUE)</f>
        <v>100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7">
        <f>VLOOKUP(F137,$A$28:$B$28,2,TRUE)</f>
        <v>1500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20</v>
      </c>
      <c r="G138" s="48"/>
      <c r="H138" s="57">
        <f>VLOOKUP(F138,$A$29:$B$29,2,TRUE)</f>
        <v>3500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13"/>
      <c r="E139" s="13"/>
      <c r="F139" s="47" t="s">
        <v>60</v>
      </c>
      <c r="G139" s="48"/>
      <c r="H139" s="57">
        <f>VLOOKUP(F139,$A$30:$B$30,2,TRUE)</f>
        <v>0</v>
      </c>
      <c r="I139" s="50">
        <f t="shared" si="1"/>
        <v>0</v>
      </c>
      <c r="J139" s="13"/>
      <c r="K139" s="25"/>
      <c r="L139" s="25"/>
      <c r="M139" s="25"/>
      <c r="N139" s="25"/>
    </row>
    <row r="140" ht="15.75" customHeight="1">
      <c r="A140" s="44"/>
      <c r="B140" s="44"/>
      <c r="C140" s="44"/>
      <c r="D140" s="45">
        <v>6.0</v>
      </c>
      <c r="E140" s="46" t="s">
        <v>65</v>
      </c>
      <c r="F140" s="47" t="s">
        <v>22</v>
      </c>
      <c r="G140" s="48"/>
      <c r="H140" s="57">
        <f>VLOOKUP(F140,$A$4:$B$4,2,TRUE)</f>
        <v>4500</v>
      </c>
      <c r="I140" s="50">
        <f t="shared" si="1"/>
        <v>0</v>
      </c>
      <c r="J140" s="51">
        <f>SUM(I140:I166)</f>
        <v>66250</v>
      </c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57</v>
      </c>
      <c r="G141" s="48">
        <v>11.0</v>
      </c>
      <c r="H141" s="57">
        <f>VLOOKUP(F141,$A$5:$B$5,2,TRUE)</f>
        <v>3000</v>
      </c>
      <c r="I141" s="50">
        <f t="shared" si="1"/>
        <v>33000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52"/>
      <c r="E142" s="52"/>
      <c r="F142" s="47" t="s">
        <v>59</v>
      </c>
      <c r="G142" s="48"/>
      <c r="H142" s="57">
        <f>VLOOKUP(F142,$A$6:$B$6,2,TRUE)</f>
        <v>1000</v>
      </c>
      <c r="I142" s="50">
        <f t="shared" si="1"/>
        <v>0</v>
      </c>
      <c r="J142" s="52"/>
      <c r="K142" s="25"/>
      <c r="L142" s="25"/>
      <c r="M142" s="25"/>
      <c r="N142" s="25"/>
    </row>
    <row r="143" ht="15.75" customHeight="1">
      <c r="A143" s="44"/>
      <c r="B143" s="44"/>
      <c r="C143" s="44"/>
      <c r="D143" s="52"/>
      <c r="E143" s="52"/>
      <c r="F143" s="47" t="s">
        <v>25</v>
      </c>
      <c r="G143" s="48"/>
      <c r="H143" s="57">
        <f>VLOOKUP(F143,$A$7:$B$7,2,TRUE)</f>
        <v>2800</v>
      </c>
      <c r="I143" s="50">
        <f t="shared" si="1"/>
        <v>0</v>
      </c>
      <c r="J143" s="52"/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26</v>
      </c>
      <c r="G144" s="48">
        <v>1.0</v>
      </c>
      <c r="H144" s="57">
        <f>VLOOKUP(F144,$A$8:$B$8,2,TRUE)</f>
        <v>3500</v>
      </c>
      <c r="I144" s="50">
        <f t="shared" si="1"/>
        <v>3500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27</v>
      </c>
      <c r="G145" s="48"/>
      <c r="H145" s="57">
        <f>VLOOKUP(F145,$A$9:$B$9,2,TRUE)</f>
        <v>1000</v>
      </c>
      <c r="I145" s="50">
        <f t="shared" si="1"/>
        <v>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28</v>
      </c>
      <c r="G146" s="48"/>
      <c r="H146" s="57">
        <f>VLOOKUP(F146,$A$10:$B$10,2,TRUE)</f>
        <v>2000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29</v>
      </c>
      <c r="G147" s="48">
        <v>18.5</v>
      </c>
      <c r="H147" s="57">
        <f>VLOOKUP(F147,$A$11:$B$11,2,TRUE)</f>
        <v>1500</v>
      </c>
      <c r="I147" s="50">
        <f t="shared" si="1"/>
        <v>27750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30</v>
      </c>
      <c r="G148" s="48"/>
      <c r="H148" s="57">
        <f>VLOOKUP(F148,$A$12:$B$12,2,TRUE)</f>
        <v>1300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31</v>
      </c>
      <c r="G149" s="48"/>
      <c r="H149" s="57">
        <f>VLOOKUP(F149,$A$13:$B$13,2,TRUE)</f>
        <v>1000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32</v>
      </c>
      <c r="G150" s="48"/>
      <c r="H150" s="57">
        <f>VLOOKUP(F150,$A$14:$B$14,2,TRUE)</f>
        <v>500</v>
      </c>
      <c r="I150" s="50">
        <f t="shared" si="1"/>
        <v>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33</v>
      </c>
      <c r="G151" s="48"/>
      <c r="H151" s="57">
        <f>VLOOKUP(F151,$A$15:$B$15,2,TRUE)</f>
        <v>7500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34</v>
      </c>
      <c r="G152" s="48"/>
      <c r="H152" s="57">
        <f>VLOOKUP(F152,$A$16:$B$16,2,TRUE)</f>
        <v>2000</v>
      </c>
      <c r="I152" s="50">
        <f t="shared" si="1"/>
        <v>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35</v>
      </c>
      <c r="G153" s="48">
        <v>2.0</v>
      </c>
      <c r="H153" s="57">
        <f>VLOOKUP(F153,$A$17:$B$17,2,TRUE)</f>
        <v>1000</v>
      </c>
      <c r="I153" s="50">
        <f t="shared" si="1"/>
        <v>2000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36</v>
      </c>
      <c r="G154" s="48"/>
      <c r="H154" s="57">
        <f>VLOOKUP(F154,$A$18:$B$18,2,TRUE)</f>
        <v>5000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37</v>
      </c>
      <c r="G155" s="48"/>
      <c r="H155" s="57">
        <f>VLOOKUP(F155,$A$19:$B$19,2,TRUE)</f>
        <v>2700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38</v>
      </c>
      <c r="G156" s="48"/>
      <c r="H156" s="57">
        <f>VLOOKUP(F156,$A$20:$B$20,2,TRUE)</f>
        <v>50000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39</v>
      </c>
      <c r="G157" s="48"/>
      <c r="H157" s="57">
        <f>VLOOKUP(F157,$A$21:$B$21,2,TRUE)</f>
        <v>10000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40</v>
      </c>
      <c r="G158" s="48"/>
      <c r="H158" s="57">
        <f>VLOOKUP(F158,$A$22:$B$22,2,TRUE)</f>
        <v>1000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41</v>
      </c>
      <c r="G159" s="48"/>
      <c r="H159" s="57">
        <f>VLOOKUP(F159,$A$23:$B$23,2,TRUE)</f>
        <v>500</v>
      </c>
      <c r="I159" s="50">
        <f t="shared" si="1"/>
        <v>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42</v>
      </c>
      <c r="G160" s="48"/>
      <c r="H160" s="57">
        <f>VLOOKUP(F160,$A$24:$B$24,2,TRUE)</f>
        <v>200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43</v>
      </c>
      <c r="G161" s="48"/>
      <c r="H161" s="57">
        <f>VLOOKUP(F161,$A$25:$B$25,2,TRUE)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18</v>
      </c>
      <c r="G162" s="48"/>
      <c r="H162" s="57">
        <f>VLOOKUP(F162,$A$26:$B$26,2,TRUE)</f>
        <v>300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44</v>
      </c>
      <c r="G163" s="48"/>
      <c r="H163" s="57">
        <f>VLOOKUP(F163,$A$27:$B$27,2,TRUE)</f>
        <v>100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13</v>
      </c>
      <c r="G164" s="48"/>
      <c r="H164" s="57">
        <f>VLOOKUP(F164,$A$28:$B$28,2,TRUE)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20</v>
      </c>
      <c r="G165" s="48"/>
      <c r="H165" s="57">
        <f>VLOOKUP(F165,$A$29:$B$29,2,TRUE)</f>
        <v>3500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13"/>
      <c r="E166" s="13"/>
      <c r="F166" s="47" t="s">
        <v>60</v>
      </c>
      <c r="G166" s="48">
        <v>7.5</v>
      </c>
      <c r="H166" s="57">
        <f>VLOOKUP(F166,$A$30:$B$30,2,TRUE)</f>
        <v>0</v>
      </c>
      <c r="I166" s="50">
        <f t="shared" si="1"/>
        <v>0</v>
      </c>
      <c r="J166" s="13"/>
      <c r="K166" s="25"/>
      <c r="L166" s="25"/>
      <c r="M166" s="25"/>
      <c r="N166" s="25"/>
    </row>
    <row r="167" ht="15.75" customHeight="1">
      <c r="A167" s="44"/>
      <c r="B167" s="44"/>
      <c r="C167" s="44"/>
      <c r="D167" s="45">
        <v>7.0</v>
      </c>
      <c r="E167" s="46" t="s">
        <v>87</v>
      </c>
      <c r="F167" s="47" t="s">
        <v>22</v>
      </c>
      <c r="G167" s="48"/>
      <c r="H167" s="57">
        <f>VLOOKUP(F167,$A$4:$B$4,2,TRUE)</f>
        <v>4500</v>
      </c>
      <c r="I167" s="50">
        <f t="shared" si="1"/>
        <v>0</v>
      </c>
      <c r="J167" s="51">
        <f>SUM(I167:I193)</f>
        <v>19250</v>
      </c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57</v>
      </c>
      <c r="G168" s="48">
        <v>0.5</v>
      </c>
      <c r="H168" s="57">
        <f>VLOOKUP(F168,$A$5:$B$5,2,TRUE)</f>
        <v>3000</v>
      </c>
      <c r="I168" s="50">
        <f t="shared" si="1"/>
        <v>1500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59</v>
      </c>
      <c r="G169" s="48"/>
      <c r="H169" s="57">
        <f>VLOOKUP(F169,$A$6:$B$6,2,TRUE)</f>
        <v>1000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52"/>
      <c r="E170" s="52"/>
      <c r="F170" s="47" t="s">
        <v>25</v>
      </c>
      <c r="G170" s="48"/>
      <c r="H170" s="57">
        <f>VLOOKUP(F170,$A$7:$B$7,2,TRUE)</f>
        <v>2800</v>
      </c>
      <c r="I170" s="50">
        <f t="shared" si="1"/>
        <v>0</v>
      </c>
      <c r="J170" s="52"/>
      <c r="K170" s="25"/>
      <c r="L170" s="25"/>
      <c r="M170" s="25"/>
      <c r="N170" s="25"/>
    </row>
    <row r="171" ht="15.75" customHeight="1">
      <c r="A171" s="44"/>
      <c r="B171" s="44"/>
      <c r="C171" s="44"/>
      <c r="D171" s="52"/>
      <c r="E171" s="52"/>
      <c r="F171" s="47" t="s">
        <v>26</v>
      </c>
      <c r="G171" s="48"/>
      <c r="H171" s="57">
        <f>VLOOKUP(F171,$A$8:$B$8,2,TRUE)</f>
        <v>3500</v>
      </c>
      <c r="I171" s="50">
        <f t="shared" si="1"/>
        <v>0</v>
      </c>
      <c r="J171" s="52"/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27</v>
      </c>
      <c r="G172" s="48">
        <v>4.0</v>
      </c>
      <c r="H172" s="57">
        <f>VLOOKUP(F172,$A$9:$B$9,2,TRUE)</f>
        <v>1000</v>
      </c>
      <c r="I172" s="50">
        <f t="shared" si="1"/>
        <v>4000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28</v>
      </c>
      <c r="G173" s="48">
        <v>2.0</v>
      </c>
      <c r="H173" s="57">
        <f>VLOOKUP(F173,$A$10:$B$10,2,TRUE)</f>
        <v>2000</v>
      </c>
      <c r="I173" s="50">
        <f t="shared" si="1"/>
        <v>4000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29</v>
      </c>
      <c r="G174" s="48">
        <v>6.5</v>
      </c>
      <c r="H174" s="57">
        <f>VLOOKUP(F174,$A$11:$B$11,2,TRUE)</f>
        <v>1500</v>
      </c>
      <c r="I174" s="50">
        <f t="shared" si="1"/>
        <v>9750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30</v>
      </c>
      <c r="G175" s="48"/>
      <c r="H175" s="57">
        <f>VLOOKUP(F175,$A$12:$B$12,2,TRUE)</f>
        <v>1300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31</v>
      </c>
      <c r="G176" s="48"/>
      <c r="H176" s="57">
        <f>VLOOKUP(F176,$A$13:$B$13,2,TRUE)</f>
        <v>1000</v>
      </c>
      <c r="I176" s="50">
        <f t="shared" si="1"/>
        <v>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32</v>
      </c>
      <c r="G177" s="48"/>
      <c r="H177" s="57">
        <f>VLOOKUP(F177,$A$14:$B$14,2,TRUE)</f>
        <v>500</v>
      </c>
      <c r="I177" s="50">
        <f t="shared" si="1"/>
        <v>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33</v>
      </c>
      <c r="G178" s="48"/>
      <c r="H178" s="57">
        <f>VLOOKUP(F178,$A$15:$B$15,2,TRUE)</f>
        <v>7500</v>
      </c>
      <c r="I178" s="50">
        <f t="shared" si="1"/>
        <v>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34</v>
      </c>
      <c r="G179" s="48"/>
      <c r="H179" s="57">
        <f>VLOOKUP(F179,$A$16:$B$16,2,TRUE)</f>
        <v>2000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35</v>
      </c>
      <c r="G180" s="48"/>
      <c r="H180" s="57">
        <f>VLOOKUP(F180,$A$17:$B$17,2,TRUE)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36</v>
      </c>
      <c r="G181" s="48"/>
      <c r="H181" s="57">
        <f>VLOOKUP(F181,$A$18:$B$18,2,TRUE)</f>
        <v>5000</v>
      </c>
      <c r="I181" s="50">
        <f t="shared" si="1"/>
        <v>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37</v>
      </c>
      <c r="G182" s="48"/>
      <c r="H182" s="57">
        <f>VLOOKUP(F182,$A$19:$B$19,2,TRUE)</f>
        <v>2700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38</v>
      </c>
      <c r="G183" s="48"/>
      <c r="H183" s="57">
        <f>VLOOKUP(F183,$A$20:$B$20,2,TRUE)</f>
        <v>50000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39</v>
      </c>
      <c r="G184" s="48"/>
      <c r="H184" s="57">
        <f>VLOOKUP(F184,$A$21:$B$21,2,TRUE)</f>
        <v>10000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40</v>
      </c>
      <c r="G185" s="48"/>
      <c r="H185" s="57">
        <f>VLOOKUP(F185,$A$22:$B$22,2,TRUE)</f>
        <v>1000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41</v>
      </c>
      <c r="G186" s="48"/>
      <c r="H186" s="57">
        <f>VLOOKUP(F186,$A$23:$B$23,2,TRUE)</f>
        <v>500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42</v>
      </c>
      <c r="G187" s="48"/>
      <c r="H187" s="57">
        <f>VLOOKUP(F187,$A$24:$B$24,2,TRUE)</f>
        <v>200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43</v>
      </c>
      <c r="G188" s="48"/>
      <c r="H188" s="57">
        <f>VLOOKUP(F188,$A$25:$B$25,2,TRUE)</f>
        <v>1000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18</v>
      </c>
      <c r="G189" s="48"/>
      <c r="H189" s="57">
        <f>VLOOKUP(F189,$A$26:$B$26,2,TRUE)</f>
        <v>300</v>
      </c>
      <c r="I189" s="50">
        <f t="shared" si="1"/>
        <v>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44</v>
      </c>
      <c r="G190" s="48"/>
      <c r="H190" s="57">
        <f>VLOOKUP(F190,$A$27:$B$27,2,TRUE)</f>
        <v>100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13</v>
      </c>
      <c r="G191" s="48"/>
      <c r="H191" s="57">
        <f>VLOOKUP(F191,$A$28:$B$28,2,TRUE)</f>
        <v>1500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20</v>
      </c>
      <c r="G192" s="48"/>
      <c r="H192" s="57">
        <f>VLOOKUP(F192,$A$29:$B$29,2,TRUE)</f>
        <v>3500</v>
      </c>
      <c r="I192" s="50">
        <f t="shared" si="1"/>
        <v>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13"/>
      <c r="E193" s="13"/>
      <c r="F193" s="47" t="s">
        <v>60</v>
      </c>
      <c r="G193" s="48">
        <v>5.0</v>
      </c>
      <c r="H193" s="57">
        <f>VLOOKUP(F193,$A$30:$B$30,2,TRUE)</f>
        <v>0</v>
      </c>
      <c r="I193" s="50">
        <f t="shared" si="1"/>
        <v>0</v>
      </c>
      <c r="J193" s="13"/>
      <c r="K193" s="25"/>
      <c r="L193" s="25"/>
      <c r="M193" s="25"/>
      <c r="N193" s="25"/>
    </row>
    <row r="194" ht="15.75" customHeight="1">
      <c r="A194" s="44"/>
      <c r="B194" s="44"/>
      <c r="C194" s="44"/>
      <c r="D194" s="45">
        <v>8.0</v>
      </c>
      <c r="E194" s="46" t="s">
        <v>88</v>
      </c>
      <c r="F194" s="47" t="s">
        <v>22</v>
      </c>
      <c r="G194" s="48">
        <v>1.0</v>
      </c>
      <c r="H194" s="57">
        <f>VLOOKUP(F194,$A$4:$B$4,2,TRUE)</f>
        <v>4500</v>
      </c>
      <c r="I194" s="50">
        <f t="shared" si="1"/>
        <v>4500</v>
      </c>
      <c r="J194" s="51">
        <f>SUM(I194:I220)</f>
        <v>14750</v>
      </c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57</v>
      </c>
      <c r="G195" s="48">
        <v>1.0</v>
      </c>
      <c r="H195" s="57">
        <f>VLOOKUP(F195,$A$5:$B$5,2,TRUE)</f>
        <v>3000</v>
      </c>
      <c r="I195" s="50">
        <f t="shared" si="1"/>
        <v>3000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59</v>
      </c>
      <c r="G196" s="48"/>
      <c r="H196" s="57">
        <f>VLOOKUP(F196,$A$6:$B$6,2,TRUE)</f>
        <v>1000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25</v>
      </c>
      <c r="G197" s="48"/>
      <c r="H197" s="57">
        <f>VLOOKUP(F197,$A$7:$B$7,2,TRUE)</f>
        <v>2800</v>
      </c>
      <c r="I197" s="50">
        <f t="shared" si="1"/>
        <v>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52"/>
      <c r="E198" s="52"/>
      <c r="F198" s="47" t="s">
        <v>26</v>
      </c>
      <c r="G198" s="48"/>
      <c r="H198" s="57">
        <f>VLOOKUP(F198,$A$8:$B$8,2,TRUE)</f>
        <v>3500</v>
      </c>
      <c r="I198" s="50">
        <f t="shared" si="1"/>
        <v>0</v>
      </c>
      <c r="J198" s="52"/>
      <c r="K198" s="25"/>
      <c r="L198" s="25"/>
      <c r="M198" s="25"/>
      <c r="N198" s="25"/>
    </row>
    <row r="199" ht="15.75" customHeight="1">
      <c r="A199" s="44"/>
      <c r="B199" s="44"/>
      <c r="C199" s="44"/>
      <c r="D199" s="52"/>
      <c r="E199" s="52"/>
      <c r="F199" s="47" t="s">
        <v>27</v>
      </c>
      <c r="G199" s="48">
        <v>1.5</v>
      </c>
      <c r="H199" s="57">
        <f>VLOOKUP(F199,$A$9:$B$9,2,TRUE)</f>
        <v>1000</v>
      </c>
      <c r="I199" s="50">
        <f t="shared" si="1"/>
        <v>1500</v>
      </c>
      <c r="J199" s="52"/>
      <c r="K199" s="25"/>
      <c r="L199" s="25"/>
      <c r="M199" s="25"/>
      <c r="N199" s="25"/>
    </row>
    <row r="200" ht="15.75" customHeight="1">
      <c r="A200" s="44"/>
      <c r="B200" s="44"/>
      <c r="C200" s="44"/>
      <c r="D200" s="52"/>
      <c r="E200" s="52"/>
      <c r="F200" s="47" t="s">
        <v>28</v>
      </c>
      <c r="G200" s="48"/>
      <c r="H200" s="57">
        <f>VLOOKUP(F200,$A$10:$B$10,2,TRUE)</f>
        <v>2000</v>
      </c>
      <c r="I200" s="50">
        <f t="shared" si="1"/>
        <v>0</v>
      </c>
      <c r="J200" s="52"/>
      <c r="K200" s="25"/>
      <c r="L200" s="25"/>
      <c r="M200" s="25"/>
      <c r="N200" s="25"/>
    </row>
    <row r="201" ht="15.75" customHeight="1">
      <c r="A201" s="44"/>
      <c r="B201" s="44"/>
      <c r="C201" s="44"/>
      <c r="D201" s="52"/>
      <c r="E201" s="52"/>
      <c r="F201" s="47" t="s">
        <v>29</v>
      </c>
      <c r="G201" s="48">
        <v>1.5</v>
      </c>
      <c r="H201" s="57">
        <f>VLOOKUP(F201,$A$11:$B$11,2,TRUE)</f>
        <v>1500</v>
      </c>
      <c r="I201" s="50">
        <f t="shared" si="1"/>
        <v>2250</v>
      </c>
      <c r="J201" s="52"/>
      <c r="K201" s="25"/>
      <c r="L201" s="25"/>
      <c r="M201" s="25"/>
      <c r="N201" s="25"/>
    </row>
    <row r="202" ht="15.75" customHeight="1">
      <c r="A202" s="44"/>
      <c r="B202" s="44"/>
      <c r="C202" s="44"/>
      <c r="D202" s="52"/>
      <c r="E202" s="52"/>
      <c r="F202" s="47" t="s">
        <v>30</v>
      </c>
      <c r="G202" s="48"/>
      <c r="H202" s="57">
        <f>VLOOKUP(F202,$A$12:$B$12,2,TRUE)</f>
        <v>1300</v>
      </c>
      <c r="I202" s="50">
        <f t="shared" si="1"/>
        <v>0</v>
      </c>
      <c r="J202" s="52"/>
      <c r="K202" s="25"/>
      <c r="L202" s="25"/>
      <c r="M202" s="25"/>
      <c r="N202" s="25"/>
    </row>
    <row r="203" ht="15.75" customHeight="1">
      <c r="A203" s="44"/>
      <c r="B203" s="44"/>
      <c r="C203" s="44"/>
      <c r="D203" s="52"/>
      <c r="E203" s="52"/>
      <c r="F203" s="47" t="s">
        <v>31</v>
      </c>
      <c r="G203" s="48"/>
      <c r="H203" s="57">
        <f>VLOOKUP(F203,$A$13:$B$13,2,TRUE)</f>
        <v>1000</v>
      </c>
      <c r="I203" s="50">
        <f t="shared" si="1"/>
        <v>0</v>
      </c>
      <c r="J203" s="52"/>
      <c r="K203" s="25"/>
      <c r="L203" s="25"/>
      <c r="M203" s="25"/>
      <c r="N203" s="25"/>
    </row>
    <row r="204" ht="15.75" customHeight="1">
      <c r="A204" s="44"/>
      <c r="B204" s="44"/>
      <c r="C204" s="44"/>
      <c r="D204" s="52"/>
      <c r="E204" s="52"/>
      <c r="F204" s="47" t="s">
        <v>32</v>
      </c>
      <c r="G204" s="48"/>
      <c r="H204" s="57">
        <f>VLOOKUP(F204,$A$14:$B$14,2,TRUE)</f>
        <v>500</v>
      </c>
      <c r="I204" s="50">
        <f t="shared" si="1"/>
        <v>0</v>
      </c>
      <c r="J204" s="52"/>
      <c r="K204" s="25"/>
      <c r="L204" s="25"/>
      <c r="M204" s="25"/>
      <c r="N204" s="25"/>
    </row>
    <row r="205" ht="15.75" customHeight="1">
      <c r="A205" s="44"/>
      <c r="B205" s="44"/>
      <c r="C205" s="44"/>
      <c r="D205" s="52"/>
      <c r="E205" s="52"/>
      <c r="F205" s="47" t="s">
        <v>33</v>
      </c>
      <c r="G205" s="48"/>
      <c r="H205" s="57">
        <f>VLOOKUP(F205,$A$15:$B$15,2,TRUE)</f>
        <v>7500</v>
      </c>
      <c r="I205" s="50">
        <f t="shared" si="1"/>
        <v>0</v>
      </c>
      <c r="J205" s="52"/>
      <c r="K205" s="25"/>
      <c r="L205" s="25"/>
      <c r="M205" s="25"/>
      <c r="N205" s="25"/>
    </row>
    <row r="206" ht="15.75" customHeight="1">
      <c r="A206" s="44"/>
      <c r="B206" s="44"/>
      <c r="C206" s="44"/>
      <c r="D206" s="52"/>
      <c r="E206" s="52"/>
      <c r="F206" s="47" t="s">
        <v>34</v>
      </c>
      <c r="G206" s="48"/>
      <c r="H206" s="57">
        <f>VLOOKUP(F206,$A$16:$B$16,2,TRUE)</f>
        <v>2000</v>
      </c>
      <c r="I206" s="50">
        <f t="shared" si="1"/>
        <v>0</v>
      </c>
      <c r="J206" s="52"/>
      <c r="K206" s="25"/>
      <c r="L206" s="25"/>
      <c r="M206" s="25"/>
      <c r="N206" s="25"/>
    </row>
    <row r="207" ht="15.75" customHeight="1">
      <c r="A207" s="44"/>
      <c r="B207" s="44"/>
      <c r="C207" s="44"/>
      <c r="D207" s="52"/>
      <c r="E207" s="52"/>
      <c r="F207" s="47" t="s">
        <v>35</v>
      </c>
      <c r="G207" s="48"/>
      <c r="H207" s="57">
        <f>VLOOKUP(F207,$A$17:$B$17,2,TRUE)</f>
        <v>1000</v>
      </c>
      <c r="I207" s="50">
        <f t="shared" si="1"/>
        <v>0</v>
      </c>
      <c r="J207" s="52"/>
      <c r="K207" s="25"/>
      <c r="L207" s="25"/>
      <c r="M207" s="25"/>
      <c r="N207" s="25"/>
    </row>
    <row r="208" ht="15.75" customHeight="1">
      <c r="A208" s="44"/>
      <c r="B208" s="44"/>
      <c r="C208" s="44"/>
      <c r="D208" s="52"/>
      <c r="E208" s="52"/>
      <c r="F208" s="47" t="s">
        <v>36</v>
      </c>
      <c r="G208" s="48"/>
      <c r="H208" s="57">
        <f>VLOOKUP(F208,$A$18:$B$18,2,TRUE)</f>
        <v>5000</v>
      </c>
      <c r="I208" s="50">
        <f t="shared" si="1"/>
        <v>0</v>
      </c>
      <c r="J208" s="52"/>
      <c r="K208" s="25"/>
      <c r="L208" s="25"/>
      <c r="M208" s="25"/>
      <c r="N208" s="25"/>
    </row>
    <row r="209" ht="15.75" customHeight="1">
      <c r="A209" s="44"/>
      <c r="B209" s="44"/>
      <c r="C209" s="44"/>
      <c r="D209" s="52"/>
      <c r="E209" s="52"/>
      <c r="F209" s="47" t="s">
        <v>37</v>
      </c>
      <c r="G209" s="48"/>
      <c r="H209" s="57">
        <f>VLOOKUP(F209,$A$19:$B$19,2,TRUE)</f>
        <v>2700</v>
      </c>
      <c r="I209" s="50">
        <f t="shared" si="1"/>
        <v>0</v>
      </c>
      <c r="J209" s="52"/>
      <c r="K209" s="25"/>
      <c r="L209" s="25"/>
      <c r="M209" s="25"/>
      <c r="N209" s="25"/>
    </row>
    <row r="210" ht="15.75" customHeight="1">
      <c r="A210" s="44"/>
      <c r="B210" s="44"/>
      <c r="C210" s="44"/>
      <c r="D210" s="52"/>
      <c r="E210" s="52"/>
      <c r="F210" s="47" t="s">
        <v>38</v>
      </c>
      <c r="G210" s="48"/>
      <c r="H210" s="57">
        <f>VLOOKUP(F210,$A$20:$B$20,2,TRUE)</f>
        <v>50000</v>
      </c>
      <c r="I210" s="50">
        <f t="shared" si="1"/>
        <v>0</v>
      </c>
      <c r="J210" s="52"/>
      <c r="K210" s="25"/>
      <c r="L210" s="25"/>
      <c r="M210" s="25"/>
      <c r="N210" s="25"/>
    </row>
    <row r="211" ht="15.75" customHeight="1">
      <c r="A211" s="44"/>
      <c r="B211" s="44"/>
      <c r="C211" s="44"/>
      <c r="D211" s="52"/>
      <c r="E211" s="52"/>
      <c r="F211" s="47" t="s">
        <v>39</v>
      </c>
      <c r="G211" s="48"/>
      <c r="H211" s="57">
        <f>VLOOKUP(F211,$A$21:$B$21,2,TRUE)</f>
        <v>10000</v>
      </c>
      <c r="I211" s="50">
        <f t="shared" si="1"/>
        <v>0</v>
      </c>
      <c r="J211" s="52"/>
      <c r="K211" s="25"/>
      <c r="L211" s="25"/>
      <c r="M211" s="25"/>
      <c r="N211" s="25"/>
    </row>
    <row r="212" ht="15.75" customHeight="1">
      <c r="A212" s="44"/>
      <c r="B212" s="44"/>
      <c r="C212" s="44"/>
      <c r="D212" s="52"/>
      <c r="E212" s="52"/>
      <c r="F212" s="47" t="s">
        <v>40</v>
      </c>
      <c r="G212" s="48"/>
      <c r="H212" s="57">
        <f>VLOOKUP(F212,$A$22:$B$22,2,TRUE)</f>
        <v>1000</v>
      </c>
      <c r="I212" s="50">
        <f t="shared" si="1"/>
        <v>0</v>
      </c>
      <c r="J212" s="52"/>
      <c r="K212" s="25"/>
      <c r="L212" s="25"/>
      <c r="M212" s="25"/>
      <c r="N212" s="25"/>
    </row>
    <row r="213" ht="15.75" customHeight="1">
      <c r="A213" s="44"/>
      <c r="B213" s="44"/>
      <c r="C213" s="44"/>
      <c r="D213" s="52"/>
      <c r="E213" s="52"/>
      <c r="F213" s="47" t="s">
        <v>41</v>
      </c>
      <c r="G213" s="48"/>
      <c r="H213" s="57">
        <f>VLOOKUP(F213,$A$23:$B$23,2,TRUE)</f>
        <v>500</v>
      </c>
      <c r="I213" s="50">
        <f t="shared" si="1"/>
        <v>0</v>
      </c>
      <c r="J213" s="52"/>
      <c r="K213" s="25"/>
      <c r="L213" s="25"/>
      <c r="M213" s="25"/>
      <c r="N213" s="25"/>
    </row>
    <row r="214" ht="15.75" customHeight="1">
      <c r="A214" s="44"/>
      <c r="B214" s="44"/>
      <c r="C214" s="44"/>
      <c r="D214" s="52"/>
      <c r="E214" s="52"/>
      <c r="F214" s="47" t="s">
        <v>42</v>
      </c>
      <c r="G214" s="48"/>
      <c r="H214" s="57">
        <f>VLOOKUP(F214,$A$24:$B$24,2,TRUE)</f>
        <v>200</v>
      </c>
      <c r="I214" s="50">
        <f t="shared" si="1"/>
        <v>0</v>
      </c>
      <c r="J214" s="52"/>
      <c r="K214" s="25"/>
      <c r="L214" s="25"/>
      <c r="M214" s="25"/>
      <c r="N214" s="25"/>
    </row>
    <row r="215" ht="15.75" customHeight="1">
      <c r="A215" s="44"/>
      <c r="B215" s="44"/>
      <c r="C215" s="44"/>
      <c r="D215" s="52"/>
      <c r="E215" s="52"/>
      <c r="F215" s="47" t="s">
        <v>43</v>
      </c>
      <c r="G215" s="48"/>
      <c r="H215" s="57">
        <f>VLOOKUP(F215,$A$25:$B$25,2,TRUE)</f>
        <v>1000</v>
      </c>
      <c r="I215" s="50">
        <f t="shared" si="1"/>
        <v>0</v>
      </c>
      <c r="J215" s="52"/>
      <c r="K215" s="25"/>
      <c r="L215" s="25"/>
      <c r="M215" s="25"/>
      <c r="N215" s="25"/>
    </row>
    <row r="216" ht="15.75" customHeight="1">
      <c r="A216" s="44"/>
      <c r="B216" s="44"/>
      <c r="C216" s="44"/>
      <c r="D216" s="52"/>
      <c r="E216" s="52"/>
      <c r="F216" s="47" t="s">
        <v>18</v>
      </c>
      <c r="G216" s="48"/>
      <c r="H216" s="57">
        <f>VLOOKUP(F216,$A$26:$B$26,2,TRUE)</f>
        <v>300</v>
      </c>
      <c r="I216" s="50">
        <f t="shared" si="1"/>
        <v>0</v>
      </c>
      <c r="J216" s="52"/>
      <c r="K216" s="25"/>
      <c r="L216" s="25"/>
      <c r="M216" s="25"/>
      <c r="N216" s="25"/>
    </row>
    <row r="217" ht="15.75" customHeight="1">
      <c r="A217" s="44"/>
      <c r="B217" s="44"/>
      <c r="C217" s="44"/>
      <c r="D217" s="52"/>
      <c r="E217" s="52"/>
      <c r="F217" s="47" t="s">
        <v>44</v>
      </c>
      <c r="G217" s="48"/>
      <c r="H217" s="57">
        <f>VLOOKUP(F217,$A$27:$B$27,2,TRUE)</f>
        <v>100</v>
      </c>
      <c r="I217" s="50">
        <f t="shared" si="1"/>
        <v>0</v>
      </c>
      <c r="J217" s="52"/>
      <c r="K217" s="25"/>
      <c r="L217" s="25"/>
      <c r="M217" s="25"/>
      <c r="N217" s="25"/>
    </row>
    <row r="218" ht="15.75" customHeight="1">
      <c r="A218" s="44"/>
      <c r="B218" s="44"/>
      <c r="C218" s="44"/>
      <c r="D218" s="52"/>
      <c r="E218" s="52"/>
      <c r="F218" s="47" t="s">
        <v>13</v>
      </c>
      <c r="G218" s="48"/>
      <c r="H218" s="57">
        <f>VLOOKUP(F218,$A$28:$B$28,2,TRUE)</f>
        <v>1500</v>
      </c>
      <c r="I218" s="50">
        <f t="shared" si="1"/>
        <v>0</v>
      </c>
      <c r="J218" s="52"/>
      <c r="K218" s="25"/>
      <c r="L218" s="25"/>
      <c r="M218" s="25"/>
      <c r="N218" s="25"/>
    </row>
    <row r="219" ht="15.75" customHeight="1">
      <c r="A219" s="44"/>
      <c r="B219" s="44"/>
      <c r="C219" s="44"/>
      <c r="D219" s="52"/>
      <c r="E219" s="52"/>
      <c r="F219" s="47" t="s">
        <v>20</v>
      </c>
      <c r="G219" s="48">
        <v>1.0</v>
      </c>
      <c r="H219" s="57">
        <f>VLOOKUP(F219,$A$29:$B$29,2,TRUE)</f>
        <v>3500</v>
      </c>
      <c r="I219" s="50">
        <f t="shared" si="1"/>
        <v>3500</v>
      </c>
      <c r="J219" s="52"/>
      <c r="K219" s="25"/>
      <c r="L219" s="25"/>
      <c r="M219" s="25"/>
      <c r="N219" s="25"/>
    </row>
    <row r="220" ht="15.75" customHeight="1">
      <c r="A220" s="44"/>
      <c r="B220" s="44"/>
      <c r="C220" s="44"/>
      <c r="D220" s="13"/>
      <c r="E220" s="13"/>
      <c r="F220" s="47" t="s">
        <v>60</v>
      </c>
      <c r="G220" s="48">
        <v>2.5</v>
      </c>
      <c r="H220" s="57">
        <f>VLOOKUP(F220,$A$30:$B$30,2,TRUE)</f>
        <v>0</v>
      </c>
      <c r="I220" s="50">
        <f t="shared" si="1"/>
        <v>0</v>
      </c>
      <c r="J220" s="13"/>
      <c r="K220" s="25"/>
      <c r="L220" s="25"/>
      <c r="M220" s="25"/>
      <c r="N220" s="25"/>
    </row>
    <row r="221" ht="15.75" customHeight="1">
      <c r="A221" s="44"/>
      <c r="B221" s="44"/>
      <c r="C221" s="44"/>
      <c r="D221" s="45">
        <v>9.0</v>
      </c>
      <c r="E221" s="46" t="s">
        <v>89</v>
      </c>
      <c r="F221" s="47" t="s">
        <v>22</v>
      </c>
      <c r="G221" s="48">
        <v>0.5</v>
      </c>
      <c r="H221" s="57">
        <f>VLOOKUP(F221,$A$4:$B$4,2,TRUE)</f>
        <v>4500</v>
      </c>
      <c r="I221" s="50">
        <f t="shared" si="1"/>
        <v>2250</v>
      </c>
      <c r="J221" s="51">
        <f>SUM(I221:I247)</f>
        <v>8250</v>
      </c>
      <c r="K221" s="25"/>
      <c r="L221" s="25"/>
      <c r="M221" s="25"/>
      <c r="N221" s="25"/>
    </row>
    <row r="222" ht="15.75" customHeight="1">
      <c r="A222" s="44"/>
      <c r="B222" s="44"/>
      <c r="C222" s="44"/>
      <c r="D222" s="52"/>
      <c r="E222" s="52"/>
      <c r="F222" s="47" t="s">
        <v>57</v>
      </c>
      <c r="G222" s="48">
        <v>0.5</v>
      </c>
      <c r="H222" s="57">
        <f>VLOOKUP(F222,$A$5:$B$5,2,TRUE)</f>
        <v>3000</v>
      </c>
      <c r="I222" s="50">
        <f t="shared" si="1"/>
        <v>1500</v>
      </c>
      <c r="J222" s="52"/>
      <c r="K222" s="25"/>
      <c r="L222" s="25"/>
      <c r="M222" s="25"/>
      <c r="N222" s="25"/>
    </row>
    <row r="223" ht="15.75" customHeight="1">
      <c r="A223" s="44"/>
      <c r="B223" s="44"/>
      <c r="C223" s="44"/>
      <c r="D223" s="52"/>
      <c r="E223" s="52"/>
      <c r="F223" s="47" t="s">
        <v>59</v>
      </c>
      <c r="G223" s="48"/>
      <c r="H223" s="57">
        <f>VLOOKUP(F223,$A$6:$B$6,2,TRUE)</f>
        <v>1000</v>
      </c>
      <c r="I223" s="50">
        <f t="shared" si="1"/>
        <v>0</v>
      </c>
      <c r="J223" s="52"/>
      <c r="K223" s="25"/>
      <c r="L223" s="25"/>
      <c r="M223" s="25"/>
      <c r="N223" s="25"/>
    </row>
    <row r="224" ht="15.75" customHeight="1">
      <c r="A224" s="44"/>
      <c r="B224" s="44"/>
      <c r="C224" s="44"/>
      <c r="D224" s="52"/>
      <c r="E224" s="52"/>
      <c r="F224" s="47" t="s">
        <v>25</v>
      </c>
      <c r="G224" s="48"/>
      <c r="H224" s="57">
        <f>VLOOKUP(F224,$A$7:$B$7,2,TRUE)</f>
        <v>2800</v>
      </c>
      <c r="I224" s="50">
        <f t="shared" si="1"/>
        <v>0</v>
      </c>
      <c r="J224" s="52"/>
      <c r="K224" s="25"/>
      <c r="L224" s="25"/>
      <c r="M224" s="25"/>
      <c r="N224" s="25"/>
    </row>
    <row r="225" ht="15.75" customHeight="1">
      <c r="A225" s="44"/>
      <c r="B225" s="44"/>
      <c r="C225" s="44"/>
      <c r="D225" s="52"/>
      <c r="E225" s="52"/>
      <c r="F225" s="47" t="s">
        <v>26</v>
      </c>
      <c r="G225" s="48"/>
      <c r="H225" s="57">
        <f>VLOOKUP(F225,$A$8:$B$8,2,TRUE)</f>
        <v>3500</v>
      </c>
      <c r="I225" s="50">
        <f t="shared" si="1"/>
        <v>0</v>
      </c>
      <c r="J225" s="52"/>
      <c r="K225" s="25"/>
      <c r="L225" s="25"/>
      <c r="M225" s="25"/>
      <c r="N225" s="25"/>
    </row>
    <row r="226" ht="15.75" customHeight="1">
      <c r="A226" s="44"/>
      <c r="B226" s="44"/>
      <c r="C226" s="44"/>
      <c r="D226" s="52"/>
      <c r="E226" s="52"/>
      <c r="F226" s="47" t="s">
        <v>27</v>
      </c>
      <c r="G226" s="48"/>
      <c r="H226" s="57">
        <f>VLOOKUP(F226,$A$9:$B$9,2,TRUE)</f>
        <v>1000</v>
      </c>
      <c r="I226" s="50">
        <f t="shared" si="1"/>
        <v>0</v>
      </c>
      <c r="J226" s="52"/>
      <c r="K226" s="25"/>
      <c r="L226" s="25"/>
      <c r="M226" s="25"/>
      <c r="N226" s="25"/>
    </row>
    <row r="227" ht="15.75" customHeight="1">
      <c r="A227" s="44"/>
      <c r="B227" s="44"/>
      <c r="C227" s="44"/>
      <c r="D227" s="52"/>
      <c r="E227" s="52"/>
      <c r="F227" s="47" t="s">
        <v>28</v>
      </c>
      <c r="G227" s="48"/>
      <c r="H227" s="57">
        <f>VLOOKUP(F227,$A$10:$B$10,2,TRUE)</f>
        <v>2000</v>
      </c>
      <c r="I227" s="50">
        <f t="shared" si="1"/>
        <v>0</v>
      </c>
      <c r="J227" s="52"/>
      <c r="K227" s="25"/>
      <c r="L227" s="25"/>
      <c r="M227" s="25"/>
      <c r="N227" s="25"/>
    </row>
    <row r="228" ht="15.75" customHeight="1">
      <c r="A228" s="44"/>
      <c r="B228" s="44"/>
      <c r="C228" s="44"/>
      <c r="D228" s="52"/>
      <c r="E228" s="52"/>
      <c r="F228" s="47" t="s">
        <v>29</v>
      </c>
      <c r="G228" s="48">
        <v>3.0</v>
      </c>
      <c r="H228" s="57">
        <f>VLOOKUP(F228,$A$11:$B$11,2,TRUE)</f>
        <v>1500</v>
      </c>
      <c r="I228" s="50">
        <f t="shared" si="1"/>
        <v>4500</v>
      </c>
      <c r="J228" s="52"/>
      <c r="K228" s="25"/>
      <c r="L228" s="25"/>
      <c r="M228" s="25"/>
      <c r="N228" s="25"/>
    </row>
    <row r="229" ht="15.75" customHeight="1">
      <c r="A229" s="44"/>
      <c r="B229" s="44"/>
      <c r="C229" s="44"/>
      <c r="D229" s="52"/>
      <c r="E229" s="52"/>
      <c r="F229" s="47" t="s">
        <v>30</v>
      </c>
      <c r="G229" s="48"/>
      <c r="H229" s="57">
        <f>VLOOKUP(F229,$A$12:$B$12,2,TRUE)</f>
        <v>1300</v>
      </c>
      <c r="I229" s="50">
        <f t="shared" si="1"/>
        <v>0</v>
      </c>
      <c r="J229" s="52"/>
      <c r="K229" s="25"/>
      <c r="L229" s="25"/>
      <c r="M229" s="25"/>
      <c r="N229" s="25"/>
    </row>
    <row r="230" ht="15.75" customHeight="1">
      <c r="A230" s="44"/>
      <c r="B230" s="44"/>
      <c r="C230" s="44"/>
      <c r="D230" s="52"/>
      <c r="E230" s="52"/>
      <c r="F230" s="47" t="s">
        <v>31</v>
      </c>
      <c r="G230" s="48"/>
      <c r="H230" s="57">
        <f>VLOOKUP(F230,$A$13:$B$13,2,TRUE)</f>
        <v>1000</v>
      </c>
      <c r="I230" s="50">
        <f t="shared" si="1"/>
        <v>0</v>
      </c>
      <c r="J230" s="52"/>
      <c r="K230" s="25"/>
      <c r="L230" s="25"/>
      <c r="M230" s="25"/>
      <c r="N230" s="25"/>
    </row>
    <row r="231" ht="15.75" customHeight="1">
      <c r="A231" s="44"/>
      <c r="B231" s="44"/>
      <c r="C231" s="44"/>
      <c r="D231" s="52"/>
      <c r="E231" s="52"/>
      <c r="F231" s="47" t="s">
        <v>32</v>
      </c>
      <c r="G231" s="48"/>
      <c r="H231" s="57">
        <f>VLOOKUP(F231,$A$14:$B$14,2,TRUE)</f>
        <v>500</v>
      </c>
      <c r="I231" s="50">
        <f t="shared" si="1"/>
        <v>0</v>
      </c>
      <c r="J231" s="52"/>
      <c r="K231" s="25"/>
      <c r="L231" s="25"/>
      <c r="M231" s="25"/>
      <c r="N231" s="25"/>
    </row>
    <row r="232" ht="15.75" customHeight="1">
      <c r="A232" s="44"/>
      <c r="B232" s="44"/>
      <c r="C232" s="44"/>
      <c r="D232" s="52"/>
      <c r="E232" s="52"/>
      <c r="F232" s="47" t="s">
        <v>33</v>
      </c>
      <c r="G232" s="48"/>
      <c r="H232" s="57">
        <f>VLOOKUP(F232,$A$15:$B$15,2,TRUE)</f>
        <v>7500</v>
      </c>
      <c r="I232" s="50">
        <f t="shared" si="1"/>
        <v>0</v>
      </c>
      <c r="J232" s="52"/>
      <c r="K232" s="25"/>
      <c r="L232" s="25"/>
      <c r="M232" s="25"/>
      <c r="N232" s="25"/>
    </row>
    <row r="233" ht="15.75" customHeight="1">
      <c r="A233" s="44"/>
      <c r="B233" s="44"/>
      <c r="C233" s="44"/>
      <c r="D233" s="52"/>
      <c r="E233" s="52"/>
      <c r="F233" s="47" t="s">
        <v>34</v>
      </c>
      <c r="G233" s="48"/>
      <c r="H233" s="57">
        <f>VLOOKUP(F233,$A$16:$B$16,2,TRUE)</f>
        <v>2000</v>
      </c>
      <c r="I233" s="50">
        <f t="shared" si="1"/>
        <v>0</v>
      </c>
      <c r="J233" s="52"/>
      <c r="K233" s="25"/>
      <c r="L233" s="25"/>
      <c r="M233" s="25"/>
      <c r="N233" s="25"/>
    </row>
    <row r="234" ht="15.75" customHeight="1">
      <c r="A234" s="44"/>
      <c r="B234" s="44"/>
      <c r="C234" s="44"/>
      <c r="D234" s="52"/>
      <c r="E234" s="52"/>
      <c r="F234" s="47" t="s">
        <v>35</v>
      </c>
      <c r="G234" s="48"/>
      <c r="H234" s="57">
        <f>VLOOKUP(F234,$A$17:$B$17,2,TRUE)</f>
        <v>1000</v>
      </c>
      <c r="I234" s="50">
        <f t="shared" si="1"/>
        <v>0</v>
      </c>
      <c r="J234" s="52"/>
      <c r="K234" s="25"/>
      <c r="L234" s="25"/>
      <c r="M234" s="25"/>
      <c r="N234" s="25"/>
    </row>
    <row r="235" ht="15.75" customHeight="1">
      <c r="A235" s="44"/>
      <c r="B235" s="44"/>
      <c r="C235" s="44"/>
      <c r="D235" s="52"/>
      <c r="E235" s="52"/>
      <c r="F235" s="47" t="s">
        <v>36</v>
      </c>
      <c r="G235" s="48"/>
      <c r="H235" s="57">
        <f>VLOOKUP(F235,$A$18:$B$18,2,TRUE)</f>
        <v>5000</v>
      </c>
      <c r="I235" s="50">
        <f t="shared" si="1"/>
        <v>0</v>
      </c>
      <c r="J235" s="52"/>
      <c r="K235" s="25"/>
      <c r="L235" s="25"/>
      <c r="M235" s="25"/>
      <c r="N235" s="25"/>
    </row>
    <row r="236" ht="15.75" customHeight="1">
      <c r="A236" s="44"/>
      <c r="B236" s="44"/>
      <c r="C236" s="44"/>
      <c r="D236" s="52"/>
      <c r="E236" s="52"/>
      <c r="F236" s="47" t="s">
        <v>37</v>
      </c>
      <c r="G236" s="48"/>
      <c r="H236" s="57">
        <f>VLOOKUP(F236,$A$19:$B$19,2,TRUE)</f>
        <v>2700</v>
      </c>
      <c r="I236" s="50">
        <f t="shared" si="1"/>
        <v>0</v>
      </c>
      <c r="J236" s="52"/>
      <c r="K236" s="25"/>
      <c r="L236" s="25"/>
      <c r="M236" s="25"/>
      <c r="N236" s="25"/>
    </row>
    <row r="237" ht="15.75" customHeight="1">
      <c r="A237" s="44"/>
      <c r="B237" s="44"/>
      <c r="C237" s="44"/>
      <c r="D237" s="52"/>
      <c r="E237" s="52"/>
      <c r="F237" s="47" t="s">
        <v>38</v>
      </c>
      <c r="G237" s="48"/>
      <c r="H237" s="57">
        <f>VLOOKUP(F237,$A$20:$B$20,2,TRUE)</f>
        <v>50000</v>
      </c>
      <c r="I237" s="50">
        <f t="shared" si="1"/>
        <v>0</v>
      </c>
      <c r="J237" s="52"/>
      <c r="K237" s="25"/>
      <c r="L237" s="25"/>
      <c r="M237" s="25"/>
      <c r="N237" s="25"/>
    </row>
    <row r="238" ht="15.75" customHeight="1">
      <c r="A238" s="44"/>
      <c r="B238" s="44"/>
      <c r="C238" s="44"/>
      <c r="D238" s="52"/>
      <c r="E238" s="52"/>
      <c r="F238" s="47" t="s">
        <v>39</v>
      </c>
      <c r="G238" s="48"/>
      <c r="H238" s="57">
        <f>VLOOKUP(F238,$A$21:$B$21,2,TRUE)</f>
        <v>10000</v>
      </c>
      <c r="I238" s="50">
        <f t="shared" si="1"/>
        <v>0</v>
      </c>
      <c r="J238" s="52"/>
      <c r="K238" s="25"/>
      <c r="L238" s="25"/>
      <c r="M238" s="25"/>
      <c r="N238" s="25"/>
    </row>
    <row r="239" ht="15.75" customHeight="1">
      <c r="A239" s="44"/>
      <c r="B239" s="44"/>
      <c r="C239" s="44"/>
      <c r="D239" s="52"/>
      <c r="E239" s="52"/>
      <c r="F239" s="47" t="s">
        <v>40</v>
      </c>
      <c r="G239" s="48"/>
      <c r="H239" s="57">
        <f>VLOOKUP(F239,$A$22:$B$22,2,TRUE)</f>
        <v>1000</v>
      </c>
      <c r="I239" s="50">
        <f t="shared" si="1"/>
        <v>0</v>
      </c>
      <c r="J239" s="52"/>
      <c r="K239" s="25"/>
      <c r="L239" s="25"/>
      <c r="M239" s="25"/>
      <c r="N239" s="25"/>
    </row>
    <row r="240" ht="15.75" customHeight="1">
      <c r="A240" s="44"/>
      <c r="B240" s="44"/>
      <c r="C240" s="44"/>
      <c r="D240" s="52"/>
      <c r="E240" s="52"/>
      <c r="F240" s="47" t="s">
        <v>41</v>
      </c>
      <c r="G240" s="48"/>
      <c r="H240" s="57">
        <f>VLOOKUP(F240,$A$23:$B$23,2,TRUE)</f>
        <v>500</v>
      </c>
      <c r="I240" s="50">
        <f t="shared" si="1"/>
        <v>0</v>
      </c>
      <c r="J240" s="52"/>
      <c r="K240" s="25"/>
      <c r="L240" s="25"/>
      <c r="M240" s="25"/>
      <c r="N240" s="25"/>
    </row>
    <row r="241" ht="15.75" customHeight="1">
      <c r="A241" s="44"/>
      <c r="B241" s="44"/>
      <c r="C241" s="44"/>
      <c r="D241" s="52"/>
      <c r="E241" s="52"/>
      <c r="F241" s="47" t="s">
        <v>42</v>
      </c>
      <c r="G241" s="48"/>
      <c r="H241" s="57">
        <f>VLOOKUP(F241,$A$24:$B$24,2,TRUE)</f>
        <v>200</v>
      </c>
      <c r="I241" s="50">
        <f t="shared" si="1"/>
        <v>0</v>
      </c>
      <c r="J241" s="52"/>
      <c r="K241" s="25"/>
      <c r="L241" s="25"/>
      <c r="M241" s="25"/>
      <c r="N241" s="25"/>
    </row>
    <row r="242" ht="15.75" customHeight="1">
      <c r="A242" s="44"/>
      <c r="B242" s="44"/>
      <c r="C242" s="44"/>
      <c r="D242" s="52"/>
      <c r="E242" s="52"/>
      <c r="F242" s="47" t="s">
        <v>43</v>
      </c>
      <c r="G242" s="48"/>
      <c r="H242" s="57">
        <f>VLOOKUP(F242,$A$25:$B$25,2,TRUE)</f>
        <v>1000</v>
      </c>
      <c r="I242" s="50">
        <f t="shared" si="1"/>
        <v>0</v>
      </c>
      <c r="J242" s="52"/>
      <c r="K242" s="25"/>
      <c r="L242" s="25"/>
      <c r="M242" s="25"/>
      <c r="N242" s="25"/>
    </row>
    <row r="243" ht="15.75" customHeight="1">
      <c r="A243" s="44"/>
      <c r="B243" s="44"/>
      <c r="C243" s="44"/>
      <c r="D243" s="52"/>
      <c r="E243" s="52"/>
      <c r="F243" s="47" t="s">
        <v>18</v>
      </c>
      <c r="G243" s="48"/>
      <c r="H243" s="57">
        <f>VLOOKUP(F243,$A$26:$B$26,2,TRUE)</f>
        <v>300</v>
      </c>
      <c r="I243" s="50">
        <f t="shared" si="1"/>
        <v>0</v>
      </c>
      <c r="J243" s="52"/>
      <c r="K243" s="25"/>
      <c r="L243" s="25"/>
      <c r="M243" s="25"/>
      <c r="N243" s="25"/>
    </row>
    <row r="244" ht="15.75" customHeight="1">
      <c r="A244" s="44"/>
      <c r="B244" s="44"/>
      <c r="C244" s="44"/>
      <c r="D244" s="52"/>
      <c r="E244" s="52"/>
      <c r="F244" s="47" t="s">
        <v>44</v>
      </c>
      <c r="G244" s="48"/>
      <c r="H244" s="57">
        <f>VLOOKUP(F244,$A$27:$B$27,2,TRUE)</f>
        <v>100</v>
      </c>
      <c r="I244" s="50">
        <f t="shared" si="1"/>
        <v>0</v>
      </c>
      <c r="J244" s="52"/>
      <c r="K244" s="25"/>
      <c r="L244" s="25"/>
      <c r="M244" s="25"/>
      <c r="N244" s="25"/>
    </row>
    <row r="245" ht="15.75" customHeight="1">
      <c r="A245" s="44"/>
      <c r="B245" s="44"/>
      <c r="C245" s="44"/>
      <c r="D245" s="52"/>
      <c r="E245" s="52"/>
      <c r="F245" s="47" t="s">
        <v>13</v>
      </c>
      <c r="G245" s="48"/>
      <c r="H245" s="57">
        <f>VLOOKUP(F245,$A$28:$B$28,2,TRUE)</f>
        <v>1500</v>
      </c>
      <c r="I245" s="50">
        <f t="shared" si="1"/>
        <v>0</v>
      </c>
      <c r="J245" s="52"/>
      <c r="K245" s="25"/>
      <c r="L245" s="25"/>
      <c r="M245" s="25"/>
      <c r="N245" s="25"/>
    </row>
    <row r="246" ht="15.75" customHeight="1">
      <c r="A246" s="44"/>
      <c r="B246" s="44"/>
      <c r="C246" s="44"/>
      <c r="D246" s="52"/>
      <c r="E246" s="52"/>
      <c r="F246" s="47" t="s">
        <v>20</v>
      </c>
      <c r="G246" s="48"/>
      <c r="H246" s="57">
        <f>VLOOKUP(F246,$A$29:$B$29,2,TRUE)</f>
        <v>3500</v>
      </c>
      <c r="I246" s="50">
        <f t="shared" si="1"/>
        <v>0</v>
      </c>
      <c r="J246" s="52"/>
      <c r="K246" s="25"/>
      <c r="L246" s="25"/>
      <c r="M246" s="25"/>
      <c r="N246" s="25"/>
    </row>
    <row r="247" ht="15.75" customHeight="1">
      <c r="A247" s="44"/>
      <c r="B247" s="44"/>
      <c r="C247" s="44"/>
      <c r="D247" s="13"/>
      <c r="E247" s="13"/>
      <c r="F247" s="47" t="s">
        <v>60</v>
      </c>
      <c r="G247" s="48">
        <v>0.5</v>
      </c>
      <c r="H247" s="57">
        <f>VLOOKUP(F247,$A$30:$B$30,2,TRUE)</f>
        <v>0</v>
      </c>
      <c r="I247" s="50">
        <f t="shared" si="1"/>
        <v>0</v>
      </c>
      <c r="J247" s="13"/>
      <c r="K247" s="25"/>
      <c r="L247" s="25"/>
      <c r="M247" s="25"/>
      <c r="N247" s="25"/>
    </row>
    <row r="248" ht="15.75" customHeight="1">
      <c r="A248" s="44"/>
      <c r="B248" s="44"/>
      <c r="C248" s="44"/>
      <c r="D248" s="45">
        <v>10.0</v>
      </c>
      <c r="E248" s="46" t="s">
        <v>90</v>
      </c>
      <c r="F248" s="47" t="s">
        <v>22</v>
      </c>
      <c r="G248" s="48"/>
      <c r="H248" s="57">
        <f>VLOOKUP(F248,$A$4:$B$4,2,TRUE)</f>
        <v>4500</v>
      </c>
      <c r="I248" s="50">
        <f t="shared" si="1"/>
        <v>0</v>
      </c>
      <c r="J248" s="51">
        <f>SUM(I248:I274)</f>
        <v>39250</v>
      </c>
      <c r="K248" s="25"/>
      <c r="L248" s="25"/>
      <c r="M248" s="25"/>
      <c r="N248" s="25"/>
    </row>
    <row r="249" ht="15.75" customHeight="1">
      <c r="A249" s="44"/>
      <c r="B249" s="44"/>
      <c r="C249" s="44"/>
      <c r="D249" s="52"/>
      <c r="E249" s="52"/>
      <c r="F249" s="47" t="s">
        <v>57</v>
      </c>
      <c r="G249" s="48"/>
      <c r="H249" s="57">
        <f>VLOOKUP(F249,$A$5:$B$5,2,TRUE)</f>
        <v>3000</v>
      </c>
      <c r="I249" s="50">
        <f t="shared" si="1"/>
        <v>0</v>
      </c>
      <c r="J249" s="52"/>
      <c r="K249" s="25"/>
      <c r="L249" s="25"/>
      <c r="M249" s="25"/>
      <c r="N249" s="25"/>
    </row>
    <row r="250" ht="15.75" customHeight="1">
      <c r="A250" s="44"/>
      <c r="B250" s="44"/>
      <c r="C250" s="44"/>
      <c r="D250" s="52"/>
      <c r="E250" s="52"/>
      <c r="F250" s="47" t="s">
        <v>59</v>
      </c>
      <c r="G250" s="48"/>
      <c r="H250" s="57">
        <f>VLOOKUP(F250,$A$6:$B$6,2,TRUE)</f>
        <v>1000</v>
      </c>
      <c r="I250" s="50">
        <f t="shared" si="1"/>
        <v>0</v>
      </c>
      <c r="J250" s="52"/>
      <c r="K250" s="25"/>
      <c r="L250" s="25"/>
      <c r="M250" s="25"/>
      <c r="N250" s="25"/>
    </row>
    <row r="251" ht="15.75" customHeight="1">
      <c r="A251" s="44"/>
      <c r="B251" s="44"/>
      <c r="C251" s="44"/>
      <c r="D251" s="52"/>
      <c r="E251" s="52"/>
      <c r="F251" s="47" t="s">
        <v>25</v>
      </c>
      <c r="G251" s="48"/>
      <c r="H251" s="57">
        <f>VLOOKUP(F251,$A$7:$B$7,2,TRUE)</f>
        <v>2800</v>
      </c>
      <c r="I251" s="50">
        <f t="shared" si="1"/>
        <v>0</v>
      </c>
      <c r="J251" s="52"/>
      <c r="K251" s="25"/>
      <c r="L251" s="25"/>
      <c r="M251" s="25"/>
      <c r="N251" s="25"/>
    </row>
    <row r="252" ht="15.75" customHeight="1">
      <c r="A252" s="44"/>
      <c r="B252" s="44"/>
      <c r="C252" s="44"/>
      <c r="D252" s="52"/>
      <c r="E252" s="52"/>
      <c r="F252" s="47" t="s">
        <v>26</v>
      </c>
      <c r="G252" s="48">
        <v>0.5</v>
      </c>
      <c r="H252" s="57">
        <f>VLOOKUP(F252,$A$8:$B$8,2,TRUE)</f>
        <v>3500</v>
      </c>
      <c r="I252" s="50">
        <f t="shared" si="1"/>
        <v>1750</v>
      </c>
      <c r="J252" s="52"/>
      <c r="K252" s="25"/>
      <c r="L252" s="25"/>
      <c r="M252" s="25"/>
      <c r="N252" s="25"/>
    </row>
    <row r="253" ht="15.75" customHeight="1">
      <c r="A253" s="44"/>
      <c r="B253" s="44"/>
      <c r="C253" s="44"/>
      <c r="D253" s="52"/>
      <c r="E253" s="52"/>
      <c r="F253" s="47" t="s">
        <v>27</v>
      </c>
      <c r="G253" s="48">
        <v>5.5</v>
      </c>
      <c r="H253" s="57">
        <f>VLOOKUP(F253,$A$9:$B$9,2,TRUE)</f>
        <v>1000</v>
      </c>
      <c r="I253" s="50">
        <f t="shared" si="1"/>
        <v>5500</v>
      </c>
      <c r="J253" s="52"/>
      <c r="K253" s="25"/>
      <c r="L253" s="25"/>
      <c r="M253" s="25"/>
      <c r="N253" s="25"/>
    </row>
    <row r="254" ht="15.75" customHeight="1">
      <c r="A254" s="44"/>
      <c r="B254" s="44"/>
      <c r="C254" s="44"/>
      <c r="D254" s="52"/>
      <c r="E254" s="52"/>
      <c r="F254" s="47" t="s">
        <v>28</v>
      </c>
      <c r="G254" s="48"/>
      <c r="H254" s="57">
        <f>VLOOKUP(F254,$A$10:$B$10,2,TRUE)</f>
        <v>2000</v>
      </c>
      <c r="I254" s="50">
        <f t="shared" si="1"/>
        <v>0</v>
      </c>
      <c r="J254" s="52"/>
      <c r="K254" s="25"/>
      <c r="L254" s="25"/>
      <c r="M254" s="25"/>
      <c r="N254" s="25"/>
    </row>
    <row r="255" ht="15.75" customHeight="1">
      <c r="A255" s="44"/>
      <c r="B255" s="44"/>
      <c r="C255" s="44"/>
      <c r="D255" s="52"/>
      <c r="E255" s="52"/>
      <c r="F255" s="47" t="s">
        <v>29</v>
      </c>
      <c r="G255" s="48"/>
      <c r="H255" s="57">
        <f>VLOOKUP(F255,$A$11:$B$11,2,TRUE)</f>
        <v>1500</v>
      </c>
      <c r="I255" s="50">
        <f t="shared" si="1"/>
        <v>0</v>
      </c>
      <c r="J255" s="52"/>
      <c r="K255" s="25"/>
      <c r="L255" s="25"/>
      <c r="M255" s="25"/>
      <c r="N255" s="25"/>
    </row>
    <row r="256" ht="15.75" customHeight="1">
      <c r="A256" s="44"/>
      <c r="B256" s="44"/>
      <c r="C256" s="44"/>
      <c r="D256" s="52"/>
      <c r="E256" s="52"/>
      <c r="F256" s="47" t="s">
        <v>30</v>
      </c>
      <c r="G256" s="48"/>
      <c r="H256" s="57">
        <f>VLOOKUP(F256,$A$12:$B$12,2,TRUE)</f>
        <v>1300</v>
      </c>
      <c r="I256" s="50">
        <f t="shared" si="1"/>
        <v>0</v>
      </c>
      <c r="J256" s="52"/>
      <c r="K256" s="25"/>
      <c r="L256" s="25"/>
      <c r="M256" s="25"/>
      <c r="N256" s="25"/>
    </row>
    <row r="257" ht="15.75" customHeight="1">
      <c r="A257" s="44"/>
      <c r="B257" s="44"/>
      <c r="C257" s="44"/>
      <c r="D257" s="52"/>
      <c r="E257" s="52"/>
      <c r="F257" s="47" t="s">
        <v>31</v>
      </c>
      <c r="G257" s="48"/>
      <c r="H257" s="57">
        <f>VLOOKUP(F257,$A$13:$B$13,2,TRUE)</f>
        <v>1000</v>
      </c>
      <c r="I257" s="50">
        <f t="shared" si="1"/>
        <v>0</v>
      </c>
      <c r="J257" s="52"/>
      <c r="K257" s="25"/>
      <c r="L257" s="25"/>
      <c r="M257" s="25"/>
      <c r="N257" s="25"/>
    </row>
    <row r="258" ht="15.75" customHeight="1">
      <c r="A258" s="44"/>
      <c r="B258" s="44"/>
      <c r="C258" s="44"/>
      <c r="D258" s="52"/>
      <c r="E258" s="52"/>
      <c r="F258" s="47" t="s">
        <v>32</v>
      </c>
      <c r="G258" s="48"/>
      <c r="H258" s="57">
        <f>VLOOKUP(F258,$A$14:$B$14,2,TRUE)</f>
        <v>500</v>
      </c>
      <c r="I258" s="50">
        <f t="shared" si="1"/>
        <v>0</v>
      </c>
      <c r="J258" s="52"/>
      <c r="K258" s="25"/>
      <c r="L258" s="25"/>
      <c r="M258" s="25"/>
      <c r="N258" s="25"/>
    </row>
    <row r="259" ht="15.75" customHeight="1">
      <c r="A259" s="44"/>
      <c r="B259" s="44"/>
      <c r="C259" s="44"/>
      <c r="D259" s="52"/>
      <c r="E259" s="52"/>
      <c r="F259" s="47" t="s">
        <v>33</v>
      </c>
      <c r="G259" s="48"/>
      <c r="H259" s="57">
        <f>VLOOKUP(F259,$A$15:$B$15,2,TRUE)</f>
        <v>7500</v>
      </c>
      <c r="I259" s="50">
        <f t="shared" si="1"/>
        <v>0</v>
      </c>
      <c r="J259" s="52"/>
      <c r="K259" s="25"/>
      <c r="L259" s="25"/>
      <c r="M259" s="25"/>
      <c r="N259" s="25"/>
    </row>
    <row r="260" ht="15.75" customHeight="1">
      <c r="A260" s="44"/>
      <c r="B260" s="44"/>
      <c r="C260" s="44"/>
      <c r="D260" s="52"/>
      <c r="E260" s="52"/>
      <c r="F260" s="47" t="s">
        <v>34</v>
      </c>
      <c r="G260" s="48">
        <v>2.0</v>
      </c>
      <c r="H260" s="57">
        <f>VLOOKUP(F260,$A$16:$B$16,2,TRUE)</f>
        <v>2000</v>
      </c>
      <c r="I260" s="50">
        <f t="shared" si="1"/>
        <v>4000</v>
      </c>
      <c r="J260" s="52"/>
      <c r="K260" s="25"/>
      <c r="L260" s="25"/>
      <c r="M260" s="25"/>
      <c r="N260" s="25"/>
    </row>
    <row r="261" ht="15.75" customHeight="1">
      <c r="A261" s="44"/>
      <c r="B261" s="44"/>
      <c r="C261" s="44"/>
      <c r="D261" s="52"/>
      <c r="E261" s="52"/>
      <c r="F261" s="47" t="s">
        <v>35</v>
      </c>
      <c r="G261" s="48"/>
      <c r="H261" s="57">
        <f>VLOOKUP(F261,$A$17:$B$17,2,TRUE)</f>
        <v>1000</v>
      </c>
      <c r="I261" s="50">
        <f t="shared" si="1"/>
        <v>0</v>
      </c>
      <c r="J261" s="52"/>
      <c r="K261" s="25"/>
      <c r="L261" s="25"/>
      <c r="M261" s="25"/>
      <c r="N261" s="25"/>
    </row>
    <row r="262" ht="15.75" customHeight="1">
      <c r="A262" s="44"/>
      <c r="B262" s="44"/>
      <c r="C262" s="44"/>
      <c r="D262" s="52"/>
      <c r="E262" s="52"/>
      <c r="F262" s="47" t="s">
        <v>36</v>
      </c>
      <c r="G262" s="48"/>
      <c r="H262" s="57">
        <f>VLOOKUP(F262,$A$18:$B$18,2,TRUE)</f>
        <v>5000</v>
      </c>
      <c r="I262" s="50">
        <f t="shared" si="1"/>
        <v>0</v>
      </c>
      <c r="J262" s="52"/>
      <c r="K262" s="25"/>
      <c r="L262" s="25"/>
      <c r="M262" s="25"/>
      <c r="N262" s="25"/>
    </row>
    <row r="263" ht="15.75" customHeight="1">
      <c r="A263" s="44"/>
      <c r="B263" s="44"/>
      <c r="C263" s="44"/>
      <c r="D263" s="52"/>
      <c r="E263" s="52"/>
      <c r="F263" s="47" t="s">
        <v>37</v>
      </c>
      <c r="G263" s="48"/>
      <c r="H263" s="57">
        <f>VLOOKUP(F263,$A$19:$B$19,2,TRUE)</f>
        <v>2700</v>
      </c>
      <c r="I263" s="50">
        <f t="shared" si="1"/>
        <v>0</v>
      </c>
      <c r="J263" s="52"/>
      <c r="K263" s="25"/>
      <c r="L263" s="25"/>
      <c r="M263" s="25"/>
      <c r="N263" s="25"/>
    </row>
    <row r="264" ht="15.75" customHeight="1">
      <c r="A264" s="44"/>
      <c r="B264" s="44"/>
      <c r="C264" s="44"/>
      <c r="D264" s="52"/>
      <c r="E264" s="52"/>
      <c r="F264" s="47" t="s">
        <v>38</v>
      </c>
      <c r="G264" s="48"/>
      <c r="H264" s="57">
        <f>VLOOKUP(F264,$A$20:$B$20,2,TRUE)</f>
        <v>50000</v>
      </c>
      <c r="I264" s="50">
        <f t="shared" si="1"/>
        <v>0</v>
      </c>
      <c r="J264" s="52"/>
      <c r="K264" s="25"/>
      <c r="L264" s="25"/>
      <c r="M264" s="25"/>
      <c r="N264" s="25"/>
    </row>
    <row r="265" ht="15.75" customHeight="1">
      <c r="A265" s="44"/>
      <c r="B265" s="44"/>
      <c r="C265" s="44"/>
      <c r="D265" s="52"/>
      <c r="E265" s="52"/>
      <c r="F265" s="47" t="s">
        <v>39</v>
      </c>
      <c r="G265" s="48"/>
      <c r="H265" s="57">
        <f>VLOOKUP(F265,$A$21:$B$21,2,TRUE)</f>
        <v>10000</v>
      </c>
      <c r="I265" s="50">
        <f t="shared" si="1"/>
        <v>0</v>
      </c>
      <c r="J265" s="52"/>
      <c r="K265" s="25"/>
      <c r="L265" s="25"/>
      <c r="M265" s="25"/>
      <c r="N265" s="25"/>
    </row>
    <row r="266" ht="15.75" customHeight="1">
      <c r="A266" s="44"/>
      <c r="B266" s="44"/>
      <c r="C266" s="44"/>
      <c r="D266" s="52"/>
      <c r="E266" s="52"/>
      <c r="F266" s="47" t="s">
        <v>40</v>
      </c>
      <c r="G266" s="48"/>
      <c r="H266" s="57">
        <f>VLOOKUP(F266,$A$22:$B$22,2,TRUE)</f>
        <v>1000</v>
      </c>
      <c r="I266" s="50">
        <f t="shared" si="1"/>
        <v>0</v>
      </c>
      <c r="J266" s="52"/>
      <c r="K266" s="25"/>
      <c r="L266" s="25"/>
      <c r="M266" s="25"/>
      <c r="N266" s="25"/>
    </row>
    <row r="267" ht="15.75" customHeight="1">
      <c r="A267" s="44"/>
      <c r="B267" s="44"/>
      <c r="C267" s="44"/>
      <c r="D267" s="52"/>
      <c r="E267" s="52"/>
      <c r="F267" s="47" t="s">
        <v>41</v>
      </c>
      <c r="G267" s="48"/>
      <c r="H267" s="57">
        <f>VLOOKUP(F267,$A$23:$B$23,2,TRUE)</f>
        <v>500</v>
      </c>
      <c r="I267" s="50">
        <f t="shared" si="1"/>
        <v>0</v>
      </c>
      <c r="J267" s="52"/>
      <c r="K267" s="25"/>
      <c r="L267" s="25"/>
      <c r="M267" s="25"/>
      <c r="N267" s="25"/>
    </row>
    <row r="268" ht="15.75" customHeight="1">
      <c r="A268" s="44"/>
      <c r="B268" s="44"/>
      <c r="C268" s="44"/>
      <c r="D268" s="52"/>
      <c r="E268" s="52"/>
      <c r="F268" s="47" t="s">
        <v>42</v>
      </c>
      <c r="G268" s="48"/>
      <c r="H268" s="57">
        <f>VLOOKUP(F268,$A$24:$B$24,2,TRUE)</f>
        <v>200</v>
      </c>
      <c r="I268" s="50">
        <f t="shared" si="1"/>
        <v>0</v>
      </c>
      <c r="J268" s="52"/>
      <c r="K268" s="25"/>
      <c r="L268" s="25"/>
      <c r="M268" s="25"/>
      <c r="N268" s="25"/>
    </row>
    <row r="269" ht="15.75" customHeight="1">
      <c r="A269" s="44"/>
      <c r="B269" s="44"/>
      <c r="C269" s="44"/>
      <c r="D269" s="52"/>
      <c r="E269" s="52"/>
      <c r="F269" s="47" t="s">
        <v>43</v>
      </c>
      <c r="G269" s="48"/>
      <c r="H269" s="57">
        <f>VLOOKUP(F269,$A$25:$B$25,2,TRUE)</f>
        <v>1000</v>
      </c>
      <c r="I269" s="50">
        <f t="shared" si="1"/>
        <v>0</v>
      </c>
      <c r="J269" s="52"/>
      <c r="K269" s="25"/>
      <c r="L269" s="25"/>
      <c r="M269" s="25"/>
      <c r="N269" s="25"/>
    </row>
    <row r="270" ht="15.75" customHeight="1">
      <c r="A270" s="44"/>
      <c r="B270" s="44"/>
      <c r="C270" s="44"/>
      <c r="D270" s="52"/>
      <c r="E270" s="52"/>
      <c r="F270" s="47" t="s">
        <v>18</v>
      </c>
      <c r="G270" s="48"/>
      <c r="H270" s="57">
        <f>VLOOKUP(F270,$A$26:$B$26,2,TRUE)</f>
        <v>300</v>
      </c>
      <c r="I270" s="50">
        <f t="shared" si="1"/>
        <v>0</v>
      </c>
      <c r="J270" s="52"/>
      <c r="K270" s="25"/>
      <c r="L270" s="25"/>
      <c r="M270" s="25"/>
      <c r="N270" s="25"/>
    </row>
    <row r="271" ht="15.75" customHeight="1">
      <c r="A271" s="44"/>
      <c r="B271" s="44"/>
      <c r="C271" s="44"/>
      <c r="D271" s="52"/>
      <c r="E271" s="52"/>
      <c r="F271" s="47" t="s">
        <v>44</v>
      </c>
      <c r="G271" s="48"/>
      <c r="H271" s="57">
        <f>VLOOKUP(F271,$A$27:$B$27,2,TRUE)</f>
        <v>100</v>
      </c>
      <c r="I271" s="50">
        <f t="shared" si="1"/>
        <v>0</v>
      </c>
      <c r="J271" s="52"/>
      <c r="K271" s="25"/>
      <c r="L271" s="25"/>
      <c r="M271" s="25"/>
      <c r="N271" s="25"/>
    </row>
    <row r="272" ht="15.75" customHeight="1">
      <c r="A272" s="44"/>
      <c r="B272" s="44"/>
      <c r="C272" s="44"/>
      <c r="D272" s="52"/>
      <c r="E272" s="52"/>
      <c r="F272" s="47" t="s">
        <v>13</v>
      </c>
      <c r="G272" s="48"/>
      <c r="H272" s="57">
        <f>VLOOKUP(F272,$A$28:$B$28,2,TRUE)</f>
        <v>1500</v>
      </c>
      <c r="I272" s="50">
        <f t="shared" si="1"/>
        <v>0</v>
      </c>
      <c r="J272" s="52"/>
      <c r="K272" s="25"/>
      <c r="L272" s="25"/>
      <c r="M272" s="25"/>
      <c r="N272" s="25"/>
    </row>
    <row r="273" ht="15.75" customHeight="1">
      <c r="A273" s="44"/>
      <c r="B273" s="44"/>
      <c r="C273" s="44"/>
      <c r="D273" s="52"/>
      <c r="E273" s="52"/>
      <c r="F273" s="47" t="s">
        <v>20</v>
      </c>
      <c r="G273" s="48">
        <v>8.0</v>
      </c>
      <c r="H273" s="57">
        <f>VLOOKUP(F273,$A$29:$B$29,2,TRUE)</f>
        <v>3500</v>
      </c>
      <c r="I273" s="50">
        <f t="shared" si="1"/>
        <v>28000</v>
      </c>
      <c r="J273" s="52"/>
      <c r="K273" s="25"/>
      <c r="L273" s="25"/>
      <c r="M273" s="25"/>
      <c r="N273" s="25"/>
    </row>
    <row r="274" ht="15.75" customHeight="1">
      <c r="A274" s="44"/>
      <c r="B274" s="44"/>
      <c r="C274" s="44"/>
      <c r="D274" s="13"/>
      <c r="E274" s="13"/>
      <c r="F274" s="47" t="s">
        <v>60</v>
      </c>
      <c r="G274" s="48">
        <v>4.0</v>
      </c>
      <c r="H274" s="57">
        <f>VLOOKUP(F274,$A$30:$B$30,2,TRUE)</f>
        <v>0</v>
      </c>
      <c r="I274" s="50">
        <f t="shared" si="1"/>
        <v>0</v>
      </c>
      <c r="J274" s="13"/>
      <c r="K274" s="25"/>
      <c r="L274" s="25"/>
      <c r="M274" s="25"/>
      <c r="N274" s="25"/>
    </row>
    <row r="275" ht="15.75" customHeight="1">
      <c r="A275" s="44"/>
      <c r="B275" s="44"/>
      <c r="C275" s="44"/>
      <c r="D275" s="45">
        <v>11.0</v>
      </c>
      <c r="E275" s="46" t="s">
        <v>91</v>
      </c>
      <c r="F275" s="47" t="s">
        <v>22</v>
      </c>
      <c r="G275" s="48"/>
      <c r="H275" s="57">
        <f>VLOOKUP(F275,$A$4:$B$4,2,TRUE)</f>
        <v>4500</v>
      </c>
      <c r="I275" s="50">
        <f t="shared" si="1"/>
        <v>0</v>
      </c>
      <c r="J275" s="51">
        <f>SUM(I275:I301)</f>
        <v>8000</v>
      </c>
      <c r="K275" s="25"/>
      <c r="L275" s="25"/>
      <c r="M275" s="25"/>
      <c r="N275" s="25"/>
    </row>
    <row r="276" ht="15.75" customHeight="1">
      <c r="A276" s="44"/>
      <c r="B276" s="44"/>
      <c r="C276" s="44"/>
      <c r="D276" s="52"/>
      <c r="E276" s="52"/>
      <c r="F276" s="47" t="s">
        <v>57</v>
      </c>
      <c r="G276" s="48"/>
      <c r="H276" s="57">
        <f>VLOOKUP(F276,$A$5:$B$5,2,TRUE)</f>
        <v>3000</v>
      </c>
      <c r="I276" s="50">
        <f t="shared" si="1"/>
        <v>0</v>
      </c>
      <c r="J276" s="52"/>
      <c r="K276" s="25"/>
      <c r="L276" s="25"/>
      <c r="M276" s="25"/>
      <c r="N276" s="25"/>
    </row>
    <row r="277" ht="15.75" customHeight="1">
      <c r="A277" s="44"/>
      <c r="B277" s="44"/>
      <c r="C277" s="44"/>
      <c r="D277" s="52"/>
      <c r="E277" s="52"/>
      <c r="F277" s="47" t="s">
        <v>59</v>
      </c>
      <c r="G277" s="48"/>
      <c r="H277" s="57">
        <f>VLOOKUP(F277,$A$6:$B$6,2,TRUE)</f>
        <v>1000</v>
      </c>
      <c r="I277" s="50">
        <f t="shared" si="1"/>
        <v>0</v>
      </c>
      <c r="J277" s="52"/>
      <c r="K277" s="25"/>
      <c r="L277" s="25"/>
      <c r="M277" s="25"/>
      <c r="N277" s="25"/>
    </row>
    <row r="278" ht="15.75" customHeight="1">
      <c r="A278" s="44"/>
      <c r="B278" s="44"/>
      <c r="C278" s="44"/>
      <c r="D278" s="52"/>
      <c r="E278" s="52"/>
      <c r="F278" s="47" t="s">
        <v>25</v>
      </c>
      <c r="G278" s="48"/>
      <c r="H278" s="57">
        <f>VLOOKUP(F278,$A$7:$B$7,2,TRUE)</f>
        <v>2800</v>
      </c>
      <c r="I278" s="50">
        <f t="shared" si="1"/>
        <v>0</v>
      </c>
      <c r="J278" s="52"/>
      <c r="K278" s="25"/>
      <c r="L278" s="25"/>
      <c r="M278" s="25"/>
      <c r="N278" s="25"/>
    </row>
    <row r="279" ht="15.75" customHeight="1">
      <c r="A279" s="44"/>
      <c r="B279" s="44"/>
      <c r="C279" s="44"/>
      <c r="D279" s="52"/>
      <c r="E279" s="52"/>
      <c r="F279" s="47" t="s">
        <v>26</v>
      </c>
      <c r="G279" s="48"/>
      <c r="H279" s="57">
        <f>VLOOKUP(F279,$A$8:$B$8,2,TRUE)</f>
        <v>3500</v>
      </c>
      <c r="I279" s="50">
        <f t="shared" si="1"/>
        <v>0</v>
      </c>
      <c r="J279" s="52"/>
      <c r="K279" s="25"/>
      <c r="L279" s="25"/>
      <c r="M279" s="25"/>
      <c r="N279" s="25"/>
    </row>
    <row r="280" ht="15.75" customHeight="1">
      <c r="A280" s="44"/>
      <c r="B280" s="44"/>
      <c r="C280" s="44"/>
      <c r="D280" s="52"/>
      <c r="E280" s="52"/>
      <c r="F280" s="47" t="s">
        <v>27</v>
      </c>
      <c r="G280" s="48">
        <v>5.0</v>
      </c>
      <c r="H280" s="57">
        <f>VLOOKUP(F280,$A$9:$B$9,2,TRUE)</f>
        <v>1000</v>
      </c>
      <c r="I280" s="50">
        <f t="shared" si="1"/>
        <v>5000</v>
      </c>
      <c r="J280" s="52"/>
      <c r="K280" s="25"/>
      <c r="L280" s="25"/>
      <c r="M280" s="25"/>
      <c r="N280" s="25"/>
    </row>
    <row r="281" ht="15.75" customHeight="1">
      <c r="A281" s="44"/>
      <c r="B281" s="44"/>
      <c r="C281" s="44"/>
      <c r="D281" s="52"/>
      <c r="E281" s="52"/>
      <c r="F281" s="47" t="s">
        <v>28</v>
      </c>
      <c r="G281" s="48"/>
      <c r="H281" s="57">
        <f>VLOOKUP(F281,$A$10:$B$10,2,TRUE)</f>
        <v>2000</v>
      </c>
      <c r="I281" s="50">
        <f t="shared" si="1"/>
        <v>0</v>
      </c>
      <c r="J281" s="52"/>
      <c r="K281" s="25"/>
      <c r="L281" s="25"/>
      <c r="M281" s="25"/>
      <c r="N281" s="25"/>
    </row>
    <row r="282" ht="15.75" customHeight="1">
      <c r="A282" s="44"/>
      <c r="B282" s="44"/>
      <c r="C282" s="44"/>
      <c r="D282" s="52"/>
      <c r="E282" s="52"/>
      <c r="F282" s="47" t="s">
        <v>29</v>
      </c>
      <c r="G282" s="48">
        <v>2.0</v>
      </c>
      <c r="H282" s="57">
        <f>VLOOKUP(F282,$A$11:$B$11,2,TRUE)</f>
        <v>1500</v>
      </c>
      <c r="I282" s="50">
        <f t="shared" si="1"/>
        <v>3000</v>
      </c>
      <c r="J282" s="52"/>
      <c r="K282" s="25"/>
      <c r="L282" s="25"/>
      <c r="M282" s="25"/>
      <c r="N282" s="25"/>
    </row>
    <row r="283" ht="15.75" customHeight="1">
      <c r="A283" s="44"/>
      <c r="B283" s="44"/>
      <c r="C283" s="44"/>
      <c r="D283" s="52"/>
      <c r="E283" s="52"/>
      <c r="F283" s="47" t="s">
        <v>30</v>
      </c>
      <c r="G283" s="48"/>
      <c r="H283" s="57">
        <f>VLOOKUP(F283,$A$12:$B$12,2,TRUE)</f>
        <v>1300</v>
      </c>
      <c r="I283" s="50">
        <f t="shared" si="1"/>
        <v>0</v>
      </c>
      <c r="J283" s="52"/>
      <c r="K283" s="25"/>
      <c r="L283" s="25"/>
      <c r="M283" s="25"/>
      <c r="N283" s="25"/>
    </row>
    <row r="284" ht="15.75" customHeight="1">
      <c r="A284" s="44"/>
      <c r="B284" s="44"/>
      <c r="C284" s="44"/>
      <c r="D284" s="52"/>
      <c r="E284" s="52"/>
      <c r="F284" s="47" t="s">
        <v>31</v>
      </c>
      <c r="G284" s="48"/>
      <c r="H284" s="57">
        <f>VLOOKUP(F284,$A$13:$B$13,2,TRUE)</f>
        <v>1000</v>
      </c>
      <c r="I284" s="50">
        <f t="shared" si="1"/>
        <v>0</v>
      </c>
      <c r="J284" s="52"/>
      <c r="K284" s="25"/>
      <c r="L284" s="25"/>
      <c r="M284" s="25"/>
      <c r="N284" s="25"/>
    </row>
    <row r="285" ht="15.75" customHeight="1">
      <c r="A285" s="44"/>
      <c r="B285" s="44"/>
      <c r="C285" s="44"/>
      <c r="D285" s="52"/>
      <c r="E285" s="52"/>
      <c r="F285" s="47" t="s">
        <v>32</v>
      </c>
      <c r="G285" s="48"/>
      <c r="H285" s="57">
        <f>VLOOKUP(F285,$A$14:$B$14,2,TRUE)</f>
        <v>500</v>
      </c>
      <c r="I285" s="50">
        <f t="shared" si="1"/>
        <v>0</v>
      </c>
      <c r="J285" s="52"/>
      <c r="K285" s="25"/>
      <c r="L285" s="25"/>
      <c r="M285" s="25"/>
      <c r="N285" s="25"/>
    </row>
    <row r="286" ht="15.75" customHeight="1">
      <c r="A286" s="44"/>
      <c r="B286" s="44"/>
      <c r="C286" s="44"/>
      <c r="D286" s="52"/>
      <c r="E286" s="52"/>
      <c r="F286" s="47" t="s">
        <v>33</v>
      </c>
      <c r="G286" s="48"/>
      <c r="H286" s="57">
        <f>VLOOKUP(F286,$A$15:$B$15,2,TRUE)</f>
        <v>7500</v>
      </c>
      <c r="I286" s="50">
        <f t="shared" si="1"/>
        <v>0</v>
      </c>
      <c r="J286" s="52"/>
      <c r="K286" s="25"/>
      <c r="L286" s="25"/>
      <c r="M286" s="25"/>
      <c r="N286" s="25"/>
    </row>
    <row r="287" ht="15.75" customHeight="1">
      <c r="A287" s="44"/>
      <c r="B287" s="44"/>
      <c r="C287" s="44"/>
      <c r="D287" s="52"/>
      <c r="E287" s="52"/>
      <c r="F287" s="47" t="s">
        <v>34</v>
      </c>
      <c r="G287" s="48"/>
      <c r="H287" s="57">
        <f>VLOOKUP(F287,$A$16:$B$16,2,TRUE)</f>
        <v>2000</v>
      </c>
      <c r="I287" s="50">
        <f t="shared" si="1"/>
        <v>0</v>
      </c>
      <c r="J287" s="52"/>
      <c r="K287" s="25"/>
      <c r="L287" s="25"/>
      <c r="M287" s="25"/>
      <c r="N287" s="25"/>
    </row>
    <row r="288" ht="15.75" customHeight="1">
      <c r="A288" s="44"/>
      <c r="B288" s="44"/>
      <c r="C288" s="44"/>
      <c r="D288" s="52"/>
      <c r="E288" s="52"/>
      <c r="F288" s="47" t="s">
        <v>35</v>
      </c>
      <c r="G288" s="48"/>
      <c r="H288" s="57">
        <f>VLOOKUP(F288,$A$17:$B$17,2,TRUE)</f>
        <v>1000</v>
      </c>
      <c r="I288" s="50">
        <f t="shared" si="1"/>
        <v>0</v>
      </c>
      <c r="J288" s="52"/>
      <c r="K288" s="25"/>
      <c r="L288" s="25"/>
      <c r="M288" s="25"/>
      <c r="N288" s="25"/>
    </row>
    <row r="289" ht="15.75" customHeight="1">
      <c r="A289" s="44"/>
      <c r="B289" s="44"/>
      <c r="C289" s="44"/>
      <c r="D289" s="52"/>
      <c r="E289" s="52"/>
      <c r="F289" s="47" t="s">
        <v>36</v>
      </c>
      <c r="G289" s="48"/>
      <c r="H289" s="57">
        <f>VLOOKUP(F289,$A$18:$B$18,2,TRUE)</f>
        <v>5000</v>
      </c>
      <c r="I289" s="50">
        <f t="shared" si="1"/>
        <v>0</v>
      </c>
      <c r="J289" s="52"/>
      <c r="K289" s="25"/>
      <c r="L289" s="25"/>
      <c r="M289" s="25"/>
      <c r="N289" s="25"/>
    </row>
    <row r="290" ht="15.75" customHeight="1">
      <c r="A290" s="44"/>
      <c r="B290" s="44"/>
      <c r="C290" s="44"/>
      <c r="D290" s="52"/>
      <c r="E290" s="52"/>
      <c r="F290" s="47" t="s">
        <v>37</v>
      </c>
      <c r="G290" s="48"/>
      <c r="H290" s="57">
        <f>VLOOKUP(F290,$A$19:$B$19,2,TRUE)</f>
        <v>2700</v>
      </c>
      <c r="I290" s="50">
        <f t="shared" si="1"/>
        <v>0</v>
      </c>
      <c r="J290" s="52"/>
      <c r="K290" s="25"/>
      <c r="L290" s="25"/>
      <c r="M290" s="25"/>
      <c r="N290" s="25"/>
    </row>
    <row r="291" ht="15.75" customHeight="1">
      <c r="A291" s="44"/>
      <c r="B291" s="44"/>
      <c r="C291" s="44"/>
      <c r="D291" s="52"/>
      <c r="E291" s="52"/>
      <c r="F291" s="47" t="s">
        <v>38</v>
      </c>
      <c r="G291" s="48"/>
      <c r="H291" s="57">
        <f>VLOOKUP(F291,$A$20:$B$20,2,TRUE)</f>
        <v>50000</v>
      </c>
      <c r="I291" s="50">
        <f t="shared" si="1"/>
        <v>0</v>
      </c>
      <c r="J291" s="52"/>
      <c r="K291" s="25"/>
      <c r="L291" s="25"/>
      <c r="M291" s="25"/>
      <c r="N291" s="25"/>
    </row>
    <row r="292" ht="15.75" customHeight="1">
      <c r="A292" s="44"/>
      <c r="B292" s="44"/>
      <c r="C292" s="44"/>
      <c r="D292" s="52"/>
      <c r="E292" s="52"/>
      <c r="F292" s="47" t="s">
        <v>39</v>
      </c>
      <c r="G292" s="48"/>
      <c r="H292" s="57">
        <f>VLOOKUP(F292,$A$21:$B$21,2,TRUE)</f>
        <v>10000</v>
      </c>
      <c r="I292" s="50">
        <f t="shared" si="1"/>
        <v>0</v>
      </c>
      <c r="J292" s="52"/>
      <c r="K292" s="25"/>
      <c r="L292" s="25"/>
      <c r="M292" s="25"/>
      <c r="N292" s="25"/>
    </row>
    <row r="293" ht="15.75" customHeight="1">
      <c r="A293" s="44"/>
      <c r="B293" s="44"/>
      <c r="C293" s="44"/>
      <c r="D293" s="52"/>
      <c r="E293" s="52"/>
      <c r="F293" s="47" t="s">
        <v>40</v>
      </c>
      <c r="G293" s="48"/>
      <c r="H293" s="57">
        <f>VLOOKUP(F293,$A$22:$B$22,2,TRUE)</f>
        <v>1000</v>
      </c>
      <c r="I293" s="50">
        <f t="shared" si="1"/>
        <v>0</v>
      </c>
      <c r="J293" s="52"/>
      <c r="K293" s="25"/>
      <c r="L293" s="25"/>
      <c r="M293" s="25"/>
      <c r="N293" s="25"/>
    </row>
    <row r="294" ht="15.75" customHeight="1">
      <c r="A294" s="44"/>
      <c r="B294" s="44"/>
      <c r="C294" s="44"/>
      <c r="D294" s="52"/>
      <c r="E294" s="52"/>
      <c r="F294" s="47" t="s">
        <v>41</v>
      </c>
      <c r="G294" s="48"/>
      <c r="H294" s="57">
        <f>VLOOKUP(F294,$A$23:$B$23,2,TRUE)</f>
        <v>500</v>
      </c>
      <c r="I294" s="50">
        <f t="shared" si="1"/>
        <v>0</v>
      </c>
      <c r="J294" s="52"/>
      <c r="K294" s="25"/>
      <c r="L294" s="25"/>
      <c r="M294" s="25"/>
      <c r="N294" s="25"/>
    </row>
    <row r="295" ht="15.75" customHeight="1">
      <c r="A295" s="44"/>
      <c r="B295" s="44"/>
      <c r="C295" s="44"/>
      <c r="D295" s="52"/>
      <c r="E295" s="52"/>
      <c r="F295" s="47" t="s">
        <v>42</v>
      </c>
      <c r="G295" s="48"/>
      <c r="H295" s="57">
        <f>VLOOKUP(F295,$A$24:$B$24,2,TRUE)</f>
        <v>200</v>
      </c>
      <c r="I295" s="50">
        <f t="shared" si="1"/>
        <v>0</v>
      </c>
      <c r="J295" s="52"/>
      <c r="K295" s="25"/>
      <c r="L295" s="25"/>
      <c r="M295" s="25"/>
      <c r="N295" s="25"/>
    </row>
    <row r="296" ht="15.75" customHeight="1">
      <c r="A296" s="44"/>
      <c r="B296" s="44"/>
      <c r="C296" s="44"/>
      <c r="D296" s="52"/>
      <c r="E296" s="52"/>
      <c r="F296" s="47" t="s">
        <v>43</v>
      </c>
      <c r="G296" s="48"/>
      <c r="H296" s="57">
        <f>VLOOKUP(F296,$A$25:$B$25,2,TRUE)</f>
        <v>1000</v>
      </c>
      <c r="I296" s="50">
        <f t="shared" si="1"/>
        <v>0</v>
      </c>
      <c r="J296" s="52"/>
      <c r="K296" s="25"/>
      <c r="L296" s="25"/>
      <c r="M296" s="25"/>
      <c r="N296" s="25"/>
    </row>
    <row r="297" ht="15.75" customHeight="1">
      <c r="A297" s="44"/>
      <c r="B297" s="44"/>
      <c r="C297" s="44"/>
      <c r="D297" s="52"/>
      <c r="E297" s="52"/>
      <c r="F297" s="47" t="s">
        <v>18</v>
      </c>
      <c r="G297" s="48"/>
      <c r="H297" s="57">
        <f>VLOOKUP(F297,$A$26:$B$26,2,TRUE)</f>
        <v>300</v>
      </c>
      <c r="I297" s="50">
        <f t="shared" si="1"/>
        <v>0</v>
      </c>
      <c r="J297" s="52"/>
      <c r="K297" s="25"/>
      <c r="L297" s="25"/>
      <c r="M297" s="25"/>
      <c r="N297" s="25"/>
    </row>
    <row r="298" ht="15.75" customHeight="1">
      <c r="A298" s="44"/>
      <c r="B298" s="44"/>
      <c r="C298" s="44"/>
      <c r="D298" s="52"/>
      <c r="E298" s="52"/>
      <c r="F298" s="47" t="s">
        <v>44</v>
      </c>
      <c r="G298" s="48"/>
      <c r="H298" s="57">
        <f>VLOOKUP(F298,$A$27:$B$27,2,TRUE)</f>
        <v>100</v>
      </c>
      <c r="I298" s="50">
        <f t="shared" si="1"/>
        <v>0</v>
      </c>
      <c r="J298" s="52"/>
      <c r="K298" s="25"/>
      <c r="L298" s="25"/>
      <c r="M298" s="25"/>
      <c r="N298" s="25"/>
    </row>
    <row r="299" ht="15.75" customHeight="1">
      <c r="A299" s="44"/>
      <c r="B299" s="44"/>
      <c r="C299" s="44"/>
      <c r="D299" s="52"/>
      <c r="E299" s="52"/>
      <c r="F299" s="47" t="s">
        <v>13</v>
      </c>
      <c r="G299" s="48"/>
      <c r="H299" s="57">
        <f>VLOOKUP(F299,$A$28:$B$28,2,TRUE)</f>
        <v>1500</v>
      </c>
      <c r="I299" s="50">
        <f t="shared" si="1"/>
        <v>0</v>
      </c>
      <c r="J299" s="52"/>
      <c r="K299" s="25"/>
      <c r="L299" s="25"/>
      <c r="M299" s="25"/>
      <c r="N299" s="25"/>
    </row>
    <row r="300" ht="15.75" customHeight="1">
      <c r="A300" s="44"/>
      <c r="B300" s="44"/>
      <c r="C300" s="44"/>
      <c r="D300" s="52"/>
      <c r="E300" s="52"/>
      <c r="F300" s="47" t="s">
        <v>20</v>
      </c>
      <c r="G300" s="48"/>
      <c r="H300" s="57">
        <f>VLOOKUP(F300,$A$29:$B$29,2,TRUE)</f>
        <v>3500</v>
      </c>
      <c r="I300" s="50">
        <f t="shared" si="1"/>
        <v>0</v>
      </c>
      <c r="J300" s="52"/>
      <c r="K300" s="25"/>
      <c r="L300" s="25"/>
      <c r="M300" s="25"/>
      <c r="N300" s="25"/>
    </row>
    <row r="301" ht="15.75" customHeight="1">
      <c r="A301" s="44"/>
      <c r="B301" s="44"/>
      <c r="C301" s="44"/>
      <c r="D301" s="13"/>
      <c r="E301" s="13"/>
      <c r="F301" s="47" t="s">
        <v>60</v>
      </c>
      <c r="G301" s="48">
        <v>10.0</v>
      </c>
      <c r="H301" s="57">
        <f>VLOOKUP(F301,$A$30:$B$30,2,TRUE)</f>
        <v>0</v>
      </c>
      <c r="I301" s="50">
        <f t="shared" si="1"/>
        <v>0</v>
      </c>
      <c r="J301" s="13"/>
      <c r="K301" s="25"/>
      <c r="L301" s="25"/>
      <c r="M301" s="25"/>
      <c r="N301" s="25"/>
    </row>
    <row r="302" ht="15.75" customHeight="1">
      <c r="A302" s="44"/>
      <c r="B302" s="44"/>
      <c r="C302" s="44"/>
      <c r="D302" s="45">
        <v>12.0</v>
      </c>
      <c r="E302" s="46" t="s">
        <v>92</v>
      </c>
      <c r="F302" s="47" t="s">
        <v>22</v>
      </c>
      <c r="G302" s="48"/>
      <c r="H302" s="57">
        <f>VLOOKUP(F302,$A$4:$B$4,2,TRUE)</f>
        <v>4500</v>
      </c>
      <c r="I302" s="50">
        <f t="shared" si="1"/>
        <v>0</v>
      </c>
      <c r="J302" s="51">
        <f>SUM(I302:I328)</f>
        <v>39500</v>
      </c>
      <c r="K302" s="25"/>
      <c r="L302" s="25"/>
      <c r="M302" s="25"/>
      <c r="N302" s="25"/>
    </row>
    <row r="303" ht="15.75" customHeight="1">
      <c r="A303" s="44"/>
      <c r="B303" s="44"/>
      <c r="C303" s="44"/>
      <c r="D303" s="52"/>
      <c r="E303" s="52"/>
      <c r="F303" s="47" t="s">
        <v>57</v>
      </c>
      <c r="G303" s="48">
        <v>5.5</v>
      </c>
      <c r="H303" s="57">
        <f>VLOOKUP(F303,$A$5:$B$5,2,TRUE)</f>
        <v>3000</v>
      </c>
      <c r="I303" s="50">
        <f t="shared" si="1"/>
        <v>16500</v>
      </c>
      <c r="J303" s="52"/>
      <c r="K303" s="25"/>
      <c r="L303" s="25"/>
      <c r="M303" s="25"/>
      <c r="N303" s="25"/>
    </row>
    <row r="304" ht="15.75" customHeight="1">
      <c r="A304" s="44"/>
      <c r="B304" s="44"/>
      <c r="C304" s="44"/>
      <c r="D304" s="52"/>
      <c r="E304" s="52"/>
      <c r="F304" s="47" t="s">
        <v>59</v>
      </c>
      <c r="G304" s="48"/>
      <c r="H304" s="57">
        <f>VLOOKUP(F304,$A$6:$B$6,2,TRUE)</f>
        <v>1000</v>
      </c>
      <c r="I304" s="50">
        <f t="shared" si="1"/>
        <v>0</v>
      </c>
      <c r="J304" s="52"/>
      <c r="K304" s="25"/>
      <c r="L304" s="25"/>
      <c r="M304" s="25"/>
      <c r="N304" s="25"/>
    </row>
    <row r="305" ht="15.75" customHeight="1">
      <c r="A305" s="44"/>
      <c r="B305" s="44"/>
      <c r="C305" s="44"/>
      <c r="D305" s="52"/>
      <c r="E305" s="52"/>
      <c r="F305" s="47" t="s">
        <v>25</v>
      </c>
      <c r="G305" s="48"/>
      <c r="H305" s="57">
        <f>VLOOKUP(F305,$A$7:$B$7,2,TRUE)</f>
        <v>2800</v>
      </c>
      <c r="I305" s="50">
        <f t="shared" si="1"/>
        <v>0</v>
      </c>
      <c r="J305" s="52"/>
      <c r="K305" s="25"/>
      <c r="L305" s="25"/>
      <c r="M305" s="25"/>
      <c r="N305" s="25"/>
    </row>
    <row r="306" ht="15.75" customHeight="1">
      <c r="A306" s="44"/>
      <c r="B306" s="44"/>
      <c r="C306" s="44"/>
      <c r="D306" s="52"/>
      <c r="E306" s="52"/>
      <c r="F306" s="47" t="s">
        <v>26</v>
      </c>
      <c r="G306" s="48"/>
      <c r="H306" s="57">
        <f>VLOOKUP(F306,$A$8:$B$8,2,TRUE)</f>
        <v>3500</v>
      </c>
      <c r="I306" s="50">
        <f t="shared" si="1"/>
        <v>0</v>
      </c>
      <c r="J306" s="52"/>
      <c r="K306" s="25"/>
      <c r="L306" s="25"/>
      <c r="M306" s="25"/>
      <c r="N306" s="25"/>
    </row>
    <row r="307" ht="15.75" customHeight="1">
      <c r="A307" s="44"/>
      <c r="B307" s="44"/>
      <c r="C307" s="44"/>
      <c r="D307" s="52"/>
      <c r="E307" s="52"/>
      <c r="F307" s="47" t="s">
        <v>27</v>
      </c>
      <c r="G307" s="48"/>
      <c r="H307" s="57">
        <f>VLOOKUP(F307,$A$9:$B$9,2,TRUE)</f>
        <v>1000</v>
      </c>
      <c r="I307" s="50">
        <f t="shared" si="1"/>
        <v>0</v>
      </c>
      <c r="J307" s="52"/>
      <c r="K307" s="25"/>
      <c r="L307" s="25"/>
      <c r="M307" s="25"/>
      <c r="N307" s="25"/>
    </row>
    <row r="308" ht="15.75" customHeight="1">
      <c r="A308" s="44"/>
      <c r="B308" s="44"/>
      <c r="C308" s="44"/>
      <c r="D308" s="52"/>
      <c r="E308" s="52"/>
      <c r="F308" s="47" t="s">
        <v>28</v>
      </c>
      <c r="G308" s="48"/>
      <c r="H308" s="57">
        <f>VLOOKUP(F308,$A$10:$B$10,2,TRUE)</f>
        <v>2000</v>
      </c>
      <c r="I308" s="50">
        <f t="shared" si="1"/>
        <v>0</v>
      </c>
      <c r="J308" s="52"/>
      <c r="K308" s="25"/>
      <c r="L308" s="25"/>
      <c r="M308" s="25"/>
      <c r="N308" s="25"/>
    </row>
    <row r="309" ht="15.75" customHeight="1">
      <c r="A309" s="44"/>
      <c r="B309" s="44"/>
      <c r="C309" s="44"/>
      <c r="D309" s="52"/>
      <c r="E309" s="52"/>
      <c r="F309" s="47" t="s">
        <v>29</v>
      </c>
      <c r="G309" s="48">
        <v>8.0</v>
      </c>
      <c r="H309" s="57">
        <f>VLOOKUP(F309,$A$11:$B$11,2,TRUE)</f>
        <v>1500</v>
      </c>
      <c r="I309" s="50">
        <f t="shared" si="1"/>
        <v>12000</v>
      </c>
      <c r="J309" s="52"/>
      <c r="K309" s="25"/>
      <c r="L309" s="25"/>
      <c r="M309" s="25"/>
      <c r="N309" s="25"/>
    </row>
    <row r="310" ht="15.75" customHeight="1">
      <c r="A310" s="44"/>
      <c r="B310" s="44"/>
      <c r="C310" s="44"/>
      <c r="D310" s="52"/>
      <c r="E310" s="52"/>
      <c r="F310" s="47" t="s">
        <v>30</v>
      </c>
      <c r="G310" s="48"/>
      <c r="H310" s="57">
        <f>VLOOKUP(F310,$A$12:$B$12,2,TRUE)</f>
        <v>1300</v>
      </c>
      <c r="I310" s="50">
        <f t="shared" si="1"/>
        <v>0</v>
      </c>
      <c r="J310" s="52"/>
      <c r="K310" s="25"/>
      <c r="L310" s="25"/>
      <c r="M310" s="25"/>
      <c r="N310" s="25"/>
    </row>
    <row r="311" ht="15.75" customHeight="1">
      <c r="A311" s="44"/>
      <c r="B311" s="44"/>
      <c r="C311" s="44"/>
      <c r="D311" s="52"/>
      <c r="E311" s="52"/>
      <c r="F311" s="47" t="s">
        <v>31</v>
      </c>
      <c r="G311" s="48">
        <v>10.0</v>
      </c>
      <c r="H311" s="57">
        <f>VLOOKUP(F311,$A$13:$B$13,2,TRUE)</f>
        <v>1000</v>
      </c>
      <c r="I311" s="50">
        <f t="shared" si="1"/>
        <v>10000</v>
      </c>
      <c r="J311" s="52"/>
      <c r="K311" s="25"/>
      <c r="L311" s="25"/>
      <c r="M311" s="25"/>
      <c r="N311" s="25"/>
    </row>
    <row r="312" ht="15.75" customHeight="1">
      <c r="A312" s="44"/>
      <c r="B312" s="44"/>
      <c r="C312" s="44"/>
      <c r="D312" s="52"/>
      <c r="E312" s="52"/>
      <c r="F312" s="47" t="s">
        <v>32</v>
      </c>
      <c r="G312" s="48">
        <v>2.0</v>
      </c>
      <c r="H312" s="57">
        <f>VLOOKUP(F312,$A$14:$B$14,2,TRUE)</f>
        <v>500</v>
      </c>
      <c r="I312" s="50">
        <f t="shared" si="1"/>
        <v>1000</v>
      </c>
      <c r="J312" s="52"/>
      <c r="K312" s="25"/>
      <c r="L312" s="25"/>
      <c r="M312" s="25"/>
      <c r="N312" s="25"/>
    </row>
    <row r="313" ht="15.75" customHeight="1">
      <c r="A313" s="44"/>
      <c r="B313" s="44"/>
      <c r="C313" s="44"/>
      <c r="D313" s="52"/>
      <c r="E313" s="52"/>
      <c r="F313" s="47" t="s">
        <v>33</v>
      </c>
      <c r="G313" s="48"/>
      <c r="H313" s="57">
        <f>VLOOKUP(F313,$A$15:$B$15,2,TRUE)</f>
        <v>7500</v>
      </c>
      <c r="I313" s="50">
        <f t="shared" si="1"/>
        <v>0</v>
      </c>
      <c r="J313" s="52"/>
      <c r="K313" s="25"/>
      <c r="L313" s="25"/>
      <c r="M313" s="25"/>
      <c r="N313" s="25"/>
    </row>
    <row r="314" ht="15.75" customHeight="1">
      <c r="A314" s="44"/>
      <c r="B314" s="44"/>
      <c r="C314" s="44"/>
      <c r="D314" s="52"/>
      <c r="E314" s="52"/>
      <c r="F314" s="47" t="s">
        <v>34</v>
      </c>
      <c r="G314" s="48"/>
      <c r="H314" s="57">
        <f>VLOOKUP(F314,$A$16:$B$16,2,TRUE)</f>
        <v>2000</v>
      </c>
      <c r="I314" s="50">
        <f t="shared" si="1"/>
        <v>0</v>
      </c>
      <c r="J314" s="52"/>
      <c r="K314" s="25"/>
      <c r="L314" s="25"/>
      <c r="M314" s="25"/>
      <c r="N314" s="25"/>
    </row>
    <row r="315" ht="15.75" customHeight="1">
      <c r="A315" s="44"/>
      <c r="B315" s="44"/>
      <c r="C315" s="44"/>
      <c r="D315" s="52"/>
      <c r="E315" s="52"/>
      <c r="F315" s="47" t="s">
        <v>35</v>
      </c>
      <c r="G315" s="48"/>
      <c r="H315" s="57">
        <f>VLOOKUP(F315,$A$17:$B$17,2,TRUE)</f>
        <v>1000</v>
      </c>
      <c r="I315" s="50">
        <f t="shared" si="1"/>
        <v>0</v>
      </c>
      <c r="J315" s="52"/>
      <c r="K315" s="25"/>
      <c r="L315" s="25"/>
      <c r="M315" s="25"/>
      <c r="N315" s="25"/>
    </row>
    <row r="316" ht="15.75" customHeight="1">
      <c r="A316" s="44"/>
      <c r="B316" s="44"/>
      <c r="C316" s="44"/>
      <c r="D316" s="52"/>
      <c r="E316" s="52"/>
      <c r="F316" s="47" t="s">
        <v>36</v>
      </c>
      <c r="G316" s="48"/>
      <c r="H316" s="57">
        <f>VLOOKUP(F316,$A$18:$B$18,2,TRUE)</f>
        <v>5000</v>
      </c>
      <c r="I316" s="50">
        <f t="shared" si="1"/>
        <v>0</v>
      </c>
      <c r="J316" s="52"/>
      <c r="K316" s="25"/>
      <c r="L316" s="25"/>
      <c r="M316" s="25"/>
      <c r="N316" s="25"/>
    </row>
    <row r="317" ht="15.75" customHeight="1">
      <c r="A317" s="44"/>
      <c r="B317" s="44"/>
      <c r="C317" s="44"/>
      <c r="D317" s="52"/>
      <c r="E317" s="52"/>
      <c r="F317" s="47" t="s">
        <v>37</v>
      </c>
      <c r="G317" s="48"/>
      <c r="H317" s="57">
        <f>VLOOKUP(F317,$A$19:$B$19,2,TRUE)</f>
        <v>2700</v>
      </c>
      <c r="I317" s="50">
        <f t="shared" si="1"/>
        <v>0</v>
      </c>
      <c r="J317" s="52"/>
      <c r="K317" s="25"/>
      <c r="L317" s="25"/>
      <c r="M317" s="25"/>
      <c r="N317" s="25"/>
    </row>
    <row r="318" ht="15.75" customHeight="1">
      <c r="A318" s="44"/>
      <c r="B318" s="44"/>
      <c r="C318" s="44"/>
      <c r="D318" s="52"/>
      <c r="E318" s="52"/>
      <c r="F318" s="47" t="s">
        <v>38</v>
      </c>
      <c r="G318" s="48"/>
      <c r="H318" s="57">
        <f>VLOOKUP(F318,$A$20:$B$20,2,TRUE)</f>
        <v>50000</v>
      </c>
      <c r="I318" s="50">
        <f t="shared" si="1"/>
        <v>0</v>
      </c>
      <c r="J318" s="52"/>
      <c r="K318" s="25"/>
      <c r="L318" s="25"/>
      <c r="M318" s="25"/>
      <c r="N318" s="25"/>
    </row>
    <row r="319" ht="15.75" customHeight="1">
      <c r="A319" s="44"/>
      <c r="B319" s="44"/>
      <c r="C319" s="44"/>
      <c r="D319" s="52"/>
      <c r="E319" s="52"/>
      <c r="F319" s="47" t="s">
        <v>39</v>
      </c>
      <c r="G319" s="48"/>
      <c r="H319" s="57">
        <f>VLOOKUP(F319,$A$21:$B$21,2,TRUE)</f>
        <v>10000</v>
      </c>
      <c r="I319" s="50">
        <f t="shared" si="1"/>
        <v>0</v>
      </c>
      <c r="J319" s="52"/>
      <c r="K319" s="25"/>
      <c r="L319" s="25"/>
      <c r="M319" s="25"/>
      <c r="N319" s="25"/>
    </row>
    <row r="320" ht="15.75" customHeight="1">
      <c r="A320" s="44"/>
      <c r="B320" s="44"/>
      <c r="C320" s="44"/>
      <c r="D320" s="52"/>
      <c r="E320" s="52"/>
      <c r="F320" s="47" t="s">
        <v>40</v>
      </c>
      <c r="G320" s="48"/>
      <c r="H320" s="57">
        <f>VLOOKUP(F320,$A$22:$B$22,2,TRUE)</f>
        <v>1000</v>
      </c>
      <c r="I320" s="50">
        <f t="shared" si="1"/>
        <v>0</v>
      </c>
      <c r="J320" s="52"/>
      <c r="K320" s="25"/>
      <c r="L320" s="25"/>
      <c r="M320" s="25"/>
      <c r="N320" s="25"/>
    </row>
    <row r="321" ht="15.75" customHeight="1">
      <c r="A321" s="44"/>
      <c r="B321" s="44"/>
      <c r="C321" s="44"/>
      <c r="D321" s="52"/>
      <c r="E321" s="52"/>
      <c r="F321" s="47" t="s">
        <v>41</v>
      </c>
      <c r="G321" s="48"/>
      <c r="H321" s="57">
        <f>VLOOKUP(F321,$A$23:$B$23,2,TRUE)</f>
        <v>500</v>
      </c>
      <c r="I321" s="50">
        <f t="shared" si="1"/>
        <v>0</v>
      </c>
      <c r="J321" s="52"/>
      <c r="K321" s="25"/>
      <c r="L321" s="25"/>
      <c r="M321" s="25"/>
      <c r="N321" s="25"/>
    </row>
    <row r="322" ht="15.75" customHeight="1">
      <c r="A322" s="44"/>
      <c r="B322" s="44"/>
      <c r="C322" s="44"/>
      <c r="D322" s="52"/>
      <c r="E322" s="52"/>
      <c r="F322" s="47" t="s">
        <v>42</v>
      </c>
      <c r="G322" s="48"/>
      <c r="H322" s="57">
        <f>VLOOKUP(F322,$A$24:$B$24,2,TRUE)</f>
        <v>200</v>
      </c>
      <c r="I322" s="50">
        <f t="shared" si="1"/>
        <v>0</v>
      </c>
      <c r="J322" s="52"/>
      <c r="K322" s="25"/>
      <c r="L322" s="25"/>
      <c r="M322" s="25"/>
      <c r="N322" s="25"/>
    </row>
    <row r="323" ht="15.75" customHeight="1">
      <c r="A323" s="44"/>
      <c r="B323" s="44"/>
      <c r="C323" s="44"/>
      <c r="D323" s="52"/>
      <c r="E323" s="52"/>
      <c r="F323" s="47" t="s">
        <v>43</v>
      </c>
      <c r="G323" s="48"/>
      <c r="H323" s="57">
        <f>VLOOKUP(F323,$A$25:$B$25,2,TRUE)</f>
        <v>1000</v>
      </c>
      <c r="I323" s="50">
        <f t="shared" si="1"/>
        <v>0</v>
      </c>
      <c r="J323" s="52"/>
      <c r="K323" s="25"/>
      <c r="L323" s="25"/>
      <c r="M323" s="25"/>
      <c r="N323" s="25"/>
    </row>
    <row r="324" ht="15.75" customHeight="1">
      <c r="A324" s="44"/>
      <c r="B324" s="44"/>
      <c r="C324" s="44"/>
      <c r="D324" s="52"/>
      <c r="E324" s="52"/>
      <c r="F324" s="47" t="s">
        <v>18</v>
      </c>
      <c r="G324" s="48"/>
      <c r="H324" s="57">
        <f>VLOOKUP(F324,$A$26:$B$26,2,TRUE)</f>
        <v>300</v>
      </c>
      <c r="I324" s="50">
        <f t="shared" si="1"/>
        <v>0</v>
      </c>
      <c r="J324" s="52"/>
      <c r="K324" s="25"/>
      <c r="L324" s="25"/>
      <c r="M324" s="25"/>
      <c r="N324" s="25"/>
    </row>
    <row r="325" ht="15.75" customHeight="1">
      <c r="A325" s="44"/>
      <c r="B325" s="44"/>
      <c r="C325" s="44"/>
      <c r="D325" s="52"/>
      <c r="E325" s="52"/>
      <c r="F325" s="47" t="s">
        <v>44</v>
      </c>
      <c r="G325" s="48"/>
      <c r="H325" s="57">
        <f>VLOOKUP(F325,$A$27:$B$27,2,TRUE)</f>
        <v>100</v>
      </c>
      <c r="I325" s="50">
        <f t="shared" si="1"/>
        <v>0</v>
      </c>
      <c r="J325" s="52"/>
      <c r="K325" s="25"/>
      <c r="L325" s="25"/>
      <c r="M325" s="25"/>
      <c r="N325" s="25"/>
    </row>
    <row r="326" ht="15.75" customHeight="1">
      <c r="A326" s="44"/>
      <c r="B326" s="44"/>
      <c r="C326" s="44"/>
      <c r="D326" s="52"/>
      <c r="E326" s="52"/>
      <c r="F326" s="47" t="s">
        <v>13</v>
      </c>
      <c r="G326" s="48"/>
      <c r="H326" s="57">
        <f>VLOOKUP(F326,$A$28:$B$28,2,TRUE)</f>
        <v>1500</v>
      </c>
      <c r="I326" s="50">
        <f t="shared" si="1"/>
        <v>0</v>
      </c>
      <c r="J326" s="52"/>
      <c r="K326" s="25"/>
      <c r="L326" s="25"/>
      <c r="M326" s="25"/>
      <c r="N326" s="25"/>
    </row>
    <row r="327" ht="15.75" customHeight="1">
      <c r="A327" s="44"/>
      <c r="B327" s="44"/>
      <c r="C327" s="44"/>
      <c r="D327" s="52"/>
      <c r="E327" s="52"/>
      <c r="F327" s="47" t="s">
        <v>20</v>
      </c>
      <c r="G327" s="48"/>
      <c r="H327" s="57">
        <f>VLOOKUP(F327,$A$29:$B$29,2,TRUE)</f>
        <v>3500</v>
      </c>
      <c r="I327" s="50">
        <f t="shared" si="1"/>
        <v>0</v>
      </c>
      <c r="J327" s="52"/>
      <c r="K327" s="25"/>
      <c r="L327" s="25"/>
      <c r="M327" s="25"/>
      <c r="N327" s="25"/>
    </row>
    <row r="328" ht="15.75" customHeight="1">
      <c r="A328" s="44"/>
      <c r="B328" s="44"/>
      <c r="C328" s="44"/>
      <c r="D328" s="13"/>
      <c r="E328" s="13"/>
      <c r="F328" s="47" t="s">
        <v>60</v>
      </c>
      <c r="G328" s="48">
        <v>1.5</v>
      </c>
      <c r="H328" s="57">
        <f>VLOOKUP(F328,$A$30:$B$30,2,TRUE)</f>
        <v>0</v>
      </c>
      <c r="I328" s="50">
        <f t="shared" si="1"/>
        <v>0</v>
      </c>
      <c r="J328" s="13"/>
      <c r="K328" s="25"/>
      <c r="L328" s="25"/>
      <c r="M328" s="25"/>
      <c r="N328" s="25"/>
    </row>
    <row r="329" ht="15.75" customHeight="1">
      <c r="A329" s="44"/>
      <c r="B329" s="44"/>
      <c r="C329" s="44"/>
      <c r="D329" s="45">
        <v>13.0</v>
      </c>
      <c r="E329" s="46" t="s">
        <v>93</v>
      </c>
      <c r="F329" s="47" t="s">
        <v>22</v>
      </c>
      <c r="G329" s="48">
        <v>0.5</v>
      </c>
      <c r="H329" s="57">
        <f>VLOOKUP(F329,$A$4:$B$4,2,TRUE)</f>
        <v>4500</v>
      </c>
      <c r="I329" s="50">
        <f t="shared" si="1"/>
        <v>2250</v>
      </c>
      <c r="J329" s="51">
        <f>SUM(I329:I355)</f>
        <v>17650</v>
      </c>
      <c r="K329" s="25"/>
      <c r="L329" s="25"/>
      <c r="M329" s="25"/>
      <c r="N329" s="25"/>
    </row>
    <row r="330" ht="15.75" customHeight="1">
      <c r="A330" s="44"/>
      <c r="B330" s="44"/>
      <c r="C330" s="44"/>
      <c r="D330" s="52"/>
      <c r="E330" s="52"/>
      <c r="F330" s="47" t="s">
        <v>57</v>
      </c>
      <c r="G330" s="48">
        <v>1.5</v>
      </c>
      <c r="H330" s="57">
        <f>VLOOKUP(F330,$A$5:$B$5,2,TRUE)</f>
        <v>3000</v>
      </c>
      <c r="I330" s="50">
        <f t="shared" si="1"/>
        <v>4500</v>
      </c>
      <c r="J330" s="52"/>
      <c r="K330" s="25"/>
      <c r="L330" s="25"/>
      <c r="M330" s="25"/>
      <c r="N330" s="25"/>
    </row>
    <row r="331" ht="15.75" customHeight="1">
      <c r="A331" s="44"/>
      <c r="B331" s="44"/>
      <c r="C331" s="44"/>
      <c r="D331" s="52"/>
      <c r="E331" s="52"/>
      <c r="F331" s="47" t="s">
        <v>59</v>
      </c>
      <c r="G331" s="48"/>
      <c r="H331" s="57">
        <f>VLOOKUP(F331,$A$6:$B$6,2,TRUE)</f>
        <v>1000</v>
      </c>
      <c r="I331" s="50">
        <f t="shared" si="1"/>
        <v>0</v>
      </c>
      <c r="J331" s="52"/>
      <c r="K331" s="25"/>
      <c r="L331" s="25"/>
      <c r="M331" s="25"/>
      <c r="N331" s="25"/>
    </row>
    <row r="332" ht="15.75" customHeight="1">
      <c r="A332" s="44"/>
      <c r="B332" s="44"/>
      <c r="C332" s="44"/>
      <c r="D332" s="52"/>
      <c r="E332" s="52"/>
      <c r="F332" s="47" t="s">
        <v>25</v>
      </c>
      <c r="G332" s="48">
        <v>1.0</v>
      </c>
      <c r="H332" s="57">
        <f>VLOOKUP(F332,$A$7:$B$7,2,TRUE)</f>
        <v>2800</v>
      </c>
      <c r="I332" s="50">
        <f t="shared" si="1"/>
        <v>2800</v>
      </c>
      <c r="J332" s="52"/>
      <c r="K332" s="25"/>
      <c r="L332" s="25"/>
      <c r="M332" s="25"/>
      <c r="N332" s="25"/>
    </row>
    <row r="333" ht="15.75" customHeight="1">
      <c r="A333" s="44"/>
      <c r="B333" s="44"/>
      <c r="C333" s="44"/>
      <c r="D333" s="52"/>
      <c r="E333" s="52"/>
      <c r="F333" s="47" t="s">
        <v>26</v>
      </c>
      <c r="G333" s="48"/>
      <c r="H333" s="57">
        <f>VLOOKUP(F333,$A$8:$B$8,2,TRUE)</f>
        <v>3500</v>
      </c>
      <c r="I333" s="50">
        <f t="shared" si="1"/>
        <v>0</v>
      </c>
      <c r="J333" s="52"/>
      <c r="K333" s="25"/>
      <c r="L333" s="25"/>
      <c r="M333" s="25"/>
      <c r="N333" s="25"/>
    </row>
    <row r="334" ht="15.75" customHeight="1">
      <c r="A334" s="44"/>
      <c r="B334" s="44"/>
      <c r="C334" s="44"/>
      <c r="D334" s="52"/>
      <c r="E334" s="52"/>
      <c r="F334" s="47" t="s">
        <v>27</v>
      </c>
      <c r="G334" s="48"/>
      <c r="H334" s="57">
        <f>VLOOKUP(F334,$A$9:$B$9,2,TRUE)</f>
        <v>1000</v>
      </c>
      <c r="I334" s="50">
        <f t="shared" si="1"/>
        <v>0</v>
      </c>
      <c r="J334" s="52"/>
      <c r="K334" s="25"/>
      <c r="L334" s="25"/>
      <c r="M334" s="25"/>
      <c r="N334" s="25"/>
    </row>
    <row r="335" ht="15.75" customHeight="1">
      <c r="A335" s="44"/>
      <c r="B335" s="44"/>
      <c r="C335" s="44"/>
      <c r="D335" s="52"/>
      <c r="E335" s="52"/>
      <c r="F335" s="47" t="s">
        <v>28</v>
      </c>
      <c r="G335" s="48"/>
      <c r="H335" s="57">
        <f>VLOOKUP(F335,$A$10:$B$10,2,TRUE)</f>
        <v>2000</v>
      </c>
      <c r="I335" s="50">
        <f t="shared" si="1"/>
        <v>0</v>
      </c>
      <c r="J335" s="52"/>
      <c r="K335" s="25"/>
      <c r="L335" s="25"/>
      <c r="M335" s="25"/>
      <c r="N335" s="25"/>
    </row>
    <row r="336" ht="15.75" customHeight="1">
      <c r="A336" s="44"/>
      <c r="B336" s="44"/>
      <c r="C336" s="44"/>
      <c r="D336" s="52"/>
      <c r="E336" s="52"/>
      <c r="F336" s="47" t="s">
        <v>29</v>
      </c>
      <c r="G336" s="48">
        <v>3.0</v>
      </c>
      <c r="H336" s="57">
        <f>VLOOKUP(F336,$A$11:$B$11,2,TRUE)</f>
        <v>1500</v>
      </c>
      <c r="I336" s="50">
        <f t="shared" si="1"/>
        <v>4500</v>
      </c>
      <c r="J336" s="52"/>
      <c r="K336" s="25"/>
      <c r="L336" s="25"/>
      <c r="M336" s="25"/>
      <c r="N336" s="25"/>
    </row>
    <row r="337" ht="15.75" customHeight="1">
      <c r="A337" s="44"/>
      <c r="B337" s="44"/>
      <c r="C337" s="44"/>
      <c r="D337" s="52"/>
      <c r="E337" s="52"/>
      <c r="F337" s="47" t="s">
        <v>30</v>
      </c>
      <c r="G337" s="48"/>
      <c r="H337" s="57">
        <f>VLOOKUP(F337,$A$12:$B$12,2,TRUE)</f>
        <v>1300</v>
      </c>
      <c r="I337" s="50">
        <f t="shared" si="1"/>
        <v>0</v>
      </c>
      <c r="J337" s="52"/>
      <c r="K337" s="25"/>
      <c r="L337" s="25"/>
      <c r="M337" s="25"/>
      <c r="N337" s="25"/>
    </row>
    <row r="338" ht="15.75" customHeight="1">
      <c r="A338" s="44"/>
      <c r="B338" s="44"/>
      <c r="C338" s="44"/>
      <c r="D338" s="52"/>
      <c r="E338" s="52"/>
      <c r="F338" s="47" t="s">
        <v>31</v>
      </c>
      <c r="G338" s="48"/>
      <c r="H338" s="57">
        <f>VLOOKUP(F338,$A$13:$B$13,2,TRUE)</f>
        <v>1000</v>
      </c>
      <c r="I338" s="50">
        <f t="shared" si="1"/>
        <v>0</v>
      </c>
      <c r="J338" s="52"/>
      <c r="K338" s="25"/>
      <c r="L338" s="25"/>
      <c r="M338" s="25"/>
      <c r="N338" s="25"/>
    </row>
    <row r="339" ht="15.75" customHeight="1">
      <c r="A339" s="44"/>
      <c r="B339" s="44"/>
      <c r="C339" s="44"/>
      <c r="D339" s="52"/>
      <c r="E339" s="52"/>
      <c r="F339" s="47" t="s">
        <v>32</v>
      </c>
      <c r="G339" s="48"/>
      <c r="H339" s="57">
        <f>VLOOKUP(F339,$A$14:$B$14,2,TRUE)</f>
        <v>500</v>
      </c>
      <c r="I339" s="50">
        <f t="shared" si="1"/>
        <v>0</v>
      </c>
      <c r="J339" s="52"/>
      <c r="K339" s="25"/>
      <c r="L339" s="25"/>
      <c r="M339" s="25"/>
      <c r="N339" s="25"/>
    </row>
    <row r="340" ht="15.75" customHeight="1">
      <c r="A340" s="44"/>
      <c r="B340" s="44"/>
      <c r="C340" s="44"/>
      <c r="D340" s="52"/>
      <c r="E340" s="52"/>
      <c r="F340" s="47" t="s">
        <v>33</v>
      </c>
      <c r="G340" s="48"/>
      <c r="H340" s="57">
        <f>VLOOKUP(F340,$A$15:$B$15,2,TRUE)</f>
        <v>7500</v>
      </c>
      <c r="I340" s="50">
        <f t="shared" si="1"/>
        <v>0</v>
      </c>
      <c r="J340" s="52"/>
      <c r="K340" s="25"/>
      <c r="L340" s="25"/>
      <c r="M340" s="25"/>
      <c r="N340" s="25"/>
    </row>
    <row r="341" ht="15.75" customHeight="1">
      <c r="A341" s="44"/>
      <c r="B341" s="44"/>
      <c r="C341" s="44"/>
      <c r="D341" s="52"/>
      <c r="E341" s="52"/>
      <c r="F341" s="47" t="s">
        <v>34</v>
      </c>
      <c r="G341" s="48"/>
      <c r="H341" s="57">
        <f>VLOOKUP(F341,$A$16:$B$16,2,TRUE)</f>
        <v>2000</v>
      </c>
      <c r="I341" s="50">
        <f t="shared" si="1"/>
        <v>0</v>
      </c>
      <c r="J341" s="52"/>
      <c r="K341" s="25"/>
      <c r="L341" s="25"/>
      <c r="M341" s="25"/>
      <c r="N341" s="25"/>
    </row>
    <row r="342" ht="15.75" customHeight="1">
      <c r="A342" s="44"/>
      <c r="B342" s="44"/>
      <c r="C342" s="44"/>
      <c r="D342" s="52"/>
      <c r="E342" s="52"/>
      <c r="F342" s="47" t="s">
        <v>35</v>
      </c>
      <c r="G342" s="48"/>
      <c r="H342" s="57">
        <f>VLOOKUP(F342,$A$17:$B$17,2,TRUE)</f>
        <v>1000</v>
      </c>
      <c r="I342" s="50">
        <f t="shared" si="1"/>
        <v>0</v>
      </c>
      <c r="J342" s="52"/>
      <c r="K342" s="25"/>
      <c r="L342" s="25"/>
      <c r="M342" s="25"/>
      <c r="N342" s="25"/>
    </row>
    <row r="343" ht="15.75" customHeight="1">
      <c r="A343" s="44"/>
      <c r="B343" s="44"/>
      <c r="C343" s="44"/>
      <c r="D343" s="52"/>
      <c r="E343" s="52"/>
      <c r="F343" s="47" t="s">
        <v>36</v>
      </c>
      <c r="G343" s="48"/>
      <c r="H343" s="57">
        <f>VLOOKUP(F343,$A$18:$B$18,2,TRUE)</f>
        <v>5000</v>
      </c>
      <c r="I343" s="50">
        <f t="shared" si="1"/>
        <v>0</v>
      </c>
      <c r="J343" s="52"/>
      <c r="K343" s="25"/>
      <c r="L343" s="25"/>
      <c r="M343" s="25"/>
      <c r="N343" s="25"/>
    </row>
    <row r="344" ht="15.75" customHeight="1">
      <c r="A344" s="44"/>
      <c r="B344" s="44"/>
      <c r="C344" s="44"/>
      <c r="D344" s="52"/>
      <c r="E344" s="52"/>
      <c r="F344" s="47" t="s">
        <v>37</v>
      </c>
      <c r="G344" s="48"/>
      <c r="H344" s="57">
        <f>VLOOKUP(F344,$A$19:$B$19,2,TRUE)</f>
        <v>2700</v>
      </c>
      <c r="I344" s="50">
        <f t="shared" si="1"/>
        <v>0</v>
      </c>
      <c r="J344" s="52"/>
      <c r="K344" s="25"/>
      <c r="L344" s="25"/>
      <c r="M344" s="25"/>
      <c r="N344" s="25"/>
    </row>
    <row r="345" ht="15.75" customHeight="1">
      <c r="A345" s="44"/>
      <c r="B345" s="44"/>
      <c r="C345" s="44"/>
      <c r="D345" s="52"/>
      <c r="E345" s="52"/>
      <c r="F345" s="47" t="s">
        <v>38</v>
      </c>
      <c r="G345" s="48"/>
      <c r="H345" s="57">
        <f>VLOOKUP(F345,$A$20:$B$20,2,TRUE)</f>
        <v>50000</v>
      </c>
      <c r="I345" s="50">
        <f t="shared" si="1"/>
        <v>0</v>
      </c>
      <c r="J345" s="52"/>
      <c r="K345" s="25"/>
      <c r="L345" s="25"/>
      <c r="M345" s="25"/>
      <c r="N345" s="25"/>
    </row>
    <row r="346" ht="15.75" customHeight="1">
      <c r="A346" s="44"/>
      <c r="B346" s="44"/>
      <c r="C346" s="44"/>
      <c r="D346" s="52"/>
      <c r="E346" s="52"/>
      <c r="F346" s="47" t="s">
        <v>39</v>
      </c>
      <c r="G346" s="48"/>
      <c r="H346" s="57">
        <f>VLOOKUP(F346,$A$21:$B$21,2,TRUE)</f>
        <v>10000</v>
      </c>
      <c r="I346" s="50">
        <f t="shared" si="1"/>
        <v>0</v>
      </c>
      <c r="J346" s="52"/>
      <c r="K346" s="25"/>
      <c r="L346" s="25"/>
      <c r="M346" s="25"/>
      <c r="N346" s="25"/>
    </row>
    <row r="347" ht="15.75" customHeight="1">
      <c r="A347" s="44"/>
      <c r="B347" s="44"/>
      <c r="C347" s="44"/>
      <c r="D347" s="52"/>
      <c r="E347" s="52"/>
      <c r="F347" s="47" t="s">
        <v>40</v>
      </c>
      <c r="G347" s="48"/>
      <c r="H347" s="57">
        <f>VLOOKUP(F347,$A$22:$B$22,2,TRUE)</f>
        <v>1000</v>
      </c>
      <c r="I347" s="50">
        <f t="shared" si="1"/>
        <v>0</v>
      </c>
      <c r="J347" s="52"/>
      <c r="K347" s="25"/>
      <c r="L347" s="25"/>
      <c r="M347" s="25"/>
      <c r="N347" s="25"/>
    </row>
    <row r="348" ht="15.75" customHeight="1">
      <c r="A348" s="44"/>
      <c r="B348" s="44"/>
      <c r="C348" s="44"/>
      <c r="D348" s="52"/>
      <c r="E348" s="52"/>
      <c r="F348" s="47" t="s">
        <v>41</v>
      </c>
      <c r="G348" s="48"/>
      <c r="H348" s="57">
        <f>VLOOKUP(F348,$A$23:$B$23,2,TRUE)</f>
        <v>500</v>
      </c>
      <c r="I348" s="50">
        <f t="shared" si="1"/>
        <v>0</v>
      </c>
      <c r="J348" s="52"/>
      <c r="K348" s="25"/>
      <c r="L348" s="25"/>
      <c r="M348" s="25"/>
      <c r="N348" s="25"/>
    </row>
    <row r="349" ht="15.75" customHeight="1">
      <c r="A349" s="44"/>
      <c r="B349" s="44"/>
      <c r="C349" s="44"/>
      <c r="D349" s="52"/>
      <c r="E349" s="52"/>
      <c r="F349" s="47" t="s">
        <v>42</v>
      </c>
      <c r="G349" s="48"/>
      <c r="H349" s="57">
        <f>VLOOKUP(F349,$A$24:$B$24,2,TRUE)</f>
        <v>200</v>
      </c>
      <c r="I349" s="50">
        <f t="shared" si="1"/>
        <v>0</v>
      </c>
      <c r="J349" s="52"/>
      <c r="K349" s="25"/>
      <c r="L349" s="25"/>
      <c r="M349" s="25"/>
      <c r="N349" s="25"/>
    </row>
    <row r="350" ht="15.75" customHeight="1">
      <c r="A350" s="44"/>
      <c r="B350" s="44"/>
      <c r="C350" s="44"/>
      <c r="D350" s="52"/>
      <c r="E350" s="52"/>
      <c r="F350" s="47" t="s">
        <v>43</v>
      </c>
      <c r="G350" s="48"/>
      <c r="H350" s="57">
        <f>VLOOKUP(F350,$A$25:$B$25,2,TRUE)</f>
        <v>1000</v>
      </c>
      <c r="I350" s="50">
        <f t="shared" si="1"/>
        <v>0</v>
      </c>
      <c r="J350" s="52"/>
      <c r="K350" s="25"/>
      <c r="L350" s="25"/>
      <c r="M350" s="25"/>
      <c r="N350" s="25"/>
    </row>
    <row r="351" ht="15.75" customHeight="1">
      <c r="A351" s="44"/>
      <c r="B351" s="44"/>
      <c r="C351" s="44"/>
      <c r="D351" s="52"/>
      <c r="E351" s="52"/>
      <c r="F351" s="47" t="s">
        <v>18</v>
      </c>
      <c r="G351" s="48">
        <v>12.0</v>
      </c>
      <c r="H351" s="57">
        <f>VLOOKUP(F351,$A$26:$B$26,2,TRUE)</f>
        <v>300</v>
      </c>
      <c r="I351" s="50">
        <f t="shared" si="1"/>
        <v>3600</v>
      </c>
      <c r="J351" s="52"/>
      <c r="K351" s="25"/>
      <c r="L351" s="25"/>
      <c r="M351" s="25"/>
      <c r="N351" s="25"/>
    </row>
    <row r="352" ht="15.75" customHeight="1">
      <c r="A352" s="44"/>
      <c r="B352" s="44"/>
      <c r="C352" s="44"/>
      <c r="D352" s="52"/>
      <c r="E352" s="52"/>
      <c r="F352" s="47" t="s">
        <v>44</v>
      </c>
      <c r="G352" s="48"/>
      <c r="H352" s="57">
        <f>VLOOKUP(F352,$A$27:$B$27,2,TRUE)</f>
        <v>100</v>
      </c>
      <c r="I352" s="50">
        <f t="shared" si="1"/>
        <v>0</v>
      </c>
      <c r="J352" s="52"/>
      <c r="K352" s="25"/>
      <c r="L352" s="25"/>
      <c r="M352" s="25"/>
      <c r="N352" s="25"/>
    </row>
    <row r="353" ht="15.75" customHeight="1">
      <c r="A353" s="44"/>
      <c r="B353" s="44"/>
      <c r="C353" s="44"/>
      <c r="D353" s="52"/>
      <c r="E353" s="52"/>
      <c r="F353" s="47" t="s">
        <v>13</v>
      </c>
      <c r="G353" s="48"/>
      <c r="H353" s="57">
        <f>VLOOKUP(F353,$A$28:$B$28,2,TRUE)</f>
        <v>1500</v>
      </c>
      <c r="I353" s="50">
        <f t="shared" si="1"/>
        <v>0</v>
      </c>
      <c r="J353" s="52"/>
      <c r="K353" s="25"/>
      <c r="L353" s="25"/>
      <c r="M353" s="25"/>
      <c r="N353" s="25"/>
    </row>
    <row r="354" ht="15.75" customHeight="1">
      <c r="A354" s="44"/>
      <c r="B354" s="44"/>
      <c r="C354" s="44"/>
      <c r="D354" s="52"/>
      <c r="E354" s="52"/>
      <c r="F354" s="47" t="s">
        <v>20</v>
      </c>
      <c r="G354" s="48"/>
      <c r="H354" s="57">
        <f>VLOOKUP(F354,$A$29:$B$29,2,TRUE)</f>
        <v>3500</v>
      </c>
      <c r="I354" s="50">
        <f t="shared" si="1"/>
        <v>0</v>
      </c>
      <c r="J354" s="52"/>
      <c r="K354" s="25"/>
      <c r="L354" s="25"/>
      <c r="M354" s="25"/>
      <c r="N354" s="25"/>
    </row>
    <row r="355" ht="15.75" customHeight="1">
      <c r="A355" s="44"/>
      <c r="B355" s="44"/>
      <c r="C355" s="44"/>
      <c r="D355" s="13"/>
      <c r="E355" s="13"/>
      <c r="F355" s="47" t="s">
        <v>60</v>
      </c>
      <c r="G355" s="48"/>
      <c r="H355" s="57">
        <f>VLOOKUP(F355,$A$30:$B$30,2,TRUE)</f>
        <v>0</v>
      </c>
      <c r="I355" s="50">
        <f t="shared" si="1"/>
        <v>0</v>
      </c>
      <c r="J355" s="13"/>
      <c r="K355" s="25"/>
      <c r="L355" s="25"/>
      <c r="M355" s="25"/>
      <c r="N355" s="25"/>
    </row>
    <row r="356" ht="15.75" customHeight="1">
      <c r="A356" s="44"/>
      <c r="B356" s="44"/>
      <c r="C356" s="44"/>
      <c r="D356" s="45">
        <v>14.0</v>
      </c>
      <c r="E356" s="46" t="s">
        <v>94</v>
      </c>
      <c r="F356" s="47" t="s">
        <v>22</v>
      </c>
      <c r="G356" s="48"/>
      <c r="H356" s="57">
        <f>VLOOKUP(F356,$A$4:$B$4,2,TRUE)</f>
        <v>4500</v>
      </c>
      <c r="I356" s="50">
        <f t="shared" si="1"/>
        <v>0</v>
      </c>
      <c r="J356" s="51">
        <f>SUM(I356:I382)</f>
        <v>14400</v>
      </c>
      <c r="K356" s="25"/>
      <c r="L356" s="25"/>
      <c r="M356" s="25"/>
      <c r="N356" s="25"/>
    </row>
    <row r="357" ht="15.75" customHeight="1">
      <c r="A357" s="44"/>
      <c r="B357" s="44"/>
      <c r="C357" s="44"/>
      <c r="D357" s="52"/>
      <c r="E357" s="52"/>
      <c r="F357" s="47" t="s">
        <v>57</v>
      </c>
      <c r="G357" s="48">
        <v>0.5</v>
      </c>
      <c r="H357" s="57">
        <f>VLOOKUP(F357,$A$5:$B$5,2,TRUE)</f>
        <v>3000</v>
      </c>
      <c r="I357" s="50">
        <f t="shared" si="1"/>
        <v>1500</v>
      </c>
      <c r="J357" s="52"/>
      <c r="K357" s="25"/>
      <c r="L357" s="25"/>
      <c r="M357" s="25"/>
      <c r="N357" s="25"/>
    </row>
    <row r="358" ht="15.75" customHeight="1">
      <c r="A358" s="44"/>
      <c r="B358" s="44"/>
      <c r="C358" s="44"/>
      <c r="D358" s="52"/>
      <c r="E358" s="52"/>
      <c r="F358" s="47" t="s">
        <v>59</v>
      </c>
      <c r="G358" s="48"/>
      <c r="H358" s="57">
        <f>VLOOKUP(F358,$A$6:$B$6,2,TRUE)</f>
        <v>1000</v>
      </c>
      <c r="I358" s="50">
        <f t="shared" si="1"/>
        <v>0</v>
      </c>
      <c r="J358" s="52"/>
      <c r="K358" s="25"/>
      <c r="L358" s="25"/>
      <c r="M358" s="25"/>
      <c r="N358" s="25"/>
    </row>
    <row r="359" ht="15.75" customHeight="1">
      <c r="A359" s="44"/>
      <c r="B359" s="44"/>
      <c r="C359" s="44"/>
      <c r="D359" s="52"/>
      <c r="E359" s="52"/>
      <c r="F359" s="47" t="s">
        <v>25</v>
      </c>
      <c r="G359" s="48"/>
      <c r="H359" s="57">
        <f>VLOOKUP(F359,$A$7:$B$7,2,TRUE)</f>
        <v>2800</v>
      </c>
      <c r="I359" s="50">
        <f t="shared" si="1"/>
        <v>0</v>
      </c>
      <c r="J359" s="52"/>
      <c r="K359" s="25"/>
      <c r="L359" s="25"/>
      <c r="M359" s="25"/>
      <c r="N359" s="25"/>
    </row>
    <row r="360" ht="15.75" customHeight="1">
      <c r="A360" s="44"/>
      <c r="B360" s="44"/>
      <c r="C360" s="44"/>
      <c r="D360" s="52"/>
      <c r="E360" s="52"/>
      <c r="F360" s="47" t="s">
        <v>26</v>
      </c>
      <c r="G360" s="48"/>
      <c r="H360" s="57">
        <f>VLOOKUP(F360,$A$8:$B$8,2,TRUE)</f>
        <v>3500</v>
      </c>
      <c r="I360" s="50">
        <f t="shared" si="1"/>
        <v>0</v>
      </c>
      <c r="J360" s="52"/>
      <c r="K360" s="25"/>
      <c r="L360" s="25"/>
      <c r="M360" s="25"/>
      <c r="N360" s="25"/>
    </row>
    <row r="361" ht="15.75" customHeight="1">
      <c r="A361" s="44"/>
      <c r="B361" s="44"/>
      <c r="C361" s="44"/>
      <c r="D361" s="52"/>
      <c r="E361" s="52"/>
      <c r="F361" s="47" t="s">
        <v>27</v>
      </c>
      <c r="G361" s="48"/>
      <c r="H361" s="57">
        <f>VLOOKUP(F361,$A$9:$B$9,2,TRUE)</f>
        <v>1000</v>
      </c>
      <c r="I361" s="50">
        <f t="shared" si="1"/>
        <v>0</v>
      </c>
      <c r="J361" s="52"/>
      <c r="K361" s="25"/>
      <c r="L361" s="25"/>
      <c r="M361" s="25"/>
      <c r="N361" s="25"/>
    </row>
    <row r="362" ht="15.75" customHeight="1">
      <c r="A362" s="44"/>
      <c r="B362" s="44"/>
      <c r="C362" s="44"/>
      <c r="D362" s="52"/>
      <c r="E362" s="52"/>
      <c r="F362" s="47" t="s">
        <v>28</v>
      </c>
      <c r="G362" s="48"/>
      <c r="H362" s="57">
        <f>VLOOKUP(F362,$A$10:$B$10,2,TRUE)</f>
        <v>2000</v>
      </c>
      <c r="I362" s="50">
        <f t="shared" si="1"/>
        <v>0</v>
      </c>
      <c r="J362" s="52"/>
      <c r="K362" s="25"/>
      <c r="L362" s="25"/>
      <c r="M362" s="25"/>
      <c r="N362" s="25"/>
    </row>
    <row r="363" ht="15.75" customHeight="1">
      <c r="A363" s="44"/>
      <c r="B363" s="44"/>
      <c r="C363" s="44"/>
      <c r="D363" s="52"/>
      <c r="E363" s="52"/>
      <c r="F363" s="47" t="s">
        <v>29</v>
      </c>
      <c r="G363" s="48"/>
      <c r="H363" s="57">
        <f>VLOOKUP(F363,$A$11:$B$11,2,TRUE)</f>
        <v>1500</v>
      </c>
      <c r="I363" s="50">
        <f t="shared" si="1"/>
        <v>0</v>
      </c>
      <c r="J363" s="52"/>
      <c r="K363" s="25"/>
      <c r="L363" s="25"/>
      <c r="M363" s="25"/>
      <c r="N363" s="25"/>
    </row>
    <row r="364" ht="15.75" customHeight="1">
      <c r="A364" s="44"/>
      <c r="B364" s="44"/>
      <c r="C364" s="44"/>
      <c r="D364" s="52"/>
      <c r="E364" s="52"/>
      <c r="F364" s="47" t="s">
        <v>30</v>
      </c>
      <c r="G364" s="48"/>
      <c r="H364" s="57">
        <f>VLOOKUP(F364,$A$12:$B$12,2,TRUE)</f>
        <v>1300</v>
      </c>
      <c r="I364" s="50">
        <f t="shared" si="1"/>
        <v>0</v>
      </c>
      <c r="J364" s="52"/>
      <c r="K364" s="25"/>
      <c r="L364" s="25"/>
      <c r="M364" s="25"/>
      <c r="N364" s="25"/>
    </row>
    <row r="365" ht="15.75" customHeight="1">
      <c r="A365" s="44"/>
      <c r="B365" s="44"/>
      <c r="C365" s="44"/>
      <c r="D365" s="52"/>
      <c r="E365" s="52"/>
      <c r="F365" s="47" t="s">
        <v>31</v>
      </c>
      <c r="G365" s="48"/>
      <c r="H365" s="57">
        <f>VLOOKUP(F365,$A$13:$B$13,2,TRUE)</f>
        <v>1000</v>
      </c>
      <c r="I365" s="50">
        <f t="shared" si="1"/>
        <v>0</v>
      </c>
      <c r="J365" s="52"/>
      <c r="K365" s="25"/>
      <c r="L365" s="25"/>
      <c r="M365" s="25"/>
      <c r="N365" s="25"/>
    </row>
    <row r="366" ht="15.75" customHeight="1">
      <c r="A366" s="44"/>
      <c r="B366" s="44"/>
      <c r="C366" s="44"/>
      <c r="D366" s="52"/>
      <c r="E366" s="52"/>
      <c r="F366" s="47" t="s">
        <v>32</v>
      </c>
      <c r="G366" s="48"/>
      <c r="H366" s="57">
        <f>VLOOKUP(F366,$A$14:$B$14,2,TRUE)</f>
        <v>500</v>
      </c>
      <c r="I366" s="50">
        <f t="shared" si="1"/>
        <v>0</v>
      </c>
      <c r="J366" s="52"/>
      <c r="K366" s="25"/>
      <c r="L366" s="25"/>
      <c r="M366" s="25"/>
      <c r="N366" s="25"/>
    </row>
    <row r="367" ht="15.75" customHeight="1">
      <c r="A367" s="44"/>
      <c r="B367" s="44"/>
      <c r="C367" s="44"/>
      <c r="D367" s="52"/>
      <c r="E367" s="52"/>
      <c r="F367" s="47" t="s">
        <v>33</v>
      </c>
      <c r="G367" s="48"/>
      <c r="H367" s="57">
        <f>VLOOKUP(F367,$A$15:$B$15,2,TRUE)</f>
        <v>7500</v>
      </c>
      <c r="I367" s="50">
        <f t="shared" si="1"/>
        <v>0</v>
      </c>
      <c r="J367" s="52"/>
      <c r="K367" s="25"/>
      <c r="L367" s="25"/>
      <c r="M367" s="25"/>
      <c r="N367" s="25"/>
    </row>
    <row r="368" ht="15.75" customHeight="1">
      <c r="A368" s="44"/>
      <c r="B368" s="44"/>
      <c r="C368" s="44"/>
      <c r="D368" s="52"/>
      <c r="E368" s="52"/>
      <c r="F368" s="47" t="s">
        <v>34</v>
      </c>
      <c r="G368" s="48"/>
      <c r="H368" s="57">
        <f>VLOOKUP(F368,$A$16:$B$16,2,TRUE)</f>
        <v>2000</v>
      </c>
      <c r="I368" s="50">
        <f t="shared" si="1"/>
        <v>0</v>
      </c>
      <c r="J368" s="52"/>
      <c r="K368" s="25"/>
      <c r="L368" s="25"/>
      <c r="M368" s="25"/>
      <c r="N368" s="25"/>
    </row>
    <row r="369" ht="15.75" customHeight="1">
      <c r="A369" s="44"/>
      <c r="B369" s="44"/>
      <c r="C369" s="44"/>
      <c r="D369" s="52"/>
      <c r="E369" s="52"/>
      <c r="F369" s="47" t="s">
        <v>35</v>
      </c>
      <c r="G369" s="48">
        <v>0.5</v>
      </c>
      <c r="H369" s="57">
        <f>VLOOKUP(F369,$A$17:$B$17,2,TRUE)</f>
        <v>1000</v>
      </c>
      <c r="I369" s="50">
        <f t="shared" si="1"/>
        <v>500</v>
      </c>
      <c r="J369" s="52"/>
      <c r="K369" s="25"/>
      <c r="L369" s="25"/>
      <c r="M369" s="25"/>
      <c r="N369" s="25"/>
    </row>
    <row r="370" ht="15.75" customHeight="1">
      <c r="A370" s="44"/>
      <c r="B370" s="44"/>
      <c r="C370" s="44"/>
      <c r="D370" s="52"/>
      <c r="E370" s="52"/>
      <c r="F370" s="47" t="s">
        <v>36</v>
      </c>
      <c r="G370" s="48"/>
      <c r="H370" s="57">
        <f>VLOOKUP(F370,$A$18:$B$18,2,TRUE)</f>
        <v>5000</v>
      </c>
      <c r="I370" s="50">
        <f t="shared" si="1"/>
        <v>0</v>
      </c>
      <c r="J370" s="52"/>
      <c r="K370" s="25"/>
      <c r="L370" s="25"/>
      <c r="M370" s="25"/>
      <c r="N370" s="25"/>
    </row>
    <row r="371" ht="15.75" customHeight="1">
      <c r="A371" s="44"/>
      <c r="B371" s="44"/>
      <c r="C371" s="44"/>
      <c r="D371" s="52"/>
      <c r="E371" s="52"/>
      <c r="F371" s="47" t="s">
        <v>37</v>
      </c>
      <c r="G371" s="48"/>
      <c r="H371" s="57">
        <f>VLOOKUP(F371,$A$19:$B$19,2,TRUE)</f>
        <v>2700</v>
      </c>
      <c r="I371" s="50">
        <f t="shared" si="1"/>
        <v>0</v>
      </c>
      <c r="J371" s="52"/>
      <c r="K371" s="25"/>
      <c r="L371" s="25"/>
      <c r="M371" s="25"/>
      <c r="N371" s="25"/>
    </row>
    <row r="372" ht="15.75" customHeight="1">
      <c r="A372" s="44"/>
      <c r="B372" s="44"/>
      <c r="C372" s="44"/>
      <c r="D372" s="52"/>
      <c r="E372" s="52"/>
      <c r="F372" s="47" t="s">
        <v>38</v>
      </c>
      <c r="G372" s="48"/>
      <c r="H372" s="57">
        <f>VLOOKUP(F372,$A$20:$B$20,2,TRUE)</f>
        <v>50000</v>
      </c>
      <c r="I372" s="50">
        <f t="shared" si="1"/>
        <v>0</v>
      </c>
      <c r="J372" s="52"/>
      <c r="K372" s="25"/>
      <c r="L372" s="25"/>
      <c r="M372" s="25"/>
      <c r="N372" s="25"/>
    </row>
    <row r="373" ht="15.75" customHeight="1">
      <c r="A373" s="44"/>
      <c r="B373" s="44"/>
      <c r="C373" s="44"/>
      <c r="D373" s="52"/>
      <c r="E373" s="52"/>
      <c r="F373" s="47" t="s">
        <v>39</v>
      </c>
      <c r="G373" s="48"/>
      <c r="H373" s="57">
        <f>VLOOKUP(F373,$A$21:$B$21,2,TRUE)</f>
        <v>10000</v>
      </c>
      <c r="I373" s="50">
        <f t="shared" si="1"/>
        <v>0</v>
      </c>
      <c r="J373" s="52"/>
      <c r="K373" s="25"/>
      <c r="L373" s="25"/>
      <c r="M373" s="25"/>
      <c r="N373" s="25"/>
    </row>
    <row r="374" ht="15.75" customHeight="1">
      <c r="A374" s="44"/>
      <c r="B374" s="44"/>
      <c r="C374" s="44"/>
      <c r="D374" s="52"/>
      <c r="E374" s="52"/>
      <c r="F374" s="47" t="s">
        <v>40</v>
      </c>
      <c r="G374" s="48"/>
      <c r="H374" s="57">
        <f>VLOOKUP(F374,$A$22:$B$22,2,TRUE)</f>
        <v>1000</v>
      </c>
      <c r="I374" s="50">
        <f t="shared" si="1"/>
        <v>0</v>
      </c>
      <c r="J374" s="52"/>
      <c r="K374" s="25"/>
      <c r="L374" s="25"/>
      <c r="M374" s="25"/>
      <c r="N374" s="25"/>
    </row>
    <row r="375" ht="15.75" customHeight="1">
      <c r="A375" s="44"/>
      <c r="B375" s="44"/>
      <c r="C375" s="44"/>
      <c r="D375" s="52"/>
      <c r="E375" s="52"/>
      <c r="F375" s="47" t="s">
        <v>41</v>
      </c>
      <c r="G375" s="48"/>
      <c r="H375" s="57">
        <f>VLOOKUP(F375,$A$23:$B$23,2,TRUE)</f>
        <v>500</v>
      </c>
      <c r="I375" s="50">
        <f t="shared" si="1"/>
        <v>0</v>
      </c>
      <c r="J375" s="52"/>
      <c r="K375" s="25"/>
      <c r="L375" s="25"/>
      <c r="M375" s="25"/>
      <c r="N375" s="25"/>
    </row>
    <row r="376" ht="15.75" customHeight="1">
      <c r="A376" s="44"/>
      <c r="B376" s="44"/>
      <c r="C376" s="44"/>
      <c r="D376" s="52"/>
      <c r="E376" s="52"/>
      <c r="F376" s="47" t="s">
        <v>42</v>
      </c>
      <c r="G376" s="48"/>
      <c r="H376" s="57">
        <f>VLOOKUP(F376,$A$24:$B$24,2,TRUE)</f>
        <v>200</v>
      </c>
      <c r="I376" s="50">
        <f t="shared" si="1"/>
        <v>0</v>
      </c>
      <c r="J376" s="52"/>
      <c r="K376" s="25"/>
      <c r="L376" s="25"/>
      <c r="M376" s="25"/>
      <c r="N376" s="25"/>
    </row>
    <row r="377" ht="15.75" customHeight="1">
      <c r="A377" s="44"/>
      <c r="B377" s="44"/>
      <c r="C377" s="44"/>
      <c r="D377" s="52"/>
      <c r="E377" s="52"/>
      <c r="F377" s="47" t="s">
        <v>43</v>
      </c>
      <c r="G377" s="48"/>
      <c r="H377" s="57">
        <f>VLOOKUP(F377,$A$25:$B$25,2,TRUE)</f>
        <v>1000</v>
      </c>
      <c r="I377" s="50">
        <f t="shared" si="1"/>
        <v>0</v>
      </c>
      <c r="J377" s="52"/>
      <c r="K377" s="25"/>
      <c r="L377" s="25"/>
      <c r="M377" s="25"/>
      <c r="N377" s="25"/>
    </row>
    <row r="378" ht="15.75" customHeight="1">
      <c r="A378" s="44"/>
      <c r="B378" s="44"/>
      <c r="C378" s="44"/>
      <c r="D378" s="52"/>
      <c r="E378" s="52"/>
      <c r="F378" s="47" t="s">
        <v>18</v>
      </c>
      <c r="G378" s="48">
        <v>8.0</v>
      </c>
      <c r="H378" s="57">
        <f>VLOOKUP(F378,$A$26:$B$26,2,TRUE)</f>
        <v>300</v>
      </c>
      <c r="I378" s="50">
        <f t="shared" si="1"/>
        <v>2400</v>
      </c>
      <c r="J378" s="52"/>
      <c r="K378" s="25"/>
      <c r="L378" s="25"/>
      <c r="M378" s="25"/>
      <c r="N378" s="25"/>
    </row>
    <row r="379" ht="15.75" customHeight="1">
      <c r="A379" s="44"/>
      <c r="B379" s="44"/>
      <c r="C379" s="44"/>
      <c r="D379" s="52"/>
      <c r="E379" s="52"/>
      <c r="F379" s="47" t="s">
        <v>44</v>
      </c>
      <c r="G379" s="48"/>
      <c r="H379" s="57">
        <f>VLOOKUP(F379,$A$27:$B$27,2,TRUE)</f>
        <v>100</v>
      </c>
      <c r="I379" s="50">
        <f t="shared" si="1"/>
        <v>0</v>
      </c>
      <c r="J379" s="52"/>
      <c r="K379" s="25"/>
      <c r="L379" s="25"/>
      <c r="M379" s="25"/>
      <c r="N379" s="25"/>
      <c r="O379" s="64"/>
    </row>
    <row r="380" ht="15.75" customHeight="1">
      <c r="A380" s="44"/>
      <c r="B380" s="44"/>
      <c r="C380" s="44"/>
      <c r="D380" s="52"/>
      <c r="E380" s="52"/>
      <c r="F380" s="47" t="s">
        <v>13</v>
      </c>
      <c r="G380" s="48">
        <v>2.0</v>
      </c>
      <c r="H380" s="57">
        <f>VLOOKUP(F380,$A$28:$B$28,2,TRUE)</f>
        <v>1500</v>
      </c>
      <c r="I380" s="50">
        <f t="shared" si="1"/>
        <v>3000</v>
      </c>
      <c r="J380" s="52"/>
      <c r="K380" s="25"/>
      <c r="L380" s="25"/>
      <c r="M380" s="25"/>
      <c r="N380" s="25"/>
    </row>
    <row r="381" ht="15.75" customHeight="1">
      <c r="A381" s="44"/>
      <c r="B381" s="44"/>
      <c r="C381" s="44"/>
      <c r="D381" s="52"/>
      <c r="E381" s="52"/>
      <c r="F381" s="47" t="s">
        <v>20</v>
      </c>
      <c r="G381" s="48">
        <v>2.0</v>
      </c>
      <c r="H381" s="57">
        <f>VLOOKUP(F381,$A$29:$B$29,2,TRUE)</f>
        <v>3500</v>
      </c>
      <c r="I381" s="50">
        <f t="shared" si="1"/>
        <v>7000</v>
      </c>
      <c r="J381" s="52"/>
      <c r="K381" s="25"/>
      <c r="L381" s="25"/>
      <c r="M381" s="25"/>
      <c r="N381" s="25"/>
    </row>
    <row r="382" ht="15.75" customHeight="1">
      <c r="A382" s="44"/>
      <c r="B382" s="44"/>
      <c r="C382" s="44"/>
      <c r="D382" s="13"/>
      <c r="E382" s="13"/>
      <c r="F382" s="47" t="s">
        <v>60</v>
      </c>
      <c r="G382" s="48"/>
      <c r="H382" s="57">
        <f>VLOOKUP(F382,$A$30:$B$30,2,TRUE)</f>
        <v>0</v>
      </c>
      <c r="I382" s="50">
        <f t="shared" si="1"/>
        <v>0</v>
      </c>
      <c r="J382" s="13"/>
      <c r="K382" s="25"/>
      <c r="L382" s="25"/>
      <c r="M382" s="25"/>
      <c r="N382" s="25"/>
    </row>
    <row r="383" ht="15.75" customHeight="1">
      <c r="A383" s="44"/>
      <c r="B383" s="44"/>
      <c r="C383" s="44"/>
      <c r="D383" s="60" t="s">
        <v>68</v>
      </c>
      <c r="E383" s="61"/>
      <c r="F383" s="61"/>
      <c r="G383" s="61"/>
      <c r="H383" s="61"/>
      <c r="I383" s="62"/>
      <c r="J383" s="63">
        <f>SUM(J5:J382)</f>
        <v>310500</v>
      </c>
      <c r="K383" s="25"/>
      <c r="L383" s="25"/>
      <c r="M383" s="25"/>
      <c r="N383" s="25"/>
    </row>
    <row r="384" ht="15.75" customHeight="1">
      <c r="A384" s="24"/>
      <c r="B384" s="24"/>
      <c r="C384" s="24"/>
      <c r="D384" s="24"/>
      <c r="E384" s="24"/>
      <c r="F384" s="25"/>
      <c r="G384" s="25"/>
      <c r="H384" s="25"/>
      <c r="I384" s="25"/>
      <c r="J384" s="26"/>
      <c r="K384" s="25"/>
      <c r="L384" s="25"/>
      <c r="M384" s="25"/>
      <c r="N384" s="25"/>
    </row>
    <row r="385" ht="15.75" customHeight="1">
      <c r="A385" s="24"/>
      <c r="B385" s="24"/>
      <c r="C385" s="24"/>
      <c r="D385" s="24"/>
      <c r="E385" s="24"/>
      <c r="F385" s="25"/>
      <c r="G385" s="25"/>
      <c r="H385" s="25"/>
      <c r="I385" s="25"/>
      <c r="J385" s="26"/>
      <c r="K385" s="25"/>
      <c r="L385" s="25"/>
      <c r="M385" s="25"/>
      <c r="N385" s="25"/>
    </row>
    <row r="386" ht="15.75" customHeight="1">
      <c r="A386" s="24"/>
      <c r="B386" s="24"/>
      <c r="C386" s="24"/>
      <c r="D386" s="24"/>
      <c r="E386" s="24"/>
      <c r="F386" s="25"/>
      <c r="G386" s="25"/>
      <c r="H386" s="25"/>
      <c r="I386" s="25"/>
      <c r="J386" s="26"/>
      <c r="K386" s="25"/>
      <c r="L386" s="25"/>
      <c r="M386" s="25"/>
      <c r="N386" s="25"/>
    </row>
    <row r="387" ht="15.75" customHeight="1">
      <c r="A387" s="24"/>
      <c r="B387" s="24"/>
      <c r="C387" s="24"/>
      <c r="D387" s="24"/>
      <c r="E387" s="24"/>
      <c r="F387" s="25"/>
      <c r="G387" s="25"/>
      <c r="H387" s="25"/>
      <c r="I387" s="25"/>
      <c r="J387" s="26"/>
      <c r="K387" s="25"/>
      <c r="L387" s="25"/>
      <c r="M387" s="25"/>
      <c r="N387" s="25"/>
    </row>
    <row r="388" ht="15.75" customHeight="1">
      <c r="A388" s="24"/>
      <c r="B388" s="24"/>
      <c r="C388" s="24"/>
      <c r="D388" s="24"/>
      <c r="E388" s="24"/>
      <c r="F388" s="25"/>
      <c r="G388" s="25"/>
      <c r="H388" s="25"/>
      <c r="I388" s="25"/>
      <c r="J388" s="26"/>
      <c r="K388" s="25"/>
      <c r="L388" s="25"/>
      <c r="M388" s="25"/>
      <c r="N388" s="25"/>
    </row>
    <row r="389" ht="15.75" customHeight="1">
      <c r="A389" s="24"/>
      <c r="B389" s="24"/>
      <c r="C389" s="24"/>
      <c r="D389" s="24"/>
      <c r="E389" s="24"/>
      <c r="F389" s="25"/>
      <c r="G389" s="25"/>
      <c r="H389" s="25"/>
      <c r="I389" s="25"/>
      <c r="J389" s="26"/>
      <c r="K389" s="25"/>
      <c r="L389" s="25"/>
      <c r="M389" s="25"/>
      <c r="N389" s="25"/>
    </row>
    <row r="390" ht="15.75" customHeight="1">
      <c r="A390" s="24"/>
      <c r="B390" s="24"/>
      <c r="C390" s="24"/>
      <c r="D390" s="24"/>
      <c r="E390" s="24"/>
      <c r="F390" s="25"/>
      <c r="G390" s="25"/>
      <c r="H390" s="25"/>
      <c r="I390" s="25"/>
      <c r="J390" s="26"/>
      <c r="K390" s="25"/>
      <c r="L390" s="25"/>
      <c r="M390" s="25"/>
      <c r="N390" s="25"/>
    </row>
    <row r="391" ht="15.75" customHeight="1">
      <c r="A391" s="24"/>
      <c r="B391" s="24"/>
      <c r="C391" s="24"/>
      <c r="D391" s="24"/>
      <c r="E391" s="24"/>
      <c r="F391" s="25"/>
      <c r="G391" s="25"/>
      <c r="H391" s="25"/>
      <c r="I391" s="25"/>
      <c r="J391" s="26"/>
      <c r="K391" s="25"/>
      <c r="L391" s="25"/>
      <c r="M391" s="25"/>
      <c r="N391" s="25"/>
    </row>
    <row r="392" ht="15.75" customHeight="1">
      <c r="A392" s="24"/>
      <c r="B392" s="24"/>
      <c r="C392" s="24"/>
      <c r="D392" s="24"/>
      <c r="E392" s="24"/>
      <c r="J392" s="26"/>
    </row>
    <row r="393" ht="15.75" customHeight="1">
      <c r="A393" s="24"/>
      <c r="B393" s="24"/>
      <c r="C393" s="24"/>
      <c r="D393" s="24"/>
      <c r="E393" s="24"/>
      <c r="J393" s="26"/>
    </row>
    <row r="394" ht="15.75" customHeight="1">
      <c r="A394" s="24"/>
      <c r="B394" s="24"/>
      <c r="C394" s="24"/>
      <c r="D394" s="24"/>
      <c r="E394" s="24"/>
      <c r="J394" s="26"/>
    </row>
    <row r="395" ht="15.75" customHeight="1">
      <c r="A395" s="24"/>
      <c r="B395" s="24"/>
      <c r="C395" s="24"/>
      <c r="D395" s="24"/>
      <c r="E395" s="24"/>
      <c r="J395" s="26"/>
    </row>
    <row r="396" ht="15.75" customHeight="1">
      <c r="A396" s="24"/>
      <c r="B396" s="24"/>
      <c r="C396" s="24"/>
      <c r="D396" s="24"/>
      <c r="E396" s="24"/>
      <c r="J396" s="26"/>
    </row>
    <row r="397" ht="15.75" customHeight="1">
      <c r="A397" s="24"/>
      <c r="B397" s="24"/>
      <c r="C397" s="24"/>
      <c r="D397" s="24"/>
      <c r="E397" s="24"/>
      <c r="J397" s="26"/>
    </row>
    <row r="398" ht="15.75" customHeight="1">
      <c r="A398" s="24"/>
      <c r="B398" s="24"/>
      <c r="C398" s="24"/>
      <c r="D398" s="24"/>
      <c r="E398" s="24"/>
      <c r="J398" s="26"/>
    </row>
    <row r="399" ht="15.75" customHeight="1">
      <c r="A399" s="24"/>
      <c r="B399" s="24"/>
      <c r="C399" s="24"/>
      <c r="D399" s="24"/>
      <c r="E399" s="24"/>
      <c r="J399" s="26"/>
    </row>
    <row r="400" ht="15.75" customHeight="1">
      <c r="A400" s="24"/>
      <c r="B400" s="24"/>
      <c r="C400" s="24"/>
      <c r="D400" s="24"/>
      <c r="E400" s="24"/>
      <c r="J400" s="26"/>
    </row>
    <row r="401" ht="15.75" customHeight="1">
      <c r="A401" s="24"/>
      <c r="B401" s="24"/>
      <c r="C401" s="24"/>
      <c r="D401" s="24"/>
      <c r="E401" s="24"/>
      <c r="J401" s="26"/>
    </row>
    <row r="402" ht="15.75" customHeight="1">
      <c r="A402" s="24"/>
      <c r="B402" s="24"/>
      <c r="C402" s="24"/>
      <c r="D402" s="24"/>
      <c r="E402" s="24"/>
      <c r="J402" s="26"/>
    </row>
    <row r="403" ht="15.75" customHeight="1">
      <c r="A403" s="24"/>
      <c r="B403" s="24"/>
      <c r="C403" s="24"/>
      <c r="D403" s="24"/>
      <c r="E403" s="24"/>
      <c r="J403" s="26"/>
    </row>
    <row r="404" ht="15.75" customHeight="1">
      <c r="A404" s="24"/>
      <c r="B404" s="24"/>
      <c r="C404" s="24"/>
      <c r="D404" s="24"/>
      <c r="E404" s="24"/>
      <c r="J404" s="26"/>
    </row>
    <row r="405" ht="15.75" customHeight="1">
      <c r="A405" s="24"/>
      <c r="B405" s="24"/>
      <c r="C405" s="24"/>
      <c r="D405" s="24"/>
      <c r="E405" s="24"/>
      <c r="J405" s="26"/>
    </row>
    <row r="406" ht="15.75" customHeight="1">
      <c r="A406" s="24"/>
      <c r="B406" s="24"/>
      <c r="C406" s="24"/>
      <c r="D406" s="24"/>
      <c r="E406" s="24"/>
      <c r="J406" s="26"/>
    </row>
    <row r="407" ht="15.75" customHeight="1">
      <c r="A407" s="24"/>
      <c r="B407" s="24"/>
      <c r="C407" s="24"/>
      <c r="D407" s="24"/>
      <c r="E407" s="24"/>
      <c r="J407" s="26"/>
    </row>
    <row r="408" ht="15.75" customHeight="1">
      <c r="A408" s="24"/>
      <c r="B408" s="24"/>
      <c r="C408" s="24"/>
      <c r="D408" s="24"/>
      <c r="E408" s="24"/>
      <c r="J408" s="26"/>
    </row>
    <row r="409" ht="15.75" customHeight="1">
      <c r="A409" s="24"/>
      <c r="B409" s="24"/>
      <c r="C409" s="24"/>
      <c r="D409" s="24"/>
      <c r="E409" s="24"/>
      <c r="J409" s="26"/>
    </row>
    <row r="410" ht="15.75" customHeight="1">
      <c r="A410" s="24"/>
      <c r="B410" s="24"/>
      <c r="C410" s="24"/>
      <c r="D410" s="24"/>
      <c r="E410" s="24"/>
      <c r="J410" s="26"/>
    </row>
    <row r="411" ht="15.75" customHeight="1">
      <c r="A411" s="24"/>
      <c r="B411" s="24"/>
      <c r="C411" s="24"/>
      <c r="D411" s="24"/>
      <c r="E411" s="24"/>
      <c r="J411" s="26"/>
    </row>
    <row r="412" ht="15.75" customHeight="1">
      <c r="A412" s="24"/>
      <c r="B412" s="24"/>
      <c r="C412" s="24"/>
      <c r="D412" s="24"/>
      <c r="E412" s="24"/>
      <c r="J412" s="26"/>
    </row>
    <row r="413" ht="15.75" customHeight="1">
      <c r="A413" s="24"/>
      <c r="B413" s="24"/>
      <c r="C413" s="24"/>
      <c r="D413" s="24"/>
      <c r="E413" s="24"/>
      <c r="J413" s="26"/>
    </row>
    <row r="414" ht="15.75" customHeight="1">
      <c r="A414" s="24"/>
      <c r="B414" s="24"/>
      <c r="C414" s="24"/>
      <c r="D414" s="24"/>
      <c r="E414" s="24"/>
      <c r="J414" s="26"/>
    </row>
    <row r="415" ht="15.75" customHeight="1">
      <c r="A415" s="24"/>
      <c r="B415" s="24"/>
      <c r="C415" s="24"/>
      <c r="D415" s="24"/>
      <c r="E415" s="24"/>
      <c r="J415" s="26"/>
    </row>
    <row r="416" ht="15.75" customHeight="1">
      <c r="A416" s="24"/>
      <c r="B416" s="24"/>
      <c r="C416" s="24"/>
      <c r="D416" s="24"/>
      <c r="E416" s="24"/>
      <c r="J416" s="26"/>
    </row>
    <row r="417" ht="15.75" customHeight="1">
      <c r="A417" s="24"/>
      <c r="B417" s="24"/>
      <c r="C417" s="24"/>
      <c r="D417" s="24"/>
      <c r="E417" s="24"/>
      <c r="J417" s="26"/>
    </row>
    <row r="418" ht="15.75" customHeight="1">
      <c r="A418" s="24"/>
      <c r="B418" s="24"/>
      <c r="C418" s="24"/>
      <c r="D418" s="24"/>
      <c r="E418" s="24"/>
      <c r="J418" s="26"/>
    </row>
    <row r="419" ht="15.75" customHeight="1">
      <c r="A419" s="24"/>
      <c r="B419" s="24"/>
      <c r="C419" s="24"/>
      <c r="D419" s="24"/>
      <c r="E419" s="24"/>
      <c r="J419" s="26"/>
    </row>
    <row r="420" ht="15.75" customHeight="1">
      <c r="A420" s="24"/>
      <c r="B420" s="24"/>
      <c r="C420" s="24"/>
      <c r="D420" s="24"/>
      <c r="E420" s="24"/>
      <c r="J420" s="26"/>
    </row>
    <row r="421" ht="15.75" customHeight="1">
      <c r="A421" s="24"/>
      <c r="B421" s="24"/>
      <c r="C421" s="24"/>
      <c r="D421" s="24"/>
      <c r="E421" s="24"/>
      <c r="J421" s="26"/>
    </row>
    <row r="422" ht="15.75" customHeight="1">
      <c r="A422" s="24"/>
      <c r="B422" s="24"/>
      <c r="C422" s="24"/>
      <c r="D422" s="24"/>
      <c r="E422" s="24"/>
      <c r="J422" s="26"/>
    </row>
    <row r="423" ht="15.75" customHeight="1">
      <c r="A423" s="24"/>
      <c r="B423" s="24"/>
      <c r="C423" s="24"/>
      <c r="D423" s="24"/>
      <c r="E423" s="24"/>
      <c r="J423" s="26"/>
    </row>
    <row r="424" ht="15.75" customHeight="1">
      <c r="A424" s="24"/>
      <c r="B424" s="24"/>
      <c r="C424" s="24"/>
      <c r="D424" s="24"/>
      <c r="E424" s="24"/>
      <c r="J424" s="26"/>
    </row>
    <row r="425" ht="15.75" customHeight="1">
      <c r="A425" s="24"/>
      <c r="B425" s="24"/>
      <c r="C425" s="24"/>
      <c r="D425" s="24"/>
      <c r="E425" s="24"/>
      <c r="J425" s="26"/>
    </row>
    <row r="426" ht="15.75" customHeight="1">
      <c r="A426" s="24"/>
      <c r="B426" s="24"/>
      <c r="C426" s="24"/>
      <c r="D426" s="24"/>
      <c r="E426" s="24"/>
      <c r="J426" s="26"/>
    </row>
    <row r="427" ht="15.75" customHeight="1">
      <c r="A427" s="24"/>
      <c r="B427" s="24"/>
      <c r="C427" s="24"/>
      <c r="D427" s="24"/>
      <c r="E427" s="24"/>
      <c r="J427" s="26"/>
    </row>
    <row r="428" ht="15.75" customHeight="1">
      <c r="A428" s="24"/>
      <c r="B428" s="24"/>
      <c r="C428" s="24"/>
      <c r="D428" s="24"/>
      <c r="E428" s="24"/>
      <c r="J428" s="26"/>
    </row>
    <row r="429" ht="15.75" customHeight="1">
      <c r="A429" s="24"/>
      <c r="B429" s="24"/>
      <c r="C429" s="24"/>
      <c r="D429" s="24"/>
      <c r="E429" s="24"/>
      <c r="J429" s="26"/>
    </row>
    <row r="430" ht="15.75" customHeight="1">
      <c r="A430" s="24"/>
      <c r="B430" s="24"/>
      <c r="C430" s="24"/>
      <c r="D430" s="24"/>
      <c r="E430" s="24"/>
      <c r="J430" s="26"/>
    </row>
    <row r="431" ht="15.75" customHeight="1">
      <c r="A431" s="24"/>
      <c r="B431" s="24"/>
      <c r="C431" s="24"/>
      <c r="D431" s="24"/>
      <c r="E431" s="24"/>
      <c r="J431" s="26"/>
    </row>
    <row r="432" ht="15.75" customHeight="1">
      <c r="A432" s="24"/>
      <c r="B432" s="24"/>
      <c r="C432" s="24"/>
      <c r="D432" s="24"/>
      <c r="E432" s="24"/>
      <c r="J432" s="26"/>
    </row>
    <row r="433" ht="15.75" customHeight="1">
      <c r="A433" s="24"/>
      <c r="B433" s="24"/>
      <c r="C433" s="24"/>
      <c r="D433" s="24"/>
      <c r="E433" s="24"/>
      <c r="J433" s="26"/>
    </row>
    <row r="434" ht="15.75" customHeight="1">
      <c r="A434" s="24"/>
      <c r="B434" s="24"/>
      <c r="C434" s="24"/>
      <c r="D434" s="24"/>
      <c r="E434" s="24"/>
      <c r="J434" s="26"/>
    </row>
    <row r="435" ht="15.75" customHeight="1">
      <c r="A435" s="24"/>
      <c r="B435" s="24"/>
      <c r="C435" s="24"/>
      <c r="D435" s="24"/>
      <c r="E435" s="24"/>
      <c r="J435" s="26"/>
    </row>
    <row r="436" ht="15.75" customHeight="1">
      <c r="A436" s="24"/>
      <c r="B436" s="24"/>
      <c r="C436" s="24"/>
      <c r="D436" s="24"/>
      <c r="E436" s="24"/>
      <c r="J436" s="26"/>
    </row>
    <row r="437" ht="15.75" customHeight="1">
      <c r="A437" s="24"/>
      <c r="B437" s="24"/>
      <c r="C437" s="24"/>
      <c r="D437" s="24"/>
      <c r="E437" s="24"/>
      <c r="J437" s="26"/>
    </row>
    <row r="438" ht="15.75" customHeight="1">
      <c r="A438" s="24"/>
      <c r="B438" s="24"/>
      <c r="C438" s="24"/>
      <c r="D438" s="24"/>
      <c r="E438" s="24"/>
      <c r="J438" s="26"/>
    </row>
    <row r="439" ht="15.75" customHeight="1">
      <c r="A439" s="24"/>
      <c r="B439" s="24"/>
      <c r="C439" s="24"/>
      <c r="D439" s="24"/>
      <c r="E439" s="24"/>
      <c r="J439" s="26"/>
    </row>
    <row r="440" ht="15.75" customHeight="1">
      <c r="A440" s="24"/>
      <c r="B440" s="24"/>
      <c r="C440" s="24"/>
      <c r="D440" s="24"/>
      <c r="E440" s="24"/>
      <c r="J440" s="26"/>
    </row>
    <row r="441" ht="15.75" customHeight="1">
      <c r="A441" s="24"/>
      <c r="B441" s="24"/>
      <c r="C441" s="24"/>
      <c r="D441" s="24"/>
      <c r="E441" s="24"/>
      <c r="J441" s="26"/>
    </row>
    <row r="442" ht="15.75" customHeight="1">
      <c r="A442" s="24"/>
      <c r="B442" s="24"/>
      <c r="C442" s="24"/>
      <c r="D442" s="24"/>
      <c r="E442" s="24"/>
      <c r="J442" s="26"/>
    </row>
    <row r="443" ht="15.75" customHeight="1">
      <c r="A443" s="24"/>
      <c r="B443" s="24"/>
      <c r="C443" s="24"/>
      <c r="D443" s="24"/>
      <c r="E443" s="24"/>
      <c r="J443" s="26"/>
    </row>
    <row r="444" ht="15.75" customHeight="1">
      <c r="A444" s="24"/>
      <c r="B444" s="24"/>
      <c r="C444" s="24"/>
      <c r="D444" s="24"/>
      <c r="E444" s="24"/>
      <c r="J444" s="26"/>
    </row>
    <row r="445" ht="15.75" customHeight="1">
      <c r="A445" s="24"/>
      <c r="B445" s="24"/>
      <c r="C445" s="24"/>
      <c r="D445" s="24"/>
      <c r="E445" s="24"/>
      <c r="J445" s="26"/>
    </row>
    <row r="446" ht="15.75" customHeight="1">
      <c r="A446" s="24"/>
      <c r="B446" s="24"/>
      <c r="C446" s="24"/>
      <c r="D446" s="24"/>
      <c r="E446" s="24"/>
      <c r="J446" s="26"/>
    </row>
    <row r="447" ht="15.75" customHeight="1">
      <c r="A447" s="24"/>
      <c r="B447" s="24"/>
      <c r="C447" s="24"/>
      <c r="D447" s="24"/>
      <c r="E447" s="24"/>
      <c r="J447" s="26"/>
    </row>
    <row r="448" ht="15.75" customHeight="1">
      <c r="A448" s="24"/>
      <c r="B448" s="24"/>
      <c r="C448" s="24"/>
      <c r="D448" s="24"/>
      <c r="E448" s="24"/>
      <c r="J448" s="26"/>
    </row>
    <row r="449" ht="15.75" customHeight="1">
      <c r="A449" s="24"/>
      <c r="B449" s="24"/>
      <c r="C449" s="24"/>
      <c r="D449" s="24"/>
      <c r="E449" s="24"/>
      <c r="J449" s="26"/>
    </row>
    <row r="450" ht="15.75" customHeight="1">
      <c r="A450" s="24"/>
      <c r="B450" s="24"/>
      <c r="C450" s="24"/>
      <c r="D450" s="24"/>
      <c r="E450" s="24"/>
      <c r="J450" s="26"/>
    </row>
    <row r="451" ht="15.75" customHeight="1">
      <c r="A451" s="24"/>
      <c r="B451" s="24"/>
      <c r="C451" s="24"/>
      <c r="D451" s="24"/>
      <c r="E451" s="24"/>
      <c r="J451" s="26"/>
    </row>
    <row r="452" ht="15.75" customHeight="1">
      <c r="A452" s="24"/>
      <c r="B452" s="24"/>
      <c r="C452" s="24"/>
      <c r="D452" s="24"/>
      <c r="E452" s="24"/>
      <c r="J452" s="26"/>
    </row>
    <row r="453" ht="15.75" customHeight="1">
      <c r="A453" s="24"/>
      <c r="B453" s="24"/>
      <c r="C453" s="24"/>
      <c r="D453" s="24"/>
      <c r="E453" s="24"/>
      <c r="J453" s="26"/>
    </row>
    <row r="454" ht="15.75" customHeight="1">
      <c r="A454" s="24"/>
      <c r="B454" s="24"/>
      <c r="C454" s="24"/>
      <c r="D454" s="24"/>
      <c r="E454" s="24"/>
      <c r="J454" s="26"/>
    </row>
    <row r="455" ht="15.75" customHeight="1">
      <c r="A455" s="24"/>
      <c r="B455" s="24"/>
      <c r="C455" s="24"/>
      <c r="D455" s="24"/>
      <c r="E455" s="24"/>
      <c r="J455" s="26"/>
    </row>
    <row r="456" ht="15.75" customHeight="1">
      <c r="A456" s="24"/>
      <c r="B456" s="24"/>
      <c r="C456" s="24"/>
      <c r="D456" s="24"/>
      <c r="E456" s="24"/>
      <c r="J456" s="26"/>
    </row>
    <row r="457" ht="15.75" customHeight="1">
      <c r="A457" s="24"/>
      <c r="B457" s="24"/>
      <c r="C457" s="24"/>
      <c r="D457" s="24"/>
      <c r="E457" s="24"/>
      <c r="J457" s="26"/>
    </row>
    <row r="458" ht="15.75" customHeight="1">
      <c r="A458" s="24"/>
      <c r="B458" s="24"/>
      <c r="C458" s="24"/>
      <c r="D458" s="24"/>
      <c r="E458" s="24"/>
      <c r="J458" s="26"/>
    </row>
    <row r="459" ht="15.75" customHeight="1">
      <c r="A459" s="24"/>
      <c r="B459" s="24"/>
      <c r="C459" s="24"/>
      <c r="D459" s="24"/>
      <c r="E459" s="24"/>
      <c r="J459" s="26"/>
    </row>
    <row r="460" ht="15.75" customHeight="1">
      <c r="A460" s="24"/>
      <c r="B460" s="24"/>
      <c r="C460" s="24"/>
      <c r="D460" s="24"/>
      <c r="E460" s="24"/>
      <c r="J460" s="26"/>
    </row>
    <row r="461" ht="15.75" customHeight="1">
      <c r="A461" s="24"/>
      <c r="B461" s="24"/>
      <c r="C461" s="24"/>
      <c r="D461" s="24"/>
      <c r="E461" s="24"/>
      <c r="J461" s="26"/>
    </row>
    <row r="462" ht="15.75" customHeight="1">
      <c r="A462" s="24"/>
      <c r="B462" s="24"/>
      <c r="C462" s="24"/>
      <c r="D462" s="24"/>
      <c r="E462" s="24"/>
      <c r="J462" s="26"/>
    </row>
    <row r="463" ht="15.75" customHeight="1">
      <c r="A463" s="24"/>
      <c r="B463" s="24"/>
      <c r="C463" s="24"/>
      <c r="D463" s="24"/>
      <c r="E463" s="24"/>
      <c r="J463" s="26"/>
    </row>
    <row r="464" ht="15.75" customHeight="1">
      <c r="A464" s="24"/>
      <c r="B464" s="24"/>
      <c r="C464" s="24"/>
      <c r="D464" s="24"/>
      <c r="E464" s="24"/>
      <c r="J464" s="26"/>
    </row>
    <row r="465" ht="15.75" customHeight="1">
      <c r="A465" s="24"/>
      <c r="B465" s="24"/>
      <c r="C465" s="24"/>
      <c r="D465" s="24"/>
      <c r="E465" s="24"/>
      <c r="J465" s="26"/>
    </row>
    <row r="466" ht="15.75" customHeight="1">
      <c r="A466" s="24"/>
      <c r="B466" s="24"/>
      <c r="C466" s="24"/>
      <c r="D466" s="24"/>
      <c r="E466" s="24"/>
      <c r="J466" s="26"/>
    </row>
    <row r="467" ht="15.75" customHeight="1">
      <c r="A467" s="24"/>
      <c r="B467" s="24"/>
      <c r="C467" s="24"/>
      <c r="D467" s="24"/>
      <c r="E467" s="24"/>
      <c r="J467" s="26"/>
    </row>
    <row r="468" ht="15.75" customHeight="1">
      <c r="A468" s="24"/>
      <c r="B468" s="24"/>
      <c r="C468" s="24"/>
      <c r="D468" s="24"/>
      <c r="E468" s="24"/>
      <c r="J468" s="26"/>
    </row>
    <row r="469" ht="15.75" customHeight="1">
      <c r="A469" s="24"/>
      <c r="B469" s="24"/>
      <c r="C469" s="24"/>
      <c r="D469" s="24"/>
      <c r="E469" s="24"/>
      <c r="J469" s="26"/>
    </row>
    <row r="470" ht="15.75" customHeight="1">
      <c r="A470" s="24"/>
      <c r="B470" s="24"/>
      <c r="C470" s="24"/>
      <c r="D470" s="24"/>
      <c r="E470" s="24"/>
      <c r="J470" s="26"/>
    </row>
    <row r="471" ht="15.75" customHeight="1">
      <c r="A471" s="24"/>
      <c r="B471" s="24"/>
      <c r="C471" s="24"/>
      <c r="D471" s="24"/>
      <c r="E471" s="24"/>
      <c r="J471" s="26"/>
    </row>
    <row r="472" ht="15.75" customHeight="1">
      <c r="A472" s="24"/>
      <c r="B472" s="24"/>
      <c r="C472" s="24"/>
      <c r="D472" s="24"/>
      <c r="E472" s="24"/>
      <c r="J472" s="26"/>
    </row>
    <row r="473" ht="15.75" customHeight="1">
      <c r="A473" s="24"/>
      <c r="B473" s="24"/>
      <c r="C473" s="24"/>
      <c r="D473" s="24"/>
      <c r="E473" s="24"/>
      <c r="J473" s="26"/>
    </row>
    <row r="474" ht="15.75" customHeight="1">
      <c r="A474" s="24"/>
      <c r="B474" s="24"/>
      <c r="C474" s="24"/>
      <c r="D474" s="24"/>
      <c r="E474" s="24"/>
      <c r="J474" s="26"/>
    </row>
    <row r="475" ht="15.75" customHeight="1">
      <c r="A475" s="24"/>
      <c r="B475" s="24"/>
      <c r="C475" s="24"/>
      <c r="D475" s="24"/>
      <c r="E475" s="24"/>
      <c r="J475" s="26"/>
    </row>
    <row r="476" ht="15.75" customHeight="1">
      <c r="A476" s="24"/>
      <c r="B476" s="24"/>
      <c r="C476" s="24"/>
      <c r="D476" s="24"/>
      <c r="E476" s="24"/>
      <c r="J476" s="26"/>
    </row>
    <row r="477" ht="15.75" customHeight="1">
      <c r="A477" s="24"/>
      <c r="B477" s="24"/>
      <c r="C477" s="24"/>
      <c r="D477" s="24"/>
      <c r="E477" s="24"/>
      <c r="J477" s="26"/>
    </row>
    <row r="478" ht="15.75" customHeight="1">
      <c r="A478" s="24"/>
      <c r="B478" s="24"/>
      <c r="C478" s="24"/>
      <c r="D478" s="24"/>
      <c r="E478" s="24"/>
      <c r="J478" s="26"/>
    </row>
    <row r="479" ht="15.75" customHeight="1">
      <c r="A479" s="24"/>
      <c r="B479" s="24"/>
      <c r="C479" s="24"/>
      <c r="D479" s="24"/>
      <c r="E479" s="24"/>
      <c r="J479" s="26"/>
    </row>
    <row r="480" ht="15.75" customHeight="1">
      <c r="A480" s="24"/>
      <c r="B480" s="24"/>
      <c r="C480" s="24"/>
      <c r="D480" s="24"/>
      <c r="E480" s="24"/>
      <c r="J480" s="26"/>
    </row>
    <row r="481" ht="15.75" customHeight="1">
      <c r="A481" s="24"/>
      <c r="B481" s="24"/>
      <c r="C481" s="24"/>
      <c r="D481" s="24"/>
      <c r="E481" s="24"/>
      <c r="J481" s="26"/>
    </row>
    <row r="482" ht="15.75" customHeight="1">
      <c r="A482" s="24"/>
      <c r="B482" s="24"/>
      <c r="C482" s="24"/>
      <c r="D482" s="24"/>
      <c r="E482" s="24"/>
      <c r="J482" s="26"/>
    </row>
    <row r="483" ht="15.75" customHeight="1">
      <c r="A483" s="24"/>
      <c r="B483" s="24"/>
      <c r="C483" s="24"/>
      <c r="D483" s="24"/>
      <c r="E483" s="24"/>
      <c r="J483" s="26"/>
    </row>
    <row r="484" ht="15.75" customHeight="1">
      <c r="A484" s="24"/>
      <c r="B484" s="24"/>
      <c r="C484" s="24"/>
      <c r="D484" s="24"/>
      <c r="E484" s="24"/>
      <c r="J484" s="26"/>
    </row>
    <row r="485" ht="15.75" customHeight="1">
      <c r="A485" s="24"/>
      <c r="B485" s="24"/>
      <c r="C485" s="24"/>
      <c r="D485" s="24"/>
      <c r="E485" s="24"/>
      <c r="J485" s="26"/>
    </row>
    <row r="486" ht="15.75" customHeight="1">
      <c r="A486" s="24"/>
      <c r="B486" s="24"/>
      <c r="C486" s="24"/>
      <c r="D486" s="24"/>
      <c r="E486" s="24"/>
      <c r="J486" s="26"/>
    </row>
    <row r="487" ht="15.75" customHeight="1">
      <c r="A487" s="24"/>
      <c r="B487" s="24"/>
      <c r="C487" s="24"/>
      <c r="D487" s="24"/>
      <c r="E487" s="24"/>
      <c r="J487" s="26"/>
    </row>
    <row r="488" ht="15.75" customHeight="1">
      <c r="A488" s="24"/>
      <c r="B488" s="24"/>
      <c r="C488" s="24"/>
      <c r="D488" s="24"/>
      <c r="E488" s="24"/>
      <c r="J488" s="26"/>
    </row>
    <row r="489" ht="15.75" customHeight="1">
      <c r="A489" s="24"/>
      <c r="B489" s="24"/>
      <c r="C489" s="24"/>
      <c r="D489" s="24"/>
      <c r="E489" s="24"/>
      <c r="J489" s="26"/>
    </row>
    <row r="490" ht="15.75" customHeight="1">
      <c r="A490" s="24"/>
      <c r="B490" s="24"/>
      <c r="C490" s="24"/>
      <c r="D490" s="24"/>
      <c r="E490" s="24"/>
      <c r="J490" s="26"/>
    </row>
    <row r="491" ht="15.75" customHeight="1">
      <c r="A491" s="24"/>
      <c r="B491" s="24"/>
      <c r="C491" s="24"/>
      <c r="D491" s="24"/>
      <c r="E491" s="24"/>
      <c r="J491" s="26"/>
    </row>
    <row r="492" ht="15.75" customHeight="1">
      <c r="A492" s="24"/>
      <c r="B492" s="24"/>
      <c r="C492" s="24"/>
      <c r="D492" s="24"/>
      <c r="E492" s="24"/>
      <c r="J492" s="26"/>
    </row>
    <row r="493" ht="15.75" customHeight="1">
      <c r="A493" s="24"/>
      <c r="B493" s="24"/>
      <c r="C493" s="24"/>
      <c r="D493" s="24"/>
      <c r="E493" s="24"/>
      <c r="J493" s="26"/>
    </row>
    <row r="494" ht="15.75" customHeight="1">
      <c r="A494" s="24"/>
      <c r="B494" s="24"/>
      <c r="C494" s="24"/>
      <c r="D494" s="24"/>
      <c r="E494" s="24"/>
      <c r="J494" s="26"/>
    </row>
    <row r="495" ht="15.75" customHeight="1">
      <c r="A495" s="24"/>
      <c r="B495" s="24"/>
      <c r="C495" s="24"/>
      <c r="D495" s="24"/>
      <c r="E495" s="24"/>
      <c r="J495" s="26"/>
    </row>
    <row r="496" ht="15.75" customHeight="1">
      <c r="A496" s="24"/>
      <c r="B496" s="24"/>
      <c r="C496" s="24"/>
      <c r="D496" s="24"/>
      <c r="E496" s="24"/>
      <c r="J496" s="26"/>
    </row>
    <row r="497" ht="15.75" customHeight="1">
      <c r="A497" s="24"/>
      <c r="B497" s="24"/>
      <c r="C497" s="24"/>
      <c r="D497" s="24"/>
      <c r="E497" s="24"/>
      <c r="J497" s="26"/>
    </row>
    <row r="498" ht="15.75" customHeight="1">
      <c r="A498" s="24"/>
      <c r="B498" s="24"/>
      <c r="C498" s="24"/>
      <c r="D498" s="24"/>
      <c r="E498" s="24"/>
      <c r="J498" s="26"/>
    </row>
    <row r="499" ht="15.75" customHeight="1">
      <c r="A499" s="24"/>
      <c r="B499" s="24"/>
      <c r="C499" s="24"/>
      <c r="D499" s="24"/>
      <c r="E499" s="24"/>
      <c r="J499" s="26"/>
    </row>
    <row r="500" ht="15.75" customHeight="1">
      <c r="A500" s="24"/>
      <c r="B500" s="24"/>
      <c r="C500" s="24"/>
      <c r="D500" s="24"/>
      <c r="E500" s="24"/>
      <c r="J500" s="26"/>
    </row>
    <row r="501" ht="15.75" customHeight="1">
      <c r="A501" s="24"/>
      <c r="B501" s="24"/>
      <c r="C501" s="24"/>
      <c r="D501" s="24"/>
      <c r="E501" s="24"/>
      <c r="J501" s="26"/>
    </row>
    <row r="502" ht="15.75" customHeight="1">
      <c r="A502" s="24"/>
      <c r="B502" s="24"/>
      <c r="C502" s="24"/>
      <c r="D502" s="24"/>
      <c r="E502" s="24"/>
      <c r="J502" s="26"/>
    </row>
    <row r="503" ht="15.75" customHeight="1">
      <c r="A503" s="24"/>
      <c r="B503" s="24"/>
      <c r="C503" s="24"/>
      <c r="D503" s="24"/>
      <c r="E503" s="24"/>
      <c r="J503" s="26"/>
    </row>
    <row r="504" ht="15.75" customHeight="1">
      <c r="A504" s="24"/>
      <c r="B504" s="24"/>
      <c r="C504" s="24"/>
      <c r="D504" s="24"/>
      <c r="E504" s="24"/>
      <c r="J504" s="26"/>
    </row>
    <row r="505" ht="15.75" customHeight="1">
      <c r="A505" s="24"/>
      <c r="B505" s="24"/>
      <c r="C505" s="24"/>
      <c r="D505" s="24"/>
      <c r="E505" s="24"/>
      <c r="J505" s="26"/>
    </row>
    <row r="506" ht="15.75" customHeight="1">
      <c r="A506" s="24"/>
      <c r="B506" s="24"/>
      <c r="C506" s="24"/>
      <c r="D506" s="24"/>
      <c r="E506" s="24"/>
      <c r="J506" s="26"/>
    </row>
    <row r="507" ht="15.75" customHeight="1">
      <c r="A507" s="24"/>
      <c r="B507" s="24"/>
      <c r="C507" s="24"/>
      <c r="D507" s="24"/>
      <c r="E507" s="24"/>
      <c r="J507" s="26"/>
    </row>
    <row r="508" ht="15.75" customHeight="1">
      <c r="A508" s="24"/>
      <c r="B508" s="24"/>
      <c r="C508" s="24"/>
      <c r="D508" s="24"/>
      <c r="E508" s="24"/>
      <c r="J508" s="26"/>
    </row>
    <row r="509" ht="15.75" customHeight="1">
      <c r="A509" s="24"/>
      <c r="B509" s="24"/>
      <c r="C509" s="24"/>
      <c r="D509" s="24"/>
      <c r="E509" s="24"/>
      <c r="J509" s="26"/>
    </row>
    <row r="510" ht="15.75" customHeight="1">
      <c r="A510" s="24"/>
      <c r="B510" s="24"/>
      <c r="C510" s="24"/>
      <c r="D510" s="24"/>
      <c r="E510" s="24"/>
      <c r="J510" s="26"/>
    </row>
    <row r="511" ht="15.75" customHeight="1">
      <c r="A511" s="24"/>
      <c r="B511" s="24"/>
      <c r="C511" s="24"/>
      <c r="D511" s="24"/>
      <c r="E511" s="24"/>
      <c r="J511" s="26"/>
    </row>
    <row r="512" ht="15.75" customHeight="1">
      <c r="A512" s="24"/>
      <c r="B512" s="24"/>
      <c r="C512" s="24"/>
      <c r="D512" s="24"/>
      <c r="E512" s="24"/>
      <c r="J512" s="26"/>
    </row>
    <row r="513" ht="15.75" customHeight="1">
      <c r="A513" s="24"/>
      <c r="B513" s="24"/>
      <c r="C513" s="24"/>
      <c r="D513" s="24"/>
      <c r="E513" s="24"/>
      <c r="J513" s="26"/>
    </row>
    <row r="514" ht="15.75" customHeight="1">
      <c r="A514" s="24"/>
      <c r="B514" s="24"/>
      <c r="C514" s="24"/>
      <c r="D514" s="24"/>
      <c r="E514" s="24"/>
      <c r="J514" s="26"/>
    </row>
    <row r="515" ht="15.75" customHeight="1">
      <c r="A515" s="24"/>
      <c r="B515" s="24"/>
      <c r="C515" s="24"/>
      <c r="D515" s="24"/>
      <c r="E515" s="24"/>
      <c r="J515" s="26"/>
    </row>
    <row r="516" ht="15.75" customHeight="1">
      <c r="A516" s="24"/>
      <c r="B516" s="24"/>
      <c r="C516" s="24"/>
      <c r="D516" s="24"/>
      <c r="E516" s="24"/>
      <c r="J516" s="26"/>
    </row>
    <row r="517" ht="15.75" customHeight="1">
      <c r="A517" s="24"/>
      <c r="B517" s="24"/>
      <c r="C517" s="24"/>
      <c r="D517" s="24"/>
      <c r="E517" s="24"/>
      <c r="J517" s="26"/>
    </row>
    <row r="518" ht="15.75" customHeight="1">
      <c r="A518" s="24"/>
      <c r="B518" s="24"/>
      <c r="C518" s="24"/>
      <c r="D518" s="24"/>
      <c r="E518" s="24"/>
      <c r="J518" s="26"/>
    </row>
    <row r="519" ht="15.75" customHeight="1">
      <c r="A519" s="24"/>
      <c r="B519" s="24"/>
      <c r="C519" s="24"/>
      <c r="D519" s="24"/>
      <c r="E519" s="24"/>
      <c r="J519" s="26"/>
    </row>
    <row r="520" ht="15.75" customHeight="1">
      <c r="A520" s="24"/>
      <c r="B520" s="24"/>
      <c r="C520" s="24"/>
      <c r="D520" s="24"/>
      <c r="E520" s="24"/>
      <c r="J520" s="26"/>
    </row>
    <row r="521" ht="15.75" customHeight="1">
      <c r="A521" s="24"/>
      <c r="B521" s="24"/>
      <c r="C521" s="24"/>
      <c r="D521" s="24"/>
      <c r="E521" s="24"/>
      <c r="J521" s="26"/>
    </row>
    <row r="522" ht="15.75" customHeight="1">
      <c r="A522" s="24"/>
      <c r="B522" s="24"/>
      <c r="C522" s="24"/>
      <c r="D522" s="24"/>
      <c r="E522" s="24"/>
      <c r="J522" s="26"/>
    </row>
    <row r="523" ht="15.75" customHeight="1">
      <c r="A523" s="24"/>
      <c r="B523" s="24"/>
      <c r="C523" s="24"/>
      <c r="D523" s="24"/>
      <c r="E523" s="24"/>
      <c r="J523" s="26"/>
    </row>
    <row r="524" ht="15.75" customHeight="1">
      <c r="A524" s="24"/>
      <c r="B524" s="24"/>
      <c r="C524" s="24"/>
      <c r="D524" s="24"/>
      <c r="E524" s="24"/>
      <c r="J524" s="26"/>
    </row>
    <row r="525" ht="15.75" customHeight="1">
      <c r="A525" s="24"/>
      <c r="B525" s="24"/>
      <c r="C525" s="24"/>
      <c r="D525" s="24"/>
      <c r="E525" s="24"/>
      <c r="J525" s="26"/>
    </row>
    <row r="526" ht="15.75" customHeight="1">
      <c r="A526" s="24"/>
      <c r="B526" s="24"/>
      <c r="C526" s="24"/>
      <c r="D526" s="24"/>
      <c r="E526" s="24"/>
      <c r="J526" s="26"/>
    </row>
    <row r="527" ht="15.75" customHeight="1">
      <c r="A527" s="24"/>
      <c r="B527" s="24"/>
      <c r="C527" s="24"/>
      <c r="D527" s="24"/>
      <c r="E527" s="24"/>
      <c r="J527" s="26"/>
    </row>
    <row r="528" ht="15.75" customHeight="1">
      <c r="A528" s="24"/>
      <c r="B528" s="24"/>
      <c r="C528" s="24"/>
      <c r="D528" s="24"/>
      <c r="E528" s="24"/>
      <c r="J528" s="26"/>
    </row>
    <row r="529" ht="15.75" customHeight="1">
      <c r="A529" s="24"/>
      <c r="B529" s="24"/>
      <c r="C529" s="24"/>
      <c r="D529" s="24"/>
      <c r="E529" s="24"/>
      <c r="J529" s="26"/>
    </row>
    <row r="530" ht="15.75" customHeight="1">
      <c r="A530" s="24"/>
      <c r="B530" s="24"/>
      <c r="C530" s="24"/>
      <c r="D530" s="24"/>
      <c r="E530" s="24"/>
      <c r="J530" s="26"/>
    </row>
    <row r="531" ht="15.75" customHeight="1">
      <c r="A531" s="24"/>
      <c r="B531" s="24"/>
      <c r="C531" s="24"/>
      <c r="D531" s="24"/>
      <c r="E531" s="24"/>
      <c r="J531" s="26"/>
    </row>
    <row r="532" ht="15.75" customHeight="1">
      <c r="A532" s="24"/>
      <c r="B532" s="24"/>
      <c r="C532" s="24"/>
      <c r="D532" s="24"/>
      <c r="E532" s="24"/>
      <c r="J532" s="26"/>
    </row>
    <row r="533" ht="15.75" customHeight="1">
      <c r="A533" s="24"/>
      <c r="B533" s="24"/>
      <c r="C533" s="24"/>
      <c r="D533" s="24"/>
      <c r="E533" s="24"/>
      <c r="J533" s="26"/>
    </row>
    <row r="534" ht="15.75" customHeight="1">
      <c r="A534" s="24"/>
      <c r="B534" s="24"/>
      <c r="C534" s="24"/>
      <c r="D534" s="24"/>
      <c r="E534" s="24"/>
      <c r="J534" s="26"/>
    </row>
    <row r="535" ht="15.75" customHeight="1">
      <c r="J535" s="26"/>
    </row>
    <row r="536" ht="15.75" customHeight="1">
      <c r="J536" s="26"/>
    </row>
    <row r="537" ht="15.75" customHeight="1">
      <c r="J537" s="26"/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B2"/>
    <mergeCell ref="D2:J2"/>
    <mergeCell ref="L2:M3"/>
    <mergeCell ref="D5:D31"/>
    <mergeCell ref="E5:E31"/>
    <mergeCell ref="D32:D58"/>
    <mergeCell ref="E32:E58"/>
    <mergeCell ref="E167:E193"/>
    <mergeCell ref="E194:E220"/>
    <mergeCell ref="E221:E247"/>
    <mergeCell ref="E248:E274"/>
    <mergeCell ref="E275:E301"/>
    <mergeCell ref="E302:E328"/>
    <mergeCell ref="E329:E355"/>
    <mergeCell ref="E356:E382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J275:J301"/>
    <mergeCell ref="J302:J328"/>
    <mergeCell ref="J329:J355"/>
    <mergeCell ref="J356:J382"/>
    <mergeCell ref="J5:J31"/>
    <mergeCell ref="J32:J58"/>
    <mergeCell ref="J59:J85"/>
    <mergeCell ref="J86:J112"/>
    <mergeCell ref="J113:J139"/>
    <mergeCell ref="J140:J166"/>
    <mergeCell ref="J167:J193"/>
    <mergeCell ref="D329:D355"/>
    <mergeCell ref="D356:D382"/>
    <mergeCell ref="D383:I383"/>
    <mergeCell ref="D140:D166"/>
    <mergeCell ref="D167:D193"/>
    <mergeCell ref="D194:D220"/>
    <mergeCell ref="D221:D247"/>
    <mergeCell ref="D248:D274"/>
    <mergeCell ref="D275:D301"/>
    <mergeCell ref="D302:D3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4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95</v>
      </c>
      <c r="F5" s="47" t="s">
        <v>22</v>
      </c>
      <c r="G5" s="48"/>
      <c r="H5" s="49">
        <f>VLOOKUP(F5,$A$4:$B$4,2,TRUE)</f>
        <v>4500</v>
      </c>
      <c r="I5" s="50">
        <f t="shared" ref="I5:I436" si="1">G5*H5</f>
        <v>0</v>
      </c>
      <c r="J5" s="51">
        <f>SUM(I5:I31)</f>
        <v>13750</v>
      </c>
      <c r="K5" s="25"/>
      <c r="L5" s="47" t="s">
        <v>22</v>
      </c>
      <c r="M5" s="43">
        <f>SUMIF(F5:F436,"Gelas bersih",G5:G436)</f>
        <v>2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/>
      <c r="H6" s="53">
        <f>VLOOKUP(F6,$A$5:$B$5,2,TRUE)</f>
        <v>3000</v>
      </c>
      <c r="I6" s="50">
        <f t="shared" si="1"/>
        <v>0</v>
      </c>
      <c r="J6" s="52"/>
      <c r="K6" s="25"/>
      <c r="L6" s="47" t="s">
        <v>57</v>
      </c>
      <c r="M6" s="43">
        <f>SUMIF(F6:F437,"Botol bersih",G6:G437)</f>
        <v>10</v>
      </c>
      <c r="N6" s="25"/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SUMIF(F7:F437,"Botol Warna",G7:G437)</f>
        <v>0</v>
      </c>
      <c r="N7" s="25"/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/>
      <c r="H8" s="53">
        <f>VLOOKUP(F8,$A$7:$B$7,2,TRUE)</f>
        <v>2800</v>
      </c>
      <c r="I8" s="50">
        <f t="shared" si="1"/>
        <v>0</v>
      </c>
      <c r="J8" s="52"/>
      <c r="K8" s="25"/>
      <c r="L8" s="47" t="s">
        <v>25</v>
      </c>
      <c r="M8" s="43">
        <f>SUMIF(F8:F438,"Tutup botol",G8:G438)</f>
        <v>0.5</v>
      </c>
      <c r="N8" s="25"/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/>
      <c r="H9" s="53">
        <f>VLOOKUP(F9,$A$8:$B$8,2,TRUE)</f>
        <v>3500</v>
      </c>
      <c r="I9" s="50">
        <f t="shared" si="1"/>
        <v>0</v>
      </c>
      <c r="J9" s="52"/>
      <c r="K9" s="25"/>
      <c r="L9" s="47" t="s">
        <v>26</v>
      </c>
      <c r="M9" s="43">
        <f>SUMIF(F9:F439,"Tutup galon",G9:G439)</f>
        <v>1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>
        <v>3.5</v>
      </c>
      <c r="H10" s="53">
        <f>VLOOKUP(F10,$A$9:$B$9,2,TRUE)</f>
        <v>1000</v>
      </c>
      <c r="I10" s="50">
        <f t="shared" si="1"/>
        <v>3500</v>
      </c>
      <c r="J10" s="52"/>
      <c r="K10" s="25"/>
      <c r="L10" s="47" t="s">
        <v>27</v>
      </c>
      <c r="M10" s="43">
        <f>SUMIF(F10:F440,"Hitam",G10:G440)</f>
        <v>39.5</v>
      </c>
      <c r="N10" s="25"/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>
        <v>1.0</v>
      </c>
      <c r="H11" s="53">
        <f>VLOOKUP(F11,$A$10:$B$10,2,TRUE)</f>
        <v>2000</v>
      </c>
      <c r="I11" s="50">
        <f t="shared" si="1"/>
        <v>2000</v>
      </c>
      <c r="J11" s="52"/>
      <c r="K11" s="25"/>
      <c r="L11" s="47" t="s">
        <v>28</v>
      </c>
      <c r="M11" s="43">
        <f>SUMIF(F11:F441,"Plastik Campur",G11:G441)</f>
        <v>13</v>
      </c>
      <c r="N11" s="25"/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>
        <v>5.5</v>
      </c>
      <c r="H12" s="53">
        <f>VLOOKUP(F12,$A$11:$B$11,2,TRUE)</f>
        <v>1500</v>
      </c>
      <c r="I12" s="50">
        <f t="shared" si="1"/>
        <v>8250</v>
      </c>
      <c r="J12" s="52"/>
      <c r="K12" s="25"/>
      <c r="L12" s="47" t="s">
        <v>29</v>
      </c>
      <c r="M12" s="43">
        <f>SUMIF(F12:F442,"Kardus",G12:G442)</f>
        <v>44</v>
      </c>
      <c r="N12" s="25"/>
      <c r="O12" s="54" t="s">
        <v>16</v>
      </c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/>
      <c r="H13" s="53">
        <f>VLOOKUP(F13,$A$12:$B$12,2,TRUE)</f>
        <v>1300</v>
      </c>
      <c r="I13" s="50">
        <f t="shared" si="1"/>
        <v>0</v>
      </c>
      <c r="J13" s="52"/>
      <c r="K13" s="25"/>
      <c r="L13" s="47" t="s">
        <v>30</v>
      </c>
      <c r="M13" s="43">
        <f>SUMIF(F13:F443,"Kertas Putihan/ HVS",G13:G443)</f>
        <v>0</v>
      </c>
      <c r="N13" s="25"/>
      <c r="O13" s="55">
        <f>M5+M6+M7+M8+M9+M10+M11+M24+M25</f>
        <v>74</v>
      </c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SUMIF(F14:F444,"Koran/Buku",G14:G444)</f>
        <v>0</v>
      </c>
      <c r="N14" s="25"/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32</v>
      </c>
      <c r="M15" s="43">
        <f>SUMIF(F15:F445,"Duplex",G15:G445)</f>
        <v>17</v>
      </c>
      <c r="N15" s="25"/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SUMIF(F16:F446,"Alumunium",G16:G446)</f>
        <v>0.5</v>
      </c>
      <c r="N16" s="25"/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SUMIF(F17:F447,"Besi",G17:G447)</f>
        <v>0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/>
      <c r="H18" s="53">
        <f>VLOOKUP(F18,$A$17:$B$17,2,TRUE)</f>
        <v>1000</v>
      </c>
      <c r="I18" s="50">
        <f t="shared" si="1"/>
        <v>0</v>
      </c>
      <c r="J18" s="52"/>
      <c r="K18" s="25"/>
      <c r="L18" s="47" t="s">
        <v>35</v>
      </c>
      <c r="M18" s="43">
        <f>SUMIF(F18:F448,"Kaleng kue/susu",G18:G448)</f>
        <v>0.5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SUMIF(F19:F449,"Kaleng Minuman",G19:G449)</f>
        <v>0.5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SUMIF(F20:F450,"Stanless",G20:G450)</f>
        <v>0.5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SUMIF(F21:F451,"Tembaga",G21:G451)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SUMIF(F22:F452,"Aki Motor",G22:G452)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SUMIF(F23:F453,"Paralon",G23:G453)</f>
        <v>0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41</v>
      </c>
      <c r="M24" s="43">
        <f>SUMIF(F24:F454,"Plastik bening",G24:G454)</f>
        <v>5.5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42</v>
      </c>
      <c r="M25" s="43">
        <f>SUMIF(F25:F455,"Plastik Warna",G25:G455)</f>
        <v>2.5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SUMIF(F26:F456,"Selang",G26:G456)</f>
        <v>0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18</v>
      </c>
      <c r="M27" s="43">
        <f>SUMIF(F27:F457,"Beling",G27:G457)</f>
        <v>21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/>
      <c r="H28" s="53">
        <f>VLOOKUP(F28,$A$27:$B$27,2,TRUE)</f>
        <v>100</v>
      </c>
      <c r="I28" s="50">
        <f t="shared" si="1"/>
        <v>0</v>
      </c>
      <c r="J28" s="52"/>
      <c r="K28" s="25"/>
      <c r="L28" s="47" t="s">
        <v>44</v>
      </c>
      <c r="M28" s="43">
        <f>SUMIF(F28:F458,"Pecahan",G28:G458)</f>
        <v>0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/>
      <c r="H29" s="53">
        <f>VLOOKUP(F29,$A$28:$B$28,2,TRUE)</f>
        <v>1500</v>
      </c>
      <c r="I29" s="50">
        <f t="shared" si="1"/>
        <v>0</v>
      </c>
      <c r="J29" s="52"/>
      <c r="K29" s="25"/>
      <c r="L29" s="47" t="s">
        <v>13</v>
      </c>
      <c r="M29" s="43">
        <f>SUMIF(F29:F460,"Paku",G29:G460)</f>
        <v>0</v>
      </c>
      <c r="N29" s="25"/>
    </row>
    <row r="30" ht="15.75" customHeight="1">
      <c r="A30" s="36" t="s">
        <v>60</v>
      </c>
      <c r="B30" s="37">
        <v>0.0</v>
      </c>
      <c r="C30" s="44"/>
      <c r="D30" s="52"/>
      <c r="E30" s="52"/>
      <c r="F30" s="47" t="s">
        <v>20</v>
      </c>
      <c r="G30" s="48"/>
      <c r="H30" s="53">
        <f>VLOOKUP(F30,$A$29:$B$29,2,TRUE)</f>
        <v>3500</v>
      </c>
      <c r="I30" s="50">
        <f t="shared" si="1"/>
        <v>0</v>
      </c>
      <c r="J30" s="52"/>
      <c r="K30" s="25"/>
      <c r="L30" s="47" t="s">
        <v>20</v>
      </c>
      <c r="M30" s="43">
        <f>SUMIF(F30:F461,"Minyak Jelantah",G30:G461)</f>
        <v>8</v>
      </c>
      <c r="N30" s="25"/>
    </row>
    <row r="31" ht="15.75" customHeight="1">
      <c r="C31" s="44"/>
      <c r="D31" s="13"/>
      <c r="E31" s="13"/>
      <c r="F31" s="47" t="s">
        <v>60</v>
      </c>
      <c r="G31" s="48">
        <v>2.0</v>
      </c>
      <c r="H31" s="53">
        <f>VLOOKUP(F31,$A$30:$B$30,2,TRUE)</f>
        <v>0</v>
      </c>
      <c r="I31" s="50">
        <f t="shared" si="1"/>
        <v>0</v>
      </c>
      <c r="J31" s="13"/>
      <c r="K31" s="25"/>
      <c r="L31" s="47" t="s">
        <v>60</v>
      </c>
      <c r="M31" s="43">
        <f>SUMIF(F31:F462,"Lainnya",G31:G462)</f>
        <v>32</v>
      </c>
      <c r="N31" s="25"/>
    </row>
    <row r="32" ht="15.75" customHeight="1">
      <c r="A32" s="44"/>
      <c r="B32" s="44"/>
      <c r="C32" s="44"/>
      <c r="D32" s="45">
        <v>2.0</v>
      </c>
      <c r="E32" s="46" t="s">
        <v>96</v>
      </c>
      <c r="F32" s="47" t="s">
        <v>22</v>
      </c>
      <c r="G32" s="48"/>
      <c r="H32" s="57">
        <f>VLOOKUP(F32,$A$4:$B$4,2,TRUE)</f>
        <v>4500</v>
      </c>
      <c r="I32" s="50">
        <f t="shared" si="1"/>
        <v>0</v>
      </c>
      <c r="J32" s="51">
        <f>SUM(I32:I58)</f>
        <v>6250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57</v>
      </c>
      <c r="G33" s="48"/>
      <c r="H33" s="57">
        <f>VLOOKUP(F33,$A$5:$B$5,2,TRUE)</f>
        <v>3000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59</v>
      </c>
      <c r="G34" s="48"/>
      <c r="H34" s="57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25</v>
      </c>
      <c r="G35" s="48"/>
      <c r="H35" s="57">
        <f>VLOOKUP(F35,$A$7:$B$7,2,TRUE)</f>
        <v>2800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26</v>
      </c>
      <c r="G36" s="48"/>
      <c r="H36" s="57">
        <f>VLOOKUP(F36,$A$8:$B$8,2,TRUE)</f>
        <v>3500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27</v>
      </c>
      <c r="G37" s="48"/>
      <c r="H37" s="57">
        <f>VLOOKUP(F37,$A$9:$B$9,2,TRUE)</f>
        <v>1000</v>
      </c>
      <c r="I37" s="50">
        <f t="shared" si="1"/>
        <v>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28</v>
      </c>
      <c r="G38" s="48">
        <v>1.0</v>
      </c>
      <c r="H38" s="57">
        <f>VLOOKUP(F38,$A$10:$B$10,2,TRUE)</f>
        <v>2000</v>
      </c>
      <c r="I38" s="50">
        <f t="shared" si="1"/>
        <v>2000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29</v>
      </c>
      <c r="G39" s="48">
        <v>1.0</v>
      </c>
      <c r="H39" s="57">
        <f>VLOOKUP(F39,$A$11:$B$11,2,TRUE)</f>
        <v>1500</v>
      </c>
      <c r="I39" s="50">
        <f t="shared" si="1"/>
        <v>1500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30</v>
      </c>
      <c r="G40" s="48"/>
      <c r="H40" s="57">
        <f>VLOOKUP(F40,$A$12:$B$12,2,TRUE)</f>
        <v>1300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31</v>
      </c>
      <c r="G41" s="48"/>
      <c r="H41" s="57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32</v>
      </c>
      <c r="G42" s="48">
        <v>5.5</v>
      </c>
      <c r="H42" s="57">
        <f>VLOOKUP(F42,$A$14:$B$14,2,TRUE)</f>
        <v>500</v>
      </c>
      <c r="I42" s="50">
        <f t="shared" si="1"/>
        <v>2750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33</v>
      </c>
      <c r="G43" s="48"/>
      <c r="H43" s="57">
        <f>VLOOKUP(F43,$A$15:$B$15,2,TRUE)</f>
        <v>7500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34</v>
      </c>
      <c r="G44" s="48"/>
      <c r="H44" s="57">
        <f>VLOOKUP(F44,$A$16:$B$16,2,TRUE)</f>
        <v>2000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35</v>
      </c>
      <c r="G45" s="48"/>
      <c r="H45" s="57">
        <f>VLOOKUP(F45,$A$17:$B$17,2,TRUE)</f>
        <v>1000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36</v>
      </c>
      <c r="G46" s="48"/>
      <c r="H46" s="57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37</v>
      </c>
      <c r="G47" s="48"/>
      <c r="H47" s="57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38</v>
      </c>
      <c r="G48" s="48"/>
      <c r="H48" s="57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39</v>
      </c>
      <c r="G49" s="48"/>
      <c r="H49" s="57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40</v>
      </c>
      <c r="G50" s="48"/>
      <c r="H50" s="57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41</v>
      </c>
      <c r="G51" s="48"/>
      <c r="H51" s="57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42</v>
      </c>
      <c r="G52" s="48"/>
      <c r="H52" s="57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43</v>
      </c>
      <c r="G53" s="48"/>
      <c r="H53" s="57">
        <f>VLOOKUP(F53,$A$25:$B$25,2,TRUE)</f>
        <v>1000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18</v>
      </c>
      <c r="G54" s="48"/>
      <c r="H54" s="57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44</v>
      </c>
      <c r="G55" s="48"/>
      <c r="H55" s="57">
        <f>VLOOKUP(F55,$A$27:$B$27,2,TRUE)</f>
        <v>100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13</v>
      </c>
      <c r="G56" s="48"/>
      <c r="H56" s="58">
        <f>VLOOKUP(F56,$A$28:$B$28,2,TRUE)</f>
        <v>1500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20</v>
      </c>
      <c r="G57" s="48"/>
      <c r="H57" s="57">
        <f>VLOOKUP(F57,$A$29:$B$29,2,TRUE)</f>
        <v>3500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13"/>
      <c r="E58" s="13"/>
      <c r="F58" s="47" t="s">
        <v>60</v>
      </c>
      <c r="G58" s="48">
        <v>7.0</v>
      </c>
      <c r="H58" s="57">
        <f>VLOOKUP(F58,$A$30:$B$30,2,TRUE)</f>
        <v>0</v>
      </c>
      <c r="I58" s="50">
        <f t="shared" si="1"/>
        <v>0</v>
      </c>
      <c r="J58" s="13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9" t="s">
        <v>97</v>
      </c>
      <c r="F59" s="47" t="s">
        <v>22</v>
      </c>
      <c r="G59" s="48">
        <v>1.0</v>
      </c>
      <c r="H59" s="57">
        <f>VLOOKUP(F59,$A$4:$B$4,2,TRUE)</f>
        <v>4500</v>
      </c>
      <c r="I59" s="50">
        <f t="shared" si="1"/>
        <v>4500</v>
      </c>
      <c r="J59" s="51">
        <f>SUM(I59:I85)</f>
        <v>29500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57</v>
      </c>
      <c r="G60" s="48">
        <v>1.0</v>
      </c>
      <c r="H60" s="57">
        <f>VLOOKUP(F60,$A$5:$B$5,2,TRUE)</f>
        <v>3000</v>
      </c>
      <c r="I60" s="50">
        <f t="shared" si="1"/>
        <v>3000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59</v>
      </c>
      <c r="G61" s="48"/>
      <c r="H61" s="57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25</v>
      </c>
      <c r="G62" s="48"/>
      <c r="H62" s="57">
        <f>VLOOKUP(F62,$A$7:$B$7,2,TRUE)</f>
        <v>2800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26</v>
      </c>
      <c r="G63" s="48"/>
      <c r="H63" s="57">
        <f>VLOOKUP(F63,$A$8:$B$8,2,TRUE)</f>
        <v>3500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27</v>
      </c>
      <c r="G64" s="48">
        <v>5.5</v>
      </c>
      <c r="H64" s="57">
        <f>VLOOKUP(F64,$A$9:$B$9,2,TRUE)</f>
        <v>1000</v>
      </c>
      <c r="I64" s="50">
        <f t="shared" si="1"/>
        <v>5500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28</v>
      </c>
      <c r="G65" s="48"/>
      <c r="H65" s="57">
        <f>VLOOKUP(F65,$A$10:$B$10,2,TRUE)</f>
        <v>2000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29</v>
      </c>
      <c r="G66" s="48">
        <v>3.5</v>
      </c>
      <c r="H66" s="57">
        <f>VLOOKUP(F66,$A$11:$B$11,2,TRUE)</f>
        <v>1500</v>
      </c>
      <c r="I66" s="50">
        <f t="shared" si="1"/>
        <v>5250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30</v>
      </c>
      <c r="G67" s="48"/>
      <c r="H67" s="57">
        <f>VLOOKUP(F67,$A$12:$B$12,2,TRUE)</f>
        <v>1300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31</v>
      </c>
      <c r="G68" s="48"/>
      <c r="H68" s="57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32</v>
      </c>
      <c r="G69" s="48"/>
      <c r="H69" s="57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33</v>
      </c>
      <c r="G70" s="48"/>
      <c r="H70" s="57">
        <f>VLOOKUP(F70,$A$15:$B$15,2,TRUE)</f>
        <v>7500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34</v>
      </c>
      <c r="G71" s="48"/>
      <c r="H71" s="57">
        <f>VLOOKUP(F71,$A$16:$B$16,2,TRUE)</f>
        <v>2000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35</v>
      </c>
      <c r="G72" s="48"/>
      <c r="H72" s="57">
        <f>VLOOKUP(F72,$A$17:$B$17,2,TRUE)</f>
        <v>1000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36</v>
      </c>
      <c r="G73" s="48">
        <v>0.5</v>
      </c>
      <c r="H73" s="57">
        <f>VLOOKUP(F73,$A$18:$B$18,2,TRUE)</f>
        <v>5000</v>
      </c>
      <c r="I73" s="50">
        <f t="shared" si="1"/>
        <v>2500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37</v>
      </c>
      <c r="G74" s="48"/>
      <c r="H74" s="57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38</v>
      </c>
      <c r="G75" s="48"/>
      <c r="H75" s="57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39</v>
      </c>
      <c r="G76" s="48"/>
      <c r="H76" s="57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40</v>
      </c>
      <c r="G77" s="48"/>
      <c r="H77" s="57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41</v>
      </c>
      <c r="G78" s="48"/>
      <c r="H78" s="57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42</v>
      </c>
      <c r="G79" s="48"/>
      <c r="H79" s="57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43</v>
      </c>
      <c r="G80" s="48"/>
      <c r="H80" s="57">
        <f>VLOOKUP(F80,$A$25:$B$25,2,TRUE)</f>
        <v>1000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18</v>
      </c>
      <c r="G81" s="48"/>
      <c r="H81" s="57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44</v>
      </c>
      <c r="G82" s="48"/>
      <c r="H82" s="57">
        <f>VLOOKUP(F82,$A$27:$B$27,2,TRUE)</f>
        <v>100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13</v>
      </c>
      <c r="G83" s="48"/>
      <c r="H83" s="57">
        <f>VLOOKUP(F83,$A$28:$B$28,2,TRUE)</f>
        <v>1500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20</v>
      </c>
      <c r="G84" s="48">
        <v>2.5</v>
      </c>
      <c r="H84" s="57">
        <f>VLOOKUP(F84,$A$29:$B$29,2,TRUE)</f>
        <v>3500</v>
      </c>
      <c r="I84" s="50">
        <f t="shared" si="1"/>
        <v>8750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13"/>
      <c r="E85" s="13"/>
      <c r="F85" s="47" t="s">
        <v>60</v>
      </c>
      <c r="G85" s="48">
        <v>1.5</v>
      </c>
      <c r="H85" s="57">
        <f>VLOOKUP(F85,$A$30:$B$30,2,TRUE)</f>
        <v>0</v>
      </c>
      <c r="I85" s="50">
        <f t="shared" si="1"/>
        <v>0</v>
      </c>
      <c r="J85" s="13"/>
      <c r="K85" s="25"/>
      <c r="L85" s="25"/>
      <c r="M85" s="25"/>
      <c r="N85" s="25"/>
    </row>
    <row r="86" ht="15.75" customHeight="1">
      <c r="A86" s="44"/>
      <c r="B86" s="44"/>
      <c r="C86" s="44"/>
      <c r="D86" s="45">
        <v>4.0</v>
      </c>
      <c r="E86" s="46" t="s">
        <v>98</v>
      </c>
      <c r="F86" s="47" t="s">
        <v>22</v>
      </c>
      <c r="G86" s="48"/>
      <c r="H86" s="57">
        <f>VLOOKUP(F86,$A$4:$B$4,2,TRUE)</f>
        <v>4500</v>
      </c>
      <c r="I86" s="50">
        <f t="shared" si="1"/>
        <v>0</v>
      </c>
      <c r="J86" s="51">
        <f>SUM(I86:I112)</f>
        <v>7950</v>
      </c>
      <c r="K86" s="25"/>
      <c r="L86" s="25"/>
      <c r="M86" s="25"/>
      <c r="N86" s="25"/>
    </row>
    <row r="87" ht="15.75" customHeight="1">
      <c r="A87" s="44"/>
      <c r="B87" s="44"/>
      <c r="C87" s="44"/>
      <c r="D87" s="52"/>
      <c r="E87" s="52"/>
      <c r="F87" s="47" t="s">
        <v>57</v>
      </c>
      <c r="G87" s="48"/>
      <c r="H87" s="57">
        <f>VLOOKUP(F87,$A$5:$B$5,2,TRUE)</f>
        <v>3000</v>
      </c>
      <c r="I87" s="50">
        <f t="shared" si="1"/>
        <v>0</v>
      </c>
      <c r="J87" s="52"/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59</v>
      </c>
      <c r="G88" s="48"/>
      <c r="H88" s="57">
        <f>VLOOKUP(F88,$A$6:$B$6,2,TRUE)</f>
        <v>1000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25</v>
      </c>
      <c r="G89" s="48"/>
      <c r="H89" s="57">
        <f>VLOOKUP(F89,$A$7:$B$7,2,TRUE)</f>
        <v>2800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26</v>
      </c>
      <c r="G90" s="48"/>
      <c r="H90" s="57">
        <f>VLOOKUP(F90,$A$8:$B$8,2,TRUE)</f>
        <v>3500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27</v>
      </c>
      <c r="G91" s="48"/>
      <c r="H91" s="57">
        <f>VLOOKUP(F91,$A$9:$B$9,2,TRUE)</f>
        <v>1000</v>
      </c>
      <c r="I91" s="50">
        <f t="shared" si="1"/>
        <v>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28</v>
      </c>
      <c r="G92" s="48"/>
      <c r="H92" s="57">
        <f>VLOOKUP(F92,$A$10:$B$10,2,TRUE)</f>
        <v>2000</v>
      </c>
      <c r="I92" s="50">
        <f t="shared" si="1"/>
        <v>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29</v>
      </c>
      <c r="G93" s="48"/>
      <c r="H93" s="57">
        <f>VLOOKUP(F93,$A$11:$B$11,2,TRUE)</f>
        <v>1500</v>
      </c>
      <c r="I93" s="50">
        <f t="shared" si="1"/>
        <v>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30</v>
      </c>
      <c r="G94" s="48"/>
      <c r="H94" s="57">
        <f>VLOOKUP(F94,$A$12:$B$12,2,TRUE)</f>
        <v>1300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31</v>
      </c>
      <c r="G95" s="48"/>
      <c r="H95" s="57">
        <f>VLOOKUP(F95,$A$13:$B$13,2,TRUE)</f>
        <v>1000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32</v>
      </c>
      <c r="G96" s="48">
        <v>1.5</v>
      </c>
      <c r="H96" s="57">
        <f>VLOOKUP(F96,$A$14:$B$14,2,TRUE)</f>
        <v>500</v>
      </c>
      <c r="I96" s="50">
        <f t="shared" si="1"/>
        <v>750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33</v>
      </c>
      <c r="G97" s="48"/>
      <c r="H97" s="57">
        <f>VLOOKUP(F97,$A$15:$B$15,2,TRUE)</f>
        <v>7500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34</v>
      </c>
      <c r="G98" s="48"/>
      <c r="H98" s="57">
        <f>VLOOKUP(F98,$A$16:$B$16,2,TRUE)</f>
        <v>2000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35</v>
      </c>
      <c r="G99" s="48"/>
      <c r="H99" s="57">
        <f>VLOOKUP(F99,$A$17:$B$17,2,TRUE)</f>
        <v>1000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36</v>
      </c>
      <c r="G100" s="48"/>
      <c r="H100" s="57">
        <f>VLOOKUP(F100,$A$18:$B$18,2,TRUE)</f>
        <v>5000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37</v>
      </c>
      <c r="G101" s="48"/>
      <c r="H101" s="57">
        <f>VLOOKUP(F101,$A$19:$B$19,2,TRUE)</f>
        <v>2700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38</v>
      </c>
      <c r="G102" s="48"/>
      <c r="H102" s="57">
        <f>VLOOKUP(F102,$A$20:$B$20,2,TRUE)</f>
        <v>50000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39</v>
      </c>
      <c r="G103" s="48"/>
      <c r="H103" s="57">
        <f>VLOOKUP(F103,$A$21:$B$21,2,TRUE)</f>
        <v>10000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40</v>
      </c>
      <c r="G104" s="48"/>
      <c r="H104" s="57">
        <f>VLOOKUP(F104,$A$22:$B$22,2,TRUE)</f>
        <v>1000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41</v>
      </c>
      <c r="G105" s="48"/>
      <c r="H105" s="57">
        <f>VLOOKUP(F105,$A$23:$B$23,2,TRUE)</f>
        <v>500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42</v>
      </c>
      <c r="G106" s="48">
        <v>1.0</v>
      </c>
      <c r="H106" s="57">
        <f>VLOOKUP(F106,$A$24:$B$24,2,TRUE)</f>
        <v>200</v>
      </c>
      <c r="I106" s="50">
        <f t="shared" si="1"/>
        <v>200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43</v>
      </c>
      <c r="G107" s="48"/>
      <c r="H107" s="57">
        <f>VLOOKUP(F107,$A$25:$B$25,2,TRUE)</f>
        <v>1000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18</v>
      </c>
      <c r="G108" s="48"/>
      <c r="H108" s="57">
        <f>VLOOKUP(F108,$A$26:$B$26,2,TRUE)</f>
        <v>300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44</v>
      </c>
      <c r="G109" s="48"/>
      <c r="H109" s="57">
        <f>VLOOKUP(F109,$A$27:$B$27,2,TRUE)</f>
        <v>100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13</v>
      </c>
      <c r="G110" s="48"/>
      <c r="H110" s="57">
        <f>VLOOKUP(F110,$A$28:$B$28,2,TRUE)</f>
        <v>1500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20</v>
      </c>
      <c r="G111" s="48">
        <v>2.0</v>
      </c>
      <c r="H111" s="57">
        <f>VLOOKUP(F111,$A$29:$B$29,2,TRUE)</f>
        <v>3500</v>
      </c>
      <c r="I111" s="50">
        <f t="shared" si="1"/>
        <v>7000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13"/>
      <c r="E112" s="13"/>
      <c r="F112" s="47" t="s">
        <v>60</v>
      </c>
      <c r="G112" s="48"/>
      <c r="H112" s="57">
        <f>VLOOKUP(F112,$A$30:$B$30,2,TRUE)</f>
        <v>0</v>
      </c>
      <c r="I112" s="50">
        <f t="shared" si="1"/>
        <v>0</v>
      </c>
      <c r="J112" s="13"/>
      <c r="K112" s="25"/>
      <c r="L112" s="25"/>
      <c r="M112" s="25"/>
      <c r="N112" s="25"/>
    </row>
    <row r="113" ht="15.75" customHeight="1">
      <c r="A113" s="44"/>
      <c r="B113" s="44"/>
      <c r="C113" s="44"/>
      <c r="D113" s="45">
        <v>5.0</v>
      </c>
      <c r="E113" s="46" t="s">
        <v>99</v>
      </c>
      <c r="F113" s="47" t="s">
        <v>22</v>
      </c>
      <c r="G113" s="48"/>
      <c r="H113" s="57">
        <f>VLOOKUP(F113,$A$4:$B$4,2,TRUE)</f>
        <v>4500</v>
      </c>
      <c r="I113" s="50">
        <f t="shared" si="1"/>
        <v>0</v>
      </c>
      <c r="J113" s="51">
        <f>SUM(I113:I139)</f>
        <v>13500</v>
      </c>
      <c r="K113" s="25"/>
      <c r="L113" s="25"/>
      <c r="M113" s="25"/>
      <c r="N113" s="25"/>
    </row>
    <row r="114" ht="15.75" customHeight="1">
      <c r="A114" s="44"/>
      <c r="B114" s="44"/>
      <c r="C114" s="44"/>
      <c r="D114" s="52"/>
      <c r="E114" s="52"/>
      <c r="F114" s="47" t="s">
        <v>57</v>
      </c>
      <c r="G114" s="48">
        <v>3.5</v>
      </c>
      <c r="H114" s="57">
        <f>VLOOKUP(F114,$A$5:$B$5,2,TRUE)</f>
        <v>3000</v>
      </c>
      <c r="I114" s="50">
        <f t="shared" si="1"/>
        <v>10500</v>
      </c>
      <c r="J114" s="52"/>
      <c r="K114" s="25"/>
      <c r="L114" s="25"/>
      <c r="M114" s="25"/>
      <c r="N114" s="25"/>
    </row>
    <row r="115" ht="15.75" customHeight="1">
      <c r="A115" s="44"/>
      <c r="B115" s="44"/>
      <c r="C115" s="44"/>
      <c r="D115" s="52"/>
      <c r="E115" s="52"/>
      <c r="F115" s="47" t="s">
        <v>59</v>
      </c>
      <c r="G115" s="48"/>
      <c r="H115" s="57">
        <f>VLOOKUP(F115,$A$6:$B$6,2,TRUE)</f>
        <v>1000</v>
      </c>
      <c r="I115" s="50">
        <f t="shared" si="1"/>
        <v>0</v>
      </c>
      <c r="J115" s="52"/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25</v>
      </c>
      <c r="G116" s="48"/>
      <c r="H116" s="57">
        <f>VLOOKUP(F116,$A$7:$B$7,2,TRUE)</f>
        <v>2800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26</v>
      </c>
      <c r="G117" s="48"/>
      <c r="H117" s="57">
        <f>VLOOKUP(F117,$A$8:$B$8,2,TRUE)</f>
        <v>3500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27</v>
      </c>
      <c r="G118" s="48">
        <v>3.0</v>
      </c>
      <c r="H118" s="57">
        <f>VLOOKUP(F118,$A$9:$B$9,2,TRUE)</f>
        <v>1000</v>
      </c>
      <c r="I118" s="50">
        <f t="shared" si="1"/>
        <v>3000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28</v>
      </c>
      <c r="G119" s="48"/>
      <c r="H119" s="57">
        <f>VLOOKUP(F119,$A$10:$B$10,2,TRUE)</f>
        <v>2000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29</v>
      </c>
      <c r="G120" s="48"/>
      <c r="H120" s="57">
        <f>VLOOKUP(F120,$A$11:$B$11,2,TRUE)</f>
        <v>1500</v>
      </c>
      <c r="I120" s="50">
        <f t="shared" si="1"/>
        <v>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30</v>
      </c>
      <c r="G121" s="48"/>
      <c r="H121" s="57">
        <f>VLOOKUP(F121,$A$12:$B$12,2,TRUE)</f>
        <v>1300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31</v>
      </c>
      <c r="G122" s="48"/>
      <c r="H122" s="57">
        <f>VLOOKUP(F122,$A$13:$B$13,2,TRUE)</f>
        <v>1000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32</v>
      </c>
      <c r="G123" s="48"/>
      <c r="H123" s="57">
        <f>VLOOKUP(F123,$A$14:$B$14,2,TRUE)</f>
        <v>500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33</v>
      </c>
      <c r="G124" s="48"/>
      <c r="H124" s="57">
        <f>VLOOKUP(F124,$A$15:$B$15,2,TRUE)</f>
        <v>7500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34</v>
      </c>
      <c r="G125" s="48"/>
      <c r="H125" s="57">
        <f>VLOOKUP(F125,$A$16:$B$16,2,TRUE)</f>
        <v>2000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35</v>
      </c>
      <c r="G126" s="48"/>
      <c r="H126" s="57">
        <f>VLOOKUP(F126,$A$17:$B$17,2,TRUE)</f>
        <v>1000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36</v>
      </c>
      <c r="G127" s="48"/>
      <c r="H127" s="57">
        <f>VLOOKUP(F127,$A$18:$B$18,2,TRUE)</f>
        <v>5000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37</v>
      </c>
      <c r="G128" s="48"/>
      <c r="H128" s="57">
        <f>VLOOKUP(F128,$A$19:$B$19,2,TRUE)</f>
        <v>2700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38</v>
      </c>
      <c r="G129" s="48"/>
      <c r="H129" s="57">
        <f>VLOOKUP(F129,$A$20:$B$20,2,TRUE)</f>
        <v>50000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39</v>
      </c>
      <c r="G130" s="48"/>
      <c r="H130" s="57">
        <f>VLOOKUP(F130,$A$21:$B$21,2,TRUE)</f>
        <v>10000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40</v>
      </c>
      <c r="G131" s="48"/>
      <c r="H131" s="57">
        <f>VLOOKUP(F131,$A$22:$B$22,2,TRUE)</f>
        <v>1000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41</v>
      </c>
      <c r="G132" s="48"/>
      <c r="H132" s="57">
        <f>VLOOKUP(F132,$A$23:$B$23,2,TRUE)</f>
        <v>500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42</v>
      </c>
      <c r="G133" s="48"/>
      <c r="H133" s="57">
        <f>VLOOKUP(F133,$A$24:$B$24,2,TRUE)</f>
        <v>200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43</v>
      </c>
      <c r="G134" s="48"/>
      <c r="H134" s="57">
        <f>VLOOKUP(F134,$A$25:$B$25,2,TRUE)</f>
        <v>1000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18</v>
      </c>
      <c r="G135" s="48"/>
      <c r="H135" s="57">
        <f>VLOOKUP(F135,$A$26:$B$26,2,TRUE)</f>
        <v>300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44</v>
      </c>
      <c r="G136" s="48"/>
      <c r="H136" s="57">
        <f>VLOOKUP(F136,$A$27:$B$27,2,TRUE)</f>
        <v>100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7">
        <f>VLOOKUP(F137,$A$28:$B$28,2,TRUE)</f>
        <v>1500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20</v>
      </c>
      <c r="G138" s="48"/>
      <c r="H138" s="57">
        <f>VLOOKUP(F138,$A$29:$B$29,2,TRUE)</f>
        <v>3500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13"/>
      <c r="E139" s="13"/>
      <c r="F139" s="47" t="s">
        <v>60</v>
      </c>
      <c r="G139" s="48">
        <v>4.5</v>
      </c>
      <c r="H139" s="57">
        <f>VLOOKUP(F139,$A$30:$B$30,2,TRUE)</f>
        <v>0</v>
      </c>
      <c r="I139" s="50">
        <f t="shared" si="1"/>
        <v>0</v>
      </c>
      <c r="J139" s="13"/>
      <c r="K139" s="25"/>
      <c r="L139" s="25"/>
      <c r="M139" s="25"/>
      <c r="N139" s="25"/>
    </row>
    <row r="140" ht="15.75" customHeight="1">
      <c r="A140" s="44"/>
      <c r="B140" s="44"/>
      <c r="C140" s="44"/>
      <c r="D140" s="45">
        <v>6.0</v>
      </c>
      <c r="E140" s="46" t="s">
        <v>100</v>
      </c>
      <c r="F140" s="47" t="s">
        <v>22</v>
      </c>
      <c r="G140" s="48"/>
      <c r="H140" s="57">
        <f>VLOOKUP(F140,$A$4:$B$4,2,TRUE)</f>
        <v>4500</v>
      </c>
      <c r="I140" s="50">
        <f t="shared" si="1"/>
        <v>0</v>
      </c>
      <c r="J140" s="51">
        <f>SUM(I140:I166)</f>
        <v>18750</v>
      </c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57</v>
      </c>
      <c r="G141" s="48">
        <v>2.0</v>
      </c>
      <c r="H141" s="57">
        <f>VLOOKUP(F141,$A$5:$B$5,2,TRUE)</f>
        <v>3000</v>
      </c>
      <c r="I141" s="50">
        <f t="shared" si="1"/>
        <v>6000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52"/>
      <c r="E142" s="52"/>
      <c r="F142" s="47" t="s">
        <v>59</v>
      </c>
      <c r="G142" s="48"/>
      <c r="H142" s="57">
        <f>VLOOKUP(F142,$A$6:$B$6,2,TRUE)</f>
        <v>1000</v>
      </c>
      <c r="I142" s="50">
        <f t="shared" si="1"/>
        <v>0</v>
      </c>
      <c r="J142" s="52"/>
      <c r="K142" s="25"/>
      <c r="L142" s="25"/>
      <c r="M142" s="25"/>
      <c r="N142" s="25"/>
    </row>
    <row r="143" ht="15.75" customHeight="1">
      <c r="A143" s="44"/>
      <c r="B143" s="44"/>
      <c r="C143" s="44"/>
      <c r="D143" s="52"/>
      <c r="E143" s="52"/>
      <c r="F143" s="47" t="s">
        <v>25</v>
      </c>
      <c r="G143" s="48"/>
      <c r="H143" s="57">
        <f>VLOOKUP(F143,$A$7:$B$7,2,TRUE)</f>
        <v>2800</v>
      </c>
      <c r="I143" s="50">
        <f t="shared" si="1"/>
        <v>0</v>
      </c>
      <c r="J143" s="52"/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26</v>
      </c>
      <c r="G144" s="48"/>
      <c r="H144" s="57">
        <f>VLOOKUP(F144,$A$8:$B$8,2,TRUE)</f>
        <v>3500</v>
      </c>
      <c r="I144" s="50">
        <f t="shared" si="1"/>
        <v>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27</v>
      </c>
      <c r="G145" s="48">
        <v>9.5</v>
      </c>
      <c r="H145" s="57">
        <f>VLOOKUP(F145,$A$9:$B$9,2,TRUE)</f>
        <v>1000</v>
      </c>
      <c r="I145" s="50">
        <f t="shared" si="1"/>
        <v>9500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28</v>
      </c>
      <c r="G146" s="48"/>
      <c r="H146" s="57">
        <f>VLOOKUP(F146,$A$10:$B$10,2,TRUE)</f>
        <v>2000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29</v>
      </c>
      <c r="G147" s="48">
        <v>1.5</v>
      </c>
      <c r="H147" s="57">
        <f>VLOOKUP(F147,$A$11:$B$11,2,TRUE)</f>
        <v>1500</v>
      </c>
      <c r="I147" s="50">
        <f t="shared" si="1"/>
        <v>2250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30</v>
      </c>
      <c r="G148" s="48"/>
      <c r="H148" s="57">
        <f>VLOOKUP(F148,$A$12:$B$12,2,TRUE)</f>
        <v>1300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31</v>
      </c>
      <c r="G149" s="48"/>
      <c r="H149" s="57">
        <f>VLOOKUP(F149,$A$13:$B$13,2,TRUE)</f>
        <v>1000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32</v>
      </c>
      <c r="G150" s="48">
        <v>2.0</v>
      </c>
      <c r="H150" s="57">
        <f>VLOOKUP(F150,$A$14:$B$14,2,TRUE)</f>
        <v>500</v>
      </c>
      <c r="I150" s="50">
        <f t="shared" si="1"/>
        <v>1000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33</v>
      </c>
      <c r="G151" s="48"/>
      <c r="H151" s="57">
        <f>VLOOKUP(F151,$A$15:$B$15,2,TRUE)</f>
        <v>7500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34</v>
      </c>
      <c r="G152" s="48"/>
      <c r="H152" s="57">
        <f>VLOOKUP(F152,$A$16:$B$16,2,TRUE)</f>
        <v>2000</v>
      </c>
      <c r="I152" s="50">
        <f t="shared" si="1"/>
        <v>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35</v>
      </c>
      <c r="G153" s="48"/>
      <c r="H153" s="57">
        <f>VLOOKUP(F153,$A$17:$B$17,2,TRUE)</f>
        <v>1000</v>
      </c>
      <c r="I153" s="50">
        <f t="shared" si="1"/>
        <v>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36</v>
      </c>
      <c r="G154" s="48"/>
      <c r="H154" s="57">
        <f>VLOOKUP(F154,$A$18:$B$18,2,TRUE)</f>
        <v>5000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37</v>
      </c>
      <c r="G155" s="48"/>
      <c r="H155" s="57">
        <f>VLOOKUP(F155,$A$19:$B$19,2,TRUE)</f>
        <v>2700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38</v>
      </c>
      <c r="G156" s="48"/>
      <c r="H156" s="57">
        <f>VLOOKUP(F156,$A$20:$B$20,2,TRUE)</f>
        <v>50000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39</v>
      </c>
      <c r="G157" s="48"/>
      <c r="H157" s="57">
        <f>VLOOKUP(F157,$A$21:$B$21,2,TRUE)</f>
        <v>10000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40</v>
      </c>
      <c r="G158" s="48"/>
      <c r="H158" s="57">
        <f>VLOOKUP(F158,$A$22:$B$22,2,TRUE)</f>
        <v>1000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41</v>
      </c>
      <c r="G159" s="48"/>
      <c r="H159" s="57">
        <f>VLOOKUP(F159,$A$23:$B$23,2,TRUE)</f>
        <v>500</v>
      </c>
      <c r="I159" s="50">
        <f t="shared" si="1"/>
        <v>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42</v>
      </c>
      <c r="G160" s="48"/>
      <c r="H160" s="57">
        <f>VLOOKUP(F160,$A$24:$B$24,2,TRUE)</f>
        <v>200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43</v>
      </c>
      <c r="G161" s="48"/>
      <c r="H161" s="57">
        <f>VLOOKUP(F161,$A$25:$B$25,2,TRUE)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18</v>
      </c>
      <c r="G162" s="48"/>
      <c r="H162" s="57">
        <f>VLOOKUP(F162,$A$26:$B$26,2,TRUE)</f>
        <v>300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44</v>
      </c>
      <c r="G163" s="48"/>
      <c r="H163" s="57">
        <f>VLOOKUP(F163,$A$27:$B$27,2,TRUE)</f>
        <v>100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13</v>
      </c>
      <c r="G164" s="48"/>
      <c r="H164" s="57">
        <f>VLOOKUP(F164,$A$28:$B$28,2,TRUE)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20</v>
      </c>
      <c r="G165" s="48"/>
      <c r="H165" s="57">
        <f>VLOOKUP(F165,$A$29:$B$29,2,TRUE)</f>
        <v>3500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13"/>
      <c r="E166" s="13"/>
      <c r="F166" s="47" t="s">
        <v>60</v>
      </c>
      <c r="G166" s="48">
        <v>5.0</v>
      </c>
      <c r="H166" s="57">
        <f>VLOOKUP(F166,$A$30:$B$30,2,TRUE)</f>
        <v>0</v>
      </c>
      <c r="I166" s="50">
        <f t="shared" si="1"/>
        <v>0</v>
      </c>
      <c r="J166" s="13"/>
      <c r="K166" s="25"/>
      <c r="L166" s="25"/>
      <c r="M166" s="25"/>
      <c r="N166" s="25"/>
    </row>
    <row r="167" ht="15.75" customHeight="1">
      <c r="A167" s="44"/>
      <c r="B167" s="44"/>
      <c r="C167" s="44"/>
      <c r="D167" s="45">
        <v>7.0</v>
      </c>
      <c r="E167" s="65" t="s">
        <v>101</v>
      </c>
      <c r="F167" s="47" t="s">
        <v>22</v>
      </c>
      <c r="G167" s="48"/>
      <c r="H167" s="57">
        <f>VLOOKUP(F167,$A$4:$B$4,2,TRUE)</f>
        <v>4500</v>
      </c>
      <c r="I167" s="50">
        <f t="shared" si="1"/>
        <v>0</v>
      </c>
      <c r="J167" s="51">
        <f>SUM(I167:I193)</f>
        <v>9300</v>
      </c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57</v>
      </c>
      <c r="G168" s="48"/>
      <c r="H168" s="57">
        <f>VLOOKUP(F168,$A$5:$B$5,2,TRUE)</f>
        <v>3000</v>
      </c>
      <c r="I168" s="50">
        <f t="shared" si="1"/>
        <v>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59</v>
      </c>
      <c r="G169" s="48"/>
      <c r="H169" s="57">
        <f>VLOOKUP(F169,$A$6:$B$6,2,TRUE)</f>
        <v>1000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52"/>
      <c r="E170" s="52"/>
      <c r="F170" s="47" t="s">
        <v>25</v>
      </c>
      <c r="G170" s="48"/>
      <c r="H170" s="57">
        <f>VLOOKUP(F170,$A$7:$B$7,2,TRUE)</f>
        <v>2800</v>
      </c>
      <c r="I170" s="50">
        <f t="shared" si="1"/>
        <v>0</v>
      </c>
      <c r="J170" s="52"/>
      <c r="K170" s="25"/>
      <c r="L170" s="25"/>
      <c r="M170" s="25"/>
      <c r="N170" s="25"/>
    </row>
    <row r="171" ht="15.75" customHeight="1">
      <c r="A171" s="44"/>
      <c r="B171" s="44"/>
      <c r="C171" s="44"/>
      <c r="D171" s="52"/>
      <c r="E171" s="52"/>
      <c r="F171" s="47" t="s">
        <v>26</v>
      </c>
      <c r="G171" s="48"/>
      <c r="H171" s="57">
        <f>VLOOKUP(F171,$A$8:$B$8,2,TRUE)</f>
        <v>3500</v>
      </c>
      <c r="I171" s="50">
        <f t="shared" si="1"/>
        <v>0</v>
      </c>
      <c r="J171" s="52"/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27</v>
      </c>
      <c r="G172" s="48"/>
      <c r="H172" s="57">
        <f>VLOOKUP(F172,$A$9:$B$9,2,TRUE)</f>
        <v>1000</v>
      </c>
      <c r="I172" s="50">
        <f t="shared" si="1"/>
        <v>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28</v>
      </c>
      <c r="G173" s="48">
        <v>1.5</v>
      </c>
      <c r="H173" s="57">
        <f>VLOOKUP(F173,$A$10:$B$10,2,TRUE)</f>
        <v>2000</v>
      </c>
      <c r="I173" s="50">
        <f t="shared" si="1"/>
        <v>3000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29</v>
      </c>
      <c r="G174" s="48"/>
      <c r="H174" s="57">
        <f>VLOOKUP(F174,$A$11:$B$11,2,TRUE)</f>
        <v>1500</v>
      </c>
      <c r="I174" s="50">
        <f t="shared" si="1"/>
        <v>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30</v>
      </c>
      <c r="G175" s="48"/>
      <c r="H175" s="57">
        <f>VLOOKUP(F175,$A$12:$B$12,2,TRUE)</f>
        <v>1300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31</v>
      </c>
      <c r="G176" s="48"/>
      <c r="H176" s="57">
        <f>VLOOKUP(F176,$A$13:$B$13,2,TRUE)</f>
        <v>1000</v>
      </c>
      <c r="I176" s="50">
        <f t="shared" si="1"/>
        <v>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32</v>
      </c>
      <c r="G177" s="48"/>
      <c r="H177" s="57">
        <f>VLOOKUP(F177,$A$14:$B$14,2,TRUE)</f>
        <v>500</v>
      </c>
      <c r="I177" s="50">
        <f t="shared" si="1"/>
        <v>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33</v>
      </c>
      <c r="G178" s="48"/>
      <c r="H178" s="57">
        <f>VLOOKUP(F178,$A$15:$B$15,2,TRUE)</f>
        <v>7500</v>
      </c>
      <c r="I178" s="50">
        <f t="shared" si="1"/>
        <v>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34</v>
      </c>
      <c r="G179" s="48"/>
      <c r="H179" s="57">
        <f>VLOOKUP(F179,$A$16:$B$16,2,TRUE)</f>
        <v>2000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35</v>
      </c>
      <c r="G180" s="48"/>
      <c r="H180" s="57">
        <f>VLOOKUP(F180,$A$17:$B$17,2,TRUE)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36</v>
      </c>
      <c r="G181" s="48"/>
      <c r="H181" s="57">
        <f>VLOOKUP(F181,$A$18:$B$18,2,TRUE)</f>
        <v>5000</v>
      </c>
      <c r="I181" s="50">
        <f t="shared" si="1"/>
        <v>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37</v>
      </c>
      <c r="G182" s="48"/>
      <c r="H182" s="57">
        <f>VLOOKUP(F182,$A$19:$B$19,2,TRUE)</f>
        <v>2700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38</v>
      </c>
      <c r="G183" s="48"/>
      <c r="H183" s="57">
        <f>VLOOKUP(F183,$A$20:$B$20,2,TRUE)</f>
        <v>50000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39</v>
      </c>
      <c r="G184" s="48"/>
      <c r="H184" s="57">
        <f>VLOOKUP(F184,$A$21:$B$21,2,TRUE)</f>
        <v>10000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40</v>
      </c>
      <c r="G185" s="48"/>
      <c r="H185" s="57">
        <f>VLOOKUP(F185,$A$22:$B$22,2,TRUE)</f>
        <v>1000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41</v>
      </c>
      <c r="G186" s="48"/>
      <c r="H186" s="57">
        <f>VLOOKUP(F186,$A$23:$B$23,2,TRUE)</f>
        <v>500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42</v>
      </c>
      <c r="G187" s="48"/>
      <c r="H187" s="57">
        <f>VLOOKUP(F187,$A$24:$B$24,2,TRUE)</f>
        <v>200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43</v>
      </c>
      <c r="G188" s="48"/>
      <c r="H188" s="57">
        <f>VLOOKUP(F188,$A$25:$B$25,2,TRUE)</f>
        <v>1000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18</v>
      </c>
      <c r="G189" s="48">
        <v>21.0</v>
      </c>
      <c r="H189" s="57">
        <f>VLOOKUP(F189,$A$26:$B$26,2,TRUE)</f>
        <v>300</v>
      </c>
      <c r="I189" s="50">
        <f t="shared" si="1"/>
        <v>6300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44</v>
      </c>
      <c r="G190" s="48"/>
      <c r="H190" s="57">
        <f>VLOOKUP(F190,$A$27:$B$27,2,TRUE)</f>
        <v>100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13</v>
      </c>
      <c r="G191" s="48"/>
      <c r="H191" s="57">
        <f>VLOOKUP(F191,$A$28:$B$28,2,TRUE)</f>
        <v>1500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20</v>
      </c>
      <c r="G192" s="48"/>
      <c r="H192" s="57">
        <f>VLOOKUP(F192,$A$29:$B$29,2,TRUE)</f>
        <v>3500</v>
      </c>
      <c r="I192" s="50">
        <f t="shared" si="1"/>
        <v>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13"/>
      <c r="E193" s="13"/>
      <c r="F193" s="47" t="s">
        <v>60</v>
      </c>
      <c r="G193" s="48"/>
      <c r="H193" s="57">
        <f>VLOOKUP(F193,$A$30:$B$30,2,TRUE)</f>
        <v>0</v>
      </c>
      <c r="I193" s="50">
        <f t="shared" si="1"/>
        <v>0</v>
      </c>
      <c r="J193" s="13"/>
      <c r="K193" s="25"/>
      <c r="L193" s="25"/>
      <c r="M193" s="25"/>
      <c r="N193" s="25"/>
    </row>
    <row r="194" ht="15.75" customHeight="1">
      <c r="A194" s="44"/>
      <c r="B194" s="44"/>
      <c r="C194" s="44"/>
      <c r="D194" s="45">
        <v>8.0</v>
      </c>
      <c r="E194" s="46" t="s">
        <v>102</v>
      </c>
      <c r="F194" s="47" t="s">
        <v>22</v>
      </c>
      <c r="G194" s="48"/>
      <c r="H194" s="57">
        <f>VLOOKUP(F194,$A$4:$B$4,2,TRUE)</f>
        <v>4500</v>
      </c>
      <c r="I194" s="50">
        <f t="shared" si="1"/>
        <v>0</v>
      </c>
      <c r="J194" s="51">
        <f>SUM(I194:I220)</f>
        <v>5000</v>
      </c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57</v>
      </c>
      <c r="G195" s="48"/>
      <c r="H195" s="57">
        <f>VLOOKUP(F195,$A$5:$B$5,2,TRUE)</f>
        <v>3000</v>
      </c>
      <c r="I195" s="50">
        <f t="shared" si="1"/>
        <v>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59</v>
      </c>
      <c r="G196" s="48"/>
      <c r="H196" s="57">
        <f>VLOOKUP(F196,$A$6:$B$6,2,TRUE)</f>
        <v>1000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25</v>
      </c>
      <c r="G197" s="48"/>
      <c r="H197" s="57">
        <f>VLOOKUP(F197,$A$7:$B$7,2,TRUE)</f>
        <v>2800</v>
      </c>
      <c r="I197" s="50">
        <f t="shared" si="1"/>
        <v>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52"/>
      <c r="E198" s="52"/>
      <c r="F198" s="47" t="s">
        <v>26</v>
      </c>
      <c r="G198" s="48"/>
      <c r="H198" s="57">
        <f>VLOOKUP(F198,$A$8:$B$8,2,TRUE)</f>
        <v>3500</v>
      </c>
      <c r="I198" s="50">
        <f t="shared" si="1"/>
        <v>0</v>
      </c>
      <c r="J198" s="52"/>
      <c r="K198" s="25"/>
      <c r="L198" s="25"/>
      <c r="M198" s="25"/>
      <c r="N198" s="25"/>
    </row>
    <row r="199" ht="15.75" customHeight="1">
      <c r="A199" s="44"/>
      <c r="B199" s="44"/>
      <c r="C199" s="44"/>
      <c r="D199" s="52"/>
      <c r="E199" s="52"/>
      <c r="F199" s="47" t="s">
        <v>27</v>
      </c>
      <c r="G199" s="48">
        <v>5.0</v>
      </c>
      <c r="H199" s="57">
        <f>VLOOKUP(F199,$A$9:$B$9,2,TRUE)</f>
        <v>1000</v>
      </c>
      <c r="I199" s="50">
        <f t="shared" si="1"/>
        <v>5000</v>
      </c>
      <c r="J199" s="52"/>
      <c r="K199" s="25"/>
      <c r="L199" s="25"/>
      <c r="M199" s="25"/>
      <c r="N199" s="25"/>
    </row>
    <row r="200" ht="15.75" customHeight="1">
      <c r="A200" s="44"/>
      <c r="B200" s="44"/>
      <c r="C200" s="44"/>
      <c r="D200" s="52"/>
      <c r="E200" s="52"/>
      <c r="F200" s="47" t="s">
        <v>28</v>
      </c>
      <c r="G200" s="48"/>
      <c r="H200" s="57">
        <f>VLOOKUP(F200,$A$10:$B$10,2,TRUE)</f>
        <v>2000</v>
      </c>
      <c r="I200" s="50">
        <f t="shared" si="1"/>
        <v>0</v>
      </c>
      <c r="J200" s="52"/>
      <c r="K200" s="25"/>
      <c r="L200" s="25"/>
      <c r="M200" s="25"/>
      <c r="N200" s="25"/>
    </row>
    <row r="201" ht="15.75" customHeight="1">
      <c r="A201" s="44"/>
      <c r="B201" s="44"/>
      <c r="C201" s="44"/>
      <c r="D201" s="52"/>
      <c r="E201" s="52"/>
      <c r="F201" s="47" t="s">
        <v>29</v>
      </c>
      <c r="G201" s="48"/>
      <c r="H201" s="57">
        <f>VLOOKUP(F201,$A$11:$B$11,2,TRUE)</f>
        <v>1500</v>
      </c>
      <c r="I201" s="50">
        <f t="shared" si="1"/>
        <v>0</v>
      </c>
      <c r="J201" s="52"/>
      <c r="K201" s="25"/>
      <c r="L201" s="25"/>
      <c r="M201" s="25"/>
      <c r="N201" s="25"/>
    </row>
    <row r="202" ht="15.75" customHeight="1">
      <c r="A202" s="44"/>
      <c r="B202" s="44"/>
      <c r="C202" s="44"/>
      <c r="D202" s="52"/>
      <c r="E202" s="52"/>
      <c r="F202" s="47" t="s">
        <v>30</v>
      </c>
      <c r="G202" s="48"/>
      <c r="H202" s="57">
        <f>VLOOKUP(F202,$A$12:$B$12,2,TRUE)</f>
        <v>1300</v>
      </c>
      <c r="I202" s="50">
        <f t="shared" si="1"/>
        <v>0</v>
      </c>
      <c r="J202" s="52"/>
      <c r="K202" s="25"/>
      <c r="L202" s="25"/>
      <c r="M202" s="25"/>
      <c r="N202" s="25"/>
    </row>
    <row r="203" ht="15.75" customHeight="1">
      <c r="A203" s="44"/>
      <c r="B203" s="44"/>
      <c r="C203" s="44"/>
      <c r="D203" s="52"/>
      <c r="E203" s="52"/>
      <c r="F203" s="47" t="s">
        <v>31</v>
      </c>
      <c r="G203" s="48"/>
      <c r="H203" s="57">
        <f>VLOOKUP(F203,$A$13:$B$13,2,TRUE)</f>
        <v>1000</v>
      </c>
      <c r="I203" s="50">
        <f t="shared" si="1"/>
        <v>0</v>
      </c>
      <c r="J203" s="52"/>
      <c r="K203" s="25"/>
      <c r="L203" s="25"/>
      <c r="M203" s="25"/>
      <c r="N203" s="25"/>
    </row>
    <row r="204" ht="15.75" customHeight="1">
      <c r="A204" s="44"/>
      <c r="B204" s="44"/>
      <c r="C204" s="44"/>
      <c r="D204" s="52"/>
      <c r="E204" s="52"/>
      <c r="F204" s="47" t="s">
        <v>32</v>
      </c>
      <c r="G204" s="48"/>
      <c r="H204" s="57">
        <f>VLOOKUP(F204,$A$14:$B$14,2,TRUE)</f>
        <v>500</v>
      </c>
      <c r="I204" s="50">
        <f t="shared" si="1"/>
        <v>0</v>
      </c>
      <c r="J204" s="52"/>
      <c r="K204" s="25"/>
      <c r="L204" s="25"/>
      <c r="M204" s="25"/>
      <c r="N204" s="25"/>
    </row>
    <row r="205" ht="15.75" customHeight="1">
      <c r="A205" s="44"/>
      <c r="B205" s="44"/>
      <c r="C205" s="44"/>
      <c r="D205" s="52"/>
      <c r="E205" s="52"/>
      <c r="F205" s="47" t="s">
        <v>33</v>
      </c>
      <c r="G205" s="48"/>
      <c r="H205" s="57">
        <f>VLOOKUP(F205,$A$15:$B$15,2,TRUE)</f>
        <v>7500</v>
      </c>
      <c r="I205" s="50">
        <f t="shared" si="1"/>
        <v>0</v>
      </c>
      <c r="J205" s="52"/>
      <c r="K205" s="25"/>
      <c r="L205" s="25"/>
      <c r="M205" s="25"/>
      <c r="N205" s="25"/>
    </row>
    <row r="206" ht="15.75" customHeight="1">
      <c r="A206" s="44"/>
      <c r="B206" s="44"/>
      <c r="C206" s="44"/>
      <c r="D206" s="52"/>
      <c r="E206" s="52"/>
      <c r="F206" s="47" t="s">
        <v>34</v>
      </c>
      <c r="G206" s="48"/>
      <c r="H206" s="57">
        <f>VLOOKUP(F206,$A$16:$B$16,2,TRUE)</f>
        <v>2000</v>
      </c>
      <c r="I206" s="50">
        <f t="shared" si="1"/>
        <v>0</v>
      </c>
      <c r="J206" s="52"/>
      <c r="K206" s="25"/>
      <c r="L206" s="25"/>
      <c r="M206" s="25"/>
      <c r="N206" s="25"/>
    </row>
    <row r="207" ht="15.75" customHeight="1">
      <c r="A207" s="44"/>
      <c r="B207" s="44"/>
      <c r="C207" s="44"/>
      <c r="D207" s="52"/>
      <c r="E207" s="52"/>
      <c r="F207" s="47" t="s">
        <v>35</v>
      </c>
      <c r="G207" s="48"/>
      <c r="H207" s="57">
        <f>VLOOKUP(F207,$A$17:$B$17,2,TRUE)</f>
        <v>1000</v>
      </c>
      <c r="I207" s="50">
        <f t="shared" si="1"/>
        <v>0</v>
      </c>
      <c r="J207" s="52"/>
      <c r="K207" s="25"/>
      <c r="L207" s="25"/>
      <c r="M207" s="25"/>
      <c r="N207" s="25"/>
    </row>
    <row r="208" ht="15.75" customHeight="1">
      <c r="A208" s="44"/>
      <c r="B208" s="44"/>
      <c r="C208" s="44"/>
      <c r="D208" s="52"/>
      <c r="E208" s="52"/>
      <c r="F208" s="47" t="s">
        <v>36</v>
      </c>
      <c r="G208" s="48"/>
      <c r="H208" s="57">
        <f>VLOOKUP(F208,$A$18:$B$18,2,TRUE)</f>
        <v>5000</v>
      </c>
      <c r="I208" s="50">
        <f t="shared" si="1"/>
        <v>0</v>
      </c>
      <c r="J208" s="52"/>
      <c r="K208" s="25"/>
      <c r="L208" s="25"/>
      <c r="M208" s="25"/>
      <c r="N208" s="25"/>
    </row>
    <row r="209" ht="15.75" customHeight="1">
      <c r="A209" s="44"/>
      <c r="B209" s="44"/>
      <c r="C209" s="44"/>
      <c r="D209" s="52"/>
      <c r="E209" s="52"/>
      <c r="F209" s="47" t="s">
        <v>37</v>
      </c>
      <c r="G209" s="48"/>
      <c r="H209" s="57">
        <f>VLOOKUP(F209,$A$19:$B$19,2,TRUE)</f>
        <v>2700</v>
      </c>
      <c r="I209" s="50">
        <f t="shared" si="1"/>
        <v>0</v>
      </c>
      <c r="J209" s="52"/>
      <c r="K209" s="25"/>
      <c r="L209" s="25"/>
      <c r="M209" s="25"/>
      <c r="N209" s="25"/>
    </row>
    <row r="210" ht="15.75" customHeight="1">
      <c r="A210" s="44"/>
      <c r="B210" s="44"/>
      <c r="C210" s="44"/>
      <c r="D210" s="52"/>
      <c r="E210" s="52"/>
      <c r="F210" s="47" t="s">
        <v>38</v>
      </c>
      <c r="G210" s="48"/>
      <c r="H210" s="57">
        <f>VLOOKUP(F210,$A$20:$B$20,2,TRUE)</f>
        <v>50000</v>
      </c>
      <c r="I210" s="50">
        <f t="shared" si="1"/>
        <v>0</v>
      </c>
      <c r="J210" s="52"/>
      <c r="K210" s="25"/>
      <c r="L210" s="25"/>
      <c r="M210" s="25"/>
      <c r="N210" s="25"/>
    </row>
    <row r="211" ht="15.75" customHeight="1">
      <c r="A211" s="44"/>
      <c r="B211" s="44"/>
      <c r="C211" s="44"/>
      <c r="D211" s="52"/>
      <c r="E211" s="52"/>
      <c r="F211" s="47" t="s">
        <v>39</v>
      </c>
      <c r="G211" s="48"/>
      <c r="H211" s="57">
        <f>VLOOKUP(F211,$A$21:$B$21,2,TRUE)</f>
        <v>10000</v>
      </c>
      <c r="I211" s="50">
        <f t="shared" si="1"/>
        <v>0</v>
      </c>
      <c r="J211" s="52"/>
      <c r="K211" s="25"/>
      <c r="L211" s="25"/>
      <c r="M211" s="25"/>
      <c r="N211" s="25"/>
    </row>
    <row r="212" ht="15.75" customHeight="1">
      <c r="A212" s="44"/>
      <c r="B212" s="44"/>
      <c r="C212" s="44"/>
      <c r="D212" s="52"/>
      <c r="E212" s="52"/>
      <c r="F212" s="47" t="s">
        <v>40</v>
      </c>
      <c r="G212" s="48"/>
      <c r="H212" s="57">
        <f>VLOOKUP(F212,$A$22:$B$22,2,TRUE)</f>
        <v>1000</v>
      </c>
      <c r="I212" s="50">
        <f t="shared" si="1"/>
        <v>0</v>
      </c>
      <c r="J212" s="52"/>
      <c r="K212" s="25"/>
      <c r="L212" s="25"/>
      <c r="M212" s="25"/>
      <c r="N212" s="25"/>
    </row>
    <row r="213" ht="15.75" customHeight="1">
      <c r="A213" s="44"/>
      <c r="B213" s="44"/>
      <c r="C213" s="44"/>
      <c r="D213" s="52"/>
      <c r="E213" s="52"/>
      <c r="F213" s="47" t="s">
        <v>41</v>
      </c>
      <c r="G213" s="48"/>
      <c r="H213" s="57">
        <f>VLOOKUP(F213,$A$23:$B$23,2,TRUE)</f>
        <v>500</v>
      </c>
      <c r="I213" s="50">
        <f t="shared" si="1"/>
        <v>0</v>
      </c>
      <c r="J213" s="52"/>
      <c r="K213" s="25"/>
      <c r="L213" s="25"/>
      <c r="M213" s="25"/>
      <c r="N213" s="25"/>
    </row>
    <row r="214" ht="15.75" customHeight="1">
      <c r="A214" s="44"/>
      <c r="B214" s="44"/>
      <c r="C214" s="44"/>
      <c r="D214" s="52"/>
      <c r="E214" s="52"/>
      <c r="F214" s="47" t="s">
        <v>42</v>
      </c>
      <c r="G214" s="48"/>
      <c r="H214" s="57">
        <f>VLOOKUP(F214,$A$24:$B$24,2,TRUE)</f>
        <v>200</v>
      </c>
      <c r="I214" s="50">
        <f t="shared" si="1"/>
        <v>0</v>
      </c>
      <c r="J214" s="52"/>
      <c r="K214" s="25"/>
      <c r="L214" s="25"/>
      <c r="M214" s="25"/>
      <c r="N214" s="25"/>
    </row>
    <row r="215" ht="15.75" customHeight="1">
      <c r="A215" s="44"/>
      <c r="B215" s="44"/>
      <c r="C215" s="44"/>
      <c r="D215" s="52"/>
      <c r="E215" s="52"/>
      <c r="F215" s="47" t="s">
        <v>43</v>
      </c>
      <c r="G215" s="48"/>
      <c r="H215" s="57">
        <f>VLOOKUP(F215,$A$25:$B$25,2,TRUE)</f>
        <v>1000</v>
      </c>
      <c r="I215" s="50">
        <f t="shared" si="1"/>
        <v>0</v>
      </c>
      <c r="J215" s="52"/>
      <c r="K215" s="25"/>
      <c r="L215" s="25"/>
      <c r="M215" s="25"/>
      <c r="N215" s="25"/>
    </row>
    <row r="216" ht="15.75" customHeight="1">
      <c r="A216" s="44"/>
      <c r="B216" s="44"/>
      <c r="C216" s="44"/>
      <c r="D216" s="52"/>
      <c r="E216" s="52"/>
      <c r="F216" s="47" t="s">
        <v>18</v>
      </c>
      <c r="G216" s="48"/>
      <c r="H216" s="57">
        <f>VLOOKUP(F216,$A$26:$B$26,2,TRUE)</f>
        <v>300</v>
      </c>
      <c r="I216" s="50">
        <f t="shared" si="1"/>
        <v>0</v>
      </c>
      <c r="J216" s="52"/>
      <c r="K216" s="25"/>
      <c r="L216" s="25"/>
      <c r="M216" s="25"/>
      <c r="N216" s="25"/>
    </row>
    <row r="217" ht="15.75" customHeight="1">
      <c r="A217" s="44"/>
      <c r="B217" s="44"/>
      <c r="C217" s="44"/>
      <c r="D217" s="52"/>
      <c r="E217" s="52"/>
      <c r="F217" s="47" t="s">
        <v>44</v>
      </c>
      <c r="G217" s="48"/>
      <c r="H217" s="57">
        <f>VLOOKUP(F217,$A$27:$B$27,2,TRUE)</f>
        <v>100</v>
      </c>
      <c r="I217" s="50">
        <f t="shared" si="1"/>
        <v>0</v>
      </c>
      <c r="J217" s="52"/>
      <c r="K217" s="25"/>
      <c r="L217" s="25"/>
      <c r="M217" s="25"/>
      <c r="N217" s="25"/>
    </row>
    <row r="218" ht="15.75" customHeight="1">
      <c r="A218" s="44"/>
      <c r="B218" s="44"/>
      <c r="C218" s="44"/>
      <c r="D218" s="52"/>
      <c r="E218" s="52"/>
      <c r="F218" s="47" t="s">
        <v>13</v>
      </c>
      <c r="G218" s="48"/>
      <c r="H218" s="57">
        <f>VLOOKUP(F218,$A$28:$B$28,2,TRUE)</f>
        <v>1500</v>
      </c>
      <c r="I218" s="50">
        <f t="shared" si="1"/>
        <v>0</v>
      </c>
      <c r="J218" s="52"/>
      <c r="K218" s="25"/>
      <c r="L218" s="25"/>
      <c r="M218" s="25"/>
      <c r="N218" s="25"/>
    </row>
    <row r="219" ht="15.75" customHeight="1">
      <c r="A219" s="44"/>
      <c r="B219" s="44"/>
      <c r="C219" s="44"/>
      <c r="D219" s="52"/>
      <c r="E219" s="52"/>
      <c r="F219" s="47" t="s">
        <v>20</v>
      </c>
      <c r="G219" s="48"/>
      <c r="H219" s="57">
        <f>VLOOKUP(F219,$A$29:$B$29,2,TRUE)</f>
        <v>3500</v>
      </c>
      <c r="I219" s="50">
        <f t="shared" si="1"/>
        <v>0</v>
      </c>
      <c r="J219" s="52"/>
      <c r="K219" s="25"/>
      <c r="L219" s="25"/>
      <c r="M219" s="25"/>
      <c r="N219" s="25"/>
    </row>
    <row r="220" ht="15.75" customHeight="1">
      <c r="A220" s="44"/>
      <c r="B220" s="44"/>
      <c r="C220" s="44"/>
      <c r="D220" s="13"/>
      <c r="E220" s="13"/>
      <c r="F220" s="47" t="s">
        <v>60</v>
      </c>
      <c r="G220" s="48">
        <v>2.0</v>
      </c>
      <c r="H220" s="57">
        <f>VLOOKUP(F220,$A$30:$B$30,2,TRUE)</f>
        <v>0</v>
      </c>
      <c r="I220" s="50">
        <f t="shared" si="1"/>
        <v>0</v>
      </c>
      <c r="J220" s="13"/>
      <c r="K220" s="25"/>
      <c r="L220" s="25"/>
      <c r="M220" s="25"/>
      <c r="N220" s="25"/>
    </row>
    <row r="221" ht="15.75" customHeight="1">
      <c r="A221" s="44"/>
      <c r="B221" s="44"/>
      <c r="C221" s="44"/>
      <c r="D221" s="45">
        <v>9.0</v>
      </c>
      <c r="E221" s="46" t="s">
        <v>103</v>
      </c>
      <c r="F221" s="47" t="s">
        <v>22</v>
      </c>
      <c r="G221" s="48"/>
      <c r="H221" s="57">
        <f>VLOOKUP(F221,$A$4:$B$4,2,TRUE)</f>
        <v>4500</v>
      </c>
      <c r="I221" s="50">
        <f t="shared" si="1"/>
        <v>0</v>
      </c>
      <c r="J221" s="51">
        <f>SUM(I221:I247)</f>
        <v>30250</v>
      </c>
      <c r="K221" s="25"/>
      <c r="L221" s="25"/>
      <c r="M221" s="25"/>
      <c r="N221" s="25"/>
    </row>
    <row r="222" ht="15.75" customHeight="1">
      <c r="A222" s="44"/>
      <c r="B222" s="44"/>
      <c r="C222" s="44"/>
      <c r="D222" s="52"/>
      <c r="E222" s="52"/>
      <c r="F222" s="47" t="s">
        <v>57</v>
      </c>
      <c r="G222" s="48">
        <v>1.5</v>
      </c>
      <c r="H222" s="57">
        <f>VLOOKUP(F222,$A$5:$B$5,2,TRUE)</f>
        <v>3000</v>
      </c>
      <c r="I222" s="50">
        <f t="shared" si="1"/>
        <v>4500</v>
      </c>
      <c r="J222" s="52"/>
      <c r="K222" s="25"/>
      <c r="L222" s="25"/>
      <c r="M222" s="25"/>
      <c r="N222" s="25"/>
    </row>
    <row r="223" ht="15.75" customHeight="1">
      <c r="A223" s="44"/>
      <c r="B223" s="44"/>
      <c r="C223" s="44"/>
      <c r="D223" s="52"/>
      <c r="E223" s="52"/>
      <c r="F223" s="47" t="s">
        <v>59</v>
      </c>
      <c r="G223" s="48"/>
      <c r="H223" s="57">
        <f>VLOOKUP(F223,$A$6:$B$6,2,TRUE)</f>
        <v>1000</v>
      </c>
      <c r="I223" s="50">
        <f t="shared" si="1"/>
        <v>0</v>
      </c>
      <c r="J223" s="52"/>
      <c r="K223" s="25"/>
      <c r="L223" s="25"/>
      <c r="M223" s="25"/>
      <c r="N223" s="25"/>
    </row>
    <row r="224" ht="15.75" customHeight="1">
      <c r="A224" s="44"/>
      <c r="B224" s="44"/>
      <c r="C224" s="44"/>
      <c r="D224" s="52"/>
      <c r="E224" s="52"/>
      <c r="F224" s="47" t="s">
        <v>25</v>
      </c>
      <c r="G224" s="48"/>
      <c r="H224" s="57">
        <f>VLOOKUP(F224,$A$7:$B$7,2,TRUE)</f>
        <v>2800</v>
      </c>
      <c r="I224" s="50">
        <f t="shared" si="1"/>
        <v>0</v>
      </c>
      <c r="J224" s="52"/>
      <c r="K224" s="25"/>
      <c r="L224" s="25"/>
      <c r="M224" s="25"/>
      <c r="N224" s="25"/>
    </row>
    <row r="225" ht="15.75" customHeight="1">
      <c r="A225" s="44"/>
      <c r="B225" s="44"/>
      <c r="C225" s="44"/>
      <c r="D225" s="52"/>
      <c r="E225" s="52"/>
      <c r="F225" s="47" t="s">
        <v>26</v>
      </c>
      <c r="G225" s="48">
        <v>1.0</v>
      </c>
      <c r="H225" s="57">
        <f>VLOOKUP(F225,$A$8:$B$8,2,TRUE)</f>
        <v>3500</v>
      </c>
      <c r="I225" s="50">
        <f t="shared" si="1"/>
        <v>3500</v>
      </c>
      <c r="J225" s="52"/>
      <c r="K225" s="25"/>
      <c r="L225" s="25"/>
      <c r="M225" s="25"/>
      <c r="N225" s="25"/>
    </row>
    <row r="226" ht="15.75" customHeight="1">
      <c r="A226" s="44"/>
      <c r="B226" s="44"/>
      <c r="C226" s="44"/>
      <c r="D226" s="52"/>
      <c r="E226" s="52"/>
      <c r="F226" s="47" t="s">
        <v>27</v>
      </c>
      <c r="G226" s="48">
        <v>4.0</v>
      </c>
      <c r="H226" s="57">
        <f>VLOOKUP(F226,$A$9:$B$9,2,TRUE)</f>
        <v>1000</v>
      </c>
      <c r="I226" s="50">
        <f t="shared" si="1"/>
        <v>4000</v>
      </c>
      <c r="J226" s="52"/>
      <c r="K226" s="25"/>
      <c r="L226" s="25"/>
      <c r="M226" s="25"/>
      <c r="N226" s="25"/>
    </row>
    <row r="227" ht="15.75" customHeight="1">
      <c r="A227" s="44"/>
      <c r="B227" s="44"/>
      <c r="C227" s="44"/>
      <c r="D227" s="52"/>
      <c r="E227" s="52"/>
      <c r="F227" s="47" t="s">
        <v>28</v>
      </c>
      <c r="G227" s="48">
        <v>3.0</v>
      </c>
      <c r="H227" s="57">
        <f>VLOOKUP(F227,$A$10:$B$10,2,TRUE)</f>
        <v>2000</v>
      </c>
      <c r="I227" s="50">
        <f t="shared" si="1"/>
        <v>6000</v>
      </c>
      <c r="J227" s="52"/>
      <c r="K227" s="25"/>
      <c r="L227" s="25"/>
      <c r="M227" s="25"/>
      <c r="N227" s="25"/>
    </row>
    <row r="228" ht="15.75" customHeight="1">
      <c r="A228" s="44"/>
      <c r="B228" s="44"/>
      <c r="C228" s="44"/>
      <c r="D228" s="52"/>
      <c r="E228" s="52"/>
      <c r="F228" s="47" t="s">
        <v>29</v>
      </c>
      <c r="G228" s="48">
        <v>7.0</v>
      </c>
      <c r="H228" s="57">
        <f>VLOOKUP(F228,$A$11:$B$11,2,TRUE)</f>
        <v>1500</v>
      </c>
      <c r="I228" s="50">
        <f t="shared" si="1"/>
        <v>10500</v>
      </c>
      <c r="J228" s="52"/>
      <c r="K228" s="25"/>
      <c r="L228" s="25"/>
      <c r="M228" s="25"/>
      <c r="N228" s="25"/>
    </row>
    <row r="229" ht="15.75" customHeight="1">
      <c r="A229" s="44"/>
      <c r="B229" s="44"/>
      <c r="C229" s="44"/>
      <c r="D229" s="52"/>
      <c r="E229" s="52"/>
      <c r="F229" s="47" t="s">
        <v>30</v>
      </c>
      <c r="G229" s="48"/>
      <c r="H229" s="57">
        <f>VLOOKUP(F229,$A$12:$B$12,2,TRUE)</f>
        <v>1300</v>
      </c>
      <c r="I229" s="50">
        <f t="shared" si="1"/>
        <v>0</v>
      </c>
      <c r="J229" s="52"/>
      <c r="K229" s="25"/>
      <c r="L229" s="25"/>
      <c r="M229" s="25"/>
      <c r="N229" s="25"/>
    </row>
    <row r="230" ht="15.75" customHeight="1">
      <c r="A230" s="44"/>
      <c r="B230" s="44"/>
      <c r="C230" s="44"/>
      <c r="D230" s="52"/>
      <c r="E230" s="52"/>
      <c r="F230" s="47" t="s">
        <v>31</v>
      </c>
      <c r="G230" s="48"/>
      <c r="H230" s="57">
        <f>VLOOKUP(F230,$A$13:$B$13,2,TRUE)</f>
        <v>1000</v>
      </c>
      <c r="I230" s="50">
        <f t="shared" si="1"/>
        <v>0</v>
      </c>
      <c r="J230" s="52"/>
      <c r="K230" s="25"/>
      <c r="L230" s="25"/>
      <c r="M230" s="25"/>
      <c r="N230" s="25"/>
    </row>
    <row r="231" ht="15.75" customHeight="1">
      <c r="A231" s="44"/>
      <c r="B231" s="44"/>
      <c r="C231" s="44"/>
      <c r="D231" s="52"/>
      <c r="E231" s="52"/>
      <c r="F231" s="47" t="s">
        <v>32</v>
      </c>
      <c r="G231" s="48">
        <v>2.0</v>
      </c>
      <c r="H231" s="57">
        <f>VLOOKUP(F231,$A$14:$B$14,2,TRUE)</f>
        <v>500</v>
      </c>
      <c r="I231" s="50">
        <f t="shared" si="1"/>
        <v>1000</v>
      </c>
      <c r="J231" s="52"/>
      <c r="K231" s="25"/>
      <c r="L231" s="25"/>
      <c r="M231" s="25"/>
      <c r="N231" s="25"/>
    </row>
    <row r="232" ht="15.75" customHeight="1">
      <c r="A232" s="44"/>
      <c r="B232" s="44"/>
      <c r="C232" s="44"/>
      <c r="D232" s="52"/>
      <c r="E232" s="52"/>
      <c r="F232" s="47" t="s">
        <v>33</v>
      </c>
      <c r="G232" s="48"/>
      <c r="H232" s="57">
        <f>VLOOKUP(F232,$A$15:$B$15,2,TRUE)</f>
        <v>7500</v>
      </c>
      <c r="I232" s="50">
        <f t="shared" si="1"/>
        <v>0</v>
      </c>
      <c r="J232" s="52"/>
      <c r="K232" s="25"/>
      <c r="L232" s="25"/>
      <c r="M232" s="25"/>
      <c r="N232" s="25"/>
    </row>
    <row r="233" ht="15.75" customHeight="1">
      <c r="A233" s="44"/>
      <c r="B233" s="44"/>
      <c r="C233" s="44"/>
      <c r="D233" s="52"/>
      <c r="E233" s="52"/>
      <c r="F233" s="47" t="s">
        <v>34</v>
      </c>
      <c r="G233" s="48"/>
      <c r="H233" s="57">
        <f>VLOOKUP(F233,$A$16:$B$16,2,TRUE)</f>
        <v>2000</v>
      </c>
      <c r="I233" s="50">
        <f t="shared" si="1"/>
        <v>0</v>
      </c>
      <c r="J233" s="52"/>
      <c r="K233" s="25"/>
      <c r="L233" s="25"/>
      <c r="M233" s="25"/>
      <c r="N233" s="25"/>
    </row>
    <row r="234" ht="15.75" customHeight="1">
      <c r="A234" s="44"/>
      <c r="B234" s="44"/>
      <c r="C234" s="44"/>
      <c r="D234" s="52"/>
      <c r="E234" s="52"/>
      <c r="F234" s="47" t="s">
        <v>35</v>
      </c>
      <c r="G234" s="48"/>
      <c r="H234" s="57">
        <f>VLOOKUP(F234,$A$17:$B$17,2,TRUE)</f>
        <v>1000</v>
      </c>
      <c r="I234" s="50">
        <f t="shared" si="1"/>
        <v>0</v>
      </c>
      <c r="J234" s="52"/>
      <c r="K234" s="25"/>
      <c r="L234" s="25"/>
      <c r="M234" s="25"/>
      <c r="N234" s="25"/>
    </row>
    <row r="235" ht="15.75" customHeight="1">
      <c r="A235" s="44"/>
      <c r="B235" s="44"/>
      <c r="C235" s="44"/>
      <c r="D235" s="52"/>
      <c r="E235" s="52"/>
      <c r="F235" s="47" t="s">
        <v>36</v>
      </c>
      <c r="G235" s="48"/>
      <c r="H235" s="57">
        <f>VLOOKUP(F235,$A$18:$B$18,2,TRUE)</f>
        <v>5000</v>
      </c>
      <c r="I235" s="50">
        <f t="shared" si="1"/>
        <v>0</v>
      </c>
      <c r="J235" s="52"/>
      <c r="K235" s="25"/>
      <c r="L235" s="25"/>
      <c r="M235" s="25"/>
      <c r="N235" s="25"/>
    </row>
    <row r="236" ht="15.75" customHeight="1">
      <c r="A236" s="44"/>
      <c r="B236" s="44"/>
      <c r="C236" s="44"/>
      <c r="D236" s="52"/>
      <c r="E236" s="52"/>
      <c r="F236" s="47" t="s">
        <v>37</v>
      </c>
      <c r="G236" s="48"/>
      <c r="H236" s="57">
        <f>VLOOKUP(F236,$A$19:$B$19,2,TRUE)</f>
        <v>2700</v>
      </c>
      <c r="I236" s="50">
        <f t="shared" si="1"/>
        <v>0</v>
      </c>
      <c r="J236" s="52"/>
      <c r="K236" s="25"/>
      <c r="L236" s="25"/>
      <c r="M236" s="25"/>
      <c r="N236" s="25"/>
    </row>
    <row r="237" ht="15.75" customHeight="1">
      <c r="A237" s="44"/>
      <c r="B237" s="44"/>
      <c r="C237" s="44"/>
      <c r="D237" s="52"/>
      <c r="E237" s="52"/>
      <c r="F237" s="47" t="s">
        <v>38</v>
      </c>
      <c r="G237" s="48"/>
      <c r="H237" s="57">
        <f>VLOOKUP(F237,$A$20:$B$20,2,TRUE)</f>
        <v>50000</v>
      </c>
      <c r="I237" s="50">
        <f t="shared" si="1"/>
        <v>0</v>
      </c>
      <c r="J237" s="52"/>
      <c r="K237" s="25"/>
      <c r="L237" s="25"/>
      <c r="M237" s="25"/>
      <c r="N237" s="25"/>
    </row>
    <row r="238" ht="15.75" customHeight="1">
      <c r="A238" s="44"/>
      <c r="B238" s="44"/>
      <c r="C238" s="44"/>
      <c r="D238" s="52"/>
      <c r="E238" s="52"/>
      <c r="F238" s="47" t="s">
        <v>39</v>
      </c>
      <c r="G238" s="48"/>
      <c r="H238" s="57">
        <f>VLOOKUP(F238,$A$21:$B$21,2,TRUE)</f>
        <v>10000</v>
      </c>
      <c r="I238" s="50">
        <f t="shared" si="1"/>
        <v>0</v>
      </c>
      <c r="J238" s="52"/>
      <c r="K238" s="25"/>
      <c r="L238" s="25"/>
      <c r="M238" s="25"/>
      <c r="N238" s="25"/>
    </row>
    <row r="239" ht="15.75" customHeight="1">
      <c r="A239" s="44"/>
      <c r="B239" s="44"/>
      <c r="C239" s="44"/>
      <c r="D239" s="52"/>
      <c r="E239" s="52"/>
      <c r="F239" s="47" t="s">
        <v>40</v>
      </c>
      <c r="G239" s="48"/>
      <c r="H239" s="57">
        <f>VLOOKUP(F239,$A$22:$B$22,2,TRUE)</f>
        <v>1000</v>
      </c>
      <c r="I239" s="50">
        <f t="shared" si="1"/>
        <v>0</v>
      </c>
      <c r="J239" s="52"/>
      <c r="K239" s="25"/>
      <c r="L239" s="25"/>
      <c r="M239" s="25"/>
      <c r="N239" s="25"/>
    </row>
    <row r="240" ht="15.75" customHeight="1">
      <c r="A240" s="44"/>
      <c r="B240" s="44"/>
      <c r="C240" s="44"/>
      <c r="D240" s="52"/>
      <c r="E240" s="52"/>
      <c r="F240" s="47" t="s">
        <v>41</v>
      </c>
      <c r="G240" s="48">
        <v>1.5</v>
      </c>
      <c r="H240" s="57">
        <f>VLOOKUP(F240,$A$23:$B$23,2,TRUE)</f>
        <v>500</v>
      </c>
      <c r="I240" s="50">
        <f t="shared" si="1"/>
        <v>750</v>
      </c>
      <c r="J240" s="52"/>
      <c r="K240" s="25"/>
      <c r="L240" s="25"/>
      <c r="M240" s="25"/>
      <c r="N240" s="25"/>
    </row>
    <row r="241" ht="15.75" customHeight="1">
      <c r="A241" s="44"/>
      <c r="B241" s="44"/>
      <c r="C241" s="44"/>
      <c r="D241" s="52"/>
      <c r="E241" s="52"/>
      <c r="F241" s="47" t="s">
        <v>42</v>
      </c>
      <c r="G241" s="48"/>
      <c r="H241" s="57">
        <f>VLOOKUP(F241,$A$24:$B$24,2,TRUE)</f>
        <v>200</v>
      </c>
      <c r="I241" s="50">
        <f t="shared" si="1"/>
        <v>0</v>
      </c>
      <c r="J241" s="52"/>
      <c r="K241" s="25"/>
      <c r="L241" s="25"/>
      <c r="M241" s="25"/>
      <c r="N241" s="25"/>
    </row>
    <row r="242" ht="15.75" customHeight="1">
      <c r="A242" s="44"/>
      <c r="B242" s="44"/>
      <c r="C242" s="44"/>
      <c r="D242" s="52"/>
      <c r="E242" s="52"/>
      <c r="F242" s="47" t="s">
        <v>43</v>
      </c>
      <c r="G242" s="48"/>
      <c r="H242" s="57">
        <f>VLOOKUP(F242,$A$25:$B$25,2,TRUE)</f>
        <v>1000</v>
      </c>
      <c r="I242" s="50">
        <f t="shared" si="1"/>
        <v>0</v>
      </c>
      <c r="J242" s="52"/>
      <c r="K242" s="25"/>
      <c r="L242" s="25"/>
      <c r="M242" s="25"/>
      <c r="N242" s="25"/>
    </row>
    <row r="243" ht="15.75" customHeight="1">
      <c r="A243" s="44"/>
      <c r="B243" s="44"/>
      <c r="C243" s="44"/>
      <c r="D243" s="52"/>
      <c r="E243" s="52"/>
      <c r="F243" s="47" t="s">
        <v>18</v>
      </c>
      <c r="G243" s="48"/>
      <c r="H243" s="57">
        <f>VLOOKUP(F243,$A$26:$B$26,2,TRUE)</f>
        <v>300</v>
      </c>
      <c r="I243" s="50">
        <f t="shared" si="1"/>
        <v>0</v>
      </c>
      <c r="J243" s="52"/>
      <c r="K243" s="25"/>
      <c r="L243" s="25"/>
      <c r="M243" s="25"/>
      <c r="N243" s="25"/>
    </row>
    <row r="244" ht="15.75" customHeight="1">
      <c r="A244" s="44"/>
      <c r="B244" s="44"/>
      <c r="C244" s="44"/>
      <c r="D244" s="52"/>
      <c r="E244" s="52"/>
      <c r="F244" s="47" t="s">
        <v>44</v>
      </c>
      <c r="G244" s="48"/>
      <c r="H244" s="57">
        <f>VLOOKUP(F244,$A$27:$B$27,2,TRUE)</f>
        <v>100</v>
      </c>
      <c r="I244" s="50">
        <f t="shared" si="1"/>
        <v>0</v>
      </c>
      <c r="J244" s="52"/>
      <c r="K244" s="25"/>
      <c r="L244" s="25"/>
      <c r="M244" s="25"/>
      <c r="N244" s="25"/>
    </row>
    <row r="245" ht="15.75" customHeight="1">
      <c r="A245" s="44"/>
      <c r="B245" s="44"/>
      <c r="C245" s="44"/>
      <c r="D245" s="52"/>
      <c r="E245" s="52"/>
      <c r="F245" s="47" t="s">
        <v>13</v>
      </c>
      <c r="G245" s="48"/>
      <c r="H245" s="57">
        <f>VLOOKUP(F245,$A$28:$B$28,2,TRUE)</f>
        <v>1500</v>
      </c>
      <c r="I245" s="50">
        <f t="shared" si="1"/>
        <v>0</v>
      </c>
      <c r="J245" s="52"/>
      <c r="K245" s="25"/>
      <c r="L245" s="25"/>
      <c r="M245" s="25"/>
      <c r="N245" s="25"/>
    </row>
    <row r="246" ht="15.75" customHeight="1">
      <c r="A246" s="44"/>
      <c r="B246" s="44"/>
      <c r="C246" s="44"/>
      <c r="D246" s="52"/>
      <c r="E246" s="52"/>
      <c r="F246" s="47" t="s">
        <v>20</v>
      </c>
      <c r="G246" s="48"/>
      <c r="H246" s="57">
        <f>VLOOKUP(F246,$A$29:$B$29,2,TRUE)</f>
        <v>3500</v>
      </c>
      <c r="I246" s="50">
        <f t="shared" si="1"/>
        <v>0</v>
      </c>
      <c r="J246" s="52"/>
      <c r="K246" s="25"/>
      <c r="L246" s="25"/>
      <c r="M246" s="25"/>
      <c r="N246" s="25"/>
    </row>
    <row r="247" ht="15.75" customHeight="1">
      <c r="A247" s="44"/>
      <c r="B247" s="44"/>
      <c r="C247" s="44"/>
      <c r="D247" s="13"/>
      <c r="E247" s="13"/>
      <c r="F247" s="47" t="s">
        <v>60</v>
      </c>
      <c r="G247" s="48"/>
      <c r="H247" s="57">
        <f>VLOOKUP(F247,$A$30:$B$30,2,TRUE)</f>
        <v>0</v>
      </c>
      <c r="I247" s="50">
        <f t="shared" si="1"/>
        <v>0</v>
      </c>
      <c r="J247" s="13"/>
      <c r="K247" s="25"/>
      <c r="L247" s="25"/>
      <c r="M247" s="25"/>
      <c r="N247" s="25"/>
    </row>
    <row r="248" ht="15.75" customHeight="1">
      <c r="A248" s="44"/>
      <c r="B248" s="44"/>
      <c r="C248" s="44"/>
      <c r="D248" s="45">
        <v>10.0</v>
      </c>
      <c r="E248" s="46" t="s">
        <v>104</v>
      </c>
      <c r="F248" s="47" t="s">
        <v>22</v>
      </c>
      <c r="G248" s="48"/>
      <c r="H248" s="57">
        <f>VLOOKUP(F248,$A$4:$B$4,2,TRUE)</f>
        <v>4500</v>
      </c>
      <c r="I248" s="50">
        <f t="shared" si="1"/>
        <v>0</v>
      </c>
      <c r="J248" s="51">
        <f>SUM(I248:I274)</f>
        <v>7000</v>
      </c>
      <c r="K248" s="25"/>
      <c r="L248" s="25"/>
      <c r="M248" s="25"/>
      <c r="N248" s="25"/>
    </row>
    <row r="249" ht="15.75" customHeight="1">
      <c r="A249" s="44"/>
      <c r="B249" s="44"/>
      <c r="C249" s="44"/>
      <c r="D249" s="52"/>
      <c r="E249" s="52"/>
      <c r="F249" s="47" t="s">
        <v>57</v>
      </c>
      <c r="G249" s="48"/>
      <c r="H249" s="57">
        <f>VLOOKUP(F249,$A$5:$B$5,2,TRUE)</f>
        <v>3000</v>
      </c>
      <c r="I249" s="50">
        <f t="shared" si="1"/>
        <v>0</v>
      </c>
      <c r="J249" s="52"/>
      <c r="K249" s="25"/>
      <c r="L249" s="25"/>
      <c r="M249" s="25"/>
      <c r="N249" s="25"/>
    </row>
    <row r="250" ht="15.75" customHeight="1">
      <c r="A250" s="44"/>
      <c r="B250" s="44"/>
      <c r="C250" s="44"/>
      <c r="D250" s="52"/>
      <c r="E250" s="52"/>
      <c r="F250" s="47" t="s">
        <v>59</v>
      </c>
      <c r="G250" s="48"/>
      <c r="H250" s="57">
        <f>VLOOKUP(F250,$A$6:$B$6,2,TRUE)</f>
        <v>1000</v>
      </c>
      <c r="I250" s="50">
        <f t="shared" si="1"/>
        <v>0</v>
      </c>
      <c r="J250" s="52"/>
      <c r="K250" s="25"/>
      <c r="L250" s="25"/>
      <c r="M250" s="25"/>
      <c r="N250" s="25"/>
    </row>
    <row r="251" ht="15.75" customHeight="1">
      <c r="A251" s="44"/>
      <c r="B251" s="44"/>
      <c r="C251" s="44"/>
      <c r="D251" s="52"/>
      <c r="E251" s="52"/>
      <c r="F251" s="47" t="s">
        <v>25</v>
      </c>
      <c r="G251" s="48"/>
      <c r="H251" s="57">
        <f>VLOOKUP(F251,$A$7:$B$7,2,TRUE)</f>
        <v>2800</v>
      </c>
      <c r="I251" s="50">
        <f t="shared" si="1"/>
        <v>0</v>
      </c>
      <c r="J251" s="52"/>
      <c r="K251" s="25"/>
      <c r="L251" s="25"/>
      <c r="M251" s="25"/>
      <c r="N251" s="25"/>
    </row>
    <row r="252" ht="15.75" customHeight="1">
      <c r="A252" s="44"/>
      <c r="B252" s="44"/>
      <c r="C252" s="44"/>
      <c r="D252" s="52"/>
      <c r="E252" s="52"/>
      <c r="F252" s="47" t="s">
        <v>26</v>
      </c>
      <c r="G252" s="48"/>
      <c r="H252" s="57">
        <f>VLOOKUP(F252,$A$8:$B$8,2,TRUE)</f>
        <v>3500</v>
      </c>
      <c r="I252" s="50">
        <f t="shared" si="1"/>
        <v>0</v>
      </c>
      <c r="J252" s="52"/>
      <c r="K252" s="25"/>
      <c r="L252" s="25"/>
      <c r="M252" s="25"/>
      <c r="N252" s="25"/>
    </row>
    <row r="253" ht="15.75" customHeight="1">
      <c r="A253" s="44"/>
      <c r="B253" s="44"/>
      <c r="C253" s="44"/>
      <c r="D253" s="52"/>
      <c r="E253" s="52"/>
      <c r="F253" s="47" t="s">
        <v>27</v>
      </c>
      <c r="G253" s="48"/>
      <c r="H253" s="57">
        <f>VLOOKUP(F253,$A$9:$B$9,2,TRUE)</f>
        <v>1000</v>
      </c>
      <c r="I253" s="50">
        <f t="shared" si="1"/>
        <v>0</v>
      </c>
      <c r="J253" s="52"/>
      <c r="K253" s="25"/>
      <c r="L253" s="25"/>
      <c r="M253" s="25"/>
      <c r="N253" s="25"/>
    </row>
    <row r="254" ht="15.75" customHeight="1">
      <c r="A254" s="44"/>
      <c r="B254" s="44"/>
      <c r="C254" s="44"/>
      <c r="D254" s="52"/>
      <c r="E254" s="52"/>
      <c r="F254" s="47" t="s">
        <v>28</v>
      </c>
      <c r="G254" s="48">
        <v>2.0</v>
      </c>
      <c r="H254" s="57">
        <f>VLOOKUP(F254,$A$10:$B$10,2,TRUE)</f>
        <v>2000</v>
      </c>
      <c r="I254" s="50">
        <f t="shared" si="1"/>
        <v>4000</v>
      </c>
      <c r="J254" s="52"/>
      <c r="K254" s="25"/>
      <c r="L254" s="25"/>
      <c r="M254" s="25"/>
      <c r="N254" s="25"/>
    </row>
    <row r="255" ht="15.75" customHeight="1">
      <c r="A255" s="44"/>
      <c r="B255" s="44"/>
      <c r="C255" s="44"/>
      <c r="D255" s="52"/>
      <c r="E255" s="52"/>
      <c r="F255" s="47" t="s">
        <v>29</v>
      </c>
      <c r="G255" s="48">
        <v>1.5</v>
      </c>
      <c r="H255" s="57">
        <f>VLOOKUP(F255,$A$11:$B$11,2,TRUE)</f>
        <v>1500</v>
      </c>
      <c r="I255" s="50">
        <f t="shared" si="1"/>
        <v>2250</v>
      </c>
      <c r="J255" s="52"/>
      <c r="K255" s="25"/>
      <c r="L255" s="25"/>
      <c r="M255" s="25"/>
      <c r="N255" s="25"/>
    </row>
    <row r="256" ht="15.75" customHeight="1">
      <c r="A256" s="44"/>
      <c r="B256" s="44"/>
      <c r="C256" s="44"/>
      <c r="D256" s="52"/>
      <c r="E256" s="52"/>
      <c r="F256" s="47" t="s">
        <v>30</v>
      </c>
      <c r="G256" s="48"/>
      <c r="H256" s="57">
        <f>VLOOKUP(F256,$A$12:$B$12,2,TRUE)</f>
        <v>1300</v>
      </c>
      <c r="I256" s="50">
        <f t="shared" si="1"/>
        <v>0</v>
      </c>
      <c r="J256" s="52"/>
      <c r="K256" s="25"/>
      <c r="L256" s="25"/>
      <c r="M256" s="25"/>
      <c r="N256" s="25"/>
    </row>
    <row r="257" ht="15.75" customHeight="1">
      <c r="A257" s="44"/>
      <c r="B257" s="44"/>
      <c r="C257" s="44"/>
      <c r="D257" s="52"/>
      <c r="E257" s="52"/>
      <c r="F257" s="47" t="s">
        <v>31</v>
      </c>
      <c r="G257" s="48"/>
      <c r="H257" s="57">
        <f>VLOOKUP(F257,$A$13:$B$13,2,TRUE)</f>
        <v>1000</v>
      </c>
      <c r="I257" s="50">
        <f t="shared" si="1"/>
        <v>0</v>
      </c>
      <c r="J257" s="52"/>
      <c r="K257" s="25"/>
      <c r="L257" s="25"/>
      <c r="M257" s="25"/>
      <c r="N257" s="25"/>
    </row>
    <row r="258" ht="15.75" customHeight="1">
      <c r="A258" s="44"/>
      <c r="B258" s="44"/>
      <c r="C258" s="44"/>
      <c r="D258" s="52"/>
      <c r="E258" s="52"/>
      <c r="F258" s="47" t="s">
        <v>32</v>
      </c>
      <c r="G258" s="48">
        <v>1.5</v>
      </c>
      <c r="H258" s="57">
        <f>VLOOKUP(F258,$A$14:$B$14,2,TRUE)</f>
        <v>500</v>
      </c>
      <c r="I258" s="50">
        <f t="shared" si="1"/>
        <v>750</v>
      </c>
      <c r="J258" s="52"/>
      <c r="K258" s="25"/>
      <c r="L258" s="25"/>
      <c r="M258" s="25"/>
      <c r="N258" s="25"/>
    </row>
    <row r="259" ht="15.75" customHeight="1">
      <c r="A259" s="44"/>
      <c r="B259" s="44"/>
      <c r="C259" s="44"/>
      <c r="D259" s="52"/>
      <c r="E259" s="52"/>
      <c r="F259" s="47" t="s">
        <v>33</v>
      </c>
      <c r="G259" s="48"/>
      <c r="H259" s="57">
        <f>VLOOKUP(F259,$A$15:$B$15,2,TRUE)</f>
        <v>7500</v>
      </c>
      <c r="I259" s="50">
        <f t="shared" si="1"/>
        <v>0</v>
      </c>
      <c r="J259" s="52"/>
      <c r="K259" s="25"/>
      <c r="L259" s="25"/>
      <c r="M259" s="25"/>
      <c r="N259" s="25"/>
    </row>
    <row r="260" ht="15.75" customHeight="1">
      <c r="A260" s="44"/>
      <c r="B260" s="44"/>
      <c r="C260" s="44"/>
      <c r="D260" s="52"/>
      <c r="E260" s="52"/>
      <c r="F260" s="47" t="s">
        <v>34</v>
      </c>
      <c r="G260" s="48"/>
      <c r="H260" s="57">
        <f>VLOOKUP(F260,$A$16:$B$16,2,TRUE)</f>
        <v>2000</v>
      </c>
      <c r="I260" s="50">
        <f t="shared" si="1"/>
        <v>0</v>
      </c>
      <c r="J260" s="52"/>
      <c r="K260" s="25"/>
      <c r="L260" s="25"/>
      <c r="M260" s="25"/>
      <c r="N260" s="25"/>
    </row>
    <row r="261" ht="15.75" customHeight="1">
      <c r="A261" s="44"/>
      <c r="B261" s="44"/>
      <c r="C261" s="44"/>
      <c r="D261" s="52"/>
      <c r="E261" s="52"/>
      <c r="F261" s="47" t="s">
        <v>35</v>
      </c>
      <c r="G261" s="48"/>
      <c r="H261" s="57">
        <f>VLOOKUP(F261,$A$17:$B$17,2,TRUE)</f>
        <v>1000</v>
      </c>
      <c r="I261" s="50">
        <f t="shared" si="1"/>
        <v>0</v>
      </c>
      <c r="J261" s="52"/>
      <c r="K261" s="25"/>
      <c r="L261" s="25"/>
      <c r="M261" s="25"/>
      <c r="N261" s="25"/>
    </row>
    <row r="262" ht="15.75" customHeight="1">
      <c r="A262" s="44"/>
      <c r="B262" s="44"/>
      <c r="C262" s="44"/>
      <c r="D262" s="52"/>
      <c r="E262" s="52"/>
      <c r="F262" s="47" t="s">
        <v>36</v>
      </c>
      <c r="G262" s="48"/>
      <c r="H262" s="57">
        <f>VLOOKUP(F262,$A$18:$B$18,2,TRUE)</f>
        <v>5000</v>
      </c>
      <c r="I262" s="50">
        <f t="shared" si="1"/>
        <v>0</v>
      </c>
      <c r="J262" s="52"/>
      <c r="K262" s="25"/>
      <c r="L262" s="25"/>
      <c r="M262" s="25"/>
      <c r="N262" s="25"/>
    </row>
    <row r="263" ht="15.75" customHeight="1">
      <c r="A263" s="44"/>
      <c r="B263" s="44"/>
      <c r="C263" s="44"/>
      <c r="D263" s="52"/>
      <c r="E263" s="52"/>
      <c r="F263" s="47" t="s">
        <v>37</v>
      </c>
      <c r="G263" s="48"/>
      <c r="H263" s="57">
        <f>VLOOKUP(F263,$A$19:$B$19,2,TRUE)</f>
        <v>2700</v>
      </c>
      <c r="I263" s="50">
        <f t="shared" si="1"/>
        <v>0</v>
      </c>
      <c r="J263" s="52"/>
      <c r="K263" s="25"/>
      <c r="L263" s="25"/>
      <c r="M263" s="25"/>
      <c r="N263" s="25"/>
    </row>
    <row r="264" ht="15.75" customHeight="1">
      <c r="A264" s="44"/>
      <c r="B264" s="44"/>
      <c r="C264" s="44"/>
      <c r="D264" s="52"/>
      <c r="E264" s="52"/>
      <c r="F264" s="47" t="s">
        <v>38</v>
      </c>
      <c r="G264" s="48"/>
      <c r="H264" s="57">
        <f>VLOOKUP(F264,$A$20:$B$20,2,TRUE)</f>
        <v>50000</v>
      </c>
      <c r="I264" s="50">
        <f t="shared" si="1"/>
        <v>0</v>
      </c>
      <c r="J264" s="52"/>
      <c r="K264" s="25"/>
      <c r="L264" s="25"/>
      <c r="M264" s="25"/>
      <c r="N264" s="25"/>
    </row>
    <row r="265" ht="15.75" customHeight="1">
      <c r="A265" s="44"/>
      <c r="B265" s="44"/>
      <c r="C265" s="44"/>
      <c r="D265" s="52"/>
      <c r="E265" s="52"/>
      <c r="F265" s="47" t="s">
        <v>39</v>
      </c>
      <c r="G265" s="48"/>
      <c r="H265" s="57">
        <f>VLOOKUP(F265,$A$21:$B$21,2,TRUE)</f>
        <v>10000</v>
      </c>
      <c r="I265" s="50">
        <f t="shared" si="1"/>
        <v>0</v>
      </c>
      <c r="J265" s="52"/>
      <c r="K265" s="25"/>
      <c r="L265" s="25"/>
      <c r="M265" s="25"/>
      <c r="N265" s="25"/>
    </row>
    <row r="266" ht="15.75" customHeight="1">
      <c r="A266" s="44"/>
      <c r="B266" s="44"/>
      <c r="C266" s="44"/>
      <c r="D266" s="52"/>
      <c r="E266" s="52"/>
      <c r="F266" s="47" t="s">
        <v>40</v>
      </c>
      <c r="G266" s="48"/>
      <c r="H266" s="57">
        <f>VLOOKUP(F266,$A$22:$B$22,2,TRUE)</f>
        <v>1000</v>
      </c>
      <c r="I266" s="50">
        <f t="shared" si="1"/>
        <v>0</v>
      </c>
      <c r="J266" s="52"/>
      <c r="K266" s="25"/>
      <c r="L266" s="25"/>
      <c r="M266" s="25"/>
      <c r="N266" s="25"/>
    </row>
    <row r="267" ht="15.75" customHeight="1">
      <c r="A267" s="44"/>
      <c r="B267" s="44"/>
      <c r="C267" s="44"/>
      <c r="D267" s="52"/>
      <c r="E267" s="52"/>
      <c r="F267" s="47" t="s">
        <v>41</v>
      </c>
      <c r="G267" s="48"/>
      <c r="H267" s="57">
        <f>VLOOKUP(F267,$A$23:$B$23,2,TRUE)</f>
        <v>500</v>
      </c>
      <c r="I267" s="50">
        <f t="shared" si="1"/>
        <v>0</v>
      </c>
      <c r="J267" s="52"/>
      <c r="K267" s="25"/>
      <c r="L267" s="25"/>
      <c r="M267" s="25"/>
      <c r="N267" s="25"/>
    </row>
    <row r="268" ht="15.75" customHeight="1">
      <c r="A268" s="44"/>
      <c r="B268" s="44"/>
      <c r="C268" s="44"/>
      <c r="D268" s="52"/>
      <c r="E268" s="52"/>
      <c r="F268" s="47" t="s">
        <v>42</v>
      </c>
      <c r="G268" s="48"/>
      <c r="H268" s="57">
        <f>VLOOKUP(F268,$A$24:$B$24,2,TRUE)</f>
        <v>200</v>
      </c>
      <c r="I268" s="50">
        <f t="shared" si="1"/>
        <v>0</v>
      </c>
      <c r="J268" s="52"/>
      <c r="K268" s="25"/>
      <c r="L268" s="25"/>
      <c r="M268" s="25"/>
      <c r="N268" s="25"/>
    </row>
    <row r="269" ht="15.75" customHeight="1">
      <c r="A269" s="44"/>
      <c r="B269" s="44"/>
      <c r="C269" s="44"/>
      <c r="D269" s="52"/>
      <c r="E269" s="52"/>
      <c r="F269" s="47" t="s">
        <v>43</v>
      </c>
      <c r="G269" s="48"/>
      <c r="H269" s="57">
        <f>VLOOKUP(F269,$A$25:$B$25,2,TRUE)</f>
        <v>1000</v>
      </c>
      <c r="I269" s="50">
        <f t="shared" si="1"/>
        <v>0</v>
      </c>
      <c r="J269" s="52"/>
      <c r="K269" s="25"/>
      <c r="L269" s="25"/>
      <c r="M269" s="25"/>
      <c r="N269" s="25"/>
    </row>
    <row r="270" ht="15.75" customHeight="1">
      <c r="A270" s="44"/>
      <c r="B270" s="44"/>
      <c r="C270" s="44"/>
      <c r="D270" s="52"/>
      <c r="E270" s="52"/>
      <c r="F270" s="47" t="s">
        <v>18</v>
      </c>
      <c r="G270" s="48"/>
      <c r="H270" s="57">
        <f>VLOOKUP(F270,$A$26:$B$26,2,TRUE)</f>
        <v>300</v>
      </c>
      <c r="I270" s="50">
        <f t="shared" si="1"/>
        <v>0</v>
      </c>
      <c r="J270" s="52"/>
      <c r="K270" s="25"/>
      <c r="L270" s="25"/>
      <c r="M270" s="25"/>
      <c r="N270" s="25"/>
    </row>
    <row r="271" ht="15.75" customHeight="1">
      <c r="A271" s="44"/>
      <c r="B271" s="44"/>
      <c r="C271" s="44"/>
      <c r="D271" s="52"/>
      <c r="E271" s="52"/>
      <c r="F271" s="47" t="s">
        <v>44</v>
      </c>
      <c r="G271" s="48"/>
      <c r="H271" s="57">
        <f>VLOOKUP(F271,$A$27:$B$27,2,TRUE)</f>
        <v>100</v>
      </c>
      <c r="I271" s="50">
        <f t="shared" si="1"/>
        <v>0</v>
      </c>
      <c r="J271" s="52"/>
      <c r="K271" s="25"/>
      <c r="L271" s="25"/>
      <c r="M271" s="25"/>
      <c r="N271" s="25"/>
    </row>
    <row r="272" ht="15.75" customHeight="1">
      <c r="A272" s="44"/>
      <c r="B272" s="44"/>
      <c r="C272" s="44"/>
      <c r="D272" s="52"/>
      <c r="E272" s="52"/>
      <c r="F272" s="47" t="s">
        <v>13</v>
      </c>
      <c r="G272" s="48"/>
      <c r="H272" s="57">
        <f>VLOOKUP(F272,$A$28:$B$28,2,TRUE)</f>
        <v>1500</v>
      </c>
      <c r="I272" s="50">
        <f t="shared" si="1"/>
        <v>0</v>
      </c>
      <c r="J272" s="52"/>
      <c r="K272" s="25"/>
      <c r="L272" s="25"/>
      <c r="M272" s="25"/>
      <c r="N272" s="25"/>
    </row>
    <row r="273" ht="15.75" customHeight="1">
      <c r="A273" s="44"/>
      <c r="B273" s="44"/>
      <c r="C273" s="44"/>
      <c r="D273" s="52"/>
      <c r="E273" s="52"/>
      <c r="F273" s="47" t="s">
        <v>20</v>
      </c>
      <c r="G273" s="48"/>
      <c r="H273" s="57">
        <f>VLOOKUP(F273,$A$29:$B$29,2,TRUE)</f>
        <v>3500</v>
      </c>
      <c r="I273" s="50">
        <f t="shared" si="1"/>
        <v>0</v>
      </c>
      <c r="J273" s="52"/>
      <c r="K273" s="25"/>
      <c r="L273" s="25"/>
      <c r="M273" s="25"/>
      <c r="N273" s="25"/>
    </row>
    <row r="274" ht="15.75" customHeight="1">
      <c r="A274" s="44"/>
      <c r="B274" s="44"/>
      <c r="C274" s="44"/>
      <c r="D274" s="13"/>
      <c r="E274" s="13"/>
      <c r="F274" s="47" t="s">
        <v>60</v>
      </c>
      <c r="G274" s="48"/>
      <c r="H274" s="57">
        <f>VLOOKUP(F274,$A$30:$B$30,2,TRUE)</f>
        <v>0</v>
      </c>
      <c r="I274" s="50">
        <f t="shared" si="1"/>
        <v>0</v>
      </c>
      <c r="J274" s="13"/>
      <c r="K274" s="25"/>
      <c r="L274" s="25"/>
      <c r="M274" s="25"/>
      <c r="N274" s="25"/>
    </row>
    <row r="275" ht="15.75" customHeight="1">
      <c r="A275" s="44"/>
      <c r="B275" s="44"/>
      <c r="C275" s="44"/>
      <c r="D275" s="45">
        <v>11.0</v>
      </c>
      <c r="E275" s="46" t="s">
        <v>105</v>
      </c>
      <c r="F275" s="47" t="s">
        <v>22</v>
      </c>
      <c r="G275" s="48"/>
      <c r="H275" s="57">
        <f>VLOOKUP(F275,$A$4:$B$4,2,TRUE)</f>
        <v>4500</v>
      </c>
      <c r="I275" s="50">
        <f t="shared" si="1"/>
        <v>0</v>
      </c>
      <c r="J275" s="51">
        <f>SUM(I275:I301)</f>
        <v>4500</v>
      </c>
      <c r="K275" s="25"/>
      <c r="L275" s="25"/>
      <c r="M275" s="25"/>
      <c r="N275" s="25"/>
    </row>
    <row r="276" ht="15.75" customHeight="1">
      <c r="A276" s="44"/>
      <c r="B276" s="44"/>
      <c r="C276" s="44"/>
      <c r="D276" s="52"/>
      <c r="E276" s="52"/>
      <c r="F276" s="47" t="s">
        <v>57</v>
      </c>
      <c r="G276" s="48"/>
      <c r="H276" s="57">
        <f>VLOOKUP(F276,$A$5:$B$5,2,TRUE)</f>
        <v>3000</v>
      </c>
      <c r="I276" s="50">
        <f t="shared" si="1"/>
        <v>0</v>
      </c>
      <c r="J276" s="52"/>
      <c r="K276" s="25"/>
      <c r="L276" s="25"/>
      <c r="M276" s="25"/>
      <c r="N276" s="25"/>
    </row>
    <row r="277" ht="15.75" customHeight="1">
      <c r="A277" s="44"/>
      <c r="B277" s="44"/>
      <c r="C277" s="44"/>
      <c r="D277" s="52"/>
      <c r="E277" s="52"/>
      <c r="F277" s="47" t="s">
        <v>59</v>
      </c>
      <c r="G277" s="48"/>
      <c r="H277" s="57">
        <f>VLOOKUP(F277,$A$6:$B$6,2,TRUE)</f>
        <v>1000</v>
      </c>
      <c r="I277" s="50">
        <f t="shared" si="1"/>
        <v>0</v>
      </c>
      <c r="J277" s="52"/>
      <c r="K277" s="25"/>
      <c r="L277" s="25"/>
      <c r="M277" s="25"/>
      <c r="N277" s="25"/>
    </row>
    <row r="278" ht="15.75" customHeight="1">
      <c r="A278" s="44"/>
      <c r="B278" s="44"/>
      <c r="C278" s="44"/>
      <c r="D278" s="52"/>
      <c r="E278" s="52"/>
      <c r="F278" s="47" t="s">
        <v>25</v>
      </c>
      <c r="G278" s="48"/>
      <c r="H278" s="57">
        <f>VLOOKUP(F278,$A$7:$B$7,2,TRUE)</f>
        <v>2800</v>
      </c>
      <c r="I278" s="50">
        <f t="shared" si="1"/>
        <v>0</v>
      </c>
      <c r="J278" s="52"/>
      <c r="K278" s="25"/>
      <c r="L278" s="25"/>
      <c r="M278" s="25"/>
      <c r="N278" s="25"/>
    </row>
    <row r="279" ht="15.75" customHeight="1">
      <c r="A279" s="44"/>
      <c r="B279" s="44"/>
      <c r="C279" s="44"/>
      <c r="D279" s="52"/>
      <c r="E279" s="52"/>
      <c r="F279" s="47" t="s">
        <v>26</v>
      </c>
      <c r="G279" s="48"/>
      <c r="H279" s="57">
        <f>VLOOKUP(F279,$A$8:$B$8,2,TRUE)</f>
        <v>3500</v>
      </c>
      <c r="I279" s="50">
        <f t="shared" si="1"/>
        <v>0</v>
      </c>
      <c r="J279" s="52"/>
      <c r="K279" s="25"/>
      <c r="L279" s="25"/>
      <c r="M279" s="25"/>
      <c r="N279" s="25"/>
    </row>
    <row r="280" ht="15.75" customHeight="1">
      <c r="A280" s="44"/>
      <c r="B280" s="44"/>
      <c r="C280" s="44"/>
      <c r="D280" s="52"/>
      <c r="E280" s="52"/>
      <c r="F280" s="47" t="s">
        <v>27</v>
      </c>
      <c r="G280" s="48">
        <v>1.0</v>
      </c>
      <c r="H280" s="57">
        <f>VLOOKUP(F280,$A$9:$B$9,2,TRUE)</f>
        <v>1000</v>
      </c>
      <c r="I280" s="50">
        <f t="shared" si="1"/>
        <v>1000</v>
      </c>
      <c r="J280" s="52"/>
      <c r="K280" s="25"/>
      <c r="L280" s="25"/>
      <c r="M280" s="25"/>
      <c r="N280" s="25"/>
    </row>
    <row r="281" ht="15.75" customHeight="1">
      <c r="A281" s="44"/>
      <c r="B281" s="44"/>
      <c r="C281" s="44"/>
      <c r="D281" s="52"/>
      <c r="E281" s="52"/>
      <c r="F281" s="47" t="s">
        <v>28</v>
      </c>
      <c r="G281" s="48">
        <v>1.0</v>
      </c>
      <c r="H281" s="57">
        <f>VLOOKUP(F281,$A$10:$B$10,2,TRUE)</f>
        <v>2000</v>
      </c>
      <c r="I281" s="50">
        <f t="shared" si="1"/>
        <v>2000</v>
      </c>
      <c r="J281" s="52"/>
      <c r="K281" s="25"/>
      <c r="L281" s="25"/>
      <c r="M281" s="25"/>
      <c r="N281" s="25"/>
    </row>
    <row r="282" ht="15.75" customHeight="1">
      <c r="A282" s="44"/>
      <c r="B282" s="44"/>
      <c r="C282" s="44"/>
      <c r="D282" s="52"/>
      <c r="E282" s="52"/>
      <c r="F282" s="47" t="s">
        <v>29</v>
      </c>
      <c r="G282" s="48">
        <v>1.0</v>
      </c>
      <c r="H282" s="57">
        <f>VLOOKUP(F282,$A$11:$B$11,2,TRUE)</f>
        <v>1500</v>
      </c>
      <c r="I282" s="50">
        <f t="shared" si="1"/>
        <v>1500</v>
      </c>
      <c r="J282" s="52"/>
      <c r="K282" s="25"/>
      <c r="L282" s="25"/>
      <c r="M282" s="25"/>
      <c r="N282" s="25"/>
    </row>
    <row r="283" ht="15.75" customHeight="1">
      <c r="A283" s="44"/>
      <c r="B283" s="44"/>
      <c r="C283" s="44"/>
      <c r="D283" s="52"/>
      <c r="E283" s="52"/>
      <c r="F283" s="47" t="s">
        <v>30</v>
      </c>
      <c r="G283" s="48"/>
      <c r="H283" s="57">
        <f>VLOOKUP(F283,$A$12:$B$12,2,TRUE)</f>
        <v>1300</v>
      </c>
      <c r="I283" s="50">
        <f t="shared" si="1"/>
        <v>0</v>
      </c>
      <c r="J283" s="52"/>
      <c r="K283" s="25"/>
      <c r="L283" s="25"/>
      <c r="M283" s="25"/>
      <c r="N283" s="25"/>
    </row>
    <row r="284" ht="15.75" customHeight="1">
      <c r="A284" s="44"/>
      <c r="B284" s="44"/>
      <c r="C284" s="44"/>
      <c r="D284" s="52"/>
      <c r="E284" s="52"/>
      <c r="F284" s="47" t="s">
        <v>31</v>
      </c>
      <c r="G284" s="48"/>
      <c r="H284" s="57">
        <f>VLOOKUP(F284,$A$13:$B$13,2,TRUE)</f>
        <v>1000</v>
      </c>
      <c r="I284" s="50">
        <f t="shared" si="1"/>
        <v>0</v>
      </c>
      <c r="J284" s="52"/>
      <c r="K284" s="25"/>
      <c r="L284" s="25"/>
      <c r="M284" s="25"/>
      <c r="N284" s="25"/>
    </row>
    <row r="285" ht="15.75" customHeight="1">
      <c r="A285" s="44"/>
      <c r="B285" s="44"/>
      <c r="C285" s="44"/>
      <c r="D285" s="52"/>
      <c r="E285" s="52"/>
      <c r="F285" s="47" t="s">
        <v>32</v>
      </c>
      <c r="G285" s="48"/>
      <c r="H285" s="57">
        <f>VLOOKUP(F285,$A$14:$B$14,2,TRUE)</f>
        <v>500</v>
      </c>
      <c r="I285" s="50">
        <f t="shared" si="1"/>
        <v>0</v>
      </c>
      <c r="J285" s="52"/>
      <c r="K285" s="25"/>
      <c r="L285" s="25"/>
      <c r="M285" s="25"/>
      <c r="N285" s="25"/>
    </row>
    <row r="286" ht="15.75" customHeight="1">
      <c r="A286" s="44"/>
      <c r="B286" s="44"/>
      <c r="C286" s="44"/>
      <c r="D286" s="52"/>
      <c r="E286" s="52"/>
      <c r="F286" s="47" t="s">
        <v>33</v>
      </c>
      <c r="G286" s="48"/>
      <c r="H286" s="57">
        <f>VLOOKUP(F286,$A$15:$B$15,2,TRUE)</f>
        <v>7500</v>
      </c>
      <c r="I286" s="50">
        <f t="shared" si="1"/>
        <v>0</v>
      </c>
      <c r="J286" s="52"/>
      <c r="K286" s="25"/>
      <c r="L286" s="25"/>
      <c r="M286" s="25"/>
      <c r="N286" s="25"/>
    </row>
    <row r="287" ht="15.75" customHeight="1">
      <c r="A287" s="44"/>
      <c r="B287" s="44"/>
      <c r="C287" s="44"/>
      <c r="D287" s="52"/>
      <c r="E287" s="52"/>
      <c r="F287" s="47" t="s">
        <v>34</v>
      </c>
      <c r="G287" s="48"/>
      <c r="H287" s="57">
        <f>VLOOKUP(F287,$A$16:$B$16,2,TRUE)</f>
        <v>2000</v>
      </c>
      <c r="I287" s="50">
        <f t="shared" si="1"/>
        <v>0</v>
      </c>
      <c r="J287" s="52"/>
      <c r="K287" s="25"/>
      <c r="L287" s="25"/>
      <c r="M287" s="25"/>
      <c r="N287" s="25"/>
    </row>
    <row r="288" ht="15.75" customHeight="1">
      <c r="A288" s="44"/>
      <c r="B288" s="44"/>
      <c r="C288" s="44"/>
      <c r="D288" s="52"/>
      <c r="E288" s="52"/>
      <c r="F288" s="47" t="s">
        <v>35</v>
      </c>
      <c r="G288" s="48"/>
      <c r="H288" s="57">
        <f>VLOOKUP(F288,$A$17:$B$17,2,TRUE)</f>
        <v>1000</v>
      </c>
      <c r="I288" s="50">
        <f t="shared" si="1"/>
        <v>0</v>
      </c>
      <c r="J288" s="52"/>
      <c r="K288" s="25"/>
      <c r="L288" s="25"/>
      <c r="M288" s="25"/>
      <c r="N288" s="25"/>
    </row>
    <row r="289" ht="15.75" customHeight="1">
      <c r="A289" s="44"/>
      <c r="B289" s="44"/>
      <c r="C289" s="44"/>
      <c r="D289" s="52"/>
      <c r="E289" s="52"/>
      <c r="F289" s="47" t="s">
        <v>36</v>
      </c>
      <c r="G289" s="48"/>
      <c r="H289" s="57">
        <f>VLOOKUP(F289,$A$18:$B$18,2,TRUE)</f>
        <v>5000</v>
      </c>
      <c r="I289" s="50">
        <f t="shared" si="1"/>
        <v>0</v>
      </c>
      <c r="J289" s="52"/>
      <c r="K289" s="25"/>
      <c r="L289" s="25"/>
      <c r="M289" s="25"/>
      <c r="N289" s="25"/>
    </row>
    <row r="290" ht="15.75" customHeight="1">
      <c r="A290" s="44"/>
      <c r="B290" s="44"/>
      <c r="C290" s="44"/>
      <c r="D290" s="52"/>
      <c r="E290" s="52"/>
      <c r="F290" s="47" t="s">
        <v>37</v>
      </c>
      <c r="G290" s="48"/>
      <c r="H290" s="57">
        <f>VLOOKUP(F290,$A$19:$B$19,2,TRUE)</f>
        <v>2700</v>
      </c>
      <c r="I290" s="50">
        <f t="shared" si="1"/>
        <v>0</v>
      </c>
      <c r="J290" s="52"/>
      <c r="K290" s="25"/>
      <c r="L290" s="25"/>
      <c r="M290" s="25"/>
      <c r="N290" s="25"/>
    </row>
    <row r="291" ht="15.75" customHeight="1">
      <c r="A291" s="44"/>
      <c r="B291" s="44"/>
      <c r="C291" s="44"/>
      <c r="D291" s="52"/>
      <c r="E291" s="52"/>
      <c r="F291" s="47" t="s">
        <v>38</v>
      </c>
      <c r="G291" s="48"/>
      <c r="H291" s="57">
        <f>VLOOKUP(F291,$A$20:$B$20,2,TRUE)</f>
        <v>50000</v>
      </c>
      <c r="I291" s="50">
        <f t="shared" si="1"/>
        <v>0</v>
      </c>
      <c r="J291" s="52"/>
      <c r="K291" s="25"/>
      <c r="L291" s="25"/>
      <c r="M291" s="25"/>
      <c r="N291" s="25"/>
    </row>
    <row r="292" ht="15.75" customHeight="1">
      <c r="A292" s="44"/>
      <c r="B292" s="44"/>
      <c r="C292" s="44"/>
      <c r="D292" s="52"/>
      <c r="E292" s="52"/>
      <c r="F292" s="47" t="s">
        <v>39</v>
      </c>
      <c r="G292" s="48"/>
      <c r="H292" s="57">
        <f>VLOOKUP(F292,$A$21:$B$21,2,TRUE)</f>
        <v>10000</v>
      </c>
      <c r="I292" s="50">
        <f t="shared" si="1"/>
        <v>0</v>
      </c>
      <c r="J292" s="52"/>
      <c r="K292" s="25"/>
      <c r="L292" s="25"/>
      <c r="M292" s="25"/>
      <c r="N292" s="25"/>
    </row>
    <row r="293" ht="15.75" customHeight="1">
      <c r="A293" s="44"/>
      <c r="B293" s="44"/>
      <c r="C293" s="44"/>
      <c r="D293" s="52"/>
      <c r="E293" s="52"/>
      <c r="F293" s="47" t="s">
        <v>40</v>
      </c>
      <c r="G293" s="48"/>
      <c r="H293" s="57">
        <f>VLOOKUP(F293,$A$22:$B$22,2,TRUE)</f>
        <v>1000</v>
      </c>
      <c r="I293" s="50">
        <f t="shared" si="1"/>
        <v>0</v>
      </c>
      <c r="J293" s="52"/>
      <c r="K293" s="25"/>
      <c r="L293" s="25"/>
      <c r="M293" s="25"/>
      <c r="N293" s="25"/>
    </row>
    <row r="294" ht="15.75" customHeight="1">
      <c r="A294" s="44"/>
      <c r="B294" s="44"/>
      <c r="C294" s="44"/>
      <c r="D294" s="52"/>
      <c r="E294" s="52"/>
      <c r="F294" s="47" t="s">
        <v>41</v>
      </c>
      <c r="G294" s="48"/>
      <c r="H294" s="57">
        <f>VLOOKUP(F294,$A$23:$B$23,2,TRUE)</f>
        <v>500</v>
      </c>
      <c r="I294" s="50">
        <f t="shared" si="1"/>
        <v>0</v>
      </c>
      <c r="J294" s="52"/>
      <c r="K294" s="25"/>
      <c r="L294" s="25"/>
      <c r="M294" s="25"/>
      <c r="N294" s="25"/>
    </row>
    <row r="295" ht="15.75" customHeight="1">
      <c r="A295" s="44"/>
      <c r="B295" s="44"/>
      <c r="C295" s="44"/>
      <c r="D295" s="52"/>
      <c r="E295" s="52"/>
      <c r="F295" s="47" t="s">
        <v>42</v>
      </c>
      <c r="G295" s="48"/>
      <c r="H295" s="57">
        <f>VLOOKUP(F295,$A$24:$B$24,2,TRUE)</f>
        <v>200</v>
      </c>
      <c r="I295" s="50">
        <f t="shared" si="1"/>
        <v>0</v>
      </c>
      <c r="J295" s="52"/>
      <c r="K295" s="25"/>
      <c r="L295" s="25"/>
      <c r="M295" s="25"/>
      <c r="N295" s="25"/>
    </row>
    <row r="296" ht="15.75" customHeight="1">
      <c r="A296" s="44"/>
      <c r="B296" s="44"/>
      <c r="C296" s="44"/>
      <c r="D296" s="52"/>
      <c r="E296" s="52"/>
      <c r="F296" s="47" t="s">
        <v>43</v>
      </c>
      <c r="G296" s="48"/>
      <c r="H296" s="57">
        <f>VLOOKUP(F296,$A$25:$B$25,2,TRUE)</f>
        <v>1000</v>
      </c>
      <c r="I296" s="50">
        <f t="shared" si="1"/>
        <v>0</v>
      </c>
      <c r="J296" s="52"/>
      <c r="K296" s="25"/>
      <c r="L296" s="25"/>
      <c r="M296" s="25"/>
      <c r="N296" s="25"/>
    </row>
    <row r="297" ht="15.75" customHeight="1">
      <c r="A297" s="44"/>
      <c r="B297" s="44"/>
      <c r="C297" s="44"/>
      <c r="D297" s="52"/>
      <c r="E297" s="52"/>
      <c r="F297" s="47" t="s">
        <v>18</v>
      </c>
      <c r="G297" s="48"/>
      <c r="H297" s="57">
        <f>VLOOKUP(F297,$A$26:$B$26,2,TRUE)</f>
        <v>300</v>
      </c>
      <c r="I297" s="50">
        <f t="shared" si="1"/>
        <v>0</v>
      </c>
      <c r="J297" s="52"/>
      <c r="K297" s="25"/>
      <c r="L297" s="25"/>
      <c r="M297" s="25"/>
      <c r="N297" s="25"/>
    </row>
    <row r="298" ht="15.75" customHeight="1">
      <c r="A298" s="44"/>
      <c r="B298" s="44"/>
      <c r="C298" s="44"/>
      <c r="D298" s="52"/>
      <c r="E298" s="52"/>
      <c r="F298" s="47" t="s">
        <v>44</v>
      </c>
      <c r="G298" s="48"/>
      <c r="H298" s="57">
        <f>VLOOKUP(F298,$A$27:$B$27,2,TRUE)</f>
        <v>100</v>
      </c>
      <c r="I298" s="50">
        <f t="shared" si="1"/>
        <v>0</v>
      </c>
      <c r="J298" s="52"/>
      <c r="K298" s="25"/>
      <c r="L298" s="25"/>
      <c r="M298" s="25"/>
      <c r="N298" s="25"/>
    </row>
    <row r="299" ht="15.75" customHeight="1">
      <c r="A299" s="44"/>
      <c r="B299" s="44"/>
      <c r="C299" s="44"/>
      <c r="D299" s="52"/>
      <c r="E299" s="52"/>
      <c r="F299" s="47" t="s">
        <v>13</v>
      </c>
      <c r="G299" s="48"/>
      <c r="H299" s="57">
        <f>VLOOKUP(F299,$A$28:$B$28,2,TRUE)</f>
        <v>1500</v>
      </c>
      <c r="I299" s="50">
        <f t="shared" si="1"/>
        <v>0</v>
      </c>
      <c r="J299" s="52"/>
      <c r="K299" s="25"/>
      <c r="L299" s="25"/>
      <c r="M299" s="25"/>
      <c r="N299" s="25"/>
    </row>
    <row r="300" ht="15.75" customHeight="1">
      <c r="A300" s="44"/>
      <c r="B300" s="44"/>
      <c r="C300" s="44"/>
      <c r="D300" s="52"/>
      <c r="E300" s="52"/>
      <c r="F300" s="47" t="s">
        <v>20</v>
      </c>
      <c r="G300" s="48"/>
      <c r="H300" s="57">
        <f>VLOOKUP(F300,$A$29:$B$29,2,TRUE)</f>
        <v>3500</v>
      </c>
      <c r="I300" s="50">
        <f t="shared" si="1"/>
        <v>0</v>
      </c>
      <c r="J300" s="52"/>
      <c r="K300" s="25"/>
      <c r="L300" s="25"/>
      <c r="M300" s="25"/>
      <c r="N300" s="25"/>
    </row>
    <row r="301" ht="15.75" customHeight="1">
      <c r="A301" s="44"/>
      <c r="B301" s="44"/>
      <c r="C301" s="44"/>
      <c r="D301" s="13"/>
      <c r="E301" s="13"/>
      <c r="F301" s="47" t="s">
        <v>60</v>
      </c>
      <c r="G301" s="48"/>
      <c r="H301" s="57">
        <f>VLOOKUP(F301,$A$30:$B$30,2,TRUE)</f>
        <v>0</v>
      </c>
      <c r="I301" s="50">
        <f t="shared" si="1"/>
        <v>0</v>
      </c>
      <c r="J301" s="13"/>
      <c r="K301" s="25"/>
      <c r="L301" s="25"/>
      <c r="M301" s="25"/>
      <c r="N301" s="25"/>
    </row>
    <row r="302" ht="15.75" customHeight="1">
      <c r="A302" s="44"/>
      <c r="B302" s="44"/>
      <c r="C302" s="44"/>
      <c r="D302" s="45">
        <v>12.0</v>
      </c>
      <c r="E302" s="46" t="s">
        <v>106</v>
      </c>
      <c r="F302" s="47" t="s">
        <v>22</v>
      </c>
      <c r="G302" s="48">
        <v>1.0</v>
      </c>
      <c r="H302" s="57">
        <f>VLOOKUP(F302,$A$4:$B$4,2,TRUE)</f>
        <v>4500</v>
      </c>
      <c r="I302" s="50">
        <f t="shared" si="1"/>
        <v>4500</v>
      </c>
      <c r="J302" s="51">
        <f>SUM(I302:I328)</f>
        <v>43050</v>
      </c>
      <c r="K302" s="25"/>
      <c r="L302" s="25"/>
      <c r="M302" s="25"/>
      <c r="N302" s="25"/>
    </row>
    <row r="303" ht="15.75" customHeight="1">
      <c r="A303" s="44"/>
      <c r="B303" s="44"/>
      <c r="C303" s="44"/>
      <c r="D303" s="52"/>
      <c r="E303" s="52"/>
      <c r="F303" s="47" t="s">
        <v>57</v>
      </c>
      <c r="G303" s="48">
        <v>1.0</v>
      </c>
      <c r="H303" s="57">
        <f>VLOOKUP(F303,$A$5:$B$5,2,TRUE)</f>
        <v>3000</v>
      </c>
      <c r="I303" s="50">
        <f t="shared" si="1"/>
        <v>3000</v>
      </c>
      <c r="J303" s="52"/>
      <c r="K303" s="25"/>
      <c r="L303" s="25"/>
      <c r="M303" s="25"/>
      <c r="N303" s="25"/>
    </row>
    <row r="304" ht="15.75" customHeight="1">
      <c r="A304" s="44"/>
      <c r="B304" s="44"/>
      <c r="C304" s="44"/>
      <c r="D304" s="52"/>
      <c r="E304" s="52"/>
      <c r="F304" s="47" t="s">
        <v>59</v>
      </c>
      <c r="G304" s="48"/>
      <c r="H304" s="57">
        <f>VLOOKUP(F304,$A$6:$B$6,2,TRUE)</f>
        <v>1000</v>
      </c>
      <c r="I304" s="50">
        <f t="shared" si="1"/>
        <v>0</v>
      </c>
      <c r="J304" s="52"/>
      <c r="K304" s="25"/>
      <c r="L304" s="25"/>
      <c r="M304" s="25"/>
      <c r="N304" s="25"/>
    </row>
    <row r="305" ht="15.75" customHeight="1">
      <c r="A305" s="44"/>
      <c r="B305" s="44"/>
      <c r="C305" s="44"/>
      <c r="D305" s="52"/>
      <c r="E305" s="52"/>
      <c r="F305" s="47" t="s">
        <v>25</v>
      </c>
      <c r="G305" s="48"/>
      <c r="H305" s="57">
        <f>VLOOKUP(F305,$A$7:$B$7,2,TRUE)</f>
        <v>2800</v>
      </c>
      <c r="I305" s="50">
        <f t="shared" si="1"/>
        <v>0</v>
      </c>
      <c r="J305" s="52"/>
      <c r="K305" s="25"/>
      <c r="L305" s="25"/>
      <c r="M305" s="25"/>
      <c r="N305" s="25"/>
    </row>
    <row r="306" ht="15.75" customHeight="1">
      <c r="A306" s="44"/>
      <c r="B306" s="44"/>
      <c r="C306" s="44"/>
      <c r="D306" s="52"/>
      <c r="E306" s="52"/>
      <c r="F306" s="47" t="s">
        <v>26</v>
      </c>
      <c r="G306" s="48"/>
      <c r="H306" s="57">
        <f>VLOOKUP(F306,$A$8:$B$8,2,TRUE)</f>
        <v>3500</v>
      </c>
      <c r="I306" s="50">
        <f t="shared" si="1"/>
        <v>0</v>
      </c>
      <c r="J306" s="52"/>
      <c r="K306" s="25"/>
      <c r="L306" s="25"/>
      <c r="M306" s="25"/>
      <c r="N306" s="25"/>
    </row>
    <row r="307" ht="15.75" customHeight="1">
      <c r="A307" s="44"/>
      <c r="B307" s="44"/>
      <c r="C307" s="44"/>
      <c r="D307" s="52"/>
      <c r="E307" s="52"/>
      <c r="F307" s="47" t="s">
        <v>27</v>
      </c>
      <c r="G307" s="48">
        <v>1.5</v>
      </c>
      <c r="H307" s="57">
        <f>VLOOKUP(F307,$A$9:$B$9,2,TRUE)</f>
        <v>1000</v>
      </c>
      <c r="I307" s="50">
        <f t="shared" si="1"/>
        <v>1500</v>
      </c>
      <c r="J307" s="52"/>
      <c r="K307" s="25"/>
      <c r="L307" s="25"/>
      <c r="M307" s="25"/>
      <c r="N307" s="25"/>
    </row>
    <row r="308" ht="15.75" customHeight="1">
      <c r="A308" s="44"/>
      <c r="B308" s="44"/>
      <c r="C308" s="44"/>
      <c r="D308" s="52"/>
      <c r="E308" s="52"/>
      <c r="F308" s="47" t="s">
        <v>28</v>
      </c>
      <c r="G308" s="48"/>
      <c r="H308" s="57">
        <f>VLOOKUP(F308,$A$10:$B$10,2,TRUE)</f>
        <v>2000</v>
      </c>
      <c r="I308" s="50">
        <f t="shared" si="1"/>
        <v>0</v>
      </c>
      <c r="J308" s="52"/>
      <c r="K308" s="25"/>
      <c r="L308" s="25"/>
      <c r="M308" s="25"/>
      <c r="N308" s="25"/>
    </row>
    <row r="309" ht="15.75" customHeight="1">
      <c r="A309" s="44"/>
      <c r="B309" s="44"/>
      <c r="C309" s="44"/>
      <c r="D309" s="52"/>
      <c r="E309" s="52"/>
      <c r="F309" s="47" t="s">
        <v>29</v>
      </c>
      <c r="G309" s="48">
        <v>18.5</v>
      </c>
      <c r="H309" s="57">
        <f>VLOOKUP(F309,$A$11:$B$11,2,TRUE)</f>
        <v>1500</v>
      </c>
      <c r="I309" s="50">
        <f t="shared" si="1"/>
        <v>27750</v>
      </c>
      <c r="J309" s="52"/>
      <c r="K309" s="25"/>
      <c r="L309" s="25"/>
      <c r="M309" s="25"/>
      <c r="N309" s="25"/>
    </row>
    <row r="310" ht="15.75" customHeight="1">
      <c r="A310" s="44"/>
      <c r="B310" s="44"/>
      <c r="C310" s="44"/>
      <c r="D310" s="52"/>
      <c r="E310" s="52"/>
      <c r="F310" s="47" t="s">
        <v>30</v>
      </c>
      <c r="G310" s="48"/>
      <c r="H310" s="57">
        <f>VLOOKUP(F310,$A$12:$B$12,2,TRUE)</f>
        <v>1300</v>
      </c>
      <c r="I310" s="50">
        <f t="shared" si="1"/>
        <v>0</v>
      </c>
      <c r="J310" s="52"/>
      <c r="K310" s="25"/>
      <c r="L310" s="25"/>
      <c r="M310" s="25"/>
      <c r="N310" s="25"/>
    </row>
    <row r="311" ht="15.75" customHeight="1">
      <c r="A311" s="44"/>
      <c r="B311" s="44"/>
      <c r="C311" s="44"/>
      <c r="D311" s="52"/>
      <c r="E311" s="52"/>
      <c r="F311" s="47" t="s">
        <v>31</v>
      </c>
      <c r="G311" s="48"/>
      <c r="H311" s="57">
        <f>VLOOKUP(F311,$A$13:$B$13,2,TRUE)</f>
        <v>1000</v>
      </c>
      <c r="I311" s="50">
        <f t="shared" si="1"/>
        <v>0</v>
      </c>
      <c r="J311" s="52"/>
      <c r="K311" s="25"/>
      <c r="L311" s="25"/>
      <c r="M311" s="25"/>
      <c r="N311" s="25"/>
    </row>
    <row r="312" ht="15.75" customHeight="1">
      <c r="A312" s="44"/>
      <c r="B312" s="44"/>
      <c r="C312" s="44"/>
      <c r="D312" s="52"/>
      <c r="E312" s="52"/>
      <c r="F312" s="47" t="s">
        <v>32</v>
      </c>
      <c r="G312" s="48"/>
      <c r="H312" s="57">
        <f>VLOOKUP(F312,$A$14:$B$14,2,TRUE)</f>
        <v>500</v>
      </c>
      <c r="I312" s="50">
        <f t="shared" si="1"/>
        <v>0</v>
      </c>
      <c r="J312" s="52"/>
      <c r="K312" s="25"/>
      <c r="L312" s="25"/>
      <c r="M312" s="25"/>
      <c r="N312" s="25"/>
    </row>
    <row r="313" ht="15.75" customHeight="1">
      <c r="A313" s="44"/>
      <c r="B313" s="44"/>
      <c r="C313" s="44"/>
      <c r="D313" s="52"/>
      <c r="E313" s="52"/>
      <c r="F313" s="47" t="s">
        <v>33</v>
      </c>
      <c r="G313" s="48"/>
      <c r="H313" s="57">
        <f>VLOOKUP(F313,$A$15:$B$15,2,TRUE)</f>
        <v>7500</v>
      </c>
      <c r="I313" s="50">
        <f t="shared" si="1"/>
        <v>0</v>
      </c>
      <c r="J313" s="52"/>
      <c r="K313" s="25"/>
      <c r="L313" s="25"/>
      <c r="M313" s="25"/>
      <c r="N313" s="25"/>
    </row>
    <row r="314" ht="15.75" customHeight="1">
      <c r="A314" s="44"/>
      <c r="B314" s="44"/>
      <c r="C314" s="44"/>
      <c r="D314" s="52"/>
      <c r="E314" s="52"/>
      <c r="F314" s="47" t="s">
        <v>34</v>
      </c>
      <c r="G314" s="48"/>
      <c r="H314" s="57">
        <f>VLOOKUP(F314,$A$16:$B$16,2,TRUE)</f>
        <v>2000</v>
      </c>
      <c r="I314" s="50">
        <f t="shared" si="1"/>
        <v>0</v>
      </c>
      <c r="J314" s="52"/>
      <c r="K314" s="25"/>
      <c r="L314" s="25"/>
      <c r="M314" s="25"/>
      <c r="N314" s="25"/>
    </row>
    <row r="315" ht="15.75" customHeight="1">
      <c r="A315" s="44"/>
      <c r="B315" s="44"/>
      <c r="C315" s="44"/>
      <c r="D315" s="52"/>
      <c r="E315" s="52"/>
      <c r="F315" s="47" t="s">
        <v>35</v>
      </c>
      <c r="G315" s="48"/>
      <c r="H315" s="57">
        <f>VLOOKUP(F315,$A$17:$B$17,2,TRUE)</f>
        <v>1000</v>
      </c>
      <c r="I315" s="50">
        <f t="shared" si="1"/>
        <v>0</v>
      </c>
      <c r="J315" s="52"/>
      <c r="K315" s="25"/>
      <c r="L315" s="25"/>
      <c r="M315" s="25"/>
      <c r="N315" s="25"/>
    </row>
    <row r="316" ht="15.75" customHeight="1">
      <c r="A316" s="44"/>
      <c r="B316" s="44"/>
      <c r="C316" s="44"/>
      <c r="D316" s="52"/>
      <c r="E316" s="52"/>
      <c r="F316" s="47" t="s">
        <v>36</v>
      </c>
      <c r="G316" s="48"/>
      <c r="H316" s="57">
        <f>VLOOKUP(F316,$A$18:$B$18,2,TRUE)</f>
        <v>5000</v>
      </c>
      <c r="I316" s="50">
        <f t="shared" si="1"/>
        <v>0</v>
      </c>
      <c r="J316" s="52"/>
      <c r="K316" s="25"/>
      <c r="L316" s="25"/>
      <c r="M316" s="25"/>
      <c r="N316" s="25"/>
    </row>
    <row r="317" ht="15.75" customHeight="1">
      <c r="A317" s="44"/>
      <c r="B317" s="44"/>
      <c r="C317" s="44"/>
      <c r="D317" s="52"/>
      <c r="E317" s="52"/>
      <c r="F317" s="47" t="s">
        <v>37</v>
      </c>
      <c r="G317" s="48"/>
      <c r="H317" s="57">
        <f>VLOOKUP(F317,$A$19:$B$19,2,TRUE)</f>
        <v>2700</v>
      </c>
      <c r="I317" s="50">
        <f t="shared" si="1"/>
        <v>0</v>
      </c>
      <c r="J317" s="52"/>
      <c r="K317" s="25"/>
      <c r="L317" s="25"/>
      <c r="M317" s="25"/>
      <c r="N317" s="25"/>
    </row>
    <row r="318" ht="15.75" customHeight="1">
      <c r="A318" s="44"/>
      <c r="B318" s="44"/>
      <c r="C318" s="44"/>
      <c r="D318" s="52"/>
      <c r="E318" s="52"/>
      <c r="F318" s="47" t="s">
        <v>38</v>
      </c>
      <c r="G318" s="48"/>
      <c r="H318" s="57">
        <f>VLOOKUP(F318,$A$20:$B$20,2,TRUE)</f>
        <v>50000</v>
      </c>
      <c r="I318" s="50">
        <f t="shared" si="1"/>
        <v>0</v>
      </c>
      <c r="J318" s="52"/>
      <c r="K318" s="25"/>
      <c r="L318" s="25"/>
      <c r="M318" s="25"/>
      <c r="N318" s="25"/>
    </row>
    <row r="319" ht="15.75" customHeight="1">
      <c r="A319" s="44"/>
      <c r="B319" s="44"/>
      <c r="C319" s="44"/>
      <c r="D319" s="52"/>
      <c r="E319" s="52"/>
      <c r="F319" s="47" t="s">
        <v>39</v>
      </c>
      <c r="G319" s="48"/>
      <c r="H319" s="57">
        <f>VLOOKUP(F319,$A$21:$B$21,2,TRUE)</f>
        <v>10000</v>
      </c>
      <c r="I319" s="50">
        <f t="shared" si="1"/>
        <v>0</v>
      </c>
      <c r="J319" s="52"/>
      <c r="K319" s="25"/>
      <c r="L319" s="25"/>
      <c r="M319" s="25"/>
      <c r="N319" s="25"/>
    </row>
    <row r="320" ht="15.75" customHeight="1">
      <c r="A320" s="44"/>
      <c r="B320" s="44"/>
      <c r="C320" s="44"/>
      <c r="D320" s="52"/>
      <c r="E320" s="52"/>
      <c r="F320" s="47" t="s">
        <v>40</v>
      </c>
      <c r="G320" s="48"/>
      <c r="H320" s="57">
        <f>VLOOKUP(F320,$A$22:$B$22,2,TRUE)</f>
        <v>1000</v>
      </c>
      <c r="I320" s="50">
        <f t="shared" si="1"/>
        <v>0</v>
      </c>
      <c r="J320" s="52"/>
      <c r="K320" s="25"/>
      <c r="L320" s="25"/>
      <c r="M320" s="25"/>
      <c r="N320" s="25"/>
    </row>
    <row r="321" ht="15.75" customHeight="1">
      <c r="A321" s="44"/>
      <c r="B321" s="44"/>
      <c r="C321" s="44"/>
      <c r="D321" s="52"/>
      <c r="E321" s="52"/>
      <c r="F321" s="47" t="s">
        <v>41</v>
      </c>
      <c r="G321" s="48">
        <v>1.5</v>
      </c>
      <c r="H321" s="57">
        <f>VLOOKUP(F321,$A$23:$B$23,2,TRUE)</f>
        <v>500</v>
      </c>
      <c r="I321" s="50">
        <f t="shared" si="1"/>
        <v>750</v>
      </c>
      <c r="J321" s="52"/>
      <c r="K321" s="25"/>
      <c r="L321" s="25"/>
      <c r="M321" s="25"/>
      <c r="N321" s="25"/>
    </row>
    <row r="322" ht="15.75" customHeight="1">
      <c r="A322" s="44"/>
      <c r="B322" s="44"/>
      <c r="C322" s="44"/>
      <c r="D322" s="52"/>
      <c r="E322" s="52"/>
      <c r="F322" s="47" t="s">
        <v>42</v>
      </c>
      <c r="G322" s="48">
        <v>1.5</v>
      </c>
      <c r="H322" s="57">
        <f>VLOOKUP(F322,$A$24:$B$24,2,TRUE)</f>
        <v>200</v>
      </c>
      <c r="I322" s="50">
        <f t="shared" si="1"/>
        <v>300</v>
      </c>
      <c r="J322" s="52"/>
      <c r="K322" s="25"/>
      <c r="L322" s="25"/>
      <c r="M322" s="25"/>
      <c r="N322" s="25"/>
    </row>
    <row r="323" ht="15.75" customHeight="1">
      <c r="A323" s="44"/>
      <c r="B323" s="44"/>
      <c r="C323" s="44"/>
      <c r="D323" s="52"/>
      <c r="E323" s="52"/>
      <c r="F323" s="47" t="s">
        <v>43</v>
      </c>
      <c r="G323" s="48"/>
      <c r="H323" s="57">
        <f>VLOOKUP(F323,$A$25:$B$25,2,TRUE)</f>
        <v>1000</v>
      </c>
      <c r="I323" s="50">
        <f t="shared" si="1"/>
        <v>0</v>
      </c>
      <c r="J323" s="52"/>
      <c r="K323" s="25"/>
      <c r="L323" s="25"/>
      <c r="M323" s="25"/>
      <c r="N323" s="25"/>
    </row>
    <row r="324" ht="15.75" customHeight="1">
      <c r="A324" s="44"/>
      <c r="B324" s="44"/>
      <c r="C324" s="44"/>
      <c r="D324" s="52"/>
      <c r="E324" s="52"/>
      <c r="F324" s="47" t="s">
        <v>18</v>
      </c>
      <c r="G324" s="48"/>
      <c r="H324" s="57">
        <f>VLOOKUP(F324,$A$26:$B$26,2,TRUE)</f>
        <v>300</v>
      </c>
      <c r="I324" s="50">
        <f t="shared" si="1"/>
        <v>0</v>
      </c>
      <c r="J324" s="52"/>
      <c r="K324" s="25"/>
      <c r="L324" s="25"/>
      <c r="M324" s="25"/>
      <c r="N324" s="25"/>
    </row>
    <row r="325" ht="15.75" customHeight="1">
      <c r="A325" s="44"/>
      <c r="B325" s="44"/>
      <c r="C325" s="44"/>
      <c r="D325" s="52"/>
      <c r="E325" s="52"/>
      <c r="F325" s="47" t="s">
        <v>44</v>
      </c>
      <c r="G325" s="48"/>
      <c r="H325" s="57">
        <f>VLOOKUP(F325,$A$27:$B$27,2,TRUE)</f>
        <v>100</v>
      </c>
      <c r="I325" s="50">
        <f t="shared" si="1"/>
        <v>0</v>
      </c>
      <c r="J325" s="52"/>
      <c r="K325" s="25"/>
      <c r="L325" s="25"/>
      <c r="M325" s="25"/>
      <c r="N325" s="25"/>
    </row>
    <row r="326" ht="15.75" customHeight="1">
      <c r="A326" s="44"/>
      <c r="B326" s="44"/>
      <c r="C326" s="44"/>
      <c r="D326" s="52"/>
      <c r="E326" s="52"/>
      <c r="F326" s="47" t="s">
        <v>13</v>
      </c>
      <c r="G326" s="48"/>
      <c r="H326" s="57">
        <f>VLOOKUP(F326,$A$28:$B$28,2,TRUE)</f>
        <v>1500</v>
      </c>
      <c r="I326" s="50">
        <f t="shared" si="1"/>
        <v>0</v>
      </c>
      <c r="J326" s="52"/>
      <c r="K326" s="25"/>
      <c r="L326" s="25"/>
      <c r="M326" s="25"/>
      <c r="N326" s="25"/>
    </row>
    <row r="327" ht="15.75" customHeight="1">
      <c r="A327" s="44"/>
      <c r="B327" s="44"/>
      <c r="C327" s="44"/>
      <c r="D327" s="52"/>
      <c r="E327" s="52"/>
      <c r="F327" s="47" t="s">
        <v>20</v>
      </c>
      <c r="G327" s="48">
        <v>1.5</v>
      </c>
      <c r="H327" s="57">
        <f>VLOOKUP(F327,$A$29:$B$29,2,TRUE)</f>
        <v>3500</v>
      </c>
      <c r="I327" s="50">
        <f t="shared" si="1"/>
        <v>5250</v>
      </c>
      <c r="J327" s="52"/>
      <c r="K327" s="25"/>
      <c r="L327" s="25"/>
      <c r="M327" s="25"/>
      <c r="N327" s="25"/>
    </row>
    <row r="328" ht="15.75" customHeight="1">
      <c r="A328" s="44"/>
      <c r="B328" s="44"/>
      <c r="C328" s="44"/>
      <c r="D328" s="13"/>
      <c r="E328" s="13"/>
      <c r="F328" s="47" t="s">
        <v>60</v>
      </c>
      <c r="G328" s="48">
        <v>1.0</v>
      </c>
      <c r="H328" s="57">
        <f>VLOOKUP(F328,$A$30:$B$30,2,TRUE)</f>
        <v>0</v>
      </c>
      <c r="I328" s="50">
        <f t="shared" si="1"/>
        <v>0</v>
      </c>
      <c r="J328" s="13"/>
      <c r="K328" s="25"/>
      <c r="L328" s="25"/>
      <c r="M328" s="25"/>
      <c r="N328" s="25"/>
    </row>
    <row r="329" ht="15.75" customHeight="1">
      <c r="A329" s="44"/>
      <c r="B329" s="44"/>
      <c r="C329" s="44"/>
      <c r="D329" s="45">
        <v>13.0</v>
      </c>
      <c r="E329" s="66" t="s">
        <v>107</v>
      </c>
      <c r="F329" s="47" t="s">
        <v>22</v>
      </c>
      <c r="G329" s="48"/>
      <c r="H329" s="57">
        <f>VLOOKUP(F329,$A$4:$B$4,2,TRUE)</f>
        <v>4500</v>
      </c>
      <c r="I329" s="50">
        <f t="shared" si="1"/>
        <v>0</v>
      </c>
      <c r="J329" s="51">
        <f>SUM(I329:I355)</f>
        <v>11500</v>
      </c>
      <c r="K329" s="25"/>
      <c r="L329" s="25"/>
      <c r="M329" s="25"/>
      <c r="N329" s="25"/>
    </row>
    <row r="330" ht="15.75" customHeight="1">
      <c r="A330" s="44"/>
      <c r="B330" s="44"/>
      <c r="C330" s="44"/>
      <c r="D330" s="52"/>
      <c r="E330" s="52"/>
      <c r="F330" s="47" t="s">
        <v>57</v>
      </c>
      <c r="G330" s="48">
        <v>0.5</v>
      </c>
      <c r="H330" s="57">
        <f>VLOOKUP(F330,$A$5:$B$5,2,TRUE)</f>
        <v>3000</v>
      </c>
      <c r="I330" s="50">
        <f t="shared" si="1"/>
        <v>1500</v>
      </c>
      <c r="J330" s="52"/>
      <c r="K330" s="25"/>
      <c r="L330" s="25"/>
      <c r="M330" s="25"/>
      <c r="N330" s="25"/>
    </row>
    <row r="331" ht="15.75" customHeight="1">
      <c r="A331" s="44"/>
      <c r="B331" s="44"/>
      <c r="C331" s="44"/>
      <c r="D331" s="52"/>
      <c r="E331" s="52"/>
      <c r="F331" s="47" t="s">
        <v>59</v>
      </c>
      <c r="G331" s="48"/>
      <c r="H331" s="57">
        <f>VLOOKUP(F331,$A$6:$B$6,2,TRUE)</f>
        <v>1000</v>
      </c>
      <c r="I331" s="50">
        <f t="shared" si="1"/>
        <v>0</v>
      </c>
      <c r="J331" s="52"/>
      <c r="K331" s="25"/>
      <c r="L331" s="25"/>
      <c r="M331" s="25"/>
      <c r="N331" s="25"/>
    </row>
    <row r="332" ht="15.75" customHeight="1">
      <c r="A332" s="44"/>
      <c r="B332" s="44"/>
      <c r="C332" s="44"/>
      <c r="D332" s="52"/>
      <c r="E332" s="52"/>
      <c r="F332" s="47" t="s">
        <v>25</v>
      </c>
      <c r="G332" s="48"/>
      <c r="H332" s="57">
        <f>VLOOKUP(F332,$A$7:$B$7,2,TRUE)</f>
        <v>2800</v>
      </c>
      <c r="I332" s="50">
        <f t="shared" si="1"/>
        <v>0</v>
      </c>
      <c r="J332" s="52"/>
      <c r="K332" s="25"/>
      <c r="L332" s="25"/>
      <c r="M332" s="25"/>
      <c r="N332" s="25"/>
    </row>
    <row r="333" ht="15.75" customHeight="1">
      <c r="A333" s="44"/>
      <c r="B333" s="44"/>
      <c r="C333" s="44"/>
      <c r="D333" s="52"/>
      <c r="E333" s="52"/>
      <c r="F333" s="47" t="s">
        <v>26</v>
      </c>
      <c r="G333" s="48"/>
      <c r="H333" s="57">
        <f>VLOOKUP(F333,$A$8:$B$8,2,TRUE)</f>
        <v>3500</v>
      </c>
      <c r="I333" s="50">
        <f t="shared" si="1"/>
        <v>0</v>
      </c>
      <c r="J333" s="52"/>
      <c r="K333" s="25"/>
      <c r="L333" s="25"/>
      <c r="M333" s="25"/>
      <c r="N333" s="25"/>
    </row>
    <row r="334" ht="15.75" customHeight="1">
      <c r="A334" s="44"/>
      <c r="B334" s="44"/>
      <c r="C334" s="44"/>
      <c r="D334" s="52"/>
      <c r="E334" s="52"/>
      <c r="F334" s="47" t="s">
        <v>27</v>
      </c>
      <c r="G334" s="48">
        <v>3.0</v>
      </c>
      <c r="H334" s="57">
        <f>VLOOKUP(F334,$A$9:$B$9,2,TRUE)</f>
        <v>1000</v>
      </c>
      <c r="I334" s="50">
        <f t="shared" si="1"/>
        <v>3000</v>
      </c>
      <c r="J334" s="52"/>
      <c r="K334" s="25"/>
      <c r="L334" s="25"/>
      <c r="M334" s="25"/>
      <c r="N334" s="25"/>
    </row>
    <row r="335" ht="15.75" customHeight="1">
      <c r="A335" s="44"/>
      <c r="B335" s="44"/>
      <c r="C335" s="44"/>
      <c r="D335" s="52"/>
      <c r="E335" s="52"/>
      <c r="F335" s="47" t="s">
        <v>28</v>
      </c>
      <c r="G335" s="48"/>
      <c r="H335" s="57">
        <f>VLOOKUP(F335,$A$10:$B$10,2,TRUE)</f>
        <v>2000</v>
      </c>
      <c r="I335" s="50">
        <f t="shared" si="1"/>
        <v>0</v>
      </c>
      <c r="J335" s="52"/>
      <c r="K335" s="25"/>
      <c r="L335" s="25"/>
      <c r="M335" s="25"/>
      <c r="N335" s="25"/>
    </row>
    <row r="336" ht="15.75" customHeight="1">
      <c r="A336" s="44"/>
      <c r="B336" s="44"/>
      <c r="C336" s="44"/>
      <c r="D336" s="52"/>
      <c r="E336" s="52"/>
      <c r="F336" s="47" t="s">
        <v>29</v>
      </c>
      <c r="G336" s="48"/>
      <c r="H336" s="57">
        <f>VLOOKUP(F336,$A$11:$B$11,2,TRUE)</f>
        <v>1500</v>
      </c>
      <c r="I336" s="50">
        <f t="shared" si="1"/>
        <v>0</v>
      </c>
      <c r="J336" s="52"/>
      <c r="K336" s="25"/>
      <c r="L336" s="25"/>
      <c r="M336" s="25"/>
      <c r="N336" s="25"/>
    </row>
    <row r="337" ht="15.75" customHeight="1">
      <c r="A337" s="44"/>
      <c r="B337" s="44"/>
      <c r="C337" s="44"/>
      <c r="D337" s="52"/>
      <c r="E337" s="52"/>
      <c r="F337" s="47" t="s">
        <v>30</v>
      </c>
      <c r="G337" s="48"/>
      <c r="H337" s="57">
        <f>VLOOKUP(F337,$A$12:$B$12,2,TRUE)</f>
        <v>1300</v>
      </c>
      <c r="I337" s="50">
        <f t="shared" si="1"/>
        <v>0</v>
      </c>
      <c r="J337" s="52"/>
      <c r="K337" s="25"/>
      <c r="L337" s="25"/>
      <c r="M337" s="25"/>
      <c r="N337" s="25"/>
    </row>
    <row r="338" ht="15.75" customHeight="1">
      <c r="A338" s="44"/>
      <c r="B338" s="44"/>
      <c r="C338" s="44"/>
      <c r="D338" s="52"/>
      <c r="E338" s="52"/>
      <c r="F338" s="47" t="s">
        <v>31</v>
      </c>
      <c r="G338" s="48"/>
      <c r="H338" s="57">
        <f>VLOOKUP(F338,$A$13:$B$13,2,TRUE)</f>
        <v>1000</v>
      </c>
      <c r="I338" s="50">
        <f t="shared" si="1"/>
        <v>0</v>
      </c>
      <c r="J338" s="52"/>
      <c r="K338" s="25"/>
      <c r="L338" s="25"/>
      <c r="M338" s="25"/>
      <c r="N338" s="25"/>
    </row>
    <row r="339" ht="15.75" customHeight="1">
      <c r="A339" s="44"/>
      <c r="B339" s="44"/>
      <c r="C339" s="44"/>
      <c r="D339" s="52"/>
      <c r="E339" s="52"/>
      <c r="F339" s="47" t="s">
        <v>32</v>
      </c>
      <c r="G339" s="48"/>
      <c r="H339" s="57">
        <f>VLOOKUP(F339,$A$14:$B$14,2,TRUE)</f>
        <v>500</v>
      </c>
      <c r="I339" s="50">
        <f t="shared" si="1"/>
        <v>0</v>
      </c>
      <c r="J339" s="52"/>
      <c r="K339" s="25"/>
      <c r="L339" s="25"/>
      <c r="M339" s="25"/>
      <c r="N339" s="25"/>
    </row>
    <row r="340" ht="15.75" customHeight="1">
      <c r="A340" s="44"/>
      <c r="B340" s="44"/>
      <c r="C340" s="44"/>
      <c r="D340" s="52"/>
      <c r="E340" s="52"/>
      <c r="F340" s="47" t="s">
        <v>33</v>
      </c>
      <c r="G340" s="48"/>
      <c r="H340" s="57">
        <f>VLOOKUP(F340,$A$15:$B$15,2,TRUE)</f>
        <v>7500</v>
      </c>
      <c r="I340" s="50">
        <f t="shared" si="1"/>
        <v>0</v>
      </c>
      <c r="J340" s="52"/>
      <c r="K340" s="25"/>
      <c r="L340" s="25"/>
      <c r="M340" s="25"/>
      <c r="N340" s="25"/>
    </row>
    <row r="341" ht="15.75" customHeight="1">
      <c r="A341" s="44"/>
      <c r="B341" s="44"/>
      <c r="C341" s="44"/>
      <c r="D341" s="52"/>
      <c r="E341" s="52"/>
      <c r="F341" s="47" t="s">
        <v>34</v>
      </c>
      <c r="G341" s="48"/>
      <c r="H341" s="57">
        <f>VLOOKUP(F341,$A$16:$B$16,2,TRUE)</f>
        <v>2000</v>
      </c>
      <c r="I341" s="50">
        <f t="shared" si="1"/>
        <v>0</v>
      </c>
      <c r="J341" s="52"/>
      <c r="K341" s="25"/>
      <c r="L341" s="25"/>
      <c r="M341" s="25"/>
      <c r="N341" s="25"/>
    </row>
    <row r="342" ht="15.75" customHeight="1">
      <c r="A342" s="44"/>
      <c r="B342" s="44"/>
      <c r="C342" s="44"/>
      <c r="D342" s="52"/>
      <c r="E342" s="52"/>
      <c r="F342" s="47" t="s">
        <v>35</v>
      </c>
      <c r="G342" s="48"/>
      <c r="H342" s="57">
        <f>VLOOKUP(F342,$A$17:$B$17,2,TRUE)</f>
        <v>1000</v>
      </c>
      <c r="I342" s="50">
        <f t="shared" si="1"/>
        <v>0</v>
      </c>
      <c r="J342" s="52"/>
      <c r="K342" s="25"/>
      <c r="L342" s="25"/>
      <c r="M342" s="25"/>
      <c r="N342" s="25"/>
    </row>
    <row r="343" ht="15.75" customHeight="1">
      <c r="A343" s="44"/>
      <c r="B343" s="44"/>
      <c r="C343" s="44"/>
      <c r="D343" s="52"/>
      <c r="E343" s="52"/>
      <c r="F343" s="47" t="s">
        <v>36</v>
      </c>
      <c r="G343" s="48"/>
      <c r="H343" s="57">
        <f>VLOOKUP(F343,$A$18:$B$18,2,TRUE)</f>
        <v>5000</v>
      </c>
      <c r="I343" s="50">
        <f t="shared" si="1"/>
        <v>0</v>
      </c>
      <c r="J343" s="52"/>
      <c r="K343" s="25"/>
      <c r="L343" s="25"/>
      <c r="M343" s="25"/>
      <c r="N343" s="25"/>
    </row>
    <row r="344" ht="15.75" customHeight="1">
      <c r="A344" s="44"/>
      <c r="B344" s="44"/>
      <c r="C344" s="44"/>
      <c r="D344" s="52"/>
      <c r="E344" s="52"/>
      <c r="F344" s="47" t="s">
        <v>37</v>
      </c>
      <c r="G344" s="48"/>
      <c r="H344" s="57">
        <f>VLOOKUP(F344,$A$19:$B$19,2,TRUE)</f>
        <v>2700</v>
      </c>
      <c r="I344" s="50">
        <f t="shared" si="1"/>
        <v>0</v>
      </c>
      <c r="J344" s="52"/>
      <c r="K344" s="25"/>
      <c r="L344" s="25"/>
      <c r="M344" s="25"/>
      <c r="N344" s="25"/>
    </row>
    <row r="345" ht="15.75" customHeight="1">
      <c r="A345" s="44"/>
      <c r="B345" s="44"/>
      <c r="C345" s="44"/>
      <c r="D345" s="52"/>
      <c r="E345" s="52"/>
      <c r="F345" s="47" t="s">
        <v>38</v>
      </c>
      <c r="G345" s="48"/>
      <c r="H345" s="57">
        <f>VLOOKUP(F345,$A$20:$B$20,2,TRUE)</f>
        <v>50000</v>
      </c>
      <c r="I345" s="50">
        <f t="shared" si="1"/>
        <v>0</v>
      </c>
      <c r="J345" s="52"/>
      <c r="K345" s="25"/>
      <c r="L345" s="25"/>
      <c r="M345" s="25"/>
      <c r="N345" s="25"/>
    </row>
    <row r="346" ht="15.75" customHeight="1">
      <c r="A346" s="44"/>
      <c r="B346" s="44"/>
      <c r="C346" s="44"/>
      <c r="D346" s="52"/>
      <c r="E346" s="52"/>
      <c r="F346" s="47" t="s">
        <v>39</v>
      </c>
      <c r="G346" s="48"/>
      <c r="H346" s="57">
        <f>VLOOKUP(F346,$A$21:$B$21,2,TRUE)</f>
        <v>10000</v>
      </c>
      <c r="I346" s="50">
        <f t="shared" si="1"/>
        <v>0</v>
      </c>
      <c r="J346" s="52"/>
      <c r="K346" s="25"/>
      <c r="L346" s="25"/>
      <c r="M346" s="25"/>
      <c r="N346" s="25"/>
    </row>
    <row r="347" ht="15.75" customHeight="1">
      <c r="A347" s="44"/>
      <c r="B347" s="44"/>
      <c r="C347" s="44"/>
      <c r="D347" s="52"/>
      <c r="E347" s="52"/>
      <c r="F347" s="47" t="s">
        <v>40</v>
      </c>
      <c r="G347" s="48"/>
      <c r="H347" s="57">
        <f>VLOOKUP(F347,$A$22:$B$22,2,TRUE)</f>
        <v>1000</v>
      </c>
      <c r="I347" s="50">
        <f t="shared" si="1"/>
        <v>0</v>
      </c>
      <c r="J347" s="52"/>
      <c r="K347" s="25"/>
      <c r="L347" s="25"/>
      <c r="M347" s="25"/>
      <c r="N347" s="25"/>
    </row>
    <row r="348" ht="15.75" customHeight="1">
      <c r="A348" s="44"/>
      <c r="B348" s="44"/>
      <c r="C348" s="44"/>
      <c r="D348" s="52"/>
      <c r="E348" s="52"/>
      <c r="F348" s="47" t="s">
        <v>41</v>
      </c>
      <c r="G348" s="48"/>
      <c r="H348" s="57">
        <f>VLOOKUP(F348,$A$23:$B$23,2,TRUE)</f>
        <v>500</v>
      </c>
      <c r="I348" s="50">
        <f t="shared" si="1"/>
        <v>0</v>
      </c>
      <c r="J348" s="52"/>
      <c r="K348" s="25"/>
      <c r="L348" s="25"/>
      <c r="M348" s="25"/>
      <c r="N348" s="25"/>
    </row>
    <row r="349" ht="15.75" customHeight="1">
      <c r="A349" s="44"/>
      <c r="B349" s="44"/>
      <c r="C349" s="44"/>
      <c r="D349" s="52"/>
      <c r="E349" s="52"/>
      <c r="F349" s="47" t="s">
        <v>42</v>
      </c>
      <c r="G349" s="48"/>
      <c r="H349" s="57">
        <f>VLOOKUP(F349,$A$24:$B$24,2,TRUE)</f>
        <v>200</v>
      </c>
      <c r="I349" s="50">
        <f t="shared" si="1"/>
        <v>0</v>
      </c>
      <c r="J349" s="52"/>
      <c r="K349" s="25"/>
      <c r="L349" s="25"/>
      <c r="M349" s="25"/>
      <c r="N349" s="25"/>
    </row>
    <row r="350" ht="15.75" customHeight="1">
      <c r="A350" s="44"/>
      <c r="B350" s="44"/>
      <c r="C350" s="44"/>
      <c r="D350" s="52"/>
      <c r="E350" s="52"/>
      <c r="F350" s="47" t="s">
        <v>43</v>
      </c>
      <c r="G350" s="48"/>
      <c r="H350" s="57">
        <f>VLOOKUP(F350,$A$25:$B$25,2,TRUE)</f>
        <v>1000</v>
      </c>
      <c r="I350" s="50">
        <f t="shared" si="1"/>
        <v>0</v>
      </c>
      <c r="J350" s="52"/>
      <c r="K350" s="25"/>
      <c r="L350" s="25"/>
      <c r="M350" s="25"/>
      <c r="N350" s="25"/>
    </row>
    <row r="351" ht="15.75" customHeight="1">
      <c r="A351" s="44"/>
      <c r="B351" s="44"/>
      <c r="C351" s="44"/>
      <c r="D351" s="52"/>
      <c r="E351" s="52"/>
      <c r="F351" s="47" t="s">
        <v>18</v>
      </c>
      <c r="G351" s="48"/>
      <c r="H351" s="57">
        <f>VLOOKUP(F351,$A$26:$B$26,2,TRUE)</f>
        <v>300</v>
      </c>
      <c r="I351" s="50">
        <f t="shared" si="1"/>
        <v>0</v>
      </c>
      <c r="J351" s="52"/>
      <c r="K351" s="25"/>
      <c r="L351" s="25"/>
      <c r="M351" s="25"/>
      <c r="N351" s="25"/>
    </row>
    <row r="352" ht="15.75" customHeight="1">
      <c r="A352" s="44"/>
      <c r="B352" s="44"/>
      <c r="C352" s="44"/>
      <c r="D352" s="52"/>
      <c r="E352" s="52"/>
      <c r="F352" s="47" t="s">
        <v>44</v>
      </c>
      <c r="G352" s="48"/>
      <c r="H352" s="57">
        <f>VLOOKUP(F352,$A$27:$B$27,2,TRUE)</f>
        <v>100</v>
      </c>
      <c r="I352" s="50">
        <f t="shared" si="1"/>
        <v>0</v>
      </c>
      <c r="J352" s="52"/>
      <c r="K352" s="25"/>
      <c r="L352" s="25"/>
      <c r="M352" s="25"/>
      <c r="N352" s="25"/>
    </row>
    <row r="353" ht="15.75" customHeight="1">
      <c r="A353" s="44"/>
      <c r="B353" s="44"/>
      <c r="C353" s="44"/>
      <c r="D353" s="52"/>
      <c r="E353" s="52"/>
      <c r="F353" s="47" t="s">
        <v>13</v>
      </c>
      <c r="G353" s="48"/>
      <c r="H353" s="57">
        <f>VLOOKUP(F353,$A$28:$B$28,2,TRUE)</f>
        <v>1500</v>
      </c>
      <c r="I353" s="50">
        <f t="shared" si="1"/>
        <v>0</v>
      </c>
      <c r="J353" s="52"/>
      <c r="K353" s="25"/>
      <c r="L353" s="25"/>
      <c r="M353" s="25"/>
      <c r="N353" s="25"/>
    </row>
    <row r="354" ht="15.75" customHeight="1">
      <c r="A354" s="44"/>
      <c r="B354" s="44"/>
      <c r="C354" s="44"/>
      <c r="D354" s="52"/>
      <c r="E354" s="52"/>
      <c r="F354" s="47" t="s">
        <v>20</v>
      </c>
      <c r="G354" s="48">
        <v>2.0</v>
      </c>
      <c r="H354" s="57">
        <f>VLOOKUP(F354,$A$29:$B$29,2,TRUE)</f>
        <v>3500</v>
      </c>
      <c r="I354" s="50">
        <f t="shared" si="1"/>
        <v>7000</v>
      </c>
      <c r="J354" s="52"/>
      <c r="K354" s="25"/>
      <c r="L354" s="25"/>
      <c r="M354" s="25"/>
      <c r="N354" s="25"/>
    </row>
    <row r="355" ht="15.75" customHeight="1">
      <c r="A355" s="44"/>
      <c r="B355" s="44"/>
      <c r="C355" s="44"/>
      <c r="D355" s="13"/>
      <c r="E355" s="13"/>
      <c r="F355" s="47" t="s">
        <v>60</v>
      </c>
      <c r="G355" s="48"/>
      <c r="H355" s="57">
        <f>VLOOKUP(F355,$A$30:$B$30,2,TRUE)</f>
        <v>0</v>
      </c>
      <c r="I355" s="50">
        <f t="shared" si="1"/>
        <v>0</v>
      </c>
      <c r="J355" s="13"/>
      <c r="K355" s="25"/>
      <c r="L355" s="25"/>
      <c r="M355" s="25"/>
      <c r="N355" s="25"/>
    </row>
    <row r="356" ht="15.75" customHeight="1">
      <c r="A356" s="44"/>
      <c r="B356" s="44"/>
      <c r="C356" s="44"/>
      <c r="D356" s="45">
        <v>14.0</v>
      </c>
      <c r="E356" s="66" t="s">
        <v>108</v>
      </c>
      <c r="F356" s="47" t="s">
        <v>22</v>
      </c>
      <c r="G356" s="48"/>
      <c r="H356" s="57">
        <f>VLOOKUP(F356,$A$4:$B$4,2,TRUE)</f>
        <v>4500</v>
      </c>
      <c r="I356" s="50">
        <f t="shared" si="1"/>
        <v>0</v>
      </c>
      <c r="J356" s="51">
        <f>SUM(I356:I382)</f>
        <v>17750</v>
      </c>
      <c r="K356" s="25"/>
      <c r="L356" s="25"/>
      <c r="M356" s="25"/>
      <c r="N356" s="25"/>
    </row>
    <row r="357" ht="15.75" customHeight="1">
      <c r="A357" s="44"/>
      <c r="B357" s="44"/>
      <c r="C357" s="44"/>
      <c r="D357" s="52"/>
      <c r="E357" s="52"/>
      <c r="F357" s="47" t="s">
        <v>57</v>
      </c>
      <c r="G357" s="48"/>
      <c r="H357" s="57">
        <f>VLOOKUP(F357,$A$5:$B$5,2,TRUE)</f>
        <v>3000</v>
      </c>
      <c r="I357" s="50">
        <f t="shared" si="1"/>
        <v>0</v>
      </c>
      <c r="J357" s="52"/>
      <c r="K357" s="25"/>
      <c r="L357" s="25"/>
      <c r="M357" s="25"/>
      <c r="N357" s="25"/>
    </row>
    <row r="358" ht="15.75" customHeight="1">
      <c r="A358" s="44"/>
      <c r="B358" s="44"/>
      <c r="C358" s="44"/>
      <c r="D358" s="52"/>
      <c r="E358" s="52"/>
      <c r="F358" s="47" t="s">
        <v>59</v>
      </c>
      <c r="G358" s="48"/>
      <c r="H358" s="57">
        <f>VLOOKUP(F358,$A$6:$B$6,2,TRUE)</f>
        <v>1000</v>
      </c>
      <c r="I358" s="50">
        <f t="shared" si="1"/>
        <v>0</v>
      </c>
      <c r="J358" s="52"/>
      <c r="K358" s="25"/>
      <c r="L358" s="25"/>
      <c r="M358" s="25"/>
      <c r="N358" s="25"/>
    </row>
    <row r="359" ht="15.75" customHeight="1">
      <c r="A359" s="44"/>
      <c r="B359" s="44"/>
      <c r="C359" s="44"/>
      <c r="D359" s="52"/>
      <c r="E359" s="52"/>
      <c r="F359" s="47" t="s">
        <v>25</v>
      </c>
      <c r="G359" s="48"/>
      <c r="H359" s="57">
        <f>VLOOKUP(F359,$A$7:$B$7,2,TRUE)</f>
        <v>2800</v>
      </c>
      <c r="I359" s="50">
        <f t="shared" si="1"/>
        <v>0</v>
      </c>
      <c r="J359" s="52"/>
      <c r="K359" s="25"/>
      <c r="L359" s="25"/>
      <c r="M359" s="25"/>
      <c r="N359" s="25"/>
    </row>
    <row r="360" ht="15.75" customHeight="1">
      <c r="A360" s="44"/>
      <c r="B360" s="44"/>
      <c r="C360" s="44"/>
      <c r="D360" s="52"/>
      <c r="E360" s="52"/>
      <c r="F360" s="47" t="s">
        <v>26</v>
      </c>
      <c r="G360" s="48"/>
      <c r="H360" s="57">
        <f>VLOOKUP(F360,$A$8:$B$8,2,TRUE)</f>
        <v>3500</v>
      </c>
      <c r="I360" s="50">
        <f t="shared" si="1"/>
        <v>0</v>
      </c>
      <c r="J360" s="52"/>
      <c r="K360" s="25"/>
      <c r="L360" s="25"/>
      <c r="M360" s="25"/>
      <c r="N360" s="25"/>
    </row>
    <row r="361" ht="15.75" customHeight="1">
      <c r="A361" s="44"/>
      <c r="B361" s="44"/>
      <c r="C361" s="44"/>
      <c r="D361" s="52"/>
      <c r="E361" s="52"/>
      <c r="F361" s="47" t="s">
        <v>27</v>
      </c>
      <c r="G361" s="48">
        <v>2.0</v>
      </c>
      <c r="H361" s="57">
        <f>VLOOKUP(F361,$A$9:$B$9,2,TRUE)</f>
        <v>1000</v>
      </c>
      <c r="I361" s="50">
        <f t="shared" si="1"/>
        <v>2000</v>
      </c>
      <c r="J361" s="52"/>
      <c r="K361" s="25"/>
      <c r="L361" s="25"/>
      <c r="M361" s="25"/>
      <c r="N361" s="25"/>
    </row>
    <row r="362" ht="15.75" customHeight="1">
      <c r="A362" s="44"/>
      <c r="B362" s="44"/>
      <c r="C362" s="44"/>
      <c r="D362" s="52"/>
      <c r="E362" s="52"/>
      <c r="F362" s="47" t="s">
        <v>28</v>
      </c>
      <c r="G362" s="48">
        <v>3.5</v>
      </c>
      <c r="H362" s="57">
        <f>VLOOKUP(F362,$A$10:$B$10,2,TRUE)</f>
        <v>2000</v>
      </c>
      <c r="I362" s="50">
        <f t="shared" si="1"/>
        <v>7000</v>
      </c>
      <c r="J362" s="52"/>
      <c r="K362" s="25"/>
      <c r="L362" s="25"/>
      <c r="M362" s="25"/>
      <c r="N362" s="25"/>
    </row>
    <row r="363" ht="15.75" customHeight="1">
      <c r="A363" s="44"/>
      <c r="B363" s="44"/>
      <c r="C363" s="44"/>
      <c r="D363" s="52"/>
      <c r="E363" s="52"/>
      <c r="F363" s="47" t="s">
        <v>29</v>
      </c>
      <c r="G363" s="48">
        <v>4.5</v>
      </c>
      <c r="H363" s="57">
        <f>VLOOKUP(F363,$A$11:$B$11,2,TRUE)</f>
        <v>1500</v>
      </c>
      <c r="I363" s="50">
        <f t="shared" si="1"/>
        <v>6750</v>
      </c>
      <c r="J363" s="52"/>
      <c r="K363" s="25"/>
      <c r="L363" s="25"/>
      <c r="M363" s="25"/>
      <c r="N363" s="25"/>
    </row>
    <row r="364" ht="15.75" customHeight="1">
      <c r="A364" s="44"/>
      <c r="B364" s="44"/>
      <c r="C364" s="44"/>
      <c r="D364" s="52"/>
      <c r="E364" s="52"/>
      <c r="F364" s="47" t="s">
        <v>30</v>
      </c>
      <c r="G364" s="48"/>
      <c r="H364" s="57">
        <f>VLOOKUP(F364,$A$12:$B$12,2,TRUE)</f>
        <v>1300</v>
      </c>
      <c r="I364" s="50">
        <f t="shared" si="1"/>
        <v>0</v>
      </c>
      <c r="J364" s="52"/>
      <c r="K364" s="25"/>
      <c r="L364" s="25"/>
      <c r="M364" s="25"/>
      <c r="N364" s="25"/>
    </row>
    <row r="365" ht="15.75" customHeight="1">
      <c r="A365" s="44"/>
      <c r="B365" s="44"/>
      <c r="C365" s="44"/>
      <c r="D365" s="52"/>
      <c r="E365" s="52"/>
      <c r="F365" s="47" t="s">
        <v>31</v>
      </c>
      <c r="G365" s="48"/>
      <c r="H365" s="57">
        <f>VLOOKUP(F365,$A$13:$B$13,2,TRUE)</f>
        <v>1000</v>
      </c>
      <c r="I365" s="50">
        <f t="shared" si="1"/>
        <v>0</v>
      </c>
      <c r="J365" s="52"/>
      <c r="K365" s="25"/>
      <c r="L365" s="25"/>
      <c r="M365" s="25"/>
      <c r="N365" s="25"/>
    </row>
    <row r="366" ht="15.75" customHeight="1">
      <c r="A366" s="44"/>
      <c r="B366" s="44"/>
      <c r="C366" s="44"/>
      <c r="D366" s="52"/>
      <c r="E366" s="52"/>
      <c r="F366" s="47" t="s">
        <v>32</v>
      </c>
      <c r="G366" s="48">
        <v>4.0</v>
      </c>
      <c r="H366" s="57">
        <f>VLOOKUP(F366,$A$14:$B$14,2,TRUE)</f>
        <v>500</v>
      </c>
      <c r="I366" s="50">
        <f t="shared" si="1"/>
        <v>2000</v>
      </c>
      <c r="J366" s="52"/>
      <c r="K366" s="25"/>
      <c r="L366" s="25"/>
      <c r="M366" s="25"/>
      <c r="N366" s="25"/>
    </row>
    <row r="367" ht="15.75" customHeight="1">
      <c r="A367" s="44"/>
      <c r="B367" s="44"/>
      <c r="C367" s="44"/>
      <c r="D367" s="52"/>
      <c r="E367" s="52"/>
      <c r="F367" s="47" t="s">
        <v>33</v>
      </c>
      <c r="G367" s="48"/>
      <c r="H367" s="57">
        <f>VLOOKUP(F367,$A$15:$B$15,2,TRUE)</f>
        <v>7500</v>
      </c>
      <c r="I367" s="50">
        <f t="shared" si="1"/>
        <v>0</v>
      </c>
      <c r="J367" s="52"/>
      <c r="K367" s="25"/>
      <c r="L367" s="25"/>
      <c r="M367" s="25"/>
      <c r="N367" s="25"/>
    </row>
    <row r="368" ht="15.75" customHeight="1">
      <c r="A368" s="44"/>
      <c r="B368" s="44"/>
      <c r="C368" s="44"/>
      <c r="D368" s="52"/>
      <c r="E368" s="52"/>
      <c r="F368" s="47" t="s">
        <v>34</v>
      </c>
      <c r="G368" s="48"/>
      <c r="H368" s="57">
        <f>VLOOKUP(F368,$A$16:$B$16,2,TRUE)</f>
        <v>2000</v>
      </c>
      <c r="I368" s="50">
        <f t="shared" si="1"/>
        <v>0</v>
      </c>
      <c r="J368" s="52"/>
      <c r="K368" s="25"/>
      <c r="L368" s="25"/>
      <c r="M368" s="25"/>
      <c r="N368" s="25"/>
    </row>
    <row r="369" ht="15.75" customHeight="1">
      <c r="A369" s="44"/>
      <c r="B369" s="44"/>
      <c r="C369" s="44"/>
      <c r="D369" s="52"/>
      <c r="E369" s="52"/>
      <c r="F369" s="47" t="s">
        <v>35</v>
      </c>
      <c r="G369" s="48"/>
      <c r="H369" s="57">
        <f>VLOOKUP(F369,$A$17:$B$17,2,TRUE)</f>
        <v>1000</v>
      </c>
      <c r="I369" s="50">
        <f t="shared" si="1"/>
        <v>0</v>
      </c>
      <c r="J369" s="52"/>
      <c r="K369" s="25"/>
      <c r="L369" s="25"/>
      <c r="M369" s="25"/>
      <c r="N369" s="25"/>
    </row>
    <row r="370" ht="15.75" customHeight="1">
      <c r="A370" s="44"/>
      <c r="B370" s="44"/>
      <c r="C370" s="44"/>
      <c r="D370" s="52"/>
      <c r="E370" s="52"/>
      <c r="F370" s="47" t="s">
        <v>36</v>
      </c>
      <c r="G370" s="48"/>
      <c r="H370" s="57">
        <f>VLOOKUP(F370,$A$18:$B$18,2,TRUE)</f>
        <v>5000</v>
      </c>
      <c r="I370" s="50">
        <f t="shared" si="1"/>
        <v>0</v>
      </c>
      <c r="J370" s="52"/>
      <c r="K370" s="25"/>
      <c r="L370" s="25"/>
      <c r="M370" s="25"/>
      <c r="N370" s="25"/>
    </row>
    <row r="371" ht="15.75" customHeight="1">
      <c r="A371" s="44"/>
      <c r="B371" s="44"/>
      <c r="C371" s="44"/>
      <c r="D371" s="52"/>
      <c r="E371" s="52"/>
      <c r="F371" s="47" t="s">
        <v>37</v>
      </c>
      <c r="G371" s="48"/>
      <c r="H371" s="57">
        <f>VLOOKUP(F371,$A$19:$B$19,2,TRUE)</f>
        <v>2700</v>
      </c>
      <c r="I371" s="50">
        <f t="shared" si="1"/>
        <v>0</v>
      </c>
      <c r="J371" s="52"/>
      <c r="K371" s="25"/>
      <c r="L371" s="25"/>
      <c r="M371" s="25"/>
      <c r="N371" s="25"/>
    </row>
    <row r="372" ht="15.75" customHeight="1">
      <c r="A372" s="44"/>
      <c r="B372" s="44"/>
      <c r="C372" s="44"/>
      <c r="D372" s="52"/>
      <c r="E372" s="52"/>
      <c r="F372" s="47" t="s">
        <v>38</v>
      </c>
      <c r="G372" s="48"/>
      <c r="H372" s="57">
        <f>VLOOKUP(F372,$A$20:$B$20,2,TRUE)</f>
        <v>50000</v>
      </c>
      <c r="I372" s="50">
        <f t="shared" si="1"/>
        <v>0</v>
      </c>
      <c r="J372" s="52"/>
      <c r="K372" s="25"/>
      <c r="L372" s="25"/>
      <c r="M372" s="25"/>
      <c r="N372" s="25"/>
    </row>
    <row r="373" ht="15.75" customHeight="1">
      <c r="A373" s="44"/>
      <c r="B373" s="44"/>
      <c r="C373" s="44"/>
      <c r="D373" s="52"/>
      <c r="E373" s="52"/>
      <c r="F373" s="47" t="s">
        <v>39</v>
      </c>
      <c r="G373" s="48"/>
      <c r="H373" s="57">
        <f>VLOOKUP(F373,$A$21:$B$21,2,TRUE)</f>
        <v>10000</v>
      </c>
      <c r="I373" s="50">
        <f t="shared" si="1"/>
        <v>0</v>
      </c>
      <c r="J373" s="52"/>
      <c r="K373" s="25"/>
      <c r="L373" s="25"/>
      <c r="M373" s="25"/>
      <c r="N373" s="25"/>
    </row>
    <row r="374" ht="15.75" customHeight="1">
      <c r="A374" s="44"/>
      <c r="B374" s="44"/>
      <c r="C374" s="44"/>
      <c r="D374" s="52"/>
      <c r="E374" s="52"/>
      <c r="F374" s="47" t="s">
        <v>40</v>
      </c>
      <c r="G374" s="48"/>
      <c r="H374" s="57">
        <f>VLOOKUP(F374,$A$22:$B$22,2,TRUE)</f>
        <v>1000</v>
      </c>
      <c r="I374" s="50">
        <f t="shared" si="1"/>
        <v>0</v>
      </c>
      <c r="J374" s="52"/>
      <c r="K374" s="25"/>
      <c r="L374" s="25"/>
      <c r="M374" s="25"/>
      <c r="N374" s="25"/>
    </row>
    <row r="375" ht="15.75" customHeight="1">
      <c r="A375" s="44"/>
      <c r="B375" s="44"/>
      <c r="C375" s="44"/>
      <c r="D375" s="52"/>
      <c r="E375" s="52"/>
      <c r="F375" s="47" t="s">
        <v>41</v>
      </c>
      <c r="G375" s="48"/>
      <c r="H375" s="57">
        <f>VLOOKUP(F375,$A$23:$B$23,2,TRUE)</f>
        <v>500</v>
      </c>
      <c r="I375" s="50">
        <f t="shared" si="1"/>
        <v>0</v>
      </c>
      <c r="J375" s="52"/>
      <c r="K375" s="25"/>
      <c r="L375" s="25"/>
      <c r="M375" s="25"/>
      <c r="N375" s="25"/>
    </row>
    <row r="376" ht="15.75" customHeight="1">
      <c r="A376" s="44"/>
      <c r="B376" s="44"/>
      <c r="C376" s="44"/>
      <c r="D376" s="52"/>
      <c r="E376" s="52"/>
      <c r="F376" s="47" t="s">
        <v>42</v>
      </c>
      <c r="G376" s="48"/>
      <c r="H376" s="57">
        <f>VLOOKUP(F376,$A$24:$B$24,2,TRUE)</f>
        <v>200</v>
      </c>
      <c r="I376" s="50">
        <f t="shared" si="1"/>
        <v>0</v>
      </c>
      <c r="J376" s="52"/>
      <c r="K376" s="25"/>
      <c r="L376" s="25"/>
      <c r="M376" s="25"/>
      <c r="N376" s="25"/>
    </row>
    <row r="377" ht="15.75" customHeight="1">
      <c r="A377" s="44"/>
      <c r="B377" s="44"/>
      <c r="C377" s="44"/>
      <c r="D377" s="52"/>
      <c r="E377" s="52"/>
      <c r="F377" s="47" t="s">
        <v>43</v>
      </c>
      <c r="G377" s="48"/>
      <c r="H377" s="57">
        <f>VLOOKUP(F377,$A$25:$B$25,2,TRUE)</f>
        <v>1000</v>
      </c>
      <c r="I377" s="50">
        <f t="shared" si="1"/>
        <v>0</v>
      </c>
      <c r="J377" s="52"/>
      <c r="K377" s="25"/>
      <c r="L377" s="25"/>
      <c r="M377" s="25"/>
      <c r="N377" s="25"/>
    </row>
    <row r="378" ht="15.75" customHeight="1">
      <c r="A378" s="44"/>
      <c r="B378" s="44"/>
      <c r="C378" s="44"/>
      <c r="D378" s="52"/>
      <c r="E378" s="52"/>
      <c r="F378" s="47" t="s">
        <v>18</v>
      </c>
      <c r="G378" s="48"/>
      <c r="H378" s="57">
        <f>VLOOKUP(F378,$A$26:$B$26,2,TRUE)</f>
        <v>300</v>
      </c>
      <c r="I378" s="50">
        <f t="shared" si="1"/>
        <v>0</v>
      </c>
      <c r="J378" s="52"/>
      <c r="K378" s="25"/>
      <c r="L378" s="25"/>
      <c r="M378" s="25"/>
      <c r="N378" s="25"/>
    </row>
    <row r="379" ht="15.75" customHeight="1">
      <c r="A379" s="44"/>
      <c r="B379" s="44"/>
      <c r="C379" s="44"/>
      <c r="D379" s="52"/>
      <c r="E379" s="52"/>
      <c r="F379" s="47" t="s">
        <v>44</v>
      </c>
      <c r="G379" s="48"/>
      <c r="H379" s="57">
        <f>VLOOKUP(F379,$A$27:$B$27,2,TRUE)</f>
        <v>100</v>
      </c>
      <c r="I379" s="50">
        <f t="shared" si="1"/>
        <v>0</v>
      </c>
      <c r="J379" s="52"/>
      <c r="K379" s="25"/>
      <c r="L379" s="25"/>
      <c r="M379" s="25"/>
      <c r="N379" s="25"/>
    </row>
    <row r="380" ht="15.75" customHeight="1">
      <c r="A380" s="44"/>
      <c r="B380" s="44"/>
      <c r="C380" s="44"/>
      <c r="D380" s="52"/>
      <c r="E380" s="52"/>
      <c r="F380" s="47" t="s">
        <v>13</v>
      </c>
      <c r="G380" s="48"/>
      <c r="H380" s="57">
        <f>VLOOKUP(F380,$A$28:$B$28,2,TRUE)</f>
        <v>1500</v>
      </c>
      <c r="I380" s="50">
        <f t="shared" si="1"/>
        <v>0</v>
      </c>
      <c r="J380" s="52"/>
      <c r="K380" s="25"/>
      <c r="L380" s="25"/>
      <c r="M380" s="25"/>
      <c r="N380" s="25"/>
    </row>
    <row r="381" ht="15.75" customHeight="1">
      <c r="A381" s="44"/>
      <c r="B381" s="44"/>
      <c r="C381" s="44"/>
      <c r="D381" s="52"/>
      <c r="E381" s="52"/>
      <c r="F381" s="47" t="s">
        <v>20</v>
      </c>
      <c r="G381" s="48"/>
      <c r="H381" s="57">
        <f>VLOOKUP(F381,$A$29:$B$29,2,TRUE)</f>
        <v>3500</v>
      </c>
      <c r="I381" s="50">
        <f t="shared" si="1"/>
        <v>0</v>
      </c>
      <c r="J381" s="52"/>
      <c r="K381" s="25"/>
      <c r="L381" s="25"/>
      <c r="M381" s="25"/>
      <c r="N381" s="25"/>
    </row>
    <row r="382" ht="15.75" customHeight="1">
      <c r="A382" s="44"/>
      <c r="B382" s="44"/>
      <c r="C382" s="44"/>
      <c r="D382" s="13"/>
      <c r="E382" s="13"/>
      <c r="F382" s="47" t="s">
        <v>60</v>
      </c>
      <c r="G382" s="48">
        <v>3.5</v>
      </c>
      <c r="H382" s="57">
        <f>VLOOKUP(F382,$A$30:$B$30,2,TRUE)</f>
        <v>0</v>
      </c>
      <c r="I382" s="50">
        <f t="shared" si="1"/>
        <v>0</v>
      </c>
      <c r="J382" s="13"/>
      <c r="K382" s="25"/>
      <c r="L382" s="25"/>
      <c r="M382" s="25"/>
      <c r="N382" s="25"/>
    </row>
    <row r="383" ht="15.75" customHeight="1">
      <c r="A383" s="44"/>
      <c r="B383" s="44"/>
      <c r="C383" s="44"/>
      <c r="D383" s="45">
        <v>15.0</v>
      </c>
      <c r="E383" s="66" t="s">
        <v>109</v>
      </c>
      <c r="F383" s="47" t="s">
        <v>22</v>
      </c>
      <c r="G383" s="48"/>
      <c r="H383" s="57">
        <f>VLOOKUP(F383,$A$4:$B$4,2,TRUE)</f>
        <v>4500</v>
      </c>
      <c r="I383" s="50">
        <f t="shared" si="1"/>
        <v>0</v>
      </c>
      <c r="J383" s="51">
        <f>SUM(I383:I409)</f>
        <v>9100</v>
      </c>
      <c r="K383" s="25"/>
      <c r="L383" s="25"/>
      <c r="M383" s="25"/>
      <c r="N383" s="25"/>
    </row>
    <row r="384" ht="15.75" customHeight="1">
      <c r="A384" s="44"/>
      <c r="B384" s="44"/>
      <c r="C384" s="44"/>
      <c r="D384" s="52"/>
      <c r="E384" s="52"/>
      <c r="F384" s="47" t="s">
        <v>57</v>
      </c>
      <c r="G384" s="48">
        <v>0.5</v>
      </c>
      <c r="H384" s="57">
        <f>VLOOKUP(F384,$A$5:$B$5,2,TRUE)</f>
        <v>3000</v>
      </c>
      <c r="I384" s="50">
        <f t="shared" si="1"/>
        <v>1500</v>
      </c>
      <c r="J384" s="52"/>
      <c r="K384" s="25"/>
      <c r="L384" s="25"/>
      <c r="M384" s="25"/>
      <c r="N384" s="25"/>
    </row>
    <row r="385" ht="15.75" customHeight="1">
      <c r="A385" s="44"/>
      <c r="B385" s="44"/>
      <c r="C385" s="44"/>
      <c r="D385" s="52"/>
      <c r="E385" s="52"/>
      <c r="F385" s="47" t="s">
        <v>59</v>
      </c>
      <c r="G385" s="48"/>
      <c r="H385" s="57">
        <f>VLOOKUP(F385,$A$6:$B$6,2,TRUE)</f>
        <v>1000</v>
      </c>
      <c r="I385" s="50">
        <f t="shared" si="1"/>
        <v>0</v>
      </c>
      <c r="J385" s="52"/>
      <c r="K385" s="25"/>
      <c r="L385" s="25"/>
      <c r="M385" s="25"/>
      <c r="N385" s="25"/>
    </row>
    <row r="386" ht="15.75" customHeight="1">
      <c r="A386" s="44"/>
      <c r="B386" s="44"/>
      <c r="C386" s="44"/>
      <c r="D386" s="52"/>
      <c r="E386" s="52"/>
      <c r="F386" s="47" t="s">
        <v>25</v>
      </c>
      <c r="G386" s="48"/>
      <c r="H386" s="57">
        <f>VLOOKUP(F386,$A$7:$B$7,2,TRUE)</f>
        <v>2800</v>
      </c>
      <c r="I386" s="50">
        <f t="shared" si="1"/>
        <v>0</v>
      </c>
      <c r="J386" s="52"/>
      <c r="K386" s="25"/>
      <c r="L386" s="25"/>
      <c r="M386" s="25"/>
      <c r="N386" s="25"/>
    </row>
    <row r="387" ht="15.75" customHeight="1">
      <c r="A387" s="44"/>
      <c r="B387" s="44"/>
      <c r="C387" s="44"/>
      <c r="D387" s="52"/>
      <c r="E387" s="52"/>
      <c r="F387" s="47" t="s">
        <v>26</v>
      </c>
      <c r="G387" s="48"/>
      <c r="H387" s="57">
        <f>VLOOKUP(F387,$A$8:$B$8,2,TRUE)</f>
        <v>3500</v>
      </c>
      <c r="I387" s="50">
        <f t="shared" si="1"/>
        <v>0</v>
      </c>
      <c r="J387" s="52"/>
      <c r="K387" s="25"/>
      <c r="L387" s="25"/>
      <c r="M387" s="25"/>
      <c r="N387" s="25"/>
    </row>
    <row r="388" ht="15.75" customHeight="1">
      <c r="A388" s="44"/>
      <c r="B388" s="44"/>
      <c r="C388" s="44"/>
      <c r="D388" s="52"/>
      <c r="E388" s="52"/>
      <c r="F388" s="47" t="s">
        <v>27</v>
      </c>
      <c r="G388" s="48">
        <v>1.5</v>
      </c>
      <c r="H388" s="57">
        <f>VLOOKUP(F388,$A$9:$B$9,2,TRUE)</f>
        <v>1000</v>
      </c>
      <c r="I388" s="50">
        <f t="shared" si="1"/>
        <v>1500</v>
      </c>
      <c r="J388" s="52"/>
      <c r="K388" s="25"/>
      <c r="L388" s="25"/>
      <c r="M388" s="25"/>
      <c r="N388" s="25"/>
    </row>
    <row r="389" ht="15.75" customHeight="1">
      <c r="A389" s="44"/>
      <c r="B389" s="44"/>
      <c r="C389" s="44"/>
      <c r="D389" s="52"/>
      <c r="E389" s="52"/>
      <c r="F389" s="47" t="s">
        <v>28</v>
      </c>
      <c r="G389" s="48"/>
      <c r="H389" s="57">
        <f>VLOOKUP(F389,$A$10:$B$10,2,TRUE)</f>
        <v>2000</v>
      </c>
      <c r="I389" s="50">
        <f t="shared" si="1"/>
        <v>0</v>
      </c>
      <c r="J389" s="52"/>
      <c r="K389" s="25"/>
      <c r="L389" s="25"/>
      <c r="M389" s="25"/>
      <c r="N389" s="25"/>
    </row>
    <row r="390" ht="15.75" customHeight="1">
      <c r="A390" s="44"/>
      <c r="B390" s="44"/>
      <c r="C390" s="44"/>
      <c r="D390" s="52"/>
      <c r="E390" s="52"/>
      <c r="F390" s="47" t="s">
        <v>29</v>
      </c>
      <c r="G390" s="48"/>
      <c r="H390" s="57">
        <f>VLOOKUP(F390,$A$11:$B$11,2,TRUE)</f>
        <v>1500</v>
      </c>
      <c r="I390" s="50">
        <f t="shared" si="1"/>
        <v>0</v>
      </c>
      <c r="J390" s="52"/>
      <c r="K390" s="25"/>
      <c r="L390" s="25"/>
      <c r="M390" s="25"/>
      <c r="N390" s="25"/>
    </row>
    <row r="391" ht="15.75" customHeight="1">
      <c r="A391" s="44"/>
      <c r="B391" s="44"/>
      <c r="C391" s="44"/>
      <c r="D391" s="52"/>
      <c r="E391" s="52"/>
      <c r="F391" s="47" t="s">
        <v>30</v>
      </c>
      <c r="G391" s="48"/>
      <c r="H391" s="57">
        <f>VLOOKUP(F391,$A$12:$B$12,2,TRUE)</f>
        <v>1300</v>
      </c>
      <c r="I391" s="50">
        <f t="shared" si="1"/>
        <v>0</v>
      </c>
      <c r="J391" s="52"/>
      <c r="K391" s="25"/>
      <c r="L391" s="25"/>
      <c r="M391" s="25"/>
      <c r="N391" s="25"/>
    </row>
    <row r="392" ht="15.75" customHeight="1">
      <c r="A392" s="44"/>
      <c r="B392" s="44"/>
      <c r="C392" s="44"/>
      <c r="D392" s="52"/>
      <c r="E392" s="52"/>
      <c r="F392" s="47" t="s">
        <v>31</v>
      </c>
      <c r="G392" s="48"/>
      <c r="H392" s="57">
        <f>VLOOKUP(F392,$A$13:$B$13,2,TRUE)</f>
        <v>1000</v>
      </c>
      <c r="I392" s="50">
        <f t="shared" si="1"/>
        <v>0</v>
      </c>
      <c r="J392" s="52"/>
      <c r="K392" s="25"/>
      <c r="L392" s="25"/>
      <c r="M392" s="25"/>
      <c r="N392" s="25"/>
    </row>
    <row r="393" ht="15.75" customHeight="1">
      <c r="A393" s="44"/>
      <c r="B393" s="44"/>
      <c r="C393" s="44"/>
      <c r="D393" s="52"/>
      <c r="E393" s="52"/>
      <c r="F393" s="47" t="s">
        <v>32</v>
      </c>
      <c r="G393" s="48">
        <v>0.5</v>
      </c>
      <c r="H393" s="57">
        <f>VLOOKUP(F393,$A$14:$B$14,2,TRUE)</f>
        <v>500</v>
      </c>
      <c r="I393" s="50">
        <f t="shared" si="1"/>
        <v>250</v>
      </c>
      <c r="J393" s="52"/>
      <c r="K393" s="25"/>
      <c r="L393" s="25"/>
      <c r="M393" s="25"/>
      <c r="N393" s="25"/>
    </row>
    <row r="394" ht="15.75" customHeight="1">
      <c r="A394" s="44"/>
      <c r="B394" s="44"/>
      <c r="C394" s="44"/>
      <c r="D394" s="52"/>
      <c r="E394" s="52"/>
      <c r="F394" s="47" t="s">
        <v>33</v>
      </c>
      <c r="G394" s="48">
        <v>0.5</v>
      </c>
      <c r="H394" s="57">
        <f>VLOOKUP(F394,$A$15:$B$15,2,TRUE)</f>
        <v>7500</v>
      </c>
      <c r="I394" s="50">
        <f t="shared" si="1"/>
        <v>3750</v>
      </c>
      <c r="J394" s="52"/>
      <c r="K394" s="25"/>
      <c r="L394" s="25"/>
      <c r="M394" s="25"/>
      <c r="N394" s="25"/>
    </row>
    <row r="395" ht="15.75" customHeight="1">
      <c r="A395" s="44"/>
      <c r="B395" s="44"/>
      <c r="C395" s="44"/>
      <c r="D395" s="52"/>
      <c r="E395" s="52"/>
      <c r="F395" s="47" t="s">
        <v>34</v>
      </c>
      <c r="G395" s="48"/>
      <c r="H395" s="57">
        <f>VLOOKUP(F395,$A$16:$B$16,2,TRUE)</f>
        <v>2000</v>
      </c>
      <c r="I395" s="50">
        <f t="shared" si="1"/>
        <v>0</v>
      </c>
      <c r="J395" s="52"/>
      <c r="K395" s="25"/>
      <c r="L395" s="25"/>
      <c r="M395" s="25"/>
      <c r="N395" s="25"/>
    </row>
    <row r="396" ht="15.75" customHeight="1">
      <c r="A396" s="44"/>
      <c r="B396" s="44"/>
      <c r="C396" s="44"/>
      <c r="D396" s="52"/>
      <c r="E396" s="52"/>
      <c r="F396" s="47" t="s">
        <v>35</v>
      </c>
      <c r="G396" s="48">
        <v>0.5</v>
      </c>
      <c r="H396" s="57">
        <f>VLOOKUP(F396,$A$17:$B$17,2,TRUE)</f>
        <v>1000</v>
      </c>
      <c r="I396" s="50">
        <f t="shared" si="1"/>
        <v>500</v>
      </c>
      <c r="J396" s="52"/>
      <c r="K396" s="25"/>
      <c r="L396" s="25"/>
      <c r="M396" s="25"/>
      <c r="N396" s="25"/>
    </row>
    <row r="397" ht="15.75" customHeight="1">
      <c r="A397" s="44"/>
      <c r="B397" s="44"/>
      <c r="C397" s="44"/>
      <c r="D397" s="52"/>
      <c r="E397" s="52"/>
      <c r="F397" s="47" t="s">
        <v>36</v>
      </c>
      <c r="G397" s="48"/>
      <c r="H397" s="57">
        <f>VLOOKUP(F397,$A$18:$B$18,2,TRUE)</f>
        <v>5000</v>
      </c>
      <c r="I397" s="50">
        <f t="shared" si="1"/>
        <v>0</v>
      </c>
      <c r="J397" s="52"/>
      <c r="K397" s="25"/>
      <c r="L397" s="25"/>
      <c r="M397" s="25"/>
      <c r="N397" s="25"/>
    </row>
    <row r="398" ht="15.75" customHeight="1">
      <c r="A398" s="44"/>
      <c r="B398" s="44"/>
      <c r="C398" s="44"/>
      <c r="D398" s="52"/>
      <c r="E398" s="52"/>
      <c r="F398" s="47" t="s">
        <v>37</v>
      </c>
      <c r="G398" s="48">
        <v>0.5</v>
      </c>
      <c r="H398" s="57">
        <f>VLOOKUP(F398,$A$19:$B$19,2,TRUE)</f>
        <v>2700</v>
      </c>
      <c r="I398" s="50">
        <f t="shared" si="1"/>
        <v>1350</v>
      </c>
      <c r="J398" s="52"/>
      <c r="K398" s="25"/>
      <c r="L398" s="25"/>
      <c r="M398" s="25"/>
      <c r="N398" s="25"/>
    </row>
    <row r="399" ht="15.75" customHeight="1">
      <c r="A399" s="44"/>
      <c r="B399" s="44"/>
      <c r="C399" s="44"/>
      <c r="D399" s="52"/>
      <c r="E399" s="52"/>
      <c r="F399" s="47" t="s">
        <v>38</v>
      </c>
      <c r="G399" s="48"/>
      <c r="H399" s="57">
        <f>VLOOKUP(F399,$A$20:$B$20,2,TRUE)</f>
        <v>50000</v>
      </c>
      <c r="I399" s="50">
        <f t="shared" si="1"/>
        <v>0</v>
      </c>
      <c r="J399" s="52"/>
      <c r="K399" s="25"/>
      <c r="L399" s="25"/>
      <c r="M399" s="25"/>
      <c r="N399" s="25"/>
    </row>
    <row r="400" ht="15.75" customHeight="1">
      <c r="A400" s="44"/>
      <c r="B400" s="44"/>
      <c r="C400" s="44"/>
      <c r="D400" s="52"/>
      <c r="E400" s="52"/>
      <c r="F400" s="47" t="s">
        <v>39</v>
      </c>
      <c r="G400" s="48"/>
      <c r="H400" s="57">
        <f>VLOOKUP(F400,$A$21:$B$21,2,TRUE)</f>
        <v>10000</v>
      </c>
      <c r="I400" s="50">
        <f t="shared" si="1"/>
        <v>0</v>
      </c>
      <c r="J400" s="52"/>
      <c r="K400" s="25"/>
      <c r="L400" s="25"/>
      <c r="M400" s="25"/>
      <c r="N400" s="25"/>
    </row>
    <row r="401" ht="15.75" customHeight="1">
      <c r="A401" s="44"/>
      <c r="B401" s="44"/>
      <c r="C401" s="44"/>
      <c r="D401" s="52"/>
      <c r="E401" s="52"/>
      <c r="F401" s="47" t="s">
        <v>40</v>
      </c>
      <c r="G401" s="48"/>
      <c r="H401" s="57">
        <f>VLOOKUP(F401,$A$22:$B$22,2,TRUE)</f>
        <v>1000</v>
      </c>
      <c r="I401" s="50">
        <f t="shared" si="1"/>
        <v>0</v>
      </c>
      <c r="J401" s="52"/>
      <c r="K401" s="25"/>
      <c r="L401" s="25"/>
      <c r="M401" s="25"/>
      <c r="N401" s="25"/>
    </row>
    <row r="402" ht="15.75" customHeight="1">
      <c r="A402" s="44"/>
      <c r="B402" s="44"/>
      <c r="C402" s="44"/>
      <c r="D402" s="52"/>
      <c r="E402" s="52"/>
      <c r="F402" s="47" t="s">
        <v>41</v>
      </c>
      <c r="G402" s="48">
        <v>0.5</v>
      </c>
      <c r="H402" s="57">
        <f>VLOOKUP(F402,$A$23:$B$23,2,TRUE)</f>
        <v>500</v>
      </c>
      <c r="I402" s="50">
        <f t="shared" si="1"/>
        <v>250</v>
      </c>
      <c r="J402" s="52"/>
      <c r="K402" s="25"/>
      <c r="L402" s="25"/>
      <c r="M402" s="25"/>
      <c r="N402" s="25"/>
    </row>
    <row r="403" ht="15.75" customHeight="1">
      <c r="A403" s="44"/>
      <c r="B403" s="44"/>
      <c r="C403" s="44"/>
      <c r="D403" s="52"/>
      <c r="E403" s="52"/>
      <c r="F403" s="47" t="s">
        <v>42</v>
      </c>
      <c r="G403" s="48"/>
      <c r="H403" s="57">
        <f>VLOOKUP(F403,$A$24:$B$24,2,TRUE)</f>
        <v>200</v>
      </c>
      <c r="I403" s="50">
        <f t="shared" si="1"/>
        <v>0</v>
      </c>
      <c r="J403" s="52"/>
      <c r="K403" s="25"/>
      <c r="L403" s="25"/>
      <c r="M403" s="25"/>
      <c r="N403" s="25"/>
    </row>
    <row r="404" ht="15.75" customHeight="1">
      <c r="A404" s="44"/>
      <c r="B404" s="44"/>
      <c r="C404" s="44"/>
      <c r="D404" s="52"/>
      <c r="E404" s="52"/>
      <c r="F404" s="47" t="s">
        <v>43</v>
      </c>
      <c r="G404" s="48"/>
      <c r="H404" s="57">
        <f>VLOOKUP(F404,$A$25:$B$25,2,TRUE)</f>
        <v>1000</v>
      </c>
      <c r="I404" s="50">
        <f t="shared" si="1"/>
        <v>0</v>
      </c>
      <c r="J404" s="52"/>
      <c r="K404" s="25"/>
      <c r="L404" s="25"/>
      <c r="M404" s="25"/>
      <c r="N404" s="25"/>
    </row>
    <row r="405" ht="15.75" customHeight="1">
      <c r="A405" s="44"/>
      <c r="B405" s="44"/>
      <c r="C405" s="44"/>
      <c r="D405" s="52"/>
      <c r="E405" s="52"/>
      <c r="F405" s="47" t="s">
        <v>18</v>
      </c>
      <c r="G405" s="48"/>
      <c r="H405" s="57">
        <f>VLOOKUP(F405,$A$26:$B$26,2,TRUE)</f>
        <v>300</v>
      </c>
      <c r="I405" s="50">
        <f t="shared" si="1"/>
        <v>0</v>
      </c>
      <c r="J405" s="52"/>
      <c r="K405" s="25"/>
      <c r="L405" s="25"/>
      <c r="M405" s="25"/>
      <c r="N405" s="25"/>
    </row>
    <row r="406" ht="15.75" customHeight="1">
      <c r="A406" s="44"/>
      <c r="B406" s="44"/>
      <c r="C406" s="44"/>
      <c r="D406" s="52"/>
      <c r="E406" s="52"/>
      <c r="F406" s="47" t="s">
        <v>44</v>
      </c>
      <c r="G406" s="48"/>
      <c r="H406" s="57">
        <f>VLOOKUP(F406,$A$27:$B$27,2,TRUE)</f>
        <v>100</v>
      </c>
      <c r="I406" s="50">
        <f t="shared" si="1"/>
        <v>0</v>
      </c>
      <c r="J406" s="52"/>
      <c r="K406" s="25"/>
      <c r="L406" s="25"/>
      <c r="M406" s="25"/>
      <c r="N406" s="25"/>
    </row>
    <row r="407" ht="15.75" customHeight="1">
      <c r="A407" s="44"/>
      <c r="B407" s="44"/>
      <c r="C407" s="44"/>
      <c r="D407" s="52"/>
      <c r="E407" s="52"/>
      <c r="F407" s="47" t="s">
        <v>13</v>
      </c>
      <c r="G407" s="48"/>
      <c r="H407" s="57">
        <f>VLOOKUP(F407,$A$28:$B$28,2,TRUE)</f>
        <v>1500</v>
      </c>
      <c r="I407" s="50">
        <f t="shared" si="1"/>
        <v>0</v>
      </c>
      <c r="J407" s="52"/>
      <c r="K407" s="25"/>
      <c r="L407" s="25"/>
      <c r="M407" s="25"/>
      <c r="N407" s="25"/>
    </row>
    <row r="408" ht="15.75" customHeight="1">
      <c r="A408" s="44"/>
      <c r="B408" s="44"/>
      <c r="C408" s="44"/>
      <c r="D408" s="52"/>
      <c r="E408" s="52"/>
      <c r="F408" s="47" t="s">
        <v>20</v>
      </c>
      <c r="G408" s="48"/>
      <c r="H408" s="57">
        <f>VLOOKUP(F408,$A$29:$B$29,2,TRUE)</f>
        <v>3500</v>
      </c>
      <c r="I408" s="50">
        <f t="shared" si="1"/>
        <v>0</v>
      </c>
      <c r="J408" s="52"/>
      <c r="K408" s="25"/>
      <c r="L408" s="25"/>
      <c r="M408" s="25"/>
      <c r="N408" s="25"/>
    </row>
    <row r="409" ht="15.75" customHeight="1">
      <c r="A409" s="44"/>
      <c r="B409" s="44"/>
      <c r="C409" s="44"/>
      <c r="D409" s="13"/>
      <c r="E409" s="13"/>
      <c r="F409" s="47" t="s">
        <v>60</v>
      </c>
      <c r="G409" s="48">
        <v>1.0</v>
      </c>
      <c r="H409" s="57">
        <f>VLOOKUP(F409,$A$30:$B$30,2,TRUE)</f>
        <v>0</v>
      </c>
      <c r="I409" s="50">
        <f t="shared" si="1"/>
        <v>0</v>
      </c>
      <c r="J409" s="13"/>
      <c r="K409" s="25"/>
      <c r="L409" s="25"/>
      <c r="M409" s="25"/>
      <c r="N409" s="25"/>
    </row>
    <row r="410" ht="15.75" customHeight="1">
      <c r="A410" s="44"/>
      <c r="B410" s="44"/>
      <c r="C410" s="44"/>
      <c r="D410" s="45">
        <v>16.0</v>
      </c>
      <c r="E410" s="66" t="s">
        <v>110</v>
      </c>
      <c r="F410" s="47" t="s">
        <v>22</v>
      </c>
      <c r="G410" s="48"/>
      <c r="H410" s="57">
        <f>VLOOKUP(F410,$A$4:$B$4,2,TRUE)</f>
        <v>4500</v>
      </c>
      <c r="I410" s="50">
        <f t="shared" si="1"/>
        <v>0</v>
      </c>
      <c r="J410" s="51">
        <f>SUM(I410:I436)</f>
        <v>2400</v>
      </c>
      <c r="K410" s="25"/>
      <c r="L410" s="25"/>
      <c r="M410" s="25"/>
      <c r="N410" s="25"/>
    </row>
    <row r="411" ht="15.75" customHeight="1">
      <c r="A411" s="44"/>
      <c r="B411" s="44"/>
      <c r="C411" s="44"/>
      <c r="D411" s="52"/>
      <c r="E411" s="52"/>
      <c r="F411" s="47" t="s">
        <v>57</v>
      </c>
      <c r="G411" s="48"/>
      <c r="H411" s="57">
        <f>VLOOKUP(F411,$A$5:$B$5,2,TRUE)</f>
        <v>3000</v>
      </c>
      <c r="I411" s="50">
        <f t="shared" si="1"/>
        <v>0</v>
      </c>
      <c r="J411" s="52"/>
      <c r="K411" s="25"/>
      <c r="L411" s="25"/>
      <c r="M411" s="25"/>
      <c r="N411" s="25"/>
    </row>
    <row r="412" ht="15.75" customHeight="1">
      <c r="A412" s="44"/>
      <c r="B412" s="44"/>
      <c r="C412" s="44"/>
      <c r="D412" s="52"/>
      <c r="E412" s="52"/>
      <c r="F412" s="47" t="s">
        <v>59</v>
      </c>
      <c r="G412" s="48"/>
      <c r="H412" s="57">
        <f>VLOOKUP(F412,$A$6:$B$6,2,TRUE)</f>
        <v>1000</v>
      </c>
      <c r="I412" s="50">
        <f t="shared" si="1"/>
        <v>0</v>
      </c>
      <c r="J412" s="52"/>
      <c r="K412" s="25"/>
      <c r="L412" s="25"/>
      <c r="M412" s="25"/>
      <c r="N412" s="25"/>
    </row>
    <row r="413" ht="15.75" customHeight="1">
      <c r="A413" s="44"/>
      <c r="B413" s="44"/>
      <c r="C413" s="44"/>
      <c r="D413" s="52"/>
      <c r="E413" s="52"/>
      <c r="F413" s="47" t="s">
        <v>25</v>
      </c>
      <c r="G413" s="48">
        <v>0.5</v>
      </c>
      <c r="H413" s="57">
        <f>VLOOKUP(F413,$A$7:$B$7,2,TRUE)</f>
        <v>2800</v>
      </c>
      <c r="I413" s="50">
        <f t="shared" si="1"/>
        <v>1400</v>
      </c>
      <c r="J413" s="52"/>
      <c r="K413" s="25"/>
      <c r="L413" s="25"/>
      <c r="M413" s="25"/>
      <c r="N413" s="25"/>
    </row>
    <row r="414" ht="15.75" customHeight="1">
      <c r="A414" s="44"/>
      <c r="B414" s="44"/>
      <c r="C414" s="44"/>
      <c r="D414" s="52"/>
      <c r="E414" s="52"/>
      <c r="F414" s="47" t="s">
        <v>26</v>
      </c>
      <c r="G414" s="48"/>
      <c r="H414" s="57">
        <f>VLOOKUP(F414,$A$8:$B$8,2,TRUE)</f>
        <v>3500</v>
      </c>
      <c r="I414" s="50">
        <f t="shared" si="1"/>
        <v>0</v>
      </c>
      <c r="J414" s="52"/>
      <c r="K414" s="25"/>
      <c r="L414" s="25"/>
      <c r="M414" s="25"/>
      <c r="N414" s="25"/>
    </row>
    <row r="415" ht="15.75" customHeight="1">
      <c r="A415" s="44"/>
      <c r="B415" s="44"/>
      <c r="C415" s="44"/>
      <c r="D415" s="52"/>
      <c r="E415" s="52"/>
      <c r="F415" s="47" t="s">
        <v>27</v>
      </c>
      <c r="G415" s="48"/>
      <c r="H415" s="57">
        <f>VLOOKUP(F415,$A$9:$B$9,2,TRUE)</f>
        <v>1000</v>
      </c>
      <c r="I415" s="50">
        <f t="shared" si="1"/>
        <v>0</v>
      </c>
      <c r="J415" s="52"/>
      <c r="K415" s="25"/>
      <c r="L415" s="25"/>
      <c r="M415" s="25"/>
      <c r="N415" s="25"/>
    </row>
    <row r="416" ht="15.75" customHeight="1">
      <c r="A416" s="44"/>
      <c r="B416" s="44"/>
      <c r="C416" s="44"/>
      <c r="D416" s="52"/>
      <c r="E416" s="52"/>
      <c r="F416" s="47" t="s">
        <v>28</v>
      </c>
      <c r="G416" s="48"/>
      <c r="H416" s="57">
        <f>VLOOKUP(F416,$A$10:$B$10,2,TRUE)</f>
        <v>2000</v>
      </c>
      <c r="I416" s="50">
        <f t="shared" si="1"/>
        <v>0</v>
      </c>
      <c r="J416" s="52"/>
      <c r="K416" s="25"/>
      <c r="L416" s="25"/>
      <c r="M416" s="25"/>
      <c r="N416" s="25"/>
    </row>
    <row r="417" ht="15.75" customHeight="1">
      <c r="A417" s="44"/>
      <c r="B417" s="44"/>
      <c r="C417" s="44"/>
      <c r="D417" s="52"/>
      <c r="E417" s="52"/>
      <c r="F417" s="47" t="s">
        <v>29</v>
      </c>
      <c r="G417" s="48"/>
      <c r="H417" s="57">
        <f>VLOOKUP(F417,$A$11:$B$11,2,TRUE)</f>
        <v>1500</v>
      </c>
      <c r="I417" s="50">
        <f t="shared" si="1"/>
        <v>0</v>
      </c>
      <c r="J417" s="52"/>
      <c r="K417" s="25"/>
      <c r="L417" s="25"/>
      <c r="M417" s="25"/>
      <c r="N417" s="25"/>
    </row>
    <row r="418" ht="15.75" customHeight="1">
      <c r="A418" s="44"/>
      <c r="B418" s="44"/>
      <c r="C418" s="44"/>
      <c r="D418" s="52"/>
      <c r="E418" s="52"/>
      <c r="F418" s="47" t="s">
        <v>30</v>
      </c>
      <c r="G418" s="48"/>
      <c r="H418" s="57">
        <f>VLOOKUP(F418,$A$12:$B$12,2,TRUE)</f>
        <v>1300</v>
      </c>
      <c r="I418" s="50">
        <f t="shared" si="1"/>
        <v>0</v>
      </c>
      <c r="J418" s="52"/>
      <c r="K418" s="25"/>
      <c r="L418" s="25"/>
      <c r="M418" s="25"/>
      <c r="N418" s="25"/>
    </row>
    <row r="419" ht="15.75" customHeight="1">
      <c r="A419" s="44"/>
      <c r="B419" s="44"/>
      <c r="C419" s="44"/>
      <c r="D419" s="52"/>
      <c r="E419" s="52"/>
      <c r="F419" s="47" t="s">
        <v>31</v>
      </c>
      <c r="G419" s="48"/>
      <c r="H419" s="57">
        <f>VLOOKUP(F419,$A$13:$B$13,2,TRUE)</f>
        <v>1000</v>
      </c>
      <c r="I419" s="50">
        <f t="shared" si="1"/>
        <v>0</v>
      </c>
      <c r="J419" s="52"/>
      <c r="K419" s="25"/>
      <c r="L419" s="25"/>
      <c r="M419" s="25"/>
      <c r="N419" s="25"/>
    </row>
    <row r="420" ht="15.75" customHeight="1">
      <c r="A420" s="44"/>
      <c r="B420" s="44"/>
      <c r="C420" s="44"/>
      <c r="D420" s="52"/>
      <c r="E420" s="52"/>
      <c r="F420" s="47" t="s">
        <v>32</v>
      </c>
      <c r="G420" s="48"/>
      <c r="H420" s="57">
        <f>VLOOKUP(F420,$A$14:$B$14,2,TRUE)</f>
        <v>500</v>
      </c>
      <c r="I420" s="50">
        <f t="shared" si="1"/>
        <v>0</v>
      </c>
      <c r="J420" s="52"/>
      <c r="K420" s="25"/>
      <c r="L420" s="25"/>
      <c r="M420" s="25"/>
      <c r="N420" s="25"/>
    </row>
    <row r="421" ht="15.75" customHeight="1">
      <c r="A421" s="44"/>
      <c r="B421" s="44"/>
      <c r="C421" s="44"/>
      <c r="D421" s="52"/>
      <c r="E421" s="52"/>
      <c r="F421" s="47" t="s">
        <v>33</v>
      </c>
      <c r="G421" s="48"/>
      <c r="H421" s="57">
        <f>VLOOKUP(F421,$A$15:$B$15,2,TRUE)</f>
        <v>7500</v>
      </c>
      <c r="I421" s="50">
        <f t="shared" si="1"/>
        <v>0</v>
      </c>
      <c r="J421" s="52"/>
      <c r="K421" s="25"/>
      <c r="L421" s="25"/>
      <c r="M421" s="25"/>
      <c r="N421" s="25"/>
    </row>
    <row r="422" ht="15.75" customHeight="1">
      <c r="A422" s="44"/>
      <c r="B422" s="44"/>
      <c r="C422" s="44"/>
      <c r="D422" s="52"/>
      <c r="E422" s="52"/>
      <c r="F422" s="47" t="s">
        <v>34</v>
      </c>
      <c r="G422" s="48"/>
      <c r="H422" s="57">
        <f>VLOOKUP(F422,$A$16:$B$16,2,TRUE)</f>
        <v>2000</v>
      </c>
      <c r="I422" s="50">
        <f t="shared" si="1"/>
        <v>0</v>
      </c>
      <c r="J422" s="52"/>
      <c r="K422" s="25"/>
      <c r="L422" s="25"/>
      <c r="M422" s="25"/>
      <c r="N422" s="25"/>
    </row>
    <row r="423" ht="15.75" customHeight="1">
      <c r="A423" s="44"/>
      <c r="B423" s="44"/>
      <c r="C423" s="44"/>
      <c r="D423" s="52"/>
      <c r="E423" s="52"/>
      <c r="F423" s="47" t="s">
        <v>35</v>
      </c>
      <c r="G423" s="48"/>
      <c r="H423" s="57">
        <f>VLOOKUP(F423,$A$17:$B$17,2,TRUE)</f>
        <v>1000</v>
      </c>
      <c r="I423" s="50">
        <f t="shared" si="1"/>
        <v>0</v>
      </c>
      <c r="J423" s="52"/>
      <c r="K423" s="25"/>
      <c r="L423" s="25"/>
      <c r="M423" s="25"/>
      <c r="N423" s="25"/>
    </row>
    <row r="424" ht="15.75" customHeight="1">
      <c r="A424" s="44"/>
      <c r="B424" s="44"/>
      <c r="C424" s="44"/>
      <c r="D424" s="52"/>
      <c r="E424" s="52"/>
      <c r="F424" s="47" t="s">
        <v>36</v>
      </c>
      <c r="G424" s="48"/>
      <c r="H424" s="57">
        <f>VLOOKUP(F424,$A$18:$B$18,2,TRUE)</f>
        <v>5000</v>
      </c>
      <c r="I424" s="50">
        <f t="shared" si="1"/>
        <v>0</v>
      </c>
      <c r="J424" s="52"/>
      <c r="K424" s="25"/>
      <c r="L424" s="25"/>
      <c r="M424" s="25"/>
      <c r="N424" s="25"/>
    </row>
    <row r="425" ht="15.75" customHeight="1">
      <c r="A425" s="44"/>
      <c r="B425" s="44"/>
      <c r="C425" s="44"/>
      <c r="D425" s="52"/>
      <c r="E425" s="52"/>
      <c r="F425" s="47" t="s">
        <v>37</v>
      </c>
      <c r="G425" s="48"/>
      <c r="H425" s="57">
        <f>VLOOKUP(F425,$A$19:$B$19,2,TRUE)</f>
        <v>2700</v>
      </c>
      <c r="I425" s="50">
        <f t="shared" si="1"/>
        <v>0</v>
      </c>
      <c r="J425" s="52"/>
      <c r="K425" s="25"/>
      <c r="L425" s="25"/>
      <c r="M425" s="25"/>
      <c r="N425" s="25"/>
    </row>
    <row r="426" ht="15.75" customHeight="1">
      <c r="A426" s="44"/>
      <c r="B426" s="44"/>
      <c r="C426" s="44"/>
      <c r="D426" s="52"/>
      <c r="E426" s="52"/>
      <c r="F426" s="47" t="s">
        <v>38</v>
      </c>
      <c r="G426" s="48"/>
      <c r="H426" s="57">
        <f>VLOOKUP(F426,$A$20:$B$20,2,TRUE)</f>
        <v>50000</v>
      </c>
      <c r="I426" s="50">
        <f t="shared" si="1"/>
        <v>0</v>
      </c>
      <c r="J426" s="52"/>
      <c r="K426" s="25"/>
      <c r="L426" s="25"/>
      <c r="M426" s="25"/>
      <c r="N426" s="25"/>
    </row>
    <row r="427" ht="15.75" customHeight="1">
      <c r="A427" s="44"/>
      <c r="B427" s="44"/>
      <c r="C427" s="44"/>
      <c r="D427" s="52"/>
      <c r="E427" s="52"/>
      <c r="F427" s="47" t="s">
        <v>39</v>
      </c>
      <c r="G427" s="48"/>
      <c r="H427" s="57">
        <f>VLOOKUP(F427,$A$21:$B$21,2,TRUE)</f>
        <v>10000</v>
      </c>
      <c r="I427" s="50">
        <f t="shared" si="1"/>
        <v>0</v>
      </c>
      <c r="J427" s="52"/>
      <c r="K427" s="25"/>
      <c r="L427" s="25"/>
      <c r="M427" s="25"/>
      <c r="N427" s="25"/>
    </row>
    <row r="428" ht="15.75" customHeight="1">
      <c r="A428" s="44"/>
      <c r="B428" s="44"/>
      <c r="C428" s="44"/>
      <c r="D428" s="52"/>
      <c r="E428" s="52"/>
      <c r="F428" s="47" t="s">
        <v>40</v>
      </c>
      <c r="G428" s="48"/>
      <c r="H428" s="57">
        <f>VLOOKUP(F428,$A$22:$B$22,2,TRUE)</f>
        <v>1000</v>
      </c>
      <c r="I428" s="50">
        <f t="shared" si="1"/>
        <v>0</v>
      </c>
      <c r="J428" s="52"/>
      <c r="K428" s="25"/>
      <c r="L428" s="25"/>
      <c r="M428" s="25"/>
      <c r="N428" s="25"/>
    </row>
    <row r="429" ht="15.75" customHeight="1">
      <c r="A429" s="44"/>
      <c r="B429" s="44"/>
      <c r="C429" s="44"/>
      <c r="D429" s="52"/>
      <c r="E429" s="52"/>
      <c r="F429" s="47" t="s">
        <v>41</v>
      </c>
      <c r="G429" s="48">
        <v>2.0</v>
      </c>
      <c r="H429" s="57">
        <f>VLOOKUP(F429,$A$23:$B$23,2,TRUE)</f>
        <v>500</v>
      </c>
      <c r="I429" s="50">
        <f t="shared" si="1"/>
        <v>1000</v>
      </c>
      <c r="J429" s="52"/>
      <c r="K429" s="25"/>
      <c r="L429" s="25"/>
      <c r="M429" s="25"/>
      <c r="N429" s="25"/>
    </row>
    <row r="430" ht="15.75" customHeight="1">
      <c r="A430" s="44"/>
      <c r="B430" s="44"/>
      <c r="C430" s="44"/>
      <c r="D430" s="52"/>
      <c r="E430" s="52"/>
      <c r="F430" s="47" t="s">
        <v>42</v>
      </c>
      <c r="G430" s="48"/>
      <c r="H430" s="57">
        <f>VLOOKUP(F430,$A$24:$B$24,2,TRUE)</f>
        <v>200</v>
      </c>
      <c r="I430" s="50">
        <f t="shared" si="1"/>
        <v>0</v>
      </c>
      <c r="J430" s="52"/>
      <c r="K430" s="25"/>
      <c r="L430" s="25"/>
      <c r="M430" s="25"/>
      <c r="N430" s="25"/>
    </row>
    <row r="431" ht="15.75" customHeight="1">
      <c r="A431" s="44"/>
      <c r="B431" s="44"/>
      <c r="C431" s="44"/>
      <c r="D431" s="52"/>
      <c r="E431" s="52"/>
      <c r="F431" s="47" t="s">
        <v>43</v>
      </c>
      <c r="G431" s="48"/>
      <c r="H431" s="57">
        <f>VLOOKUP(F431,$A$25:$B$25,2,TRUE)</f>
        <v>1000</v>
      </c>
      <c r="I431" s="50">
        <f t="shared" si="1"/>
        <v>0</v>
      </c>
      <c r="J431" s="52"/>
      <c r="K431" s="25"/>
      <c r="L431" s="25"/>
      <c r="M431" s="25"/>
      <c r="N431" s="25"/>
    </row>
    <row r="432" ht="15.75" customHeight="1">
      <c r="A432" s="44"/>
      <c r="B432" s="44"/>
      <c r="C432" s="44"/>
      <c r="D432" s="52"/>
      <c r="E432" s="52"/>
      <c r="F432" s="47" t="s">
        <v>18</v>
      </c>
      <c r="G432" s="48"/>
      <c r="H432" s="57">
        <f>VLOOKUP(F432,$A$26:$B$26,2,TRUE)</f>
        <v>300</v>
      </c>
      <c r="I432" s="50">
        <f t="shared" si="1"/>
        <v>0</v>
      </c>
      <c r="J432" s="52"/>
      <c r="K432" s="25"/>
      <c r="L432" s="25"/>
      <c r="M432" s="25"/>
      <c r="N432" s="25"/>
    </row>
    <row r="433" ht="15.75" customHeight="1">
      <c r="A433" s="44"/>
      <c r="B433" s="44"/>
      <c r="C433" s="44"/>
      <c r="D433" s="52"/>
      <c r="E433" s="52"/>
      <c r="F433" s="47" t="s">
        <v>44</v>
      </c>
      <c r="G433" s="48"/>
      <c r="H433" s="57">
        <f>VLOOKUP(F433,$A$27:$B$27,2,TRUE)</f>
        <v>100</v>
      </c>
      <c r="I433" s="50">
        <f t="shared" si="1"/>
        <v>0</v>
      </c>
      <c r="J433" s="52"/>
      <c r="K433" s="25"/>
      <c r="L433" s="25"/>
      <c r="M433" s="25"/>
      <c r="N433" s="25"/>
    </row>
    <row r="434" ht="15.75" customHeight="1">
      <c r="A434" s="44"/>
      <c r="B434" s="44"/>
      <c r="C434" s="44"/>
      <c r="D434" s="52"/>
      <c r="E434" s="52"/>
      <c r="F434" s="47" t="s">
        <v>13</v>
      </c>
      <c r="G434" s="48"/>
      <c r="H434" s="57">
        <f>VLOOKUP(F434,$A$28:$B$28,2,TRUE)</f>
        <v>1500</v>
      </c>
      <c r="I434" s="50">
        <f t="shared" si="1"/>
        <v>0</v>
      </c>
      <c r="J434" s="52"/>
      <c r="K434" s="25"/>
      <c r="L434" s="25"/>
      <c r="M434" s="25"/>
      <c r="N434" s="25"/>
    </row>
    <row r="435" ht="15.75" customHeight="1">
      <c r="A435" s="44"/>
      <c r="B435" s="44"/>
      <c r="C435" s="44"/>
      <c r="D435" s="52"/>
      <c r="E435" s="52"/>
      <c r="F435" s="47" t="s">
        <v>20</v>
      </c>
      <c r="G435" s="48"/>
      <c r="H435" s="57">
        <f>VLOOKUP(F435,$A$29:$B$29,2,TRUE)</f>
        <v>3500</v>
      </c>
      <c r="I435" s="50">
        <f t="shared" si="1"/>
        <v>0</v>
      </c>
      <c r="J435" s="52"/>
      <c r="K435" s="25"/>
      <c r="L435" s="25"/>
      <c r="M435" s="25"/>
      <c r="N435" s="25"/>
    </row>
    <row r="436" ht="15.75" customHeight="1">
      <c r="A436" s="44"/>
      <c r="B436" s="44"/>
      <c r="C436" s="44"/>
      <c r="D436" s="13"/>
      <c r="E436" s="13"/>
      <c r="F436" s="47" t="s">
        <v>60</v>
      </c>
      <c r="G436" s="48">
        <v>4.5</v>
      </c>
      <c r="H436" s="57">
        <f>VLOOKUP(F436,$A$30:$B$30,2,TRUE)</f>
        <v>0</v>
      </c>
      <c r="I436" s="50">
        <f t="shared" si="1"/>
        <v>0</v>
      </c>
      <c r="J436" s="13"/>
      <c r="K436" s="25"/>
      <c r="L436" s="25"/>
      <c r="M436" s="25"/>
      <c r="N436" s="25"/>
    </row>
    <row r="437" ht="15.75" customHeight="1">
      <c r="A437" s="44"/>
      <c r="B437" s="44"/>
      <c r="C437" s="44"/>
      <c r="D437" s="60" t="s">
        <v>68</v>
      </c>
      <c r="E437" s="61"/>
      <c r="F437" s="61"/>
      <c r="G437" s="61"/>
      <c r="H437" s="61"/>
      <c r="I437" s="62"/>
      <c r="J437" s="63">
        <f>SUM(J5:J436)</f>
        <v>229550</v>
      </c>
      <c r="K437" s="25"/>
      <c r="L437" s="25"/>
      <c r="M437" s="25"/>
      <c r="N437" s="25"/>
    </row>
    <row r="438" ht="15.75" customHeight="1">
      <c r="A438" s="24"/>
      <c r="B438" s="24"/>
      <c r="C438" s="24"/>
      <c r="D438" s="24"/>
      <c r="E438" s="24"/>
      <c r="F438" s="25"/>
      <c r="G438" s="25"/>
      <c r="H438" s="25"/>
      <c r="I438" s="25"/>
      <c r="J438" s="26"/>
      <c r="K438" s="25"/>
      <c r="L438" s="25"/>
      <c r="M438" s="25"/>
      <c r="N438" s="25"/>
    </row>
    <row r="439" ht="15.75" customHeight="1">
      <c r="A439" s="24"/>
      <c r="B439" s="24"/>
      <c r="C439" s="24"/>
      <c r="D439" s="24"/>
      <c r="E439" s="24"/>
      <c r="F439" s="25"/>
      <c r="G439" s="25"/>
      <c r="H439" s="25"/>
      <c r="I439" s="25"/>
      <c r="J439" s="26"/>
      <c r="K439" s="25"/>
      <c r="L439" s="25"/>
      <c r="M439" s="25"/>
      <c r="N439" s="25"/>
    </row>
    <row r="440" ht="15.75" customHeight="1">
      <c r="A440" s="24"/>
      <c r="B440" s="24"/>
      <c r="C440" s="24"/>
      <c r="D440" s="24"/>
      <c r="E440" s="24"/>
      <c r="F440" s="25"/>
      <c r="G440" s="25"/>
      <c r="H440" s="25"/>
      <c r="I440" s="25"/>
      <c r="J440" s="26"/>
      <c r="K440" s="25"/>
      <c r="L440" s="25"/>
      <c r="M440" s="25"/>
      <c r="N440" s="25"/>
    </row>
    <row r="441" ht="15.75" customHeight="1">
      <c r="A441" s="24"/>
      <c r="B441" s="24"/>
      <c r="C441" s="24"/>
      <c r="D441" s="24"/>
      <c r="E441" s="24"/>
      <c r="F441" s="25"/>
      <c r="G441" s="25"/>
      <c r="H441" s="25"/>
      <c r="I441" s="25"/>
      <c r="J441" s="26"/>
      <c r="K441" s="25"/>
      <c r="L441" s="25"/>
      <c r="M441" s="25"/>
      <c r="N441" s="25"/>
    </row>
    <row r="442" ht="15.75" customHeight="1">
      <c r="A442" s="24"/>
      <c r="B442" s="24"/>
      <c r="C442" s="24"/>
      <c r="D442" s="24"/>
      <c r="E442" s="24"/>
      <c r="F442" s="25"/>
      <c r="G442" s="25"/>
      <c r="H442" s="25"/>
      <c r="I442" s="25"/>
      <c r="J442" s="26"/>
      <c r="K442" s="25"/>
      <c r="L442" s="25"/>
      <c r="M442" s="25"/>
      <c r="N442" s="25"/>
    </row>
    <row r="443" ht="15.75" customHeight="1">
      <c r="A443" s="24"/>
      <c r="B443" s="24"/>
      <c r="C443" s="24"/>
      <c r="D443" s="24"/>
      <c r="E443" s="24"/>
      <c r="F443" s="25"/>
      <c r="G443" s="25"/>
      <c r="H443" s="25"/>
      <c r="I443" s="25"/>
      <c r="J443" s="26"/>
      <c r="K443" s="25"/>
      <c r="L443" s="25"/>
      <c r="M443" s="25"/>
      <c r="N443" s="25"/>
    </row>
    <row r="444" ht="15.75" customHeight="1">
      <c r="A444" s="24"/>
      <c r="B444" s="24"/>
      <c r="C444" s="24"/>
      <c r="D444" s="24"/>
      <c r="E444" s="24"/>
      <c r="F444" s="25"/>
      <c r="G444" s="25"/>
      <c r="H444" s="25"/>
      <c r="I444" s="25"/>
      <c r="J444" s="26"/>
      <c r="K444" s="25"/>
      <c r="L444" s="25"/>
      <c r="M444" s="25"/>
      <c r="N444" s="25"/>
    </row>
    <row r="445" ht="15.75" customHeight="1">
      <c r="A445" s="24"/>
      <c r="B445" s="24"/>
      <c r="C445" s="24"/>
      <c r="D445" s="24"/>
      <c r="E445" s="24"/>
      <c r="F445" s="25"/>
      <c r="G445" s="25"/>
      <c r="H445" s="25"/>
      <c r="I445" s="25"/>
      <c r="J445" s="26"/>
      <c r="K445" s="25"/>
      <c r="L445" s="25"/>
      <c r="M445" s="25"/>
      <c r="N445" s="25"/>
    </row>
    <row r="446" ht="15.75" customHeight="1">
      <c r="A446" s="24"/>
      <c r="B446" s="24"/>
      <c r="C446" s="24"/>
      <c r="D446" s="24"/>
      <c r="E446" s="24"/>
      <c r="J446" s="26"/>
    </row>
    <row r="447" ht="15.75" customHeight="1">
      <c r="A447" s="24"/>
      <c r="B447" s="24"/>
      <c r="C447" s="24"/>
      <c r="D447" s="24"/>
      <c r="E447" s="24"/>
      <c r="J447" s="26"/>
    </row>
    <row r="448" ht="15.75" customHeight="1">
      <c r="A448" s="24"/>
      <c r="B448" s="24"/>
      <c r="C448" s="24"/>
      <c r="D448" s="24"/>
      <c r="E448" s="24"/>
      <c r="J448" s="26"/>
    </row>
    <row r="449" ht="15.75" customHeight="1">
      <c r="A449" s="24"/>
      <c r="B449" s="24"/>
      <c r="C449" s="24"/>
      <c r="D449" s="24"/>
      <c r="E449" s="24"/>
      <c r="J449" s="26"/>
    </row>
    <row r="450" ht="15.75" customHeight="1">
      <c r="A450" s="24"/>
      <c r="B450" s="24"/>
      <c r="C450" s="24"/>
      <c r="D450" s="24"/>
      <c r="E450" s="24"/>
      <c r="J450" s="26"/>
    </row>
    <row r="451" ht="15.75" customHeight="1">
      <c r="A451" s="24"/>
      <c r="B451" s="24"/>
      <c r="C451" s="24"/>
      <c r="D451" s="24"/>
      <c r="E451" s="24"/>
      <c r="J451" s="26"/>
    </row>
    <row r="452" ht="15.75" customHeight="1">
      <c r="A452" s="24"/>
      <c r="B452" s="24"/>
      <c r="C452" s="24"/>
      <c r="D452" s="24"/>
      <c r="E452" s="24"/>
      <c r="J452" s="26"/>
    </row>
    <row r="453" ht="15.75" customHeight="1">
      <c r="A453" s="24"/>
      <c r="B453" s="24"/>
      <c r="C453" s="24"/>
      <c r="D453" s="24"/>
      <c r="E453" s="24"/>
      <c r="J453" s="26"/>
    </row>
    <row r="454" ht="15.75" customHeight="1">
      <c r="A454" s="24"/>
      <c r="B454" s="24"/>
      <c r="C454" s="24"/>
      <c r="D454" s="24"/>
      <c r="E454" s="24"/>
      <c r="J454" s="26"/>
    </row>
    <row r="455" ht="15.75" customHeight="1">
      <c r="A455" s="24"/>
      <c r="B455" s="24"/>
      <c r="C455" s="24"/>
      <c r="D455" s="24"/>
      <c r="E455" s="24"/>
      <c r="J455" s="26"/>
    </row>
    <row r="456" ht="15.75" customHeight="1">
      <c r="A456" s="24"/>
      <c r="B456" s="24"/>
      <c r="C456" s="24"/>
      <c r="D456" s="24"/>
      <c r="E456" s="24"/>
      <c r="J456" s="26"/>
    </row>
    <row r="457" ht="15.75" customHeight="1">
      <c r="A457" s="24"/>
      <c r="B457" s="24"/>
      <c r="C457" s="24"/>
      <c r="D457" s="24"/>
      <c r="E457" s="24"/>
      <c r="J457" s="26"/>
    </row>
    <row r="458" ht="15.75" customHeight="1">
      <c r="A458" s="24"/>
      <c r="B458" s="24"/>
      <c r="C458" s="24"/>
      <c r="D458" s="24"/>
      <c r="E458" s="24"/>
      <c r="J458" s="26"/>
    </row>
    <row r="459" ht="15.75" customHeight="1">
      <c r="A459" s="24"/>
      <c r="B459" s="24"/>
      <c r="C459" s="24"/>
      <c r="D459" s="24"/>
      <c r="E459" s="24"/>
      <c r="J459" s="26"/>
    </row>
    <row r="460" ht="15.75" customHeight="1">
      <c r="A460" s="24"/>
      <c r="B460" s="24"/>
      <c r="C460" s="24"/>
      <c r="D460" s="24"/>
      <c r="E460" s="24"/>
      <c r="J460" s="26"/>
    </row>
    <row r="461" ht="15.75" customHeight="1">
      <c r="A461" s="24"/>
      <c r="B461" s="24"/>
      <c r="C461" s="24"/>
      <c r="D461" s="24"/>
      <c r="E461" s="24"/>
      <c r="J461" s="26"/>
    </row>
    <row r="462" ht="15.75" customHeight="1">
      <c r="A462" s="24"/>
      <c r="B462" s="24"/>
      <c r="C462" s="24"/>
      <c r="D462" s="24"/>
      <c r="E462" s="24"/>
      <c r="J462" s="26"/>
    </row>
    <row r="463" ht="15.75" customHeight="1">
      <c r="A463" s="24"/>
      <c r="B463" s="24"/>
      <c r="C463" s="24"/>
      <c r="D463" s="24"/>
      <c r="E463" s="24"/>
      <c r="J463" s="26"/>
    </row>
    <row r="464" ht="15.75" customHeight="1">
      <c r="A464" s="24"/>
      <c r="B464" s="24"/>
      <c r="C464" s="24"/>
      <c r="D464" s="24"/>
      <c r="E464" s="24"/>
      <c r="J464" s="26"/>
    </row>
    <row r="465" ht="15.75" customHeight="1">
      <c r="A465" s="24"/>
      <c r="B465" s="24"/>
      <c r="C465" s="24"/>
      <c r="D465" s="24"/>
      <c r="E465" s="24"/>
      <c r="J465" s="26"/>
    </row>
    <row r="466" ht="15.75" customHeight="1">
      <c r="A466" s="24"/>
      <c r="B466" s="24"/>
      <c r="C466" s="24"/>
      <c r="D466" s="24"/>
      <c r="E466" s="24"/>
      <c r="J466" s="26"/>
    </row>
    <row r="467" ht="15.75" customHeight="1">
      <c r="A467" s="24"/>
      <c r="B467" s="24"/>
      <c r="C467" s="24"/>
      <c r="D467" s="24"/>
      <c r="E467" s="24"/>
      <c r="J467" s="26"/>
    </row>
    <row r="468" ht="15.75" customHeight="1">
      <c r="A468" s="24"/>
      <c r="B468" s="24"/>
      <c r="C468" s="24"/>
      <c r="D468" s="24"/>
      <c r="E468" s="24"/>
      <c r="J468" s="26"/>
    </row>
    <row r="469" ht="15.75" customHeight="1">
      <c r="A469" s="24"/>
      <c r="B469" s="24"/>
      <c r="C469" s="24"/>
      <c r="D469" s="24"/>
      <c r="E469" s="24"/>
      <c r="J469" s="26"/>
    </row>
    <row r="470" ht="15.75" customHeight="1">
      <c r="A470" s="24"/>
      <c r="B470" s="24"/>
      <c r="C470" s="24"/>
      <c r="D470" s="24"/>
      <c r="E470" s="24"/>
      <c r="J470" s="26"/>
    </row>
    <row r="471" ht="15.75" customHeight="1">
      <c r="A471" s="24"/>
      <c r="B471" s="24"/>
      <c r="C471" s="24"/>
      <c r="D471" s="24"/>
      <c r="E471" s="24"/>
      <c r="J471" s="26"/>
    </row>
    <row r="472" ht="15.75" customHeight="1">
      <c r="A472" s="24"/>
      <c r="B472" s="24"/>
      <c r="C472" s="24"/>
      <c r="D472" s="24"/>
      <c r="E472" s="24"/>
      <c r="J472" s="26"/>
    </row>
    <row r="473" ht="15.75" customHeight="1">
      <c r="A473" s="24"/>
      <c r="B473" s="24"/>
      <c r="C473" s="24"/>
      <c r="D473" s="24"/>
      <c r="E473" s="24"/>
      <c r="J473" s="26"/>
    </row>
    <row r="474" ht="15.75" customHeight="1">
      <c r="A474" s="24"/>
      <c r="B474" s="24"/>
      <c r="C474" s="24"/>
      <c r="D474" s="24"/>
      <c r="E474" s="24"/>
      <c r="J474" s="26"/>
    </row>
    <row r="475" ht="15.75" customHeight="1">
      <c r="A475" s="24"/>
      <c r="B475" s="24"/>
      <c r="C475" s="24"/>
      <c r="D475" s="24"/>
      <c r="E475" s="24"/>
      <c r="J475" s="26"/>
    </row>
    <row r="476" ht="15.75" customHeight="1">
      <c r="A476" s="24"/>
      <c r="B476" s="24"/>
      <c r="C476" s="24"/>
      <c r="D476" s="24"/>
      <c r="E476" s="24"/>
      <c r="J476" s="26"/>
    </row>
    <row r="477" ht="15.75" customHeight="1">
      <c r="A477" s="24"/>
      <c r="B477" s="24"/>
      <c r="C477" s="24"/>
      <c r="D477" s="24"/>
      <c r="E477" s="24"/>
      <c r="J477" s="26"/>
    </row>
    <row r="478" ht="15.75" customHeight="1">
      <c r="A478" s="24"/>
      <c r="B478" s="24"/>
      <c r="C478" s="24"/>
      <c r="D478" s="24"/>
      <c r="E478" s="24"/>
      <c r="J478" s="26"/>
    </row>
    <row r="479" ht="15.75" customHeight="1">
      <c r="A479" s="24"/>
      <c r="B479" s="24"/>
      <c r="C479" s="24"/>
      <c r="D479" s="24"/>
      <c r="E479" s="24"/>
      <c r="J479" s="26"/>
    </row>
    <row r="480" ht="15.75" customHeight="1">
      <c r="A480" s="24"/>
      <c r="B480" s="24"/>
      <c r="C480" s="24"/>
      <c r="D480" s="24"/>
      <c r="E480" s="24"/>
      <c r="J480" s="26"/>
    </row>
    <row r="481" ht="15.75" customHeight="1">
      <c r="A481" s="24"/>
      <c r="B481" s="24"/>
      <c r="C481" s="24"/>
      <c r="D481" s="24"/>
      <c r="E481" s="24"/>
      <c r="J481" s="26"/>
    </row>
    <row r="482" ht="15.75" customHeight="1">
      <c r="A482" s="24"/>
      <c r="B482" s="24"/>
      <c r="C482" s="24"/>
      <c r="D482" s="24"/>
      <c r="E482" s="24"/>
      <c r="J482" s="26"/>
    </row>
    <row r="483" ht="15.75" customHeight="1">
      <c r="A483" s="24"/>
      <c r="B483" s="24"/>
      <c r="C483" s="24"/>
      <c r="D483" s="24"/>
      <c r="E483" s="24"/>
      <c r="J483" s="26"/>
    </row>
    <row r="484" ht="15.75" customHeight="1">
      <c r="A484" s="24"/>
      <c r="B484" s="24"/>
      <c r="C484" s="24"/>
      <c r="D484" s="24"/>
      <c r="E484" s="24"/>
      <c r="J484" s="26"/>
    </row>
    <row r="485" ht="15.75" customHeight="1">
      <c r="A485" s="24"/>
      <c r="B485" s="24"/>
      <c r="C485" s="24"/>
      <c r="D485" s="24"/>
      <c r="E485" s="24"/>
      <c r="J485" s="26"/>
    </row>
    <row r="486" ht="15.75" customHeight="1">
      <c r="A486" s="24"/>
      <c r="B486" s="24"/>
      <c r="C486" s="24"/>
      <c r="D486" s="24"/>
      <c r="E486" s="24"/>
      <c r="J486" s="26"/>
    </row>
    <row r="487" ht="15.75" customHeight="1">
      <c r="A487" s="24"/>
      <c r="B487" s="24"/>
      <c r="C487" s="24"/>
      <c r="D487" s="24"/>
      <c r="E487" s="24"/>
      <c r="J487" s="26"/>
    </row>
    <row r="488" ht="15.75" customHeight="1">
      <c r="A488" s="24"/>
      <c r="B488" s="24"/>
      <c r="C488" s="24"/>
      <c r="D488" s="24"/>
      <c r="E488" s="24"/>
      <c r="J488" s="26"/>
    </row>
    <row r="489" ht="15.75" customHeight="1">
      <c r="A489" s="24"/>
      <c r="B489" s="24"/>
      <c r="C489" s="24"/>
      <c r="D489" s="24"/>
      <c r="E489" s="24"/>
      <c r="J489" s="26"/>
    </row>
    <row r="490" ht="15.75" customHeight="1">
      <c r="A490" s="24"/>
      <c r="B490" s="24"/>
      <c r="C490" s="24"/>
      <c r="D490" s="24"/>
      <c r="E490" s="24"/>
      <c r="J490" s="26"/>
    </row>
    <row r="491" ht="15.75" customHeight="1">
      <c r="A491" s="24"/>
      <c r="B491" s="24"/>
      <c r="C491" s="24"/>
      <c r="D491" s="24"/>
      <c r="E491" s="24"/>
      <c r="J491" s="26"/>
    </row>
    <row r="492" ht="15.75" customHeight="1">
      <c r="A492" s="24"/>
      <c r="B492" s="24"/>
      <c r="C492" s="24"/>
      <c r="D492" s="24"/>
      <c r="E492" s="24"/>
      <c r="J492" s="26"/>
    </row>
    <row r="493" ht="15.75" customHeight="1">
      <c r="A493" s="24"/>
      <c r="B493" s="24"/>
      <c r="C493" s="24"/>
      <c r="D493" s="24"/>
      <c r="E493" s="24"/>
      <c r="J493" s="26"/>
    </row>
    <row r="494" ht="15.75" customHeight="1">
      <c r="A494" s="24"/>
      <c r="B494" s="24"/>
      <c r="C494" s="24"/>
      <c r="D494" s="24"/>
      <c r="E494" s="24"/>
      <c r="J494" s="26"/>
    </row>
    <row r="495" ht="15.75" customHeight="1">
      <c r="A495" s="24"/>
      <c r="B495" s="24"/>
      <c r="C495" s="24"/>
      <c r="D495" s="24"/>
      <c r="E495" s="24"/>
      <c r="J495" s="26"/>
    </row>
    <row r="496" ht="15.75" customHeight="1">
      <c r="A496" s="24"/>
      <c r="B496" s="24"/>
      <c r="C496" s="24"/>
      <c r="D496" s="24"/>
      <c r="E496" s="24"/>
      <c r="J496" s="26"/>
    </row>
    <row r="497" ht="15.75" customHeight="1">
      <c r="A497" s="24"/>
      <c r="B497" s="24"/>
      <c r="C497" s="24"/>
      <c r="D497" s="24"/>
      <c r="E497" s="24"/>
      <c r="J497" s="26"/>
    </row>
    <row r="498" ht="15.75" customHeight="1">
      <c r="A498" s="24"/>
      <c r="B498" s="24"/>
      <c r="C498" s="24"/>
      <c r="D498" s="24"/>
      <c r="E498" s="24"/>
      <c r="J498" s="26"/>
    </row>
    <row r="499" ht="15.75" customHeight="1">
      <c r="A499" s="24"/>
      <c r="B499" s="24"/>
      <c r="C499" s="24"/>
      <c r="D499" s="24"/>
      <c r="E499" s="24"/>
      <c r="J499" s="26"/>
    </row>
    <row r="500" ht="15.75" customHeight="1">
      <c r="A500" s="24"/>
      <c r="B500" s="24"/>
      <c r="C500" s="24"/>
      <c r="D500" s="24"/>
      <c r="E500" s="24"/>
      <c r="J500" s="26"/>
    </row>
    <row r="501" ht="15.75" customHeight="1">
      <c r="A501" s="24"/>
      <c r="B501" s="24"/>
      <c r="C501" s="24"/>
      <c r="D501" s="24"/>
      <c r="E501" s="24"/>
      <c r="J501" s="26"/>
    </row>
    <row r="502" ht="15.75" customHeight="1">
      <c r="A502" s="24"/>
      <c r="B502" s="24"/>
      <c r="C502" s="24"/>
      <c r="D502" s="24"/>
      <c r="E502" s="24"/>
      <c r="J502" s="26"/>
    </row>
    <row r="503" ht="15.75" customHeight="1">
      <c r="A503" s="24"/>
      <c r="B503" s="24"/>
      <c r="C503" s="24"/>
      <c r="D503" s="24"/>
      <c r="E503" s="24"/>
      <c r="J503" s="26"/>
    </row>
    <row r="504" ht="15.75" customHeight="1">
      <c r="A504" s="24"/>
      <c r="B504" s="24"/>
      <c r="C504" s="24"/>
      <c r="D504" s="24"/>
      <c r="E504" s="24"/>
      <c r="J504" s="26"/>
    </row>
    <row r="505" ht="15.75" customHeight="1">
      <c r="A505" s="24"/>
      <c r="B505" s="24"/>
      <c r="C505" s="24"/>
      <c r="D505" s="24"/>
      <c r="E505" s="24"/>
      <c r="J505" s="26"/>
    </row>
    <row r="506" ht="15.75" customHeight="1">
      <c r="A506" s="24"/>
      <c r="B506" s="24"/>
      <c r="C506" s="24"/>
      <c r="D506" s="24"/>
      <c r="E506" s="24"/>
      <c r="J506" s="26"/>
    </row>
    <row r="507" ht="15.75" customHeight="1">
      <c r="A507" s="24"/>
      <c r="B507" s="24"/>
      <c r="C507" s="24"/>
      <c r="D507" s="24"/>
      <c r="E507" s="24"/>
      <c r="J507" s="26"/>
    </row>
    <row r="508" ht="15.75" customHeight="1">
      <c r="A508" s="24"/>
      <c r="B508" s="24"/>
      <c r="C508" s="24"/>
      <c r="D508" s="24"/>
      <c r="E508" s="24"/>
      <c r="J508" s="26"/>
    </row>
    <row r="509" ht="15.75" customHeight="1">
      <c r="A509" s="24"/>
      <c r="B509" s="24"/>
      <c r="C509" s="24"/>
      <c r="D509" s="24"/>
      <c r="E509" s="24"/>
      <c r="J509" s="26"/>
    </row>
    <row r="510" ht="15.75" customHeight="1">
      <c r="A510" s="24"/>
      <c r="B510" s="24"/>
      <c r="C510" s="24"/>
      <c r="D510" s="24"/>
      <c r="E510" s="24"/>
      <c r="J510" s="26"/>
    </row>
    <row r="511" ht="15.75" customHeight="1">
      <c r="A511" s="24"/>
      <c r="B511" s="24"/>
      <c r="C511" s="24"/>
      <c r="D511" s="24"/>
      <c r="E511" s="24"/>
      <c r="J511" s="26"/>
    </row>
    <row r="512" ht="15.75" customHeight="1">
      <c r="A512" s="24"/>
      <c r="B512" s="24"/>
      <c r="C512" s="24"/>
      <c r="D512" s="24"/>
      <c r="E512" s="24"/>
      <c r="J512" s="26"/>
    </row>
    <row r="513" ht="15.75" customHeight="1">
      <c r="A513" s="24"/>
      <c r="B513" s="24"/>
      <c r="C513" s="24"/>
      <c r="D513" s="24"/>
      <c r="E513" s="24"/>
      <c r="J513" s="26"/>
    </row>
    <row r="514" ht="15.75" customHeight="1">
      <c r="A514" s="24"/>
      <c r="B514" s="24"/>
      <c r="C514" s="24"/>
      <c r="D514" s="24"/>
      <c r="E514" s="24"/>
      <c r="J514" s="26"/>
    </row>
    <row r="515" ht="15.75" customHeight="1">
      <c r="A515" s="24"/>
      <c r="B515" s="24"/>
      <c r="C515" s="24"/>
      <c r="D515" s="24"/>
      <c r="E515" s="24"/>
      <c r="J515" s="26"/>
    </row>
    <row r="516" ht="15.75" customHeight="1">
      <c r="A516" s="24"/>
      <c r="B516" s="24"/>
      <c r="C516" s="24"/>
      <c r="D516" s="24"/>
      <c r="E516" s="24"/>
      <c r="J516" s="26"/>
    </row>
    <row r="517" ht="15.75" customHeight="1">
      <c r="A517" s="24"/>
      <c r="B517" s="24"/>
      <c r="C517" s="24"/>
      <c r="D517" s="24"/>
      <c r="E517" s="24"/>
      <c r="J517" s="26"/>
    </row>
    <row r="518" ht="15.75" customHeight="1">
      <c r="A518" s="24"/>
      <c r="B518" s="24"/>
      <c r="C518" s="24"/>
      <c r="D518" s="24"/>
      <c r="E518" s="24"/>
      <c r="J518" s="26"/>
    </row>
    <row r="519" ht="15.75" customHeight="1">
      <c r="A519" s="24"/>
      <c r="B519" s="24"/>
      <c r="C519" s="24"/>
      <c r="D519" s="24"/>
      <c r="E519" s="24"/>
      <c r="J519" s="26"/>
    </row>
    <row r="520" ht="15.75" customHeight="1">
      <c r="A520" s="24"/>
      <c r="B520" s="24"/>
      <c r="C520" s="24"/>
      <c r="D520" s="24"/>
      <c r="E520" s="24"/>
      <c r="J520" s="26"/>
    </row>
    <row r="521" ht="15.75" customHeight="1">
      <c r="A521" s="24"/>
      <c r="B521" s="24"/>
      <c r="C521" s="24"/>
      <c r="D521" s="24"/>
      <c r="E521" s="24"/>
      <c r="J521" s="26"/>
    </row>
    <row r="522" ht="15.75" customHeight="1">
      <c r="A522" s="24"/>
      <c r="B522" s="24"/>
      <c r="C522" s="24"/>
      <c r="D522" s="24"/>
      <c r="E522" s="24"/>
      <c r="J522" s="26"/>
    </row>
    <row r="523" ht="15.75" customHeight="1">
      <c r="A523" s="24"/>
      <c r="B523" s="24"/>
      <c r="C523" s="24"/>
      <c r="D523" s="24"/>
      <c r="E523" s="24"/>
      <c r="J523" s="26"/>
    </row>
    <row r="524" ht="15.75" customHeight="1">
      <c r="A524" s="24"/>
      <c r="B524" s="24"/>
      <c r="C524" s="24"/>
      <c r="D524" s="24"/>
      <c r="E524" s="24"/>
      <c r="J524" s="26"/>
    </row>
    <row r="525" ht="15.75" customHeight="1">
      <c r="A525" s="24"/>
      <c r="B525" s="24"/>
      <c r="C525" s="24"/>
      <c r="D525" s="24"/>
      <c r="E525" s="24"/>
      <c r="J525" s="26"/>
    </row>
    <row r="526" ht="15.75" customHeight="1">
      <c r="A526" s="24"/>
      <c r="B526" s="24"/>
      <c r="C526" s="24"/>
      <c r="D526" s="24"/>
      <c r="E526" s="24"/>
      <c r="J526" s="26"/>
    </row>
    <row r="527" ht="15.75" customHeight="1">
      <c r="A527" s="24"/>
      <c r="B527" s="24"/>
      <c r="C527" s="24"/>
      <c r="D527" s="24"/>
      <c r="E527" s="24"/>
      <c r="J527" s="26"/>
    </row>
    <row r="528" ht="15.75" customHeight="1">
      <c r="A528" s="24"/>
      <c r="B528" s="24"/>
      <c r="C528" s="24"/>
      <c r="D528" s="24"/>
      <c r="E528" s="24"/>
      <c r="J528" s="26"/>
    </row>
    <row r="529" ht="15.75" customHeight="1">
      <c r="A529" s="24"/>
      <c r="B529" s="24"/>
      <c r="C529" s="24"/>
      <c r="D529" s="24"/>
      <c r="E529" s="24"/>
      <c r="J529" s="26"/>
    </row>
    <row r="530" ht="15.75" customHeight="1">
      <c r="A530" s="24"/>
      <c r="B530" s="24"/>
      <c r="C530" s="24"/>
      <c r="D530" s="24"/>
      <c r="E530" s="24"/>
      <c r="J530" s="26"/>
    </row>
    <row r="531" ht="15.75" customHeight="1">
      <c r="A531" s="24"/>
      <c r="B531" s="24"/>
      <c r="C531" s="24"/>
      <c r="D531" s="24"/>
      <c r="E531" s="24"/>
      <c r="J531" s="26"/>
    </row>
    <row r="532" ht="15.75" customHeight="1">
      <c r="A532" s="24"/>
      <c r="B532" s="24"/>
      <c r="C532" s="24"/>
      <c r="D532" s="24"/>
      <c r="E532" s="24"/>
      <c r="J532" s="26"/>
    </row>
    <row r="533" ht="15.75" customHeight="1">
      <c r="A533" s="24"/>
      <c r="B533" s="24"/>
      <c r="C533" s="24"/>
      <c r="D533" s="24"/>
      <c r="E533" s="24"/>
      <c r="J533" s="26"/>
    </row>
    <row r="534" ht="15.75" customHeight="1">
      <c r="A534" s="24"/>
      <c r="B534" s="24"/>
      <c r="C534" s="24"/>
      <c r="D534" s="24"/>
      <c r="E534" s="24"/>
      <c r="J534" s="26"/>
    </row>
    <row r="535" ht="15.75" customHeight="1">
      <c r="A535" s="24"/>
      <c r="B535" s="24"/>
      <c r="C535" s="24"/>
      <c r="D535" s="24"/>
      <c r="E535" s="24"/>
      <c r="J535" s="26"/>
    </row>
    <row r="536" ht="15.75" customHeight="1">
      <c r="A536" s="24"/>
      <c r="B536" s="24"/>
      <c r="C536" s="24"/>
      <c r="D536" s="24"/>
      <c r="E536" s="24"/>
      <c r="J536" s="26"/>
    </row>
    <row r="537" ht="15.75" customHeight="1">
      <c r="A537" s="24"/>
      <c r="B537" s="24"/>
      <c r="C537" s="24"/>
      <c r="D537" s="24"/>
      <c r="E537" s="24"/>
      <c r="J537" s="26"/>
    </row>
    <row r="538" ht="15.75" customHeight="1">
      <c r="A538" s="24"/>
      <c r="B538" s="24"/>
      <c r="C538" s="24"/>
      <c r="D538" s="24"/>
      <c r="E538" s="24"/>
      <c r="J538" s="26"/>
    </row>
    <row r="539" ht="15.75" customHeight="1">
      <c r="A539" s="24"/>
      <c r="B539" s="24"/>
      <c r="C539" s="24"/>
      <c r="D539" s="24"/>
      <c r="E539" s="24"/>
      <c r="J539" s="26"/>
    </row>
    <row r="540" ht="15.75" customHeight="1">
      <c r="A540" s="24"/>
      <c r="B540" s="24"/>
      <c r="C540" s="24"/>
      <c r="D540" s="24"/>
      <c r="E540" s="24"/>
      <c r="J540" s="26"/>
    </row>
    <row r="541" ht="15.75" customHeight="1">
      <c r="A541" s="24"/>
      <c r="B541" s="24"/>
      <c r="C541" s="24"/>
      <c r="D541" s="24"/>
      <c r="E541" s="24"/>
      <c r="J541" s="26"/>
    </row>
    <row r="542" ht="15.75" customHeight="1">
      <c r="A542" s="24"/>
      <c r="B542" s="24"/>
      <c r="C542" s="24"/>
      <c r="D542" s="24"/>
      <c r="E542" s="24"/>
      <c r="J542" s="26"/>
    </row>
    <row r="543" ht="15.75" customHeight="1">
      <c r="A543" s="24"/>
      <c r="B543" s="24"/>
      <c r="C543" s="24"/>
      <c r="D543" s="24"/>
      <c r="E543" s="24"/>
      <c r="J543" s="26"/>
    </row>
    <row r="544" ht="15.75" customHeight="1">
      <c r="A544" s="24"/>
      <c r="B544" s="24"/>
      <c r="C544" s="24"/>
      <c r="D544" s="24"/>
      <c r="E544" s="24"/>
      <c r="J544" s="26"/>
    </row>
    <row r="545" ht="15.75" customHeight="1">
      <c r="A545" s="24"/>
      <c r="B545" s="24"/>
      <c r="C545" s="24"/>
      <c r="D545" s="24"/>
      <c r="E545" s="24"/>
      <c r="J545" s="26"/>
    </row>
    <row r="546" ht="15.75" customHeight="1">
      <c r="A546" s="24"/>
      <c r="B546" s="24"/>
      <c r="C546" s="24"/>
      <c r="D546" s="24"/>
      <c r="E546" s="24"/>
      <c r="J546" s="26"/>
    </row>
    <row r="547" ht="15.75" customHeight="1">
      <c r="A547" s="24"/>
      <c r="B547" s="24"/>
      <c r="C547" s="24"/>
      <c r="D547" s="24"/>
      <c r="E547" s="24"/>
      <c r="J547" s="26"/>
    </row>
    <row r="548" ht="15.75" customHeight="1">
      <c r="A548" s="24"/>
      <c r="B548" s="24"/>
      <c r="C548" s="24"/>
      <c r="D548" s="24"/>
      <c r="E548" s="24"/>
      <c r="J548" s="26"/>
    </row>
    <row r="549" ht="15.75" customHeight="1">
      <c r="A549" s="24"/>
      <c r="B549" s="24"/>
      <c r="C549" s="24"/>
      <c r="D549" s="24"/>
      <c r="E549" s="24"/>
      <c r="J549" s="26"/>
    </row>
    <row r="550" ht="15.75" customHeight="1">
      <c r="A550" s="24"/>
      <c r="B550" s="24"/>
      <c r="C550" s="24"/>
      <c r="D550" s="24"/>
      <c r="E550" s="24"/>
      <c r="J550" s="26"/>
    </row>
    <row r="551" ht="15.75" customHeight="1">
      <c r="A551" s="24"/>
      <c r="B551" s="24"/>
      <c r="C551" s="24"/>
      <c r="D551" s="24"/>
      <c r="E551" s="24"/>
      <c r="J551" s="26"/>
    </row>
    <row r="552" ht="15.75" customHeight="1">
      <c r="A552" s="24"/>
      <c r="B552" s="24"/>
      <c r="C552" s="24"/>
      <c r="D552" s="24"/>
      <c r="E552" s="24"/>
      <c r="J552" s="26"/>
    </row>
    <row r="553" ht="15.75" customHeight="1">
      <c r="A553" s="24"/>
      <c r="B553" s="24"/>
      <c r="C553" s="24"/>
      <c r="D553" s="24"/>
      <c r="E553" s="24"/>
      <c r="J553" s="26"/>
    </row>
    <row r="554" ht="15.75" customHeight="1">
      <c r="A554" s="24"/>
      <c r="B554" s="24"/>
      <c r="C554" s="24"/>
      <c r="D554" s="24"/>
      <c r="E554" s="24"/>
      <c r="J554" s="26"/>
    </row>
    <row r="555" ht="15.75" customHeight="1">
      <c r="A555" s="24"/>
      <c r="B555" s="24"/>
      <c r="C555" s="24"/>
      <c r="D555" s="24"/>
      <c r="E555" s="24"/>
      <c r="J555" s="26"/>
    </row>
    <row r="556" ht="15.75" customHeight="1">
      <c r="A556" s="24"/>
      <c r="B556" s="24"/>
      <c r="C556" s="24"/>
      <c r="D556" s="24"/>
      <c r="E556" s="24"/>
      <c r="J556" s="26"/>
    </row>
    <row r="557" ht="15.75" customHeight="1">
      <c r="A557" s="24"/>
      <c r="B557" s="24"/>
      <c r="C557" s="24"/>
      <c r="D557" s="24"/>
      <c r="E557" s="24"/>
      <c r="J557" s="26"/>
    </row>
    <row r="558" ht="15.75" customHeight="1">
      <c r="A558" s="24"/>
      <c r="B558" s="24"/>
      <c r="C558" s="24"/>
      <c r="D558" s="24"/>
      <c r="E558" s="24"/>
      <c r="J558" s="26"/>
    </row>
    <row r="559" ht="15.75" customHeight="1">
      <c r="A559" s="24"/>
      <c r="B559" s="24"/>
      <c r="C559" s="24"/>
      <c r="D559" s="24"/>
      <c r="E559" s="24"/>
      <c r="J559" s="26"/>
    </row>
    <row r="560" ht="15.75" customHeight="1">
      <c r="A560" s="24"/>
      <c r="B560" s="24"/>
      <c r="C560" s="24"/>
      <c r="D560" s="24"/>
      <c r="E560" s="24"/>
      <c r="J560" s="26"/>
    </row>
    <row r="561" ht="15.75" customHeight="1">
      <c r="A561" s="24"/>
      <c r="B561" s="24"/>
      <c r="C561" s="24"/>
      <c r="D561" s="24"/>
      <c r="E561" s="24"/>
      <c r="J561" s="26"/>
    </row>
    <row r="562" ht="15.75" customHeight="1">
      <c r="A562" s="24"/>
      <c r="B562" s="24"/>
      <c r="C562" s="24"/>
      <c r="D562" s="24"/>
      <c r="E562" s="24"/>
      <c r="J562" s="26"/>
    </row>
    <row r="563" ht="15.75" customHeight="1">
      <c r="A563" s="24"/>
      <c r="B563" s="24"/>
      <c r="C563" s="24"/>
      <c r="D563" s="24"/>
      <c r="E563" s="24"/>
      <c r="J563" s="26"/>
    </row>
    <row r="564" ht="15.75" customHeight="1">
      <c r="A564" s="24"/>
      <c r="B564" s="24"/>
      <c r="C564" s="24"/>
      <c r="D564" s="24"/>
      <c r="E564" s="24"/>
      <c r="J564" s="26"/>
    </row>
    <row r="565" ht="15.75" customHeight="1">
      <c r="A565" s="24"/>
      <c r="B565" s="24"/>
      <c r="C565" s="24"/>
      <c r="D565" s="24"/>
      <c r="E565" s="24"/>
      <c r="J565" s="26"/>
    </row>
    <row r="566" ht="15.75" customHeight="1">
      <c r="A566" s="24"/>
      <c r="B566" s="24"/>
      <c r="C566" s="24"/>
      <c r="D566" s="24"/>
      <c r="E566" s="24"/>
      <c r="J566" s="26"/>
    </row>
    <row r="567" ht="15.75" customHeight="1">
      <c r="A567" s="24"/>
      <c r="B567" s="24"/>
      <c r="C567" s="24"/>
      <c r="D567" s="24"/>
      <c r="E567" s="24"/>
      <c r="J567" s="26"/>
    </row>
    <row r="568" ht="15.75" customHeight="1">
      <c r="A568" s="24"/>
      <c r="B568" s="24"/>
      <c r="C568" s="24"/>
      <c r="D568" s="24"/>
      <c r="E568" s="24"/>
      <c r="J568" s="26"/>
    </row>
    <row r="569" ht="15.75" customHeight="1">
      <c r="A569" s="24"/>
      <c r="B569" s="24"/>
      <c r="C569" s="24"/>
      <c r="D569" s="24"/>
      <c r="E569" s="24"/>
      <c r="J569" s="26"/>
    </row>
    <row r="570" ht="15.75" customHeight="1">
      <c r="A570" s="24"/>
      <c r="B570" s="24"/>
      <c r="C570" s="24"/>
      <c r="D570" s="24"/>
      <c r="E570" s="24"/>
      <c r="J570" s="26"/>
    </row>
    <row r="571" ht="15.75" customHeight="1">
      <c r="A571" s="24"/>
      <c r="B571" s="24"/>
      <c r="C571" s="24"/>
      <c r="D571" s="24"/>
      <c r="E571" s="24"/>
      <c r="J571" s="26"/>
    </row>
    <row r="572" ht="15.75" customHeight="1">
      <c r="A572" s="24"/>
      <c r="B572" s="24"/>
      <c r="C572" s="24"/>
      <c r="D572" s="24"/>
      <c r="E572" s="24"/>
      <c r="J572" s="26"/>
    </row>
    <row r="573" ht="15.75" customHeight="1">
      <c r="A573" s="24"/>
      <c r="B573" s="24"/>
      <c r="C573" s="24"/>
      <c r="D573" s="24"/>
      <c r="E573" s="24"/>
      <c r="J573" s="26"/>
    </row>
    <row r="574" ht="15.75" customHeight="1">
      <c r="A574" s="24"/>
      <c r="B574" s="24"/>
      <c r="C574" s="24"/>
      <c r="D574" s="24"/>
      <c r="E574" s="24"/>
      <c r="J574" s="26"/>
    </row>
    <row r="575" ht="15.75" customHeight="1">
      <c r="A575" s="24"/>
      <c r="B575" s="24"/>
      <c r="C575" s="24"/>
      <c r="D575" s="24"/>
      <c r="E575" s="24"/>
      <c r="J575" s="26"/>
    </row>
    <row r="576" ht="15.75" customHeight="1">
      <c r="A576" s="24"/>
      <c r="B576" s="24"/>
      <c r="C576" s="24"/>
      <c r="D576" s="24"/>
      <c r="E576" s="24"/>
      <c r="J576" s="26"/>
    </row>
    <row r="577" ht="15.75" customHeight="1">
      <c r="A577" s="24"/>
      <c r="B577" s="24"/>
      <c r="C577" s="24"/>
      <c r="D577" s="24"/>
      <c r="E577" s="24"/>
      <c r="J577" s="26"/>
    </row>
    <row r="578" ht="15.75" customHeight="1">
      <c r="A578" s="24"/>
      <c r="B578" s="24"/>
      <c r="C578" s="24"/>
      <c r="D578" s="24"/>
      <c r="E578" s="24"/>
      <c r="J578" s="26"/>
    </row>
    <row r="579" ht="15.75" customHeight="1">
      <c r="A579" s="24"/>
      <c r="B579" s="24"/>
      <c r="C579" s="24"/>
      <c r="D579" s="24"/>
      <c r="E579" s="24"/>
      <c r="J579" s="26"/>
    </row>
    <row r="580" ht="15.75" customHeight="1">
      <c r="A580" s="24"/>
      <c r="B580" s="24"/>
      <c r="C580" s="24"/>
      <c r="D580" s="24"/>
      <c r="E580" s="24"/>
      <c r="J580" s="26"/>
    </row>
    <row r="581" ht="15.75" customHeight="1">
      <c r="A581" s="24"/>
      <c r="B581" s="24"/>
      <c r="C581" s="24"/>
      <c r="D581" s="24"/>
      <c r="E581" s="24"/>
      <c r="J581" s="26"/>
    </row>
    <row r="582" ht="15.75" customHeight="1">
      <c r="A582" s="24"/>
      <c r="B582" s="24"/>
      <c r="C582" s="24"/>
      <c r="D582" s="24"/>
      <c r="E582" s="24"/>
      <c r="J582" s="26"/>
    </row>
    <row r="583" ht="15.75" customHeight="1">
      <c r="A583" s="24"/>
      <c r="B583" s="24"/>
      <c r="C583" s="24"/>
      <c r="D583" s="24"/>
      <c r="E583" s="24"/>
      <c r="J583" s="26"/>
    </row>
    <row r="584" ht="15.75" customHeight="1">
      <c r="A584" s="24"/>
      <c r="B584" s="24"/>
      <c r="C584" s="24"/>
      <c r="D584" s="24"/>
      <c r="E584" s="24"/>
      <c r="J584" s="26"/>
    </row>
    <row r="585" ht="15.75" customHeight="1">
      <c r="A585" s="24"/>
      <c r="B585" s="24"/>
      <c r="C585" s="24"/>
      <c r="D585" s="24"/>
      <c r="E585" s="24"/>
      <c r="J585" s="26"/>
    </row>
    <row r="586" ht="15.75" customHeight="1">
      <c r="A586" s="24"/>
      <c r="B586" s="24"/>
      <c r="C586" s="24"/>
      <c r="D586" s="24"/>
      <c r="E586" s="24"/>
      <c r="J586" s="26"/>
    </row>
    <row r="587" ht="15.75" customHeight="1">
      <c r="A587" s="24"/>
      <c r="B587" s="24"/>
      <c r="C587" s="24"/>
      <c r="D587" s="24"/>
      <c r="E587" s="24"/>
      <c r="J587" s="26"/>
    </row>
    <row r="588" ht="15.75" customHeight="1">
      <c r="A588" s="24"/>
      <c r="B588" s="24"/>
      <c r="C588" s="24"/>
      <c r="D588" s="24"/>
      <c r="E588" s="24"/>
      <c r="J588" s="26"/>
    </row>
    <row r="589" ht="15.75" customHeight="1">
      <c r="J589" s="26"/>
    </row>
    <row r="590" ht="15.75" customHeight="1">
      <c r="J590" s="26"/>
    </row>
    <row r="591" ht="15.75" customHeight="1">
      <c r="J591" s="26"/>
    </row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J383:J409"/>
    <mergeCell ref="J410:J436"/>
    <mergeCell ref="J194:J220"/>
    <mergeCell ref="J221:J247"/>
    <mergeCell ref="J248:J274"/>
    <mergeCell ref="J275:J301"/>
    <mergeCell ref="J302:J328"/>
    <mergeCell ref="J329:J355"/>
    <mergeCell ref="J356:J382"/>
    <mergeCell ref="A2:B2"/>
    <mergeCell ref="D2:J2"/>
    <mergeCell ref="L2:M3"/>
    <mergeCell ref="D5:D31"/>
    <mergeCell ref="E5:E31"/>
    <mergeCell ref="D32:D58"/>
    <mergeCell ref="E32:E58"/>
    <mergeCell ref="D59:D85"/>
    <mergeCell ref="E59:E85"/>
    <mergeCell ref="D86:D112"/>
    <mergeCell ref="E86:E112"/>
    <mergeCell ref="D113:D139"/>
    <mergeCell ref="E113:E139"/>
    <mergeCell ref="E140:E166"/>
    <mergeCell ref="J5:J31"/>
    <mergeCell ref="J32:J58"/>
    <mergeCell ref="J59:J85"/>
    <mergeCell ref="J86:J112"/>
    <mergeCell ref="J113:J139"/>
    <mergeCell ref="J140:J166"/>
    <mergeCell ref="J167:J193"/>
    <mergeCell ref="D329:D355"/>
    <mergeCell ref="D356:D382"/>
    <mergeCell ref="D383:D409"/>
    <mergeCell ref="D410:D436"/>
    <mergeCell ref="D140:D166"/>
    <mergeCell ref="D167:D193"/>
    <mergeCell ref="D194:D220"/>
    <mergeCell ref="D221:D247"/>
    <mergeCell ref="D248:D274"/>
    <mergeCell ref="D275:D301"/>
    <mergeCell ref="D302:D328"/>
    <mergeCell ref="E356:E382"/>
    <mergeCell ref="E383:E409"/>
    <mergeCell ref="E410:E436"/>
    <mergeCell ref="D437:I437"/>
    <mergeCell ref="E167:E193"/>
    <mergeCell ref="E194:E220"/>
    <mergeCell ref="E221:E247"/>
    <mergeCell ref="E248:E274"/>
    <mergeCell ref="E275:E301"/>
    <mergeCell ref="E302:E328"/>
    <mergeCell ref="E329:E35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4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111</v>
      </c>
      <c r="F5" s="47" t="s">
        <v>22</v>
      </c>
      <c r="G5" s="48">
        <v>1.0</v>
      </c>
      <c r="H5" s="49">
        <f>VLOOKUP(F5,$A$4:$B$4,2,TRUE)</f>
        <v>4500</v>
      </c>
      <c r="I5" s="50">
        <f t="shared" ref="I5:I31" si="1">G5*H5</f>
        <v>4500</v>
      </c>
      <c r="J5" s="51">
        <f>SUM(I5:I31)</f>
        <v>21925</v>
      </c>
      <c r="K5" s="25"/>
      <c r="L5" s="47" t="s">
        <v>22</v>
      </c>
      <c r="M5" s="43">
        <f>SUMIF(F5:F31,"Gelas bersih",G5:G31)</f>
        <v>1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/>
      <c r="H6" s="53">
        <f>VLOOKUP(F6,$A$5:$B$5,2,TRUE)</f>
        <v>3000</v>
      </c>
      <c r="I6" s="50">
        <f t="shared" si="1"/>
        <v>0</v>
      </c>
      <c r="J6" s="52"/>
      <c r="K6" s="25"/>
      <c r="L6" s="47" t="s">
        <v>57</v>
      </c>
      <c r="M6" s="43">
        <f>SUMIF(F6:F32,"Botol bersih",G6:G32)</f>
        <v>0</v>
      </c>
      <c r="N6" s="25"/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SUMIF(F7:F32,"Botol Warna",G7:G32)</f>
        <v>0</v>
      </c>
      <c r="N7" s="25"/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/>
      <c r="H8" s="53">
        <f>VLOOKUP(F8,$A$7:$B$7,2,TRUE)</f>
        <v>2800</v>
      </c>
      <c r="I8" s="50">
        <f t="shared" si="1"/>
        <v>0</v>
      </c>
      <c r="J8" s="52"/>
      <c r="K8" s="25"/>
      <c r="L8" s="47" t="s">
        <v>25</v>
      </c>
      <c r="M8" s="43">
        <f>SUMIF(F8:F33,"Tutup botol",G8:G33)</f>
        <v>0</v>
      </c>
      <c r="N8" s="25"/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>
        <v>0.25</v>
      </c>
      <c r="H9" s="53">
        <f>VLOOKUP(F9,$A$8:$B$8,2,TRUE)</f>
        <v>3500</v>
      </c>
      <c r="I9" s="50">
        <f t="shared" si="1"/>
        <v>875</v>
      </c>
      <c r="J9" s="52"/>
      <c r="K9" s="25"/>
      <c r="L9" s="47" t="s">
        <v>26</v>
      </c>
      <c r="M9" s="43">
        <f>SUMIF(F9:F34,"Tutup galon",G9:G34)</f>
        <v>0.25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>
        <v>6.5</v>
      </c>
      <c r="H10" s="53">
        <f>VLOOKUP(F10,$A$9:$B$9,2,TRUE)</f>
        <v>1000</v>
      </c>
      <c r="I10" s="50">
        <f t="shared" si="1"/>
        <v>6500</v>
      </c>
      <c r="J10" s="52"/>
      <c r="K10" s="25"/>
      <c r="L10" s="47" t="s">
        <v>27</v>
      </c>
      <c r="M10" s="43">
        <f>SUMIF(F10:F35,"Hitam",G10:G35)</f>
        <v>6.5</v>
      </c>
      <c r="N10" s="25"/>
      <c r="O10" s="54" t="s">
        <v>16</v>
      </c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/>
      <c r="H11" s="53">
        <f>VLOOKUP(F11,$A$10:$B$10,2,TRUE)</f>
        <v>2000</v>
      </c>
      <c r="I11" s="50">
        <f t="shared" si="1"/>
        <v>0</v>
      </c>
      <c r="J11" s="52"/>
      <c r="K11" s="25"/>
      <c r="L11" s="47" t="s">
        <v>28</v>
      </c>
      <c r="M11" s="43">
        <f>SUMIF(F11:F36,"Plastik Campur",G11:G36)</f>
        <v>0</v>
      </c>
      <c r="N11" s="25"/>
      <c r="O11" s="55">
        <f>M5+M6+M7+M8+M9+M10+M11</f>
        <v>7.75</v>
      </c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/>
      <c r="H12" s="53">
        <f>VLOOKUP(F12,$A$11:$B$11,2,TRUE)</f>
        <v>1500</v>
      </c>
      <c r="I12" s="50">
        <f t="shared" si="1"/>
        <v>0</v>
      </c>
      <c r="J12" s="52"/>
      <c r="K12" s="25"/>
      <c r="L12" s="47" t="s">
        <v>29</v>
      </c>
      <c r="M12" s="43">
        <f>SUMIF(F12:F37,"Kardus",G12:G37)</f>
        <v>0</v>
      </c>
      <c r="N12" s="25"/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/>
      <c r="H13" s="53">
        <f>VLOOKUP(F13,$A$12:$B$12,2,TRUE)</f>
        <v>1300</v>
      </c>
      <c r="I13" s="50">
        <f t="shared" si="1"/>
        <v>0</v>
      </c>
      <c r="J13" s="52"/>
      <c r="K13" s="25"/>
      <c r="L13" s="47" t="s">
        <v>30</v>
      </c>
      <c r="M13" s="43">
        <f>SUMIF(F13:F38,"Kertas Putihan/ HVS",G13:G38)</f>
        <v>0</v>
      </c>
      <c r="N13" s="25"/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SUMIF(F14:F39,"Koran/Buku",G14:G39)</f>
        <v>0</v>
      </c>
      <c r="N14" s="25"/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32</v>
      </c>
      <c r="M15" s="43">
        <f>SUMIF(F15:F40,"Duplex",G15:G40)</f>
        <v>0</v>
      </c>
      <c r="N15" s="25"/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SUMIF(F16:F41,"Alumunium",G16:G41)</f>
        <v>0</v>
      </c>
      <c r="N16" s="25"/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SUMIF(F17:F42,"Besi",G17:G42)</f>
        <v>0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/>
      <c r="H18" s="53">
        <f>VLOOKUP(F18,$A$17:$B$17,2,TRUE)</f>
        <v>1000</v>
      </c>
      <c r="I18" s="50">
        <f t="shared" si="1"/>
        <v>0</v>
      </c>
      <c r="J18" s="52"/>
      <c r="K18" s="25"/>
      <c r="L18" s="47" t="s">
        <v>35</v>
      </c>
      <c r="M18" s="43">
        <f>SUMIF(F18:F43,"Kaleng kue/susu",G18:G43)</f>
        <v>0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SUMIF(F19:F44,"Kaleng Minuman",G19:G44)</f>
        <v>0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SUMIF(F20:F45,"Stanless",G20:G45)</f>
        <v>0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SUMIF(F21:F46,"Tembaga",G21:G46)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SUMIF(F22:F47,"Aki Motor",G22:G47)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SUMIF(F23:F48,"Paralon",G23:G48)</f>
        <v>0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41</v>
      </c>
      <c r="M24" s="43">
        <f>SUMIF(F24:F49,"Plastik bening",G24:G49)</f>
        <v>0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42</v>
      </c>
      <c r="M25" s="43">
        <f>SUMIF(F25:F50,"Plastik Warna",G25:G50)</f>
        <v>0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SUMIF(F26:F51,"Selang",G26:G51)</f>
        <v>0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18</v>
      </c>
      <c r="M27" s="43">
        <f>SUMIF(F27:F52,"Beling",G27:G52)</f>
        <v>0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>
        <v>13.0</v>
      </c>
      <c r="H28" s="53">
        <f>VLOOKUP(F28,$A$27:$B$27,2,TRUE)</f>
        <v>100</v>
      </c>
      <c r="I28" s="50">
        <f t="shared" si="1"/>
        <v>1300</v>
      </c>
      <c r="J28" s="52"/>
      <c r="K28" s="25"/>
      <c r="L28" s="47" t="s">
        <v>44</v>
      </c>
      <c r="M28" s="43">
        <f>SUMIF(F28:F53,"Pecahan",G28:G53)</f>
        <v>13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/>
      <c r="H29" s="53">
        <f>VLOOKUP(F29,$A$28:$B$28,2,TRUE)</f>
        <v>1500</v>
      </c>
      <c r="I29" s="50">
        <f t="shared" si="1"/>
        <v>0</v>
      </c>
      <c r="J29" s="52"/>
      <c r="K29" s="25"/>
      <c r="L29" s="47" t="s">
        <v>13</v>
      </c>
      <c r="M29" s="43">
        <f>SUMIF(F29:F55,"Paku",G29:G55)</f>
        <v>0</v>
      </c>
      <c r="N29" s="25"/>
    </row>
    <row r="30" ht="15.75" customHeight="1">
      <c r="A30" s="36" t="s">
        <v>60</v>
      </c>
      <c r="B30" s="37">
        <v>0.0</v>
      </c>
      <c r="C30" s="44"/>
      <c r="D30" s="52"/>
      <c r="E30" s="52"/>
      <c r="F30" s="47" t="s">
        <v>20</v>
      </c>
      <c r="G30" s="48">
        <v>2.5</v>
      </c>
      <c r="H30" s="53">
        <f>VLOOKUP(F30,$A$29:$B$29,2,TRUE)</f>
        <v>3500</v>
      </c>
      <c r="I30" s="50">
        <f t="shared" si="1"/>
        <v>8750</v>
      </c>
      <c r="J30" s="52"/>
      <c r="K30" s="25"/>
      <c r="L30" s="47" t="s">
        <v>20</v>
      </c>
      <c r="M30" s="43">
        <f>SUMIF(F30:F56,"Minyak Jelantah",G30:G56)</f>
        <v>2.5</v>
      </c>
      <c r="N30" s="25"/>
    </row>
    <row r="31" ht="15.75" customHeight="1">
      <c r="C31" s="44"/>
      <c r="D31" s="13"/>
      <c r="E31" s="13"/>
      <c r="F31" s="47" t="s">
        <v>60</v>
      </c>
      <c r="G31" s="48">
        <v>4.0</v>
      </c>
      <c r="H31" s="53">
        <f>VLOOKUP(F31,$A$30:$B$30,2,TRUE)</f>
        <v>0</v>
      </c>
      <c r="I31" s="50">
        <f t="shared" si="1"/>
        <v>0</v>
      </c>
      <c r="J31" s="13"/>
      <c r="K31" s="25"/>
      <c r="L31" s="47" t="s">
        <v>60</v>
      </c>
      <c r="M31" s="43">
        <f>SUMIF(F31:F57,"Lainnya",G31:G57)</f>
        <v>4</v>
      </c>
      <c r="N31" s="25"/>
    </row>
    <row r="32" ht="15.75" customHeight="1">
      <c r="A32" s="44"/>
      <c r="B32" s="44"/>
      <c r="C32" s="44"/>
      <c r="D32" s="60" t="s">
        <v>68</v>
      </c>
      <c r="E32" s="61"/>
      <c r="F32" s="61"/>
      <c r="G32" s="61"/>
      <c r="H32" s="61"/>
      <c r="I32" s="62"/>
      <c r="J32" s="63">
        <f>SUM(J5:J31)</f>
        <v>21925</v>
      </c>
      <c r="K32" s="25"/>
      <c r="L32" s="25"/>
      <c r="M32" s="25"/>
      <c r="N32" s="25"/>
    </row>
    <row r="33" ht="15.75" customHeight="1">
      <c r="A33" s="24"/>
      <c r="B33" s="24"/>
      <c r="C33" s="24"/>
      <c r="D33" s="24"/>
      <c r="E33" s="24"/>
      <c r="F33" s="25"/>
      <c r="G33" s="25"/>
      <c r="H33" s="25"/>
      <c r="I33" s="25"/>
      <c r="J33" s="26"/>
      <c r="K33" s="25"/>
      <c r="L33" s="25"/>
      <c r="M33" s="25"/>
      <c r="N33" s="25"/>
    </row>
    <row r="34" ht="15.75" customHeight="1">
      <c r="A34" s="24"/>
      <c r="B34" s="24"/>
      <c r="C34" s="24"/>
      <c r="D34" s="24"/>
      <c r="E34" s="24"/>
      <c r="F34" s="25"/>
      <c r="G34" s="25"/>
      <c r="H34" s="25"/>
      <c r="I34" s="25"/>
      <c r="J34" s="26"/>
      <c r="K34" s="25"/>
      <c r="L34" s="25"/>
      <c r="M34" s="25"/>
      <c r="N34" s="25"/>
    </row>
    <row r="35" ht="15.75" customHeight="1">
      <c r="A35" s="24"/>
      <c r="B35" s="24"/>
      <c r="C35" s="24"/>
      <c r="D35" s="24"/>
      <c r="E35" s="24"/>
      <c r="F35" s="25"/>
      <c r="G35" s="25"/>
      <c r="H35" s="25"/>
      <c r="I35" s="25"/>
      <c r="J35" s="26"/>
      <c r="K35" s="25"/>
      <c r="L35" s="25"/>
      <c r="M35" s="25"/>
      <c r="N35" s="25"/>
    </row>
    <row r="36" ht="15.75" customHeight="1">
      <c r="A36" s="24"/>
      <c r="B36" s="24"/>
      <c r="C36" s="24"/>
      <c r="D36" s="24"/>
      <c r="E36" s="24"/>
      <c r="F36" s="25"/>
      <c r="G36" s="25"/>
      <c r="H36" s="25"/>
      <c r="I36" s="25"/>
      <c r="J36" s="26"/>
      <c r="K36" s="25"/>
      <c r="L36" s="25"/>
      <c r="M36" s="25"/>
      <c r="N36" s="25"/>
    </row>
    <row r="37" ht="15.75" customHeight="1">
      <c r="A37" s="24"/>
      <c r="B37" s="24"/>
      <c r="C37" s="24"/>
      <c r="D37" s="24"/>
      <c r="E37" s="24"/>
      <c r="F37" s="25"/>
      <c r="G37" s="25"/>
      <c r="H37" s="25"/>
      <c r="I37" s="25"/>
      <c r="J37" s="26"/>
      <c r="K37" s="25"/>
      <c r="L37" s="25"/>
      <c r="M37" s="25"/>
      <c r="N37" s="25"/>
    </row>
    <row r="38" ht="15.75" customHeight="1">
      <c r="A38" s="24"/>
      <c r="B38" s="24"/>
      <c r="C38" s="24"/>
      <c r="D38" s="24"/>
      <c r="E38" s="24"/>
      <c r="F38" s="25"/>
      <c r="G38" s="25"/>
      <c r="H38" s="25"/>
      <c r="I38" s="25"/>
      <c r="J38" s="26"/>
      <c r="K38" s="25"/>
      <c r="L38" s="25"/>
      <c r="M38" s="25"/>
      <c r="N38" s="25"/>
    </row>
    <row r="39" ht="15.75" customHeight="1">
      <c r="A39" s="24"/>
      <c r="B39" s="24"/>
      <c r="C39" s="24"/>
      <c r="D39" s="24"/>
      <c r="E39" s="24"/>
      <c r="F39" s="25"/>
      <c r="G39" s="25"/>
      <c r="H39" s="25"/>
      <c r="I39" s="25"/>
      <c r="J39" s="26"/>
      <c r="K39" s="25"/>
      <c r="L39" s="25"/>
      <c r="M39" s="25"/>
      <c r="N39" s="25"/>
    </row>
    <row r="40" ht="15.75" customHeight="1">
      <c r="A40" s="24"/>
      <c r="B40" s="24"/>
      <c r="C40" s="24"/>
      <c r="D40" s="24"/>
      <c r="E40" s="24"/>
      <c r="F40" s="25"/>
      <c r="G40" s="25"/>
      <c r="H40" s="25"/>
      <c r="I40" s="25"/>
      <c r="J40" s="26"/>
      <c r="K40" s="25"/>
      <c r="L40" s="25"/>
      <c r="M40" s="25"/>
      <c r="N40" s="25"/>
    </row>
    <row r="41" ht="15.75" customHeight="1">
      <c r="A41" s="24"/>
      <c r="B41" s="24"/>
      <c r="C41" s="24"/>
      <c r="D41" s="24"/>
      <c r="E41" s="24"/>
      <c r="J41" s="26"/>
    </row>
    <row r="42" ht="15.75" customHeight="1">
      <c r="A42" s="24"/>
      <c r="B42" s="24"/>
      <c r="C42" s="24"/>
      <c r="D42" s="24"/>
      <c r="E42" s="24"/>
      <c r="J42" s="26"/>
    </row>
    <row r="43" ht="15.75" customHeight="1">
      <c r="A43" s="24"/>
      <c r="B43" s="24"/>
      <c r="C43" s="24"/>
      <c r="D43" s="24"/>
      <c r="E43" s="24"/>
      <c r="J43" s="26"/>
    </row>
    <row r="44" ht="15.75" customHeight="1">
      <c r="A44" s="24"/>
      <c r="B44" s="24"/>
      <c r="C44" s="24"/>
      <c r="D44" s="24"/>
      <c r="E44" s="24"/>
      <c r="J44" s="26"/>
    </row>
    <row r="45" ht="15.75" customHeight="1">
      <c r="A45" s="24"/>
      <c r="B45" s="24"/>
      <c r="C45" s="24"/>
      <c r="D45" s="24"/>
      <c r="E45" s="24"/>
      <c r="J45" s="26"/>
    </row>
    <row r="46" ht="15.75" customHeight="1">
      <c r="A46" s="24"/>
      <c r="B46" s="24"/>
      <c r="C46" s="24"/>
      <c r="D46" s="24"/>
      <c r="E46" s="24"/>
      <c r="J46" s="26"/>
    </row>
    <row r="47" ht="15.75" customHeight="1">
      <c r="A47" s="24"/>
      <c r="B47" s="24"/>
      <c r="C47" s="24"/>
      <c r="D47" s="24"/>
      <c r="E47" s="24"/>
      <c r="J47" s="26"/>
    </row>
    <row r="48" ht="15.75" customHeight="1">
      <c r="A48" s="24"/>
      <c r="B48" s="24"/>
      <c r="C48" s="24"/>
      <c r="D48" s="24"/>
      <c r="E48" s="24"/>
      <c r="J48" s="26"/>
    </row>
    <row r="49" ht="15.75" customHeight="1">
      <c r="A49" s="24"/>
      <c r="B49" s="24"/>
      <c r="C49" s="24"/>
      <c r="D49" s="24"/>
      <c r="E49" s="24"/>
      <c r="J49" s="26"/>
    </row>
    <row r="50" ht="15.75" customHeight="1">
      <c r="A50" s="24"/>
      <c r="B50" s="24"/>
      <c r="C50" s="24"/>
      <c r="D50" s="24"/>
      <c r="E50" s="24"/>
      <c r="J50" s="26"/>
    </row>
    <row r="51" ht="15.75" customHeight="1">
      <c r="A51" s="24"/>
      <c r="B51" s="24"/>
      <c r="C51" s="24"/>
      <c r="D51" s="24"/>
      <c r="E51" s="24"/>
      <c r="J51" s="26"/>
    </row>
    <row r="52" ht="15.75" customHeight="1">
      <c r="A52" s="24"/>
      <c r="B52" s="24"/>
      <c r="C52" s="24"/>
      <c r="D52" s="24"/>
      <c r="E52" s="24"/>
      <c r="J52" s="26"/>
    </row>
    <row r="53" ht="15.75" customHeight="1">
      <c r="A53" s="24"/>
      <c r="B53" s="24"/>
      <c r="C53" s="24"/>
      <c r="D53" s="24"/>
      <c r="E53" s="24"/>
      <c r="J53" s="26"/>
    </row>
    <row r="54" ht="15.75" customHeight="1">
      <c r="A54" s="24"/>
      <c r="B54" s="24"/>
      <c r="C54" s="24"/>
      <c r="D54" s="24"/>
      <c r="E54" s="24"/>
      <c r="J54" s="26"/>
    </row>
    <row r="55" ht="15.75" customHeight="1">
      <c r="A55" s="24"/>
      <c r="B55" s="24"/>
      <c r="C55" s="24"/>
      <c r="D55" s="24"/>
      <c r="E55" s="24"/>
      <c r="J55" s="26"/>
    </row>
    <row r="56" ht="15.75" customHeight="1">
      <c r="A56" s="24"/>
      <c r="B56" s="24"/>
      <c r="C56" s="24"/>
      <c r="D56" s="24"/>
      <c r="E56" s="24"/>
      <c r="J56" s="26"/>
    </row>
    <row r="57" ht="15.75" customHeight="1">
      <c r="A57" s="24"/>
      <c r="B57" s="24"/>
      <c r="C57" s="24"/>
      <c r="D57" s="24"/>
      <c r="E57" s="24"/>
      <c r="J57" s="26"/>
    </row>
    <row r="58" ht="15.75" customHeight="1">
      <c r="A58" s="24"/>
      <c r="B58" s="24"/>
      <c r="C58" s="24"/>
      <c r="D58" s="24"/>
      <c r="E58" s="24"/>
      <c r="J58" s="26"/>
    </row>
    <row r="59" ht="15.75" customHeight="1">
      <c r="A59" s="24"/>
      <c r="B59" s="24"/>
      <c r="C59" s="24"/>
      <c r="D59" s="24"/>
      <c r="E59" s="24"/>
      <c r="J59" s="26"/>
    </row>
    <row r="60" ht="15.75" customHeight="1">
      <c r="A60" s="24"/>
      <c r="B60" s="24"/>
      <c r="C60" s="24"/>
      <c r="D60" s="24"/>
      <c r="E60" s="24"/>
      <c r="J60" s="26"/>
    </row>
    <row r="61" ht="15.75" customHeight="1">
      <c r="A61" s="24"/>
      <c r="B61" s="24"/>
      <c r="C61" s="24"/>
      <c r="D61" s="24"/>
      <c r="E61" s="24"/>
      <c r="J61" s="26"/>
    </row>
    <row r="62" ht="15.75" customHeight="1">
      <c r="A62" s="24"/>
      <c r="B62" s="24"/>
      <c r="C62" s="24"/>
      <c r="D62" s="24"/>
      <c r="E62" s="24"/>
      <c r="J62" s="26"/>
    </row>
    <row r="63" ht="15.75" customHeight="1">
      <c r="A63" s="24"/>
      <c r="B63" s="24"/>
      <c r="C63" s="24"/>
      <c r="D63" s="24"/>
      <c r="E63" s="24"/>
      <c r="J63" s="26"/>
    </row>
    <row r="64" ht="15.75" customHeight="1">
      <c r="A64" s="24"/>
      <c r="B64" s="24"/>
      <c r="C64" s="24"/>
      <c r="D64" s="24"/>
      <c r="E64" s="24"/>
      <c r="J64" s="26"/>
    </row>
    <row r="65" ht="15.75" customHeight="1">
      <c r="A65" s="24"/>
      <c r="B65" s="24"/>
      <c r="C65" s="24"/>
      <c r="D65" s="24"/>
      <c r="E65" s="24"/>
      <c r="J65" s="26"/>
    </row>
    <row r="66" ht="15.75" customHeight="1">
      <c r="A66" s="24"/>
      <c r="B66" s="24"/>
      <c r="C66" s="24"/>
      <c r="D66" s="24"/>
      <c r="E66" s="24"/>
      <c r="J66" s="26"/>
    </row>
    <row r="67" ht="15.75" customHeight="1">
      <c r="A67" s="24"/>
      <c r="B67" s="24"/>
      <c r="C67" s="24"/>
      <c r="D67" s="24"/>
      <c r="E67" s="24"/>
      <c r="J67" s="26"/>
    </row>
    <row r="68" ht="15.75" customHeight="1">
      <c r="A68" s="24"/>
      <c r="B68" s="24"/>
      <c r="C68" s="24"/>
      <c r="D68" s="24"/>
      <c r="E68" s="24"/>
      <c r="J68" s="26"/>
    </row>
    <row r="69" ht="15.75" customHeight="1">
      <c r="A69" s="24"/>
      <c r="B69" s="24"/>
      <c r="C69" s="24"/>
      <c r="D69" s="24"/>
      <c r="E69" s="24"/>
      <c r="J69" s="26"/>
    </row>
    <row r="70" ht="15.75" customHeight="1">
      <c r="A70" s="24"/>
      <c r="B70" s="24"/>
      <c r="C70" s="24"/>
      <c r="D70" s="24"/>
      <c r="E70" s="24"/>
      <c r="J70" s="26"/>
    </row>
    <row r="71" ht="15.75" customHeight="1">
      <c r="A71" s="24"/>
      <c r="B71" s="24"/>
      <c r="C71" s="24"/>
      <c r="D71" s="24"/>
      <c r="E71" s="24"/>
      <c r="J71" s="26"/>
    </row>
    <row r="72" ht="15.75" customHeight="1">
      <c r="A72" s="24"/>
      <c r="B72" s="24"/>
      <c r="C72" s="24"/>
      <c r="D72" s="24"/>
      <c r="E72" s="24"/>
      <c r="J72" s="26"/>
    </row>
    <row r="73" ht="15.75" customHeight="1">
      <c r="A73" s="24"/>
      <c r="B73" s="24"/>
      <c r="C73" s="24"/>
      <c r="D73" s="24"/>
      <c r="E73" s="24"/>
      <c r="J73" s="26"/>
    </row>
    <row r="74" ht="15.75" customHeight="1">
      <c r="A74" s="24"/>
      <c r="B74" s="24"/>
      <c r="C74" s="24"/>
      <c r="D74" s="24"/>
      <c r="E74" s="24"/>
      <c r="J74" s="26"/>
    </row>
    <row r="75" ht="15.75" customHeight="1">
      <c r="A75" s="24"/>
      <c r="B75" s="24"/>
      <c r="C75" s="24"/>
      <c r="D75" s="24"/>
      <c r="E75" s="24"/>
      <c r="J75" s="26"/>
    </row>
    <row r="76" ht="15.75" customHeight="1">
      <c r="A76" s="24"/>
      <c r="B76" s="24"/>
      <c r="C76" s="24"/>
      <c r="D76" s="24"/>
      <c r="E76" s="24"/>
      <c r="J76" s="26"/>
    </row>
    <row r="77" ht="15.75" customHeight="1">
      <c r="A77" s="24"/>
      <c r="B77" s="24"/>
      <c r="C77" s="24"/>
      <c r="D77" s="24"/>
      <c r="E77" s="24"/>
      <c r="J77" s="26"/>
    </row>
    <row r="78" ht="15.75" customHeight="1">
      <c r="A78" s="24"/>
      <c r="B78" s="24"/>
      <c r="C78" s="24"/>
      <c r="D78" s="24"/>
      <c r="E78" s="24"/>
      <c r="J78" s="26"/>
    </row>
    <row r="79" ht="15.75" customHeight="1">
      <c r="A79" s="24"/>
      <c r="B79" s="24"/>
      <c r="C79" s="24"/>
      <c r="D79" s="24"/>
      <c r="E79" s="24"/>
      <c r="J79" s="26"/>
    </row>
    <row r="80" ht="15.75" customHeight="1">
      <c r="A80" s="24"/>
      <c r="B80" s="24"/>
      <c r="C80" s="24"/>
      <c r="D80" s="24"/>
      <c r="E80" s="24"/>
      <c r="J80" s="26"/>
    </row>
    <row r="81" ht="15.75" customHeight="1">
      <c r="A81" s="24"/>
      <c r="B81" s="24"/>
      <c r="C81" s="24"/>
      <c r="D81" s="24"/>
      <c r="E81" s="24"/>
      <c r="J81" s="26"/>
    </row>
    <row r="82" ht="15.75" customHeight="1">
      <c r="A82" s="24"/>
      <c r="B82" s="24"/>
      <c r="C82" s="24"/>
      <c r="D82" s="24"/>
      <c r="E82" s="24"/>
      <c r="J82" s="26"/>
    </row>
    <row r="83" ht="15.75" customHeight="1">
      <c r="A83" s="24"/>
      <c r="B83" s="24"/>
      <c r="C83" s="24"/>
      <c r="D83" s="24"/>
      <c r="E83" s="24"/>
      <c r="J83" s="26"/>
    </row>
    <row r="84" ht="15.75" customHeight="1">
      <c r="A84" s="24"/>
      <c r="B84" s="24"/>
      <c r="C84" s="24"/>
      <c r="D84" s="24"/>
      <c r="E84" s="24"/>
      <c r="J84" s="26"/>
    </row>
    <row r="85" ht="15.75" customHeight="1">
      <c r="A85" s="24"/>
      <c r="B85" s="24"/>
      <c r="C85" s="24"/>
      <c r="D85" s="24"/>
      <c r="E85" s="24"/>
      <c r="J85" s="26"/>
    </row>
    <row r="86" ht="15.75" customHeight="1">
      <c r="A86" s="24"/>
      <c r="B86" s="24"/>
      <c r="C86" s="24"/>
      <c r="D86" s="24"/>
      <c r="E86" s="24"/>
      <c r="J86" s="26"/>
    </row>
    <row r="87" ht="15.75" customHeight="1">
      <c r="A87" s="24"/>
      <c r="B87" s="24"/>
      <c r="C87" s="24"/>
      <c r="D87" s="24"/>
      <c r="E87" s="24"/>
      <c r="J87" s="26"/>
    </row>
    <row r="88" ht="15.75" customHeight="1">
      <c r="A88" s="24"/>
      <c r="B88" s="24"/>
      <c r="C88" s="24"/>
      <c r="D88" s="24"/>
      <c r="E88" s="24"/>
      <c r="J88" s="26"/>
    </row>
    <row r="89" ht="15.75" customHeight="1">
      <c r="A89" s="24"/>
      <c r="B89" s="24"/>
      <c r="C89" s="24"/>
      <c r="D89" s="24"/>
      <c r="E89" s="24"/>
      <c r="J89" s="26"/>
    </row>
    <row r="90" ht="15.75" customHeight="1">
      <c r="A90" s="24"/>
      <c r="B90" s="24"/>
      <c r="C90" s="24"/>
      <c r="D90" s="24"/>
      <c r="E90" s="24"/>
      <c r="J90" s="26"/>
    </row>
    <row r="91" ht="15.75" customHeight="1">
      <c r="A91" s="24"/>
      <c r="B91" s="24"/>
      <c r="C91" s="24"/>
      <c r="D91" s="24"/>
      <c r="E91" s="24"/>
      <c r="J91" s="26"/>
    </row>
    <row r="92" ht="15.75" customHeight="1">
      <c r="A92" s="24"/>
      <c r="B92" s="24"/>
      <c r="C92" s="24"/>
      <c r="D92" s="24"/>
      <c r="E92" s="24"/>
      <c r="J92" s="26"/>
    </row>
    <row r="93" ht="15.75" customHeight="1">
      <c r="A93" s="24"/>
      <c r="B93" s="24"/>
      <c r="C93" s="24"/>
      <c r="D93" s="24"/>
      <c r="E93" s="24"/>
      <c r="J93" s="26"/>
    </row>
    <row r="94" ht="15.75" customHeight="1">
      <c r="A94" s="24"/>
      <c r="B94" s="24"/>
      <c r="C94" s="24"/>
      <c r="D94" s="24"/>
      <c r="E94" s="24"/>
      <c r="J94" s="26"/>
    </row>
    <row r="95" ht="15.75" customHeight="1">
      <c r="A95" s="24"/>
      <c r="B95" s="24"/>
      <c r="C95" s="24"/>
      <c r="D95" s="24"/>
      <c r="E95" s="24"/>
      <c r="J95" s="26"/>
    </row>
    <row r="96" ht="15.75" customHeight="1">
      <c r="A96" s="24"/>
      <c r="B96" s="24"/>
      <c r="C96" s="24"/>
      <c r="D96" s="24"/>
      <c r="E96" s="24"/>
      <c r="J96" s="26"/>
    </row>
    <row r="97" ht="15.75" customHeight="1">
      <c r="A97" s="24"/>
      <c r="B97" s="24"/>
      <c r="C97" s="24"/>
      <c r="D97" s="24"/>
      <c r="E97" s="24"/>
      <c r="J97" s="26"/>
    </row>
    <row r="98" ht="15.75" customHeight="1">
      <c r="A98" s="24"/>
      <c r="B98" s="24"/>
      <c r="C98" s="24"/>
      <c r="D98" s="24"/>
      <c r="E98" s="24"/>
      <c r="J98" s="26"/>
    </row>
    <row r="99" ht="15.75" customHeight="1">
      <c r="A99" s="24"/>
      <c r="B99" s="24"/>
      <c r="C99" s="24"/>
      <c r="D99" s="24"/>
      <c r="E99" s="24"/>
      <c r="J99" s="26"/>
    </row>
    <row r="100" ht="15.75" customHeight="1">
      <c r="A100" s="24"/>
      <c r="B100" s="24"/>
      <c r="C100" s="24"/>
      <c r="D100" s="24"/>
      <c r="E100" s="24"/>
      <c r="J100" s="26"/>
    </row>
    <row r="101" ht="15.75" customHeight="1">
      <c r="A101" s="24"/>
      <c r="B101" s="24"/>
      <c r="C101" s="24"/>
      <c r="D101" s="24"/>
      <c r="E101" s="24"/>
      <c r="J101" s="26"/>
    </row>
    <row r="102" ht="15.75" customHeight="1">
      <c r="A102" s="24"/>
      <c r="B102" s="24"/>
      <c r="C102" s="24"/>
      <c r="D102" s="24"/>
      <c r="E102" s="24"/>
      <c r="J102" s="26"/>
    </row>
    <row r="103" ht="15.75" customHeight="1">
      <c r="A103" s="24"/>
      <c r="B103" s="24"/>
      <c r="C103" s="24"/>
      <c r="D103" s="24"/>
      <c r="E103" s="24"/>
      <c r="J103" s="26"/>
    </row>
    <row r="104" ht="15.75" customHeight="1">
      <c r="A104" s="24"/>
      <c r="B104" s="24"/>
      <c r="C104" s="24"/>
      <c r="D104" s="24"/>
      <c r="E104" s="24"/>
      <c r="J104" s="26"/>
    </row>
    <row r="105" ht="15.75" customHeight="1">
      <c r="A105" s="24"/>
      <c r="B105" s="24"/>
      <c r="C105" s="24"/>
      <c r="D105" s="24"/>
      <c r="E105" s="24"/>
      <c r="J105" s="26"/>
    </row>
    <row r="106" ht="15.75" customHeight="1">
      <c r="A106" s="24"/>
      <c r="B106" s="24"/>
      <c r="C106" s="24"/>
      <c r="D106" s="24"/>
      <c r="E106" s="24"/>
      <c r="J106" s="26"/>
    </row>
    <row r="107" ht="15.75" customHeight="1">
      <c r="A107" s="24"/>
      <c r="B107" s="24"/>
      <c r="C107" s="24"/>
      <c r="D107" s="24"/>
      <c r="E107" s="24"/>
      <c r="J107" s="26"/>
    </row>
    <row r="108" ht="15.75" customHeight="1">
      <c r="A108" s="24"/>
      <c r="B108" s="24"/>
      <c r="C108" s="24"/>
      <c r="D108" s="24"/>
      <c r="E108" s="24"/>
      <c r="J108" s="26"/>
    </row>
    <row r="109" ht="15.75" customHeight="1">
      <c r="A109" s="24"/>
      <c r="B109" s="24"/>
      <c r="C109" s="24"/>
      <c r="D109" s="24"/>
      <c r="E109" s="24"/>
      <c r="J109" s="26"/>
    </row>
    <row r="110" ht="15.75" customHeight="1">
      <c r="A110" s="24"/>
      <c r="B110" s="24"/>
      <c r="C110" s="24"/>
      <c r="D110" s="24"/>
      <c r="E110" s="24"/>
      <c r="J110" s="26"/>
    </row>
    <row r="111" ht="15.75" customHeight="1">
      <c r="A111" s="24"/>
      <c r="B111" s="24"/>
      <c r="C111" s="24"/>
      <c r="D111" s="24"/>
      <c r="E111" s="24"/>
      <c r="J111" s="26"/>
    </row>
    <row r="112" ht="15.75" customHeight="1">
      <c r="A112" s="24"/>
      <c r="B112" s="24"/>
      <c r="C112" s="24"/>
      <c r="D112" s="24"/>
      <c r="E112" s="24"/>
      <c r="J112" s="26"/>
    </row>
    <row r="113" ht="15.75" customHeight="1">
      <c r="A113" s="24"/>
      <c r="B113" s="24"/>
      <c r="C113" s="24"/>
      <c r="D113" s="24"/>
      <c r="E113" s="24"/>
      <c r="J113" s="26"/>
    </row>
    <row r="114" ht="15.75" customHeight="1">
      <c r="A114" s="24"/>
      <c r="B114" s="24"/>
      <c r="C114" s="24"/>
      <c r="D114" s="24"/>
      <c r="E114" s="24"/>
      <c r="J114" s="26"/>
    </row>
    <row r="115" ht="15.75" customHeight="1">
      <c r="A115" s="24"/>
      <c r="B115" s="24"/>
      <c r="C115" s="24"/>
      <c r="D115" s="24"/>
      <c r="E115" s="24"/>
      <c r="J115" s="26"/>
    </row>
    <row r="116" ht="15.75" customHeight="1">
      <c r="A116" s="24"/>
      <c r="B116" s="24"/>
      <c r="C116" s="24"/>
      <c r="D116" s="24"/>
      <c r="E116" s="24"/>
      <c r="J116" s="26"/>
    </row>
    <row r="117" ht="15.75" customHeight="1">
      <c r="A117" s="24"/>
      <c r="B117" s="24"/>
      <c r="C117" s="24"/>
      <c r="D117" s="24"/>
      <c r="E117" s="24"/>
      <c r="J117" s="26"/>
    </row>
    <row r="118" ht="15.75" customHeight="1">
      <c r="A118" s="24"/>
      <c r="B118" s="24"/>
      <c r="C118" s="24"/>
      <c r="D118" s="24"/>
      <c r="E118" s="24"/>
      <c r="J118" s="26"/>
    </row>
    <row r="119" ht="15.75" customHeight="1">
      <c r="A119" s="24"/>
      <c r="B119" s="24"/>
      <c r="C119" s="24"/>
      <c r="D119" s="24"/>
      <c r="E119" s="24"/>
      <c r="J119" s="26"/>
    </row>
    <row r="120" ht="15.75" customHeight="1">
      <c r="A120" s="24"/>
      <c r="B120" s="24"/>
      <c r="C120" s="24"/>
      <c r="D120" s="24"/>
      <c r="E120" s="24"/>
      <c r="J120" s="26"/>
    </row>
    <row r="121" ht="15.75" customHeight="1">
      <c r="A121" s="24"/>
      <c r="B121" s="24"/>
      <c r="C121" s="24"/>
      <c r="D121" s="24"/>
      <c r="E121" s="24"/>
      <c r="J121" s="26"/>
    </row>
    <row r="122" ht="15.75" customHeight="1">
      <c r="A122" s="24"/>
      <c r="B122" s="24"/>
      <c r="C122" s="24"/>
      <c r="D122" s="24"/>
      <c r="E122" s="24"/>
      <c r="J122" s="26"/>
    </row>
    <row r="123" ht="15.75" customHeight="1">
      <c r="A123" s="24"/>
      <c r="B123" s="24"/>
      <c r="C123" s="24"/>
      <c r="D123" s="24"/>
      <c r="E123" s="24"/>
      <c r="J123" s="26"/>
    </row>
    <row r="124" ht="15.75" customHeight="1">
      <c r="A124" s="24"/>
      <c r="B124" s="24"/>
      <c r="C124" s="24"/>
      <c r="D124" s="24"/>
      <c r="E124" s="24"/>
      <c r="J124" s="26"/>
    </row>
    <row r="125" ht="15.75" customHeight="1">
      <c r="A125" s="24"/>
      <c r="B125" s="24"/>
      <c r="C125" s="24"/>
      <c r="D125" s="24"/>
      <c r="E125" s="24"/>
      <c r="J125" s="26"/>
    </row>
    <row r="126" ht="15.75" customHeight="1">
      <c r="A126" s="24"/>
      <c r="B126" s="24"/>
      <c r="C126" s="24"/>
      <c r="D126" s="24"/>
      <c r="E126" s="24"/>
      <c r="J126" s="26"/>
    </row>
    <row r="127" ht="15.75" customHeight="1">
      <c r="A127" s="24"/>
      <c r="B127" s="24"/>
      <c r="C127" s="24"/>
      <c r="D127" s="24"/>
      <c r="E127" s="24"/>
      <c r="J127" s="26"/>
    </row>
    <row r="128" ht="15.75" customHeight="1">
      <c r="A128" s="24"/>
      <c r="B128" s="24"/>
      <c r="C128" s="24"/>
      <c r="D128" s="24"/>
      <c r="E128" s="24"/>
      <c r="J128" s="26"/>
    </row>
    <row r="129" ht="15.75" customHeight="1">
      <c r="A129" s="24"/>
      <c r="B129" s="24"/>
      <c r="C129" s="24"/>
      <c r="D129" s="24"/>
      <c r="E129" s="24"/>
      <c r="J129" s="26"/>
    </row>
    <row r="130" ht="15.75" customHeight="1">
      <c r="A130" s="24"/>
      <c r="B130" s="24"/>
      <c r="C130" s="24"/>
      <c r="D130" s="24"/>
      <c r="E130" s="24"/>
      <c r="J130" s="26"/>
    </row>
    <row r="131" ht="15.75" customHeight="1">
      <c r="A131" s="24"/>
      <c r="B131" s="24"/>
      <c r="C131" s="24"/>
      <c r="D131" s="24"/>
      <c r="E131" s="24"/>
      <c r="J131" s="26"/>
    </row>
    <row r="132" ht="15.75" customHeight="1">
      <c r="A132" s="24"/>
      <c r="B132" s="24"/>
      <c r="C132" s="24"/>
      <c r="D132" s="24"/>
      <c r="E132" s="24"/>
      <c r="J132" s="26"/>
    </row>
    <row r="133" ht="15.75" customHeight="1">
      <c r="A133" s="24"/>
      <c r="B133" s="24"/>
      <c r="C133" s="24"/>
      <c r="D133" s="24"/>
      <c r="E133" s="24"/>
      <c r="J133" s="26"/>
    </row>
    <row r="134" ht="15.75" customHeight="1">
      <c r="A134" s="24"/>
      <c r="B134" s="24"/>
      <c r="C134" s="24"/>
      <c r="D134" s="24"/>
      <c r="E134" s="24"/>
      <c r="J134" s="26"/>
    </row>
    <row r="135" ht="15.75" customHeight="1">
      <c r="A135" s="24"/>
      <c r="B135" s="24"/>
      <c r="C135" s="24"/>
      <c r="D135" s="24"/>
      <c r="E135" s="24"/>
      <c r="J135" s="26"/>
    </row>
    <row r="136" ht="15.75" customHeight="1">
      <c r="A136" s="24"/>
      <c r="B136" s="24"/>
      <c r="C136" s="24"/>
      <c r="D136" s="24"/>
      <c r="E136" s="24"/>
      <c r="J136" s="26"/>
    </row>
    <row r="137" ht="15.75" customHeight="1">
      <c r="A137" s="24"/>
      <c r="B137" s="24"/>
      <c r="C137" s="24"/>
      <c r="D137" s="24"/>
      <c r="E137" s="24"/>
      <c r="J137" s="26"/>
    </row>
    <row r="138" ht="15.75" customHeight="1">
      <c r="A138" s="24"/>
      <c r="B138" s="24"/>
      <c r="C138" s="24"/>
      <c r="D138" s="24"/>
      <c r="E138" s="24"/>
      <c r="J138" s="26"/>
    </row>
    <row r="139" ht="15.75" customHeight="1">
      <c r="A139" s="24"/>
      <c r="B139" s="24"/>
      <c r="C139" s="24"/>
      <c r="D139" s="24"/>
      <c r="E139" s="24"/>
      <c r="J139" s="26"/>
    </row>
    <row r="140" ht="15.75" customHeight="1">
      <c r="A140" s="24"/>
      <c r="B140" s="24"/>
      <c r="C140" s="24"/>
      <c r="D140" s="24"/>
      <c r="E140" s="24"/>
      <c r="J140" s="26"/>
    </row>
    <row r="141" ht="15.75" customHeight="1">
      <c r="A141" s="24"/>
      <c r="B141" s="24"/>
      <c r="C141" s="24"/>
      <c r="D141" s="24"/>
      <c r="E141" s="24"/>
      <c r="J141" s="26"/>
    </row>
    <row r="142" ht="15.75" customHeight="1">
      <c r="A142" s="24"/>
      <c r="B142" s="24"/>
      <c r="C142" s="24"/>
      <c r="D142" s="24"/>
      <c r="E142" s="24"/>
      <c r="J142" s="26"/>
    </row>
    <row r="143" ht="15.75" customHeight="1">
      <c r="A143" s="24"/>
      <c r="B143" s="24"/>
      <c r="C143" s="24"/>
      <c r="D143" s="24"/>
      <c r="E143" s="24"/>
      <c r="J143" s="26"/>
    </row>
    <row r="144" ht="15.75" customHeight="1">
      <c r="A144" s="24"/>
      <c r="B144" s="24"/>
      <c r="C144" s="24"/>
      <c r="D144" s="24"/>
      <c r="E144" s="24"/>
      <c r="J144" s="26"/>
    </row>
    <row r="145" ht="15.75" customHeight="1">
      <c r="A145" s="24"/>
      <c r="B145" s="24"/>
      <c r="C145" s="24"/>
      <c r="D145" s="24"/>
      <c r="E145" s="24"/>
      <c r="J145" s="26"/>
    </row>
    <row r="146" ht="15.75" customHeight="1">
      <c r="A146" s="24"/>
      <c r="B146" s="24"/>
      <c r="C146" s="24"/>
      <c r="D146" s="24"/>
      <c r="E146" s="24"/>
      <c r="J146" s="26"/>
    </row>
    <row r="147" ht="15.75" customHeight="1">
      <c r="A147" s="24"/>
      <c r="B147" s="24"/>
      <c r="C147" s="24"/>
      <c r="D147" s="24"/>
      <c r="E147" s="24"/>
      <c r="J147" s="26"/>
    </row>
    <row r="148" ht="15.75" customHeight="1">
      <c r="A148" s="24"/>
      <c r="B148" s="24"/>
      <c r="C148" s="24"/>
      <c r="D148" s="24"/>
      <c r="E148" s="24"/>
      <c r="J148" s="26"/>
    </row>
    <row r="149" ht="15.75" customHeight="1">
      <c r="A149" s="24"/>
      <c r="B149" s="24"/>
      <c r="C149" s="24"/>
      <c r="D149" s="24"/>
      <c r="E149" s="24"/>
      <c r="J149" s="26"/>
    </row>
    <row r="150" ht="15.75" customHeight="1">
      <c r="A150" s="24"/>
      <c r="B150" s="24"/>
      <c r="C150" s="24"/>
      <c r="D150" s="24"/>
      <c r="E150" s="24"/>
      <c r="J150" s="26"/>
    </row>
    <row r="151" ht="15.75" customHeight="1">
      <c r="A151" s="24"/>
      <c r="B151" s="24"/>
      <c r="C151" s="24"/>
      <c r="D151" s="24"/>
      <c r="E151" s="24"/>
      <c r="J151" s="26"/>
    </row>
    <row r="152" ht="15.75" customHeight="1">
      <c r="A152" s="24"/>
      <c r="B152" s="24"/>
      <c r="C152" s="24"/>
      <c r="D152" s="24"/>
      <c r="E152" s="24"/>
      <c r="J152" s="26"/>
    </row>
    <row r="153" ht="15.75" customHeight="1">
      <c r="A153" s="24"/>
      <c r="B153" s="24"/>
      <c r="C153" s="24"/>
      <c r="D153" s="24"/>
      <c r="E153" s="24"/>
      <c r="J153" s="26"/>
    </row>
    <row r="154" ht="15.75" customHeight="1">
      <c r="A154" s="24"/>
      <c r="B154" s="24"/>
      <c r="C154" s="24"/>
      <c r="D154" s="24"/>
      <c r="E154" s="24"/>
      <c r="J154" s="26"/>
    </row>
    <row r="155" ht="15.75" customHeight="1">
      <c r="A155" s="24"/>
      <c r="B155" s="24"/>
      <c r="C155" s="24"/>
      <c r="D155" s="24"/>
      <c r="E155" s="24"/>
      <c r="J155" s="26"/>
    </row>
    <row r="156" ht="15.75" customHeight="1">
      <c r="A156" s="24"/>
      <c r="B156" s="24"/>
      <c r="C156" s="24"/>
      <c r="D156" s="24"/>
      <c r="E156" s="24"/>
      <c r="J156" s="26"/>
    </row>
    <row r="157" ht="15.75" customHeight="1">
      <c r="A157" s="24"/>
      <c r="B157" s="24"/>
      <c r="C157" s="24"/>
      <c r="D157" s="24"/>
      <c r="E157" s="24"/>
      <c r="J157" s="26"/>
    </row>
    <row r="158" ht="15.75" customHeight="1">
      <c r="A158" s="24"/>
      <c r="B158" s="24"/>
      <c r="C158" s="24"/>
      <c r="D158" s="24"/>
      <c r="E158" s="24"/>
      <c r="J158" s="26"/>
    </row>
    <row r="159" ht="15.75" customHeight="1">
      <c r="A159" s="24"/>
      <c r="B159" s="24"/>
      <c r="C159" s="24"/>
      <c r="D159" s="24"/>
      <c r="E159" s="24"/>
      <c r="J159" s="26"/>
    </row>
    <row r="160" ht="15.75" customHeight="1">
      <c r="A160" s="24"/>
      <c r="B160" s="24"/>
      <c r="C160" s="24"/>
      <c r="D160" s="24"/>
      <c r="E160" s="24"/>
      <c r="J160" s="26"/>
    </row>
    <row r="161" ht="15.75" customHeight="1">
      <c r="A161" s="24"/>
      <c r="B161" s="24"/>
      <c r="C161" s="24"/>
      <c r="D161" s="24"/>
      <c r="E161" s="24"/>
      <c r="J161" s="26"/>
    </row>
    <row r="162" ht="15.75" customHeight="1">
      <c r="A162" s="24"/>
      <c r="B162" s="24"/>
      <c r="C162" s="24"/>
      <c r="D162" s="24"/>
      <c r="E162" s="24"/>
      <c r="J162" s="26"/>
    </row>
    <row r="163" ht="15.75" customHeight="1">
      <c r="A163" s="24"/>
      <c r="B163" s="24"/>
      <c r="C163" s="24"/>
      <c r="D163" s="24"/>
      <c r="E163" s="24"/>
      <c r="J163" s="26"/>
    </row>
    <row r="164" ht="15.75" customHeight="1">
      <c r="A164" s="24"/>
      <c r="B164" s="24"/>
      <c r="C164" s="24"/>
      <c r="D164" s="24"/>
      <c r="E164" s="24"/>
      <c r="J164" s="26"/>
    </row>
    <row r="165" ht="15.75" customHeight="1">
      <c r="A165" s="24"/>
      <c r="B165" s="24"/>
      <c r="C165" s="24"/>
      <c r="D165" s="24"/>
      <c r="E165" s="24"/>
      <c r="J165" s="26"/>
    </row>
    <row r="166" ht="15.75" customHeight="1">
      <c r="A166" s="24"/>
      <c r="B166" s="24"/>
      <c r="C166" s="24"/>
      <c r="D166" s="24"/>
      <c r="E166" s="24"/>
      <c r="J166" s="26"/>
    </row>
    <row r="167" ht="15.75" customHeight="1">
      <c r="A167" s="24"/>
      <c r="B167" s="24"/>
      <c r="C167" s="24"/>
      <c r="D167" s="24"/>
      <c r="E167" s="24"/>
      <c r="J167" s="26"/>
    </row>
    <row r="168" ht="15.75" customHeight="1">
      <c r="A168" s="24"/>
      <c r="B168" s="24"/>
      <c r="C168" s="24"/>
      <c r="D168" s="24"/>
      <c r="E168" s="24"/>
      <c r="J168" s="26"/>
    </row>
    <row r="169" ht="15.75" customHeight="1">
      <c r="A169" s="24"/>
      <c r="B169" s="24"/>
      <c r="C169" s="24"/>
      <c r="D169" s="24"/>
      <c r="E169" s="24"/>
      <c r="J169" s="26"/>
    </row>
    <row r="170" ht="15.75" customHeight="1">
      <c r="A170" s="24"/>
      <c r="B170" s="24"/>
      <c r="C170" s="24"/>
      <c r="D170" s="24"/>
      <c r="E170" s="24"/>
      <c r="J170" s="26"/>
    </row>
    <row r="171" ht="15.75" customHeight="1">
      <c r="A171" s="24"/>
      <c r="B171" s="24"/>
      <c r="C171" s="24"/>
      <c r="D171" s="24"/>
      <c r="E171" s="24"/>
      <c r="J171" s="26"/>
    </row>
    <row r="172" ht="15.75" customHeight="1">
      <c r="A172" s="24"/>
      <c r="B172" s="24"/>
      <c r="C172" s="24"/>
      <c r="D172" s="24"/>
      <c r="E172" s="24"/>
      <c r="J172" s="26"/>
    </row>
    <row r="173" ht="15.75" customHeight="1">
      <c r="A173" s="24"/>
      <c r="B173" s="24"/>
      <c r="C173" s="24"/>
      <c r="D173" s="24"/>
      <c r="E173" s="24"/>
      <c r="J173" s="26"/>
    </row>
    <row r="174" ht="15.75" customHeight="1">
      <c r="A174" s="24"/>
      <c r="B174" s="24"/>
      <c r="C174" s="24"/>
      <c r="D174" s="24"/>
      <c r="E174" s="24"/>
      <c r="J174" s="26"/>
    </row>
    <row r="175" ht="15.75" customHeight="1">
      <c r="A175" s="24"/>
      <c r="B175" s="24"/>
      <c r="C175" s="24"/>
      <c r="D175" s="24"/>
      <c r="E175" s="24"/>
      <c r="J175" s="26"/>
    </row>
    <row r="176" ht="15.75" customHeight="1">
      <c r="A176" s="24"/>
      <c r="B176" s="24"/>
      <c r="C176" s="24"/>
      <c r="D176" s="24"/>
      <c r="E176" s="24"/>
      <c r="J176" s="26"/>
    </row>
    <row r="177" ht="15.75" customHeight="1">
      <c r="A177" s="24"/>
      <c r="B177" s="24"/>
      <c r="C177" s="24"/>
      <c r="D177" s="24"/>
      <c r="E177" s="24"/>
      <c r="J177" s="26"/>
    </row>
    <row r="178" ht="15.75" customHeight="1">
      <c r="A178" s="24"/>
      <c r="B178" s="24"/>
      <c r="C178" s="24"/>
      <c r="D178" s="24"/>
      <c r="E178" s="24"/>
      <c r="J178" s="26"/>
    </row>
    <row r="179" ht="15.75" customHeight="1">
      <c r="A179" s="24"/>
      <c r="B179" s="24"/>
      <c r="C179" s="24"/>
      <c r="D179" s="24"/>
      <c r="E179" s="24"/>
      <c r="J179" s="26"/>
    </row>
    <row r="180" ht="15.75" customHeight="1">
      <c r="A180" s="24"/>
      <c r="B180" s="24"/>
      <c r="C180" s="24"/>
      <c r="D180" s="24"/>
      <c r="E180" s="24"/>
      <c r="J180" s="26"/>
    </row>
    <row r="181" ht="15.75" customHeight="1">
      <c r="A181" s="24"/>
      <c r="B181" s="24"/>
      <c r="C181" s="24"/>
      <c r="D181" s="24"/>
      <c r="E181" s="24"/>
      <c r="J181" s="26"/>
    </row>
    <row r="182" ht="15.75" customHeight="1">
      <c r="A182" s="24"/>
      <c r="B182" s="24"/>
      <c r="C182" s="24"/>
      <c r="D182" s="24"/>
      <c r="E182" s="24"/>
      <c r="J182" s="26"/>
    </row>
    <row r="183" ht="15.75" customHeight="1">
      <c r="A183" s="24"/>
      <c r="B183" s="24"/>
      <c r="C183" s="24"/>
      <c r="D183" s="24"/>
      <c r="E183" s="24"/>
      <c r="J183" s="26"/>
    </row>
    <row r="184" ht="15.75" customHeight="1">
      <c r="J184" s="26"/>
    </row>
    <row r="185" ht="15.75" customHeight="1">
      <c r="J185" s="26"/>
    </row>
    <row r="186" ht="15.75" customHeight="1">
      <c r="J186" s="2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B2"/>
    <mergeCell ref="D2:J2"/>
    <mergeCell ref="L2:M3"/>
    <mergeCell ref="D5:D31"/>
    <mergeCell ref="E5:E31"/>
    <mergeCell ref="J5:J31"/>
    <mergeCell ref="D32:I3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4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112</v>
      </c>
      <c r="F5" s="47" t="s">
        <v>22</v>
      </c>
      <c r="G5" s="48"/>
      <c r="H5" s="49">
        <f>VLOOKUP(F5,$A$4:$B$4,2,TRUE)</f>
        <v>4500</v>
      </c>
      <c r="I5" s="50">
        <f t="shared" ref="I5:I85" si="1">G5*H5</f>
        <v>0</v>
      </c>
      <c r="J5" s="51">
        <f>SUM(I5:I31)</f>
        <v>4500</v>
      </c>
      <c r="K5" s="25"/>
      <c r="L5" s="47" t="s">
        <v>22</v>
      </c>
      <c r="M5" s="43">
        <f>SUMIF(F5:F85,"Gelas bersih",G5:G85)</f>
        <v>0.25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/>
      <c r="H6" s="53">
        <f>VLOOKUP(F6,$A$5:$B$5,2,TRUE)</f>
        <v>3000</v>
      </c>
      <c r="I6" s="50">
        <f t="shared" si="1"/>
        <v>0</v>
      </c>
      <c r="J6" s="52"/>
      <c r="K6" s="25"/>
      <c r="L6" s="47" t="s">
        <v>57</v>
      </c>
      <c r="M6" s="43">
        <f>SUMIF(F6:F86,"Botol bersih",G6:G86)</f>
        <v>0</v>
      </c>
      <c r="N6" s="25"/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SUMIF(F7:F86,"Botol Warna",G7:G86)</f>
        <v>0</v>
      </c>
      <c r="N7" s="25"/>
      <c r="O7" s="54" t="s">
        <v>16</v>
      </c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/>
      <c r="H8" s="53">
        <f>VLOOKUP(F8,$A$7:$B$7,2,TRUE)</f>
        <v>2800</v>
      </c>
      <c r="I8" s="50">
        <f t="shared" si="1"/>
        <v>0</v>
      </c>
      <c r="J8" s="52"/>
      <c r="K8" s="25"/>
      <c r="L8" s="47" t="s">
        <v>25</v>
      </c>
      <c r="M8" s="43">
        <f>SUMIF(F8:F87,"Tutup botol",G8:G87)</f>
        <v>0</v>
      </c>
      <c r="N8" s="25"/>
      <c r="O8" s="55">
        <f>M5+M6+M7+M8+M9+M10+M11+M26</f>
        <v>15.25</v>
      </c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/>
      <c r="H9" s="53">
        <f>VLOOKUP(F9,$A$8:$B$8,2,TRUE)</f>
        <v>3500</v>
      </c>
      <c r="I9" s="50">
        <f t="shared" si="1"/>
        <v>0</v>
      </c>
      <c r="J9" s="52"/>
      <c r="K9" s="25"/>
      <c r="L9" s="47" t="s">
        <v>26</v>
      </c>
      <c r="M9" s="43">
        <f>SUMIF(F9:F88,"Tutup galon",G9:G88)</f>
        <v>0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>
        <v>2.0</v>
      </c>
      <c r="H10" s="53">
        <f>VLOOKUP(F10,$A$9:$B$9,2,TRUE)</f>
        <v>1000</v>
      </c>
      <c r="I10" s="50">
        <f t="shared" si="1"/>
        <v>2000</v>
      </c>
      <c r="J10" s="52"/>
      <c r="K10" s="25"/>
      <c r="L10" s="47" t="s">
        <v>27</v>
      </c>
      <c r="M10" s="43">
        <f>SUMIF(F10:F89,"Hitam",G10:G89)</f>
        <v>10.5</v>
      </c>
      <c r="N10" s="25"/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/>
      <c r="H11" s="53">
        <f>VLOOKUP(F11,$A$10:$B$10,2,TRUE)</f>
        <v>2000</v>
      </c>
      <c r="I11" s="50">
        <f t="shared" si="1"/>
        <v>0</v>
      </c>
      <c r="J11" s="52"/>
      <c r="K11" s="25"/>
      <c r="L11" s="47" t="s">
        <v>28</v>
      </c>
      <c r="M11" s="43">
        <f>SUMIF(F11:F90,"Plastik Campur",G11:G90)</f>
        <v>2</v>
      </c>
      <c r="N11" s="25"/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/>
      <c r="H12" s="53">
        <f>VLOOKUP(F12,$A$11:$B$11,2,TRUE)</f>
        <v>1500</v>
      </c>
      <c r="I12" s="50">
        <f t="shared" si="1"/>
        <v>0</v>
      </c>
      <c r="J12" s="52"/>
      <c r="K12" s="25"/>
      <c r="L12" s="47" t="s">
        <v>29</v>
      </c>
      <c r="M12" s="43">
        <f>SUMIF(F12:F91,"Kardus",G12:G91)</f>
        <v>0</v>
      </c>
      <c r="N12" s="25"/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/>
      <c r="H13" s="53">
        <f>VLOOKUP(F13,$A$12:$B$12,2,TRUE)</f>
        <v>1300</v>
      </c>
      <c r="I13" s="50">
        <f t="shared" si="1"/>
        <v>0</v>
      </c>
      <c r="J13" s="52"/>
      <c r="K13" s="25"/>
      <c r="L13" s="47" t="s">
        <v>30</v>
      </c>
      <c r="M13" s="43">
        <f>SUMIF(F13:F92,"Kertas Putihan/ HVS",G13:G92)</f>
        <v>0</v>
      </c>
      <c r="N13" s="25"/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SUMIF(F14:F93,"Koran/Buku",G14:G93)</f>
        <v>0</v>
      </c>
      <c r="N14" s="25"/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>
        <v>5.0</v>
      </c>
      <c r="H15" s="53">
        <f>VLOOKUP(F15,$A$14:$B$14,2,TRUE)</f>
        <v>500</v>
      </c>
      <c r="I15" s="50">
        <f t="shared" si="1"/>
        <v>2500</v>
      </c>
      <c r="J15" s="52"/>
      <c r="K15" s="25"/>
      <c r="L15" s="47" t="s">
        <v>32</v>
      </c>
      <c r="M15" s="43">
        <f>SUMIF(F15:F94,"Duplex",G15:G94)</f>
        <v>5</v>
      </c>
      <c r="N15" s="25"/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SUMIF(F16:F95,"Alumunium",G16:G95)</f>
        <v>2</v>
      </c>
      <c r="N16" s="25"/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SUMIF(F17:F96,"Besi",G17:G96)</f>
        <v>14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/>
      <c r="H18" s="53">
        <f>VLOOKUP(F18,$A$17:$B$17,2,TRUE)</f>
        <v>1000</v>
      </c>
      <c r="I18" s="50">
        <f t="shared" si="1"/>
        <v>0</v>
      </c>
      <c r="J18" s="52"/>
      <c r="K18" s="25"/>
      <c r="L18" s="47" t="s">
        <v>35</v>
      </c>
      <c r="M18" s="43">
        <f>SUMIF(F18:F97,"Kaleng kue/susu",G18:G97)</f>
        <v>6.5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SUMIF(F19:F98,"Kaleng Minuman",G19:G98)</f>
        <v>0.25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SUMIF(F20:F99,"Stanless",G20:G99)</f>
        <v>1.5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SUMIF(F21:F100,"Tembaga",G21:G100)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SUMIF(F22:F101,"Aki Motor",G22:G101)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SUMIF(F23:F102,"Paralon",G23:G102)</f>
        <v>0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41</v>
      </c>
      <c r="M24" s="43">
        <f>SUMIF(F24:F103,"Plastik bening",G24:G103)</f>
        <v>0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42</v>
      </c>
      <c r="M25" s="43">
        <f>SUMIF(F25:F104,"Plastik Warna",G25:G104)</f>
        <v>0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SUMIF(F26:F105,"Selang",G26:G105)</f>
        <v>2.5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18</v>
      </c>
      <c r="M27" s="43">
        <f>SUMIF(F27:F106,"Beling",G27:G106)</f>
        <v>0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/>
      <c r="H28" s="53">
        <f>VLOOKUP(F28,$A$27:$B$27,2,TRUE)</f>
        <v>100</v>
      </c>
      <c r="I28" s="50">
        <f t="shared" si="1"/>
        <v>0</v>
      </c>
      <c r="J28" s="52"/>
      <c r="K28" s="25"/>
      <c r="L28" s="47" t="s">
        <v>44</v>
      </c>
      <c r="M28" s="43">
        <f>SUMIF(F28:F107,"Pecahan",G28:G107)</f>
        <v>0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/>
      <c r="H29" s="53">
        <f>VLOOKUP(F29,$A$28:$B$28,2,TRUE)</f>
        <v>1500</v>
      </c>
      <c r="I29" s="50">
        <f t="shared" si="1"/>
        <v>0</v>
      </c>
      <c r="J29" s="52"/>
      <c r="K29" s="25"/>
      <c r="L29" s="47" t="s">
        <v>13</v>
      </c>
      <c r="M29" s="43">
        <f>SUMIF(F29:F109,"Paku",G29:G109)</f>
        <v>0</v>
      </c>
      <c r="N29" s="25"/>
    </row>
    <row r="30" ht="15.75" customHeight="1">
      <c r="A30" s="36" t="s">
        <v>60</v>
      </c>
      <c r="B30" s="37">
        <v>0.0</v>
      </c>
      <c r="C30" s="44"/>
      <c r="D30" s="52"/>
      <c r="E30" s="52"/>
      <c r="F30" s="47" t="s">
        <v>20</v>
      </c>
      <c r="G30" s="48"/>
      <c r="H30" s="53">
        <f>VLOOKUP(F30,$A$29:$B$29,2,TRUE)</f>
        <v>3500</v>
      </c>
      <c r="I30" s="50">
        <f t="shared" si="1"/>
        <v>0</v>
      </c>
      <c r="J30" s="52"/>
      <c r="K30" s="25"/>
      <c r="L30" s="47" t="s">
        <v>20</v>
      </c>
      <c r="M30" s="43">
        <f>SUMIF(F30:F110,"Minyak Jelantah",G30:G110)</f>
        <v>0</v>
      </c>
      <c r="N30" s="25"/>
    </row>
    <row r="31" ht="15.75" customHeight="1">
      <c r="C31" s="44"/>
      <c r="D31" s="13"/>
      <c r="E31" s="13"/>
      <c r="F31" s="47" t="s">
        <v>60</v>
      </c>
      <c r="G31" s="48">
        <v>10.0</v>
      </c>
      <c r="H31" s="53">
        <f>VLOOKUP(F31,$A$30:$B$30,2,TRUE)</f>
        <v>0</v>
      </c>
      <c r="I31" s="50">
        <f t="shared" si="1"/>
        <v>0</v>
      </c>
      <c r="J31" s="13"/>
      <c r="K31" s="25"/>
      <c r="L31" s="47" t="s">
        <v>60</v>
      </c>
      <c r="M31" s="43">
        <f>SUMIF(F31:F111,"Lainnya",G31:G111)</f>
        <v>10</v>
      </c>
      <c r="N31" s="25"/>
    </row>
    <row r="32" ht="15.75" customHeight="1">
      <c r="A32" s="44"/>
      <c r="B32" s="44"/>
      <c r="C32" s="44"/>
      <c r="D32" s="45">
        <v>2.0</v>
      </c>
      <c r="E32" s="46" t="s">
        <v>113</v>
      </c>
      <c r="F32" s="47" t="s">
        <v>22</v>
      </c>
      <c r="G32" s="48">
        <v>0.25</v>
      </c>
      <c r="H32" s="57">
        <f>VLOOKUP(F32,$A$4:$B$4,2,TRUE)</f>
        <v>4500</v>
      </c>
      <c r="I32" s="50">
        <f t="shared" si="1"/>
        <v>1125</v>
      </c>
      <c r="J32" s="51">
        <f>SUM(I32:I58)</f>
        <v>66925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57</v>
      </c>
      <c r="G33" s="48"/>
      <c r="H33" s="57">
        <f>VLOOKUP(F33,$A$5:$B$5,2,TRUE)</f>
        <v>3000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59</v>
      </c>
      <c r="G34" s="48"/>
      <c r="H34" s="57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25</v>
      </c>
      <c r="G35" s="48"/>
      <c r="H35" s="57">
        <f>VLOOKUP(F35,$A$7:$B$7,2,TRUE)</f>
        <v>2800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26</v>
      </c>
      <c r="G36" s="48"/>
      <c r="H36" s="57">
        <f>VLOOKUP(F36,$A$8:$B$8,2,TRUE)</f>
        <v>3500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27</v>
      </c>
      <c r="G37" s="48">
        <v>8.5</v>
      </c>
      <c r="H37" s="57">
        <f>VLOOKUP(F37,$A$9:$B$9,2,TRUE)</f>
        <v>1000</v>
      </c>
      <c r="I37" s="50">
        <f t="shared" si="1"/>
        <v>8500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28</v>
      </c>
      <c r="G38" s="48"/>
      <c r="H38" s="57">
        <f>VLOOKUP(F38,$A$10:$B$10,2,TRUE)</f>
        <v>2000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29</v>
      </c>
      <c r="G39" s="48"/>
      <c r="H39" s="57">
        <f>VLOOKUP(F39,$A$11:$B$11,2,TRUE)</f>
        <v>1500</v>
      </c>
      <c r="I39" s="50">
        <f t="shared" si="1"/>
        <v>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30</v>
      </c>
      <c r="G40" s="48"/>
      <c r="H40" s="57">
        <f>VLOOKUP(F40,$A$12:$B$12,2,TRUE)</f>
        <v>1300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31</v>
      </c>
      <c r="G41" s="48"/>
      <c r="H41" s="57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32</v>
      </c>
      <c r="G42" s="48"/>
      <c r="H42" s="57">
        <f>VLOOKUP(F42,$A$14:$B$14,2,TRUE)</f>
        <v>500</v>
      </c>
      <c r="I42" s="50">
        <f t="shared" si="1"/>
        <v>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33</v>
      </c>
      <c r="G43" s="48">
        <v>2.0</v>
      </c>
      <c r="H43" s="57">
        <f>VLOOKUP(F43,$A$15:$B$15,2,TRUE)</f>
        <v>7500</v>
      </c>
      <c r="I43" s="50">
        <f t="shared" si="1"/>
        <v>15000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34</v>
      </c>
      <c r="G44" s="48">
        <v>14.0</v>
      </c>
      <c r="H44" s="57">
        <f>VLOOKUP(F44,$A$16:$B$16,2,TRUE)</f>
        <v>2000</v>
      </c>
      <c r="I44" s="50">
        <f t="shared" si="1"/>
        <v>28000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35</v>
      </c>
      <c r="G45" s="48">
        <v>6.5</v>
      </c>
      <c r="H45" s="57">
        <f>VLOOKUP(F45,$A$17:$B$17,2,TRUE)</f>
        <v>1000</v>
      </c>
      <c r="I45" s="50">
        <f t="shared" si="1"/>
        <v>6500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36</v>
      </c>
      <c r="G46" s="48">
        <v>0.25</v>
      </c>
      <c r="H46" s="57">
        <f>VLOOKUP(F46,$A$18:$B$18,2,TRUE)</f>
        <v>5000</v>
      </c>
      <c r="I46" s="50">
        <f t="shared" si="1"/>
        <v>1250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37</v>
      </c>
      <c r="G47" s="48">
        <v>1.5</v>
      </c>
      <c r="H47" s="57">
        <f>VLOOKUP(F47,$A$19:$B$19,2,TRUE)</f>
        <v>2700</v>
      </c>
      <c r="I47" s="50">
        <f t="shared" si="1"/>
        <v>4050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38</v>
      </c>
      <c r="G48" s="48"/>
      <c r="H48" s="57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39</v>
      </c>
      <c r="G49" s="48"/>
      <c r="H49" s="57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40</v>
      </c>
      <c r="G50" s="48"/>
      <c r="H50" s="57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41</v>
      </c>
      <c r="G51" s="48"/>
      <c r="H51" s="57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42</v>
      </c>
      <c r="G52" s="48"/>
      <c r="H52" s="57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43</v>
      </c>
      <c r="G53" s="48">
        <v>2.5</v>
      </c>
      <c r="H53" s="57">
        <f>VLOOKUP(F53,$A$25:$B$25,2,TRUE)</f>
        <v>1000</v>
      </c>
      <c r="I53" s="50">
        <f t="shared" si="1"/>
        <v>2500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18</v>
      </c>
      <c r="G54" s="48"/>
      <c r="H54" s="57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44</v>
      </c>
      <c r="G55" s="48"/>
      <c r="H55" s="57">
        <f>VLOOKUP(F55,$A$27:$B$27,2,TRUE)</f>
        <v>100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13</v>
      </c>
      <c r="G56" s="48"/>
      <c r="H56" s="58">
        <f>VLOOKUP(F56,$A$28:$B$28,2,TRUE)</f>
        <v>1500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20</v>
      </c>
      <c r="G57" s="48"/>
      <c r="H57" s="57">
        <f>VLOOKUP(F57,$A$29:$B$29,2,TRUE)</f>
        <v>3500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13"/>
      <c r="E58" s="13"/>
      <c r="F58" s="47" t="s">
        <v>60</v>
      </c>
      <c r="G58" s="48"/>
      <c r="H58" s="57">
        <f>VLOOKUP(F58,$A$30:$B$30,2,TRUE)</f>
        <v>0</v>
      </c>
      <c r="I58" s="50">
        <f t="shared" si="1"/>
        <v>0</v>
      </c>
      <c r="J58" s="13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9" t="s">
        <v>114</v>
      </c>
      <c r="F59" s="47" t="s">
        <v>22</v>
      </c>
      <c r="G59" s="48"/>
      <c r="H59" s="57">
        <f>VLOOKUP(F59,$A$4:$B$4,2,TRUE)</f>
        <v>4500</v>
      </c>
      <c r="I59" s="50">
        <f t="shared" si="1"/>
        <v>0</v>
      </c>
      <c r="J59" s="51">
        <f>SUM(I59:I85)</f>
        <v>4000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57</v>
      </c>
      <c r="G60" s="48"/>
      <c r="H60" s="57">
        <f>VLOOKUP(F60,$A$5:$B$5,2,TRUE)</f>
        <v>3000</v>
      </c>
      <c r="I60" s="50">
        <f t="shared" si="1"/>
        <v>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59</v>
      </c>
      <c r="G61" s="48"/>
      <c r="H61" s="57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25</v>
      </c>
      <c r="G62" s="48"/>
      <c r="H62" s="57">
        <f>VLOOKUP(F62,$A$7:$B$7,2,TRUE)</f>
        <v>2800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26</v>
      </c>
      <c r="G63" s="48"/>
      <c r="H63" s="57">
        <f>VLOOKUP(F63,$A$8:$B$8,2,TRUE)</f>
        <v>3500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27</v>
      </c>
      <c r="G64" s="48"/>
      <c r="H64" s="57">
        <f>VLOOKUP(F64,$A$9:$B$9,2,TRUE)</f>
        <v>1000</v>
      </c>
      <c r="I64" s="50">
        <f t="shared" si="1"/>
        <v>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28</v>
      </c>
      <c r="G65" s="48">
        <v>2.0</v>
      </c>
      <c r="H65" s="57">
        <f>VLOOKUP(F65,$A$10:$B$10,2,TRUE)</f>
        <v>2000</v>
      </c>
      <c r="I65" s="50">
        <f t="shared" si="1"/>
        <v>4000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29</v>
      </c>
      <c r="G66" s="48"/>
      <c r="H66" s="57">
        <f>VLOOKUP(F66,$A$11:$B$11,2,TRUE)</f>
        <v>1500</v>
      </c>
      <c r="I66" s="50">
        <f t="shared" si="1"/>
        <v>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30</v>
      </c>
      <c r="G67" s="48"/>
      <c r="H67" s="57">
        <f>VLOOKUP(F67,$A$12:$B$12,2,TRUE)</f>
        <v>1300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31</v>
      </c>
      <c r="G68" s="48"/>
      <c r="H68" s="57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32</v>
      </c>
      <c r="G69" s="48"/>
      <c r="H69" s="57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33</v>
      </c>
      <c r="G70" s="48"/>
      <c r="H70" s="57">
        <f>VLOOKUP(F70,$A$15:$B$15,2,TRUE)</f>
        <v>7500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34</v>
      </c>
      <c r="G71" s="48"/>
      <c r="H71" s="57">
        <f>VLOOKUP(F71,$A$16:$B$16,2,TRUE)</f>
        <v>2000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35</v>
      </c>
      <c r="G72" s="48"/>
      <c r="H72" s="57">
        <f>VLOOKUP(F72,$A$17:$B$17,2,TRUE)</f>
        <v>1000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36</v>
      </c>
      <c r="G73" s="48"/>
      <c r="H73" s="57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37</v>
      </c>
      <c r="G74" s="48"/>
      <c r="H74" s="57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38</v>
      </c>
      <c r="G75" s="48"/>
      <c r="H75" s="57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39</v>
      </c>
      <c r="G76" s="48"/>
      <c r="H76" s="57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40</v>
      </c>
      <c r="G77" s="48"/>
      <c r="H77" s="57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41</v>
      </c>
      <c r="G78" s="48"/>
      <c r="H78" s="57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42</v>
      </c>
      <c r="G79" s="48"/>
      <c r="H79" s="57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43</v>
      </c>
      <c r="G80" s="48"/>
      <c r="H80" s="57">
        <f>VLOOKUP(F80,$A$25:$B$25,2,TRUE)</f>
        <v>1000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18</v>
      </c>
      <c r="G81" s="48"/>
      <c r="H81" s="57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44</v>
      </c>
      <c r="G82" s="48"/>
      <c r="H82" s="57">
        <f>VLOOKUP(F82,$A$27:$B$27,2,TRUE)</f>
        <v>100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13</v>
      </c>
      <c r="G83" s="48"/>
      <c r="H83" s="57">
        <f>VLOOKUP(F83,$A$28:$B$28,2,TRUE)</f>
        <v>1500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20</v>
      </c>
      <c r="G84" s="48"/>
      <c r="H84" s="57">
        <f>VLOOKUP(F84,$A$29:$B$29,2,TRUE)</f>
        <v>3500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13"/>
      <c r="E85" s="13"/>
      <c r="F85" s="47" t="s">
        <v>60</v>
      </c>
      <c r="G85" s="48"/>
      <c r="H85" s="57">
        <f>VLOOKUP(F85,$A$30:$B$30,2,TRUE)</f>
        <v>0</v>
      </c>
      <c r="I85" s="50">
        <f t="shared" si="1"/>
        <v>0</v>
      </c>
      <c r="J85" s="13"/>
      <c r="K85" s="25"/>
      <c r="L85" s="25"/>
      <c r="M85" s="25"/>
      <c r="N85" s="25"/>
    </row>
    <row r="86" ht="15.75" customHeight="1">
      <c r="A86" s="44"/>
      <c r="B86" s="44"/>
      <c r="C86" s="44"/>
      <c r="D86" s="60" t="s">
        <v>68</v>
      </c>
      <c r="E86" s="61"/>
      <c r="F86" s="61"/>
      <c r="G86" s="61"/>
      <c r="H86" s="61"/>
      <c r="I86" s="62"/>
      <c r="J86" s="63">
        <f>SUM(J5:J85)</f>
        <v>75425</v>
      </c>
      <c r="K86" s="25"/>
      <c r="L86" s="25"/>
      <c r="M86" s="25"/>
      <c r="N86" s="25"/>
    </row>
    <row r="87" ht="15.75" customHeight="1">
      <c r="A87" s="24"/>
      <c r="B87" s="24"/>
      <c r="C87" s="24"/>
      <c r="D87" s="24"/>
      <c r="E87" s="24"/>
      <c r="F87" s="25"/>
      <c r="G87" s="25"/>
      <c r="H87" s="25"/>
      <c r="I87" s="25"/>
      <c r="J87" s="26"/>
      <c r="K87" s="25"/>
      <c r="L87" s="25"/>
      <c r="M87" s="25"/>
      <c r="N87" s="25"/>
    </row>
    <row r="88" ht="15.75" customHeight="1">
      <c r="A88" s="24"/>
      <c r="B88" s="24"/>
      <c r="C88" s="24"/>
      <c r="D88" s="24"/>
      <c r="E88" s="24"/>
      <c r="F88" s="25"/>
      <c r="G88" s="25"/>
      <c r="H88" s="25"/>
      <c r="I88" s="25"/>
      <c r="J88" s="26"/>
      <c r="K88" s="25"/>
      <c r="L88" s="25"/>
      <c r="M88" s="25"/>
      <c r="N88" s="25"/>
    </row>
    <row r="89" ht="15.75" customHeight="1">
      <c r="A89" s="24"/>
      <c r="B89" s="24"/>
      <c r="C89" s="24"/>
      <c r="D89" s="24"/>
      <c r="E89" s="24"/>
      <c r="F89" s="25"/>
      <c r="G89" s="25"/>
      <c r="H89" s="25"/>
      <c r="I89" s="25"/>
      <c r="J89" s="26"/>
      <c r="K89" s="25"/>
      <c r="L89" s="25"/>
      <c r="M89" s="25"/>
      <c r="N89" s="25"/>
    </row>
    <row r="90" ht="15.75" customHeight="1">
      <c r="A90" s="24"/>
      <c r="B90" s="24"/>
      <c r="C90" s="24"/>
      <c r="D90" s="24"/>
      <c r="E90" s="24"/>
      <c r="F90" s="25"/>
      <c r="G90" s="25"/>
      <c r="H90" s="25"/>
      <c r="I90" s="25"/>
      <c r="J90" s="26"/>
      <c r="K90" s="25"/>
      <c r="L90" s="25"/>
      <c r="M90" s="25"/>
      <c r="N90" s="25"/>
    </row>
    <row r="91" ht="15.75" customHeight="1">
      <c r="A91" s="24"/>
      <c r="B91" s="24"/>
      <c r="C91" s="24"/>
      <c r="D91" s="24"/>
      <c r="E91" s="24"/>
      <c r="F91" s="25"/>
      <c r="G91" s="25"/>
      <c r="H91" s="25"/>
      <c r="I91" s="25"/>
      <c r="J91" s="26"/>
      <c r="K91" s="25"/>
      <c r="L91" s="25"/>
      <c r="M91" s="25"/>
      <c r="N91" s="25"/>
    </row>
    <row r="92" ht="15.75" customHeight="1">
      <c r="A92" s="24"/>
      <c r="B92" s="24"/>
      <c r="C92" s="24"/>
      <c r="D92" s="24"/>
      <c r="E92" s="24"/>
      <c r="F92" s="25"/>
      <c r="G92" s="25"/>
      <c r="H92" s="25"/>
      <c r="I92" s="25"/>
      <c r="J92" s="26"/>
      <c r="K92" s="25"/>
      <c r="L92" s="25"/>
      <c r="M92" s="25"/>
      <c r="N92" s="25"/>
    </row>
    <row r="93" ht="15.75" customHeight="1">
      <c r="A93" s="24"/>
      <c r="B93" s="24"/>
      <c r="C93" s="24"/>
      <c r="D93" s="24"/>
      <c r="E93" s="24"/>
      <c r="F93" s="25"/>
      <c r="G93" s="25"/>
      <c r="H93" s="25"/>
      <c r="I93" s="25"/>
      <c r="J93" s="26"/>
      <c r="K93" s="25"/>
      <c r="L93" s="25"/>
      <c r="M93" s="25"/>
      <c r="N93" s="25"/>
    </row>
    <row r="94" ht="15.75" customHeight="1">
      <c r="A94" s="24"/>
      <c r="B94" s="24"/>
      <c r="C94" s="24"/>
      <c r="D94" s="24"/>
      <c r="E94" s="24"/>
      <c r="F94" s="25"/>
      <c r="G94" s="25"/>
      <c r="H94" s="25"/>
      <c r="I94" s="25"/>
      <c r="J94" s="26"/>
      <c r="K94" s="25"/>
      <c r="L94" s="25"/>
      <c r="M94" s="25"/>
      <c r="N94" s="25"/>
    </row>
    <row r="95" ht="15.75" customHeight="1">
      <c r="A95" s="24"/>
      <c r="B95" s="24"/>
      <c r="C95" s="24"/>
      <c r="D95" s="24"/>
      <c r="E95" s="24"/>
      <c r="J95" s="26"/>
    </row>
    <row r="96" ht="15.75" customHeight="1">
      <c r="A96" s="24"/>
      <c r="B96" s="24"/>
      <c r="C96" s="24"/>
      <c r="D96" s="24"/>
      <c r="E96" s="24"/>
      <c r="J96" s="26"/>
    </row>
    <row r="97" ht="15.75" customHeight="1">
      <c r="A97" s="24"/>
      <c r="B97" s="24"/>
      <c r="C97" s="24"/>
      <c r="D97" s="24"/>
      <c r="E97" s="24"/>
      <c r="J97" s="26"/>
    </row>
    <row r="98" ht="15.75" customHeight="1">
      <c r="A98" s="24"/>
      <c r="B98" s="24"/>
      <c r="C98" s="24"/>
      <c r="D98" s="24"/>
      <c r="E98" s="24"/>
      <c r="J98" s="26"/>
    </row>
    <row r="99" ht="15.75" customHeight="1">
      <c r="A99" s="24"/>
      <c r="B99" s="24"/>
      <c r="C99" s="24"/>
      <c r="D99" s="24"/>
      <c r="E99" s="24"/>
      <c r="J99" s="26"/>
    </row>
    <row r="100" ht="15.75" customHeight="1">
      <c r="A100" s="24"/>
      <c r="B100" s="24"/>
      <c r="C100" s="24"/>
      <c r="D100" s="24"/>
      <c r="E100" s="24"/>
      <c r="J100" s="26"/>
    </row>
    <row r="101" ht="15.75" customHeight="1">
      <c r="A101" s="24"/>
      <c r="B101" s="24"/>
      <c r="C101" s="24"/>
      <c r="D101" s="24"/>
      <c r="E101" s="24"/>
      <c r="J101" s="26"/>
    </row>
    <row r="102" ht="15.75" customHeight="1">
      <c r="A102" s="24"/>
      <c r="B102" s="24"/>
      <c r="C102" s="24"/>
      <c r="D102" s="24"/>
      <c r="E102" s="24"/>
      <c r="J102" s="26"/>
    </row>
    <row r="103" ht="15.75" customHeight="1">
      <c r="A103" s="24"/>
      <c r="B103" s="24"/>
      <c r="C103" s="24"/>
      <c r="D103" s="24"/>
      <c r="E103" s="24"/>
      <c r="J103" s="26"/>
    </row>
    <row r="104" ht="15.75" customHeight="1">
      <c r="A104" s="24"/>
      <c r="B104" s="24"/>
      <c r="C104" s="24"/>
      <c r="D104" s="24"/>
      <c r="E104" s="24"/>
      <c r="J104" s="26"/>
    </row>
    <row r="105" ht="15.75" customHeight="1">
      <c r="A105" s="24"/>
      <c r="B105" s="24"/>
      <c r="C105" s="24"/>
      <c r="D105" s="24"/>
      <c r="E105" s="24"/>
      <c r="J105" s="26"/>
    </row>
    <row r="106" ht="15.75" customHeight="1">
      <c r="A106" s="24"/>
      <c r="B106" s="24"/>
      <c r="C106" s="24"/>
      <c r="D106" s="24"/>
      <c r="E106" s="24"/>
      <c r="J106" s="26"/>
    </row>
    <row r="107" ht="15.75" customHeight="1">
      <c r="A107" s="24"/>
      <c r="B107" s="24"/>
      <c r="C107" s="24"/>
      <c r="D107" s="24"/>
      <c r="E107" s="24"/>
      <c r="J107" s="26"/>
    </row>
    <row r="108" ht="15.75" customHeight="1">
      <c r="A108" s="24"/>
      <c r="B108" s="24"/>
      <c r="C108" s="24"/>
      <c r="D108" s="24"/>
      <c r="E108" s="24"/>
      <c r="J108" s="26"/>
    </row>
    <row r="109" ht="15.75" customHeight="1">
      <c r="A109" s="24"/>
      <c r="B109" s="24"/>
      <c r="C109" s="24"/>
      <c r="D109" s="24"/>
      <c r="E109" s="24"/>
      <c r="J109" s="26"/>
    </row>
    <row r="110" ht="15.75" customHeight="1">
      <c r="A110" s="24"/>
      <c r="B110" s="24"/>
      <c r="C110" s="24"/>
      <c r="D110" s="24"/>
      <c r="E110" s="24"/>
      <c r="J110" s="26"/>
    </row>
    <row r="111" ht="15.75" customHeight="1">
      <c r="A111" s="24"/>
      <c r="B111" s="24"/>
      <c r="C111" s="24"/>
      <c r="D111" s="24"/>
      <c r="E111" s="24"/>
      <c r="J111" s="26"/>
    </row>
    <row r="112" ht="15.75" customHeight="1">
      <c r="A112" s="24"/>
      <c r="B112" s="24"/>
      <c r="C112" s="24"/>
      <c r="D112" s="24"/>
      <c r="E112" s="24"/>
      <c r="J112" s="26"/>
    </row>
    <row r="113" ht="15.75" customHeight="1">
      <c r="A113" s="24"/>
      <c r="B113" s="24"/>
      <c r="C113" s="24"/>
      <c r="D113" s="24"/>
      <c r="E113" s="24"/>
      <c r="J113" s="26"/>
    </row>
    <row r="114" ht="15.75" customHeight="1">
      <c r="A114" s="24"/>
      <c r="B114" s="24"/>
      <c r="C114" s="24"/>
      <c r="D114" s="24"/>
      <c r="E114" s="24"/>
      <c r="J114" s="26"/>
    </row>
    <row r="115" ht="15.75" customHeight="1">
      <c r="A115" s="24"/>
      <c r="B115" s="24"/>
      <c r="C115" s="24"/>
      <c r="D115" s="24"/>
      <c r="E115" s="24"/>
      <c r="J115" s="26"/>
    </row>
    <row r="116" ht="15.75" customHeight="1">
      <c r="A116" s="24"/>
      <c r="B116" s="24"/>
      <c r="C116" s="24"/>
      <c r="D116" s="24"/>
      <c r="E116" s="24"/>
      <c r="J116" s="26"/>
    </row>
    <row r="117" ht="15.75" customHeight="1">
      <c r="A117" s="24"/>
      <c r="B117" s="24"/>
      <c r="C117" s="24"/>
      <c r="D117" s="24"/>
      <c r="E117" s="24"/>
      <c r="J117" s="26"/>
    </row>
    <row r="118" ht="15.75" customHeight="1">
      <c r="A118" s="24"/>
      <c r="B118" s="24"/>
      <c r="C118" s="24"/>
      <c r="D118" s="24"/>
      <c r="E118" s="24"/>
      <c r="J118" s="26"/>
    </row>
    <row r="119" ht="15.75" customHeight="1">
      <c r="A119" s="24"/>
      <c r="B119" s="24"/>
      <c r="C119" s="24"/>
      <c r="D119" s="24"/>
      <c r="E119" s="24"/>
      <c r="J119" s="26"/>
    </row>
    <row r="120" ht="15.75" customHeight="1">
      <c r="A120" s="24"/>
      <c r="B120" s="24"/>
      <c r="C120" s="24"/>
      <c r="D120" s="24"/>
      <c r="E120" s="24"/>
      <c r="J120" s="26"/>
    </row>
    <row r="121" ht="15.75" customHeight="1">
      <c r="A121" s="24"/>
      <c r="B121" s="24"/>
      <c r="C121" s="24"/>
      <c r="D121" s="24"/>
      <c r="E121" s="24"/>
      <c r="J121" s="26"/>
    </row>
    <row r="122" ht="15.75" customHeight="1">
      <c r="A122" s="24"/>
      <c r="B122" s="24"/>
      <c r="C122" s="24"/>
      <c r="D122" s="24"/>
      <c r="E122" s="24"/>
      <c r="J122" s="26"/>
    </row>
    <row r="123" ht="15.75" customHeight="1">
      <c r="A123" s="24"/>
      <c r="B123" s="24"/>
      <c r="C123" s="24"/>
      <c r="D123" s="24"/>
      <c r="E123" s="24"/>
      <c r="J123" s="26"/>
    </row>
    <row r="124" ht="15.75" customHeight="1">
      <c r="A124" s="24"/>
      <c r="B124" s="24"/>
      <c r="C124" s="24"/>
      <c r="D124" s="24"/>
      <c r="E124" s="24"/>
      <c r="J124" s="26"/>
    </row>
    <row r="125" ht="15.75" customHeight="1">
      <c r="A125" s="24"/>
      <c r="B125" s="24"/>
      <c r="C125" s="24"/>
      <c r="D125" s="24"/>
      <c r="E125" s="24"/>
      <c r="J125" s="26"/>
    </row>
    <row r="126" ht="15.75" customHeight="1">
      <c r="A126" s="24"/>
      <c r="B126" s="24"/>
      <c r="C126" s="24"/>
      <c r="D126" s="24"/>
      <c r="E126" s="24"/>
      <c r="J126" s="26"/>
    </row>
    <row r="127" ht="15.75" customHeight="1">
      <c r="A127" s="24"/>
      <c r="B127" s="24"/>
      <c r="C127" s="24"/>
      <c r="D127" s="24"/>
      <c r="E127" s="24"/>
      <c r="J127" s="26"/>
    </row>
    <row r="128" ht="15.75" customHeight="1">
      <c r="A128" s="24"/>
      <c r="B128" s="24"/>
      <c r="C128" s="24"/>
      <c r="D128" s="24"/>
      <c r="E128" s="24"/>
      <c r="J128" s="26"/>
    </row>
    <row r="129" ht="15.75" customHeight="1">
      <c r="A129" s="24"/>
      <c r="B129" s="24"/>
      <c r="C129" s="24"/>
      <c r="D129" s="24"/>
      <c r="E129" s="24"/>
      <c r="J129" s="26"/>
    </row>
    <row r="130" ht="15.75" customHeight="1">
      <c r="A130" s="24"/>
      <c r="B130" s="24"/>
      <c r="C130" s="24"/>
      <c r="D130" s="24"/>
      <c r="E130" s="24"/>
      <c r="J130" s="26"/>
    </row>
    <row r="131" ht="15.75" customHeight="1">
      <c r="A131" s="24"/>
      <c r="B131" s="24"/>
      <c r="C131" s="24"/>
      <c r="D131" s="24"/>
      <c r="E131" s="24"/>
      <c r="J131" s="26"/>
    </row>
    <row r="132" ht="15.75" customHeight="1">
      <c r="A132" s="24"/>
      <c r="B132" s="24"/>
      <c r="C132" s="24"/>
      <c r="D132" s="24"/>
      <c r="E132" s="24"/>
      <c r="J132" s="26"/>
    </row>
    <row r="133" ht="15.75" customHeight="1">
      <c r="A133" s="24"/>
      <c r="B133" s="24"/>
      <c r="C133" s="24"/>
      <c r="D133" s="24"/>
      <c r="E133" s="24"/>
      <c r="J133" s="26"/>
    </row>
    <row r="134" ht="15.75" customHeight="1">
      <c r="A134" s="24"/>
      <c r="B134" s="24"/>
      <c r="C134" s="24"/>
      <c r="D134" s="24"/>
      <c r="E134" s="24"/>
      <c r="J134" s="26"/>
    </row>
    <row r="135" ht="15.75" customHeight="1">
      <c r="A135" s="24"/>
      <c r="B135" s="24"/>
      <c r="C135" s="24"/>
      <c r="D135" s="24"/>
      <c r="E135" s="24"/>
      <c r="J135" s="26"/>
    </row>
    <row r="136" ht="15.75" customHeight="1">
      <c r="A136" s="24"/>
      <c r="B136" s="24"/>
      <c r="C136" s="24"/>
      <c r="D136" s="24"/>
      <c r="E136" s="24"/>
      <c r="J136" s="26"/>
    </row>
    <row r="137" ht="15.75" customHeight="1">
      <c r="A137" s="24"/>
      <c r="B137" s="24"/>
      <c r="C137" s="24"/>
      <c r="D137" s="24"/>
      <c r="E137" s="24"/>
      <c r="J137" s="26"/>
    </row>
    <row r="138" ht="15.75" customHeight="1">
      <c r="A138" s="24"/>
      <c r="B138" s="24"/>
      <c r="C138" s="24"/>
      <c r="D138" s="24"/>
      <c r="E138" s="24"/>
      <c r="J138" s="26"/>
    </row>
    <row r="139" ht="15.75" customHeight="1">
      <c r="A139" s="24"/>
      <c r="B139" s="24"/>
      <c r="C139" s="24"/>
      <c r="D139" s="24"/>
      <c r="E139" s="24"/>
      <c r="J139" s="26"/>
    </row>
    <row r="140" ht="15.75" customHeight="1">
      <c r="A140" s="24"/>
      <c r="B140" s="24"/>
      <c r="C140" s="24"/>
      <c r="D140" s="24"/>
      <c r="E140" s="24"/>
      <c r="J140" s="26"/>
    </row>
    <row r="141" ht="15.75" customHeight="1">
      <c r="A141" s="24"/>
      <c r="B141" s="24"/>
      <c r="C141" s="24"/>
      <c r="D141" s="24"/>
      <c r="E141" s="24"/>
      <c r="J141" s="26"/>
    </row>
    <row r="142" ht="15.75" customHeight="1">
      <c r="A142" s="24"/>
      <c r="B142" s="24"/>
      <c r="C142" s="24"/>
      <c r="D142" s="24"/>
      <c r="E142" s="24"/>
      <c r="J142" s="26"/>
    </row>
    <row r="143" ht="15.75" customHeight="1">
      <c r="A143" s="24"/>
      <c r="B143" s="24"/>
      <c r="C143" s="24"/>
      <c r="D143" s="24"/>
      <c r="E143" s="24"/>
      <c r="J143" s="26"/>
    </row>
    <row r="144" ht="15.75" customHeight="1">
      <c r="A144" s="24"/>
      <c r="B144" s="24"/>
      <c r="C144" s="24"/>
      <c r="D144" s="24"/>
      <c r="E144" s="24"/>
      <c r="J144" s="26"/>
    </row>
    <row r="145" ht="15.75" customHeight="1">
      <c r="A145" s="24"/>
      <c r="B145" s="24"/>
      <c r="C145" s="24"/>
      <c r="D145" s="24"/>
      <c r="E145" s="24"/>
      <c r="J145" s="26"/>
    </row>
    <row r="146" ht="15.75" customHeight="1">
      <c r="A146" s="24"/>
      <c r="B146" s="24"/>
      <c r="C146" s="24"/>
      <c r="D146" s="24"/>
      <c r="E146" s="24"/>
      <c r="J146" s="26"/>
    </row>
    <row r="147" ht="15.75" customHeight="1">
      <c r="A147" s="24"/>
      <c r="B147" s="24"/>
      <c r="C147" s="24"/>
      <c r="D147" s="24"/>
      <c r="E147" s="24"/>
      <c r="J147" s="26"/>
    </row>
    <row r="148" ht="15.75" customHeight="1">
      <c r="A148" s="24"/>
      <c r="B148" s="24"/>
      <c r="C148" s="24"/>
      <c r="D148" s="24"/>
      <c r="E148" s="24"/>
      <c r="J148" s="26"/>
    </row>
    <row r="149" ht="15.75" customHeight="1">
      <c r="A149" s="24"/>
      <c r="B149" s="24"/>
      <c r="C149" s="24"/>
      <c r="D149" s="24"/>
      <c r="E149" s="24"/>
      <c r="J149" s="26"/>
    </row>
    <row r="150" ht="15.75" customHeight="1">
      <c r="A150" s="24"/>
      <c r="B150" s="24"/>
      <c r="C150" s="24"/>
      <c r="D150" s="24"/>
      <c r="E150" s="24"/>
      <c r="J150" s="26"/>
    </row>
    <row r="151" ht="15.75" customHeight="1">
      <c r="A151" s="24"/>
      <c r="B151" s="24"/>
      <c r="C151" s="24"/>
      <c r="D151" s="24"/>
      <c r="E151" s="24"/>
      <c r="J151" s="26"/>
    </row>
    <row r="152" ht="15.75" customHeight="1">
      <c r="A152" s="24"/>
      <c r="B152" s="24"/>
      <c r="C152" s="24"/>
      <c r="D152" s="24"/>
      <c r="E152" s="24"/>
      <c r="J152" s="26"/>
    </row>
    <row r="153" ht="15.75" customHeight="1">
      <c r="A153" s="24"/>
      <c r="B153" s="24"/>
      <c r="C153" s="24"/>
      <c r="D153" s="24"/>
      <c r="E153" s="24"/>
      <c r="J153" s="26"/>
    </row>
    <row r="154" ht="15.75" customHeight="1">
      <c r="A154" s="24"/>
      <c r="B154" s="24"/>
      <c r="C154" s="24"/>
      <c r="D154" s="24"/>
      <c r="E154" s="24"/>
      <c r="J154" s="26"/>
    </row>
    <row r="155" ht="15.75" customHeight="1">
      <c r="A155" s="24"/>
      <c r="B155" s="24"/>
      <c r="C155" s="24"/>
      <c r="D155" s="24"/>
      <c r="E155" s="24"/>
      <c r="J155" s="26"/>
    </row>
    <row r="156" ht="15.75" customHeight="1">
      <c r="A156" s="24"/>
      <c r="B156" s="24"/>
      <c r="C156" s="24"/>
      <c r="D156" s="24"/>
      <c r="E156" s="24"/>
      <c r="J156" s="26"/>
    </row>
    <row r="157" ht="15.75" customHeight="1">
      <c r="A157" s="24"/>
      <c r="B157" s="24"/>
      <c r="C157" s="24"/>
      <c r="D157" s="24"/>
      <c r="E157" s="24"/>
      <c r="J157" s="26"/>
    </row>
    <row r="158" ht="15.75" customHeight="1">
      <c r="A158" s="24"/>
      <c r="B158" s="24"/>
      <c r="C158" s="24"/>
      <c r="D158" s="24"/>
      <c r="E158" s="24"/>
      <c r="J158" s="26"/>
    </row>
    <row r="159" ht="15.75" customHeight="1">
      <c r="A159" s="24"/>
      <c r="B159" s="24"/>
      <c r="C159" s="24"/>
      <c r="D159" s="24"/>
      <c r="E159" s="24"/>
      <c r="J159" s="26"/>
    </row>
    <row r="160" ht="15.75" customHeight="1">
      <c r="A160" s="24"/>
      <c r="B160" s="24"/>
      <c r="C160" s="24"/>
      <c r="D160" s="24"/>
      <c r="E160" s="24"/>
      <c r="J160" s="26"/>
    </row>
    <row r="161" ht="15.75" customHeight="1">
      <c r="A161" s="24"/>
      <c r="B161" s="24"/>
      <c r="C161" s="24"/>
      <c r="D161" s="24"/>
      <c r="E161" s="24"/>
      <c r="J161" s="26"/>
    </row>
    <row r="162" ht="15.75" customHeight="1">
      <c r="A162" s="24"/>
      <c r="B162" s="24"/>
      <c r="C162" s="24"/>
      <c r="D162" s="24"/>
      <c r="E162" s="24"/>
      <c r="J162" s="26"/>
    </row>
    <row r="163" ht="15.75" customHeight="1">
      <c r="A163" s="24"/>
      <c r="B163" s="24"/>
      <c r="C163" s="24"/>
      <c r="D163" s="24"/>
      <c r="E163" s="24"/>
      <c r="J163" s="26"/>
    </row>
    <row r="164" ht="15.75" customHeight="1">
      <c r="A164" s="24"/>
      <c r="B164" s="24"/>
      <c r="C164" s="24"/>
      <c r="D164" s="24"/>
      <c r="E164" s="24"/>
      <c r="J164" s="26"/>
    </row>
    <row r="165" ht="15.75" customHeight="1">
      <c r="A165" s="24"/>
      <c r="B165" s="24"/>
      <c r="C165" s="24"/>
      <c r="D165" s="24"/>
      <c r="E165" s="24"/>
      <c r="J165" s="26"/>
    </row>
    <row r="166" ht="15.75" customHeight="1">
      <c r="A166" s="24"/>
      <c r="B166" s="24"/>
      <c r="C166" s="24"/>
      <c r="D166" s="24"/>
      <c r="E166" s="24"/>
      <c r="J166" s="26"/>
    </row>
    <row r="167" ht="15.75" customHeight="1">
      <c r="A167" s="24"/>
      <c r="B167" s="24"/>
      <c r="C167" s="24"/>
      <c r="D167" s="24"/>
      <c r="E167" s="24"/>
      <c r="J167" s="26"/>
    </row>
    <row r="168" ht="15.75" customHeight="1">
      <c r="A168" s="24"/>
      <c r="B168" s="24"/>
      <c r="C168" s="24"/>
      <c r="D168" s="24"/>
      <c r="E168" s="24"/>
      <c r="J168" s="26"/>
    </row>
    <row r="169" ht="15.75" customHeight="1">
      <c r="A169" s="24"/>
      <c r="B169" s="24"/>
      <c r="C169" s="24"/>
      <c r="D169" s="24"/>
      <c r="E169" s="24"/>
      <c r="J169" s="26"/>
    </row>
    <row r="170" ht="15.75" customHeight="1">
      <c r="A170" s="24"/>
      <c r="B170" s="24"/>
      <c r="C170" s="24"/>
      <c r="D170" s="24"/>
      <c r="E170" s="24"/>
      <c r="J170" s="26"/>
    </row>
    <row r="171" ht="15.75" customHeight="1">
      <c r="A171" s="24"/>
      <c r="B171" s="24"/>
      <c r="C171" s="24"/>
      <c r="D171" s="24"/>
      <c r="E171" s="24"/>
      <c r="J171" s="26"/>
    </row>
    <row r="172" ht="15.75" customHeight="1">
      <c r="A172" s="24"/>
      <c r="B172" s="24"/>
      <c r="C172" s="24"/>
      <c r="D172" s="24"/>
      <c r="E172" s="24"/>
      <c r="J172" s="26"/>
    </row>
    <row r="173" ht="15.75" customHeight="1">
      <c r="A173" s="24"/>
      <c r="B173" s="24"/>
      <c r="C173" s="24"/>
      <c r="D173" s="24"/>
      <c r="E173" s="24"/>
      <c r="J173" s="26"/>
    </row>
    <row r="174" ht="15.75" customHeight="1">
      <c r="A174" s="24"/>
      <c r="B174" s="24"/>
      <c r="C174" s="24"/>
      <c r="D174" s="24"/>
      <c r="E174" s="24"/>
      <c r="J174" s="26"/>
    </row>
    <row r="175" ht="15.75" customHeight="1">
      <c r="A175" s="24"/>
      <c r="B175" s="24"/>
      <c r="C175" s="24"/>
      <c r="D175" s="24"/>
      <c r="E175" s="24"/>
      <c r="J175" s="26"/>
    </row>
    <row r="176" ht="15.75" customHeight="1">
      <c r="A176" s="24"/>
      <c r="B176" s="24"/>
      <c r="C176" s="24"/>
      <c r="D176" s="24"/>
      <c r="E176" s="24"/>
      <c r="J176" s="26"/>
    </row>
    <row r="177" ht="15.75" customHeight="1">
      <c r="A177" s="24"/>
      <c r="B177" s="24"/>
      <c r="C177" s="24"/>
      <c r="D177" s="24"/>
      <c r="E177" s="24"/>
      <c r="J177" s="26"/>
    </row>
    <row r="178" ht="15.75" customHeight="1">
      <c r="A178" s="24"/>
      <c r="B178" s="24"/>
      <c r="C178" s="24"/>
      <c r="D178" s="24"/>
      <c r="E178" s="24"/>
      <c r="J178" s="26"/>
    </row>
    <row r="179" ht="15.75" customHeight="1">
      <c r="A179" s="24"/>
      <c r="B179" s="24"/>
      <c r="C179" s="24"/>
      <c r="D179" s="24"/>
      <c r="E179" s="24"/>
      <c r="J179" s="26"/>
    </row>
    <row r="180" ht="15.75" customHeight="1">
      <c r="A180" s="24"/>
      <c r="B180" s="24"/>
      <c r="C180" s="24"/>
      <c r="D180" s="24"/>
      <c r="E180" s="24"/>
      <c r="J180" s="26"/>
    </row>
    <row r="181" ht="15.75" customHeight="1">
      <c r="A181" s="24"/>
      <c r="B181" s="24"/>
      <c r="C181" s="24"/>
      <c r="D181" s="24"/>
      <c r="E181" s="24"/>
      <c r="J181" s="26"/>
    </row>
    <row r="182" ht="15.75" customHeight="1">
      <c r="A182" s="24"/>
      <c r="B182" s="24"/>
      <c r="C182" s="24"/>
      <c r="D182" s="24"/>
      <c r="E182" s="24"/>
      <c r="J182" s="26"/>
    </row>
    <row r="183" ht="15.75" customHeight="1">
      <c r="A183" s="24"/>
      <c r="B183" s="24"/>
      <c r="C183" s="24"/>
      <c r="D183" s="24"/>
      <c r="E183" s="24"/>
      <c r="J183" s="26"/>
    </row>
    <row r="184" ht="15.75" customHeight="1">
      <c r="A184" s="24"/>
      <c r="B184" s="24"/>
      <c r="C184" s="24"/>
      <c r="D184" s="24"/>
      <c r="E184" s="24"/>
      <c r="J184" s="26"/>
    </row>
    <row r="185" ht="15.75" customHeight="1">
      <c r="A185" s="24"/>
      <c r="B185" s="24"/>
      <c r="C185" s="24"/>
      <c r="D185" s="24"/>
      <c r="E185" s="24"/>
      <c r="J185" s="26"/>
    </row>
    <row r="186" ht="15.75" customHeight="1">
      <c r="A186" s="24"/>
      <c r="B186" s="24"/>
      <c r="C186" s="24"/>
      <c r="D186" s="24"/>
      <c r="E186" s="24"/>
      <c r="J186" s="26"/>
    </row>
    <row r="187" ht="15.75" customHeight="1">
      <c r="A187" s="24"/>
      <c r="B187" s="24"/>
      <c r="C187" s="24"/>
      <c r="D187" s="24"/>
      <c r="E187" s="24"/>
      <c r="J187" s="26"/>
    </row>
    <row r="188" ht="15.75" customHeight="1">
      <c r="A188" s="24"/>
      <c r="B188" s="24"/>
      <c r="C188" s="24"/>
      <c r="D188" s="24"/>
      <c r="E188" s="24"/>
      <c r="J188" s="26"/>
    </row>
    <row r="189" ht="15.75" customHeight="1">
      <c r="A189" s="24"/>
      <c r="B189" s="24"/>
      <c r="C189" s="24"/>
      <c r="D189" s="24"/>
      <c r="E189" s="24"/>
      <c r="J189" s="26"/>
    </row>
    <row r="190" ht="15.75" customHeight="1">
      <c r="A190" s="24"/>
      <c r="B190" s="24"/>
      <c r="C190" s="24"/>
      <c r="D190" s="24"/>
      <c r="E190" s="24"/>
      <c r="J190" s="26"/>
    </row>
    <row r="191" ht="15.75" customHeight="1">
      <c r="A191" s="24"/>
      <c r="B191" s="24"/>
      <c r="C191" s="24"/>
      <c r="D191" s="24"/>
      <c r="E191" s="24"/>
      <c r="J191" s="26"/>
    </row>
    <row r="192" ht="15.75" customHeight="1">
      <c r="A192" s="24"/>
      <c r="B192" s="24"/>
      <c r="C192" s="24"/>
      <c r="D192" s="24"/>
      <c r="E192" s="24"/>
      <c r="J192" s="26"/>
    </row>
    <row r="193" ht="15.75" customHeight="1">
      <c r="A193" s="24"/>
      <c r="B193" s="24"/>
      <c r="C193" s="24"/>
      <c r="D193" s="24"/>
      <c r="E193" s="24"/>
      <c r="J193" s="26"/>
    </row>
    <row r="194" ht="15.75" customHeight="1">
      <c r="A194" s="24"/>
      <c r="B194" s="24"/>
      <c r="C194" s="24"/>
      <c r="D194" s="24"/>
      <c r="E194" s="24"/>
      <c r="J194" s="26"/>
    </row>
    <row r="195" ht="15.75" customHeight="1">
      <c r="A195" s="24"/>
      <c r="B195" s="24"/>
      <c r="C195" s="24"/>
      <c r="D195" s="24"/>
      <c r="E195" s="24"/>
      <c r="J195" s="26"/>
    </row>
    <row r="196" ht="15.75" customHeight="1">
      <c r="A196" s="24"/>
      <c r="B196" s="24"/>
      <c r="C196" s="24"/>
      <c r="D196" s="24"/>
      <c r="E196" s="24"/>
      <c r="J196" s="26"/>
    </row>
    <row r="197" ht="15.75" customHeight="1">
      <c r="A197" s="24"/>
      <c r="B197" s="24"/>
      <c r="C197" s="24"/>
      <c r="D197" s="24"/>
      <c r="E197" s="24"/>
      <c r="J197" s="26"/>
    </row>
    <row r="198" ht="15.75" customHeight="1">
      <c r="A198" s="24"/>
      <c r="B198" s="24"/>
      <c r="C198" s="24"/>
      <c r="D198" s="24"/>
      <c r="E198" s="24"/>
      <c r="J198" s="26"/>
    </row>
    <row r="199" ht="15.75" customHeight="1">
      <c r="A199" s="24"/>
      <c r="B199" s="24"/>
      <c r="C199" s="24"/>
      <c r="D199" s="24"/>
      <c r="E199" s="24"/>
      <c r="J199" s="26"/>
    </row>
    <row r="200" ht="15.75" customHeight="1">
      <c r="A200" s="24"/>
      <c r="B200" s="24"/>
      <c r="C200" s="24"/>
      <c r="D200" s="24"/>
      <c r="E200" s="24"/>
      <c r="J200" s="26"/>
    </row>
    <row r="201" ht="15.75" customHeight="1">
      <c r="A201" s="24"/>
      <c r="B201" s="24"/>
      <c r="C201" s="24"/>
      <c r="D201" s="24"/>
      <c r="E201" s="24"/>
      <c r="J201" s="26"/>
    </row>
    <row r="202" ht="15.75" customHeight="1">
      <c r="A202" s="24"/>
      <c r="B202" s="24"/>
      <c r="C202" s="24"/>
      <c r="D202" s="24"/>
      <c r="E202" s="24"/>
      <c r="J202" s="26"/>
    </row>
    <row r="203" ht="15.75" customHeight="1">
      <c r="A203" s="24"/>
      <c r="B203" s="24"/>
      <c r="C203" s="24"/>
      <c r="D203" s="24"/>
      <c r="E203" s="24"/>
      <c r="J203" s="26"/>
    </row>
    <row r="204" ht="15.75" customHeight="1">
      <c r="A204" s="24"/>
      <c r="B204" s="24"/>
      <c r="C204" s="24"/>
      <c r="D204" s="24"/>
      <c r="E204" s="24"/>
      <c r="J204" s="26"/>
    </row>
    <row r="205" ht="15.75" customHeight="1">
      <c r="A205" s="24"/>
      <c r="B205" s="24"/>
      <c r="C205" s="24"/>
      <c r="D205" s="24"/>
      <c r="E205" s="24"/>
      <c r="J205" s="26"/>
    </row>
    <row r="206" ht="15.75" customHeight="1">
      <c r="A206" s="24"/>
      <c r="B206" s="24"/>
      <c r="C206" s="24"/>
      <c r="D206" s="24"/>
      <c r="E206" s="24"/>
      <c r="J206" s="26"/>
    </row>
    <row r="207" ht="15.75" customHeight="1">
      <c r="A207" s="24"/>
      <c r="B207" s="24"/>
      <c r="C207" s="24"/>
      <c r="D207" s="24"/>
      <c r="E207" s="24"/>
      <c r="J207" s="26"/>
    </row>
    <row r="208" ht="15.75" customHeight="1">
      <c r="A208" s="24"/>
      <c r="B208" s="24"/>
      <c r="C208" s="24"/>
      <c r="D208" s="24"/>
      <c r="E208" s="24"/>
      <c r="J208" s="26"/>
    </row>
    <row r="209" ht="15.75" customHeight="1">
      <c r="A209" s="24"/>
      <c r="B209" s="24"/>
      <c r="C209" s="24"/>
      <c r="D209" s="24"/>
      <c r="E209" s="24"/>
      <c r="J209" s="26"/>
    </row>
    <row r="210" ht="15.75" customHeight="1">
      <c r="A210" s="24"/>
      <c r="B210" s="24"/>
      <c r="C210" s="24"/>
      <c r="D210" s="24"/>
      <c r="E210" s="24"/>
      <c r="J210" s="26"/>
    </row>
    <row r="211" ht="15.75" customHeight="1">
      <c r="A211" s="24"/>
      <c r="B211" s="24"/>
      <c r="C211" s="24"/>
      <c r="D211" s="24"/>
      <c r="E211" s="24"/>
      <c r="J211" s="26"/>
    </row>
    <row r="212" ht="15.75" customHeight="1">
      <c r="A212" s="24"/>
      <c r="B212" s="24"/>
      <c r="C212" s="24"/>
      <c r="D212" s="24"/>
      <c r="E212" s="24"/>
      <c r="J212" s="26"/>
    </row>
    <row r="213" ht="15.75" customHeight="1">
      <c r="A213" s="24"/>
      <c r="B213" s="24"/>
      <c r="C213" s="24"/>
      <c r="D213" s="24"/>
      <c r="E213" s="24"/>
      <c r="J213" s="26"/>
    </row>
    <row r="214" ht="15.75" customHeight="1">
      <c r="A214" s="24"/>
      <c r="B214" s="24"/>
      <c r="C214" s="24"/>
      <c r="D214" s="24"/>
      <c r="E214" s="24"/>
      <c r="J214" s="26"/>
    </row>
    <row r="215" ht="15.75" customHeight="1">
      <c r="A215" s="24"/>
      <c r="B215" s="24"/>
      <c r="C215" s="24"/>
      <c r="D215" s="24"/>
      <c r="E215" s="24"/>
      <c r="J215" s="26"/>
    </row>
    <row r="216" ht="15.75" customHeight="1">
      <c r="A216" s="24"/>
      <c r="B216" s="24"/>
      <c r="C216" s="24"/>
      <c r="D216" s="24"/>
      <c r="E216" s="24"/>
      <c r="J216" s="26"/>
    </row>
    <row r="217" ht="15.75" customHeight="1">
      <c r="A217" s="24"/>
      <c r="B217" s="24"/>
      <c r="C217" s="24"/>
      <c r="D217" s="24"/>
      <c r="E217" s="24"/>
      <c r="J217" s="26"/>
    </row>
    <row r="218" ht="15.75" customHeight="1">
      <c r="A218" s="24"/>
      <c r="B218" s="24"/>
      <c r="C218" s="24"/>
      <c r="D218" s="24"/>
      <c r="E218" s="24"/>
      <c r="J218" s="26"/>
    </row>
    <row r="219" ht="15.75" customHeight="1">
      <c r="A219" s="24"/>
      <c r="B219" s="24"/>
      <c r="C219" s="24"/>
      <c r="D219" s="24"/>
      <c r="E219" s="24"/>
      <c r="J219" s="26"/>
    </row>
    <row r="220" ht="15.75" customHeight="1">
      <c r="A220" s="24"/>
      <c r="B220" s="24"/>
      <c r="C220" s="24"/>
      <c r="D220" s="24"/>
      <c r="E220" s="24"/>
      <c r="J220" s="26"/>
    </row>
    <row r="221" ht="15.75" customHeight="1">
      <c r="A221" s="24"/>
      <c r="B221" s="24"/>
      <c r="C221" s="24"/>
      <c r="D221" s="24"/>
      <c r="E221" s="24"/>
      <c r="J221" s="26"/>
    </row>
    <row r="222" ht="15.75" customHeight="1">
      <c r="A222" s="24"/>
      <c r="B222" s="24"/>
      <c r="C222" s="24"/>
      <c r="D222" s="24"/>
      <c r="E222" s="24"/>
      <c r="J222" s="26"/>
    </row>
    <row r="223" ht="15.75" customHeight="1">
      <c r="A223" s="24"/>
      <c r="B223" s="24"/>
      <c r="C223" s="24"/>
      <c r="D223" s="24"/>
      <c r="E223" s="24"/>
      <c r="J223" s="26"/>
    </row>
    <row r="224" ht="15.75" customHeight="1">
      <c r="A224" s="24"/>
      <c r="B224" s="24"/>
      <c r="C224" s="24"/>
      <c r="D224" s="24"/>
      <c r="E224" s="24"/>
      <c r="J224" s="26"/>
    </row>
    <row r="225" ht="15.75" customHeight="1">
      <c r="A225" s="24"/>
      <c r="B225" s="24"/>
      <c r="C225" s="24"/>
      <c r="D225" s="24"/>
      <c r="E225" s="24"/>
      <c r="J225" s="26"/>
    </row>
    <row r="226" ht="15.75" customHeight="1">
      <c r="A226" s="24"/>
      <c r="B226" s="24"/>
      <c r="C226" s="24"/>
      <c r="D226" s="24"/>
      <c r="E226" s="24"/>
      <c r="J226" s="26"/>
    </row>
    <row r="227" ht="15.75" customHeight="1">
      <c r="A227" s="24"/>
      <c r="B227" s="24"/>
      <c r="C227" s="24"/>
      <c r="D227" s="24"/>
      <c r="E227" s="24"/>
      <c r="J227" s="26"/>
    </row>
    <row r="228" ht="15.75" customHeight="1">
      <c r="A228" s="24"/>
      <c r="B228" s="24"/>
      <c r="C228" s="24"/>
      <c r="D228" s="24"/>
      <c r="E228" s="24"/>
      <c r="J228" s="26"/>
    </row>
    <row r="229" ht="15.75" customHeight="1">
      <c r="A229" s="24"/>
      <c r="B229" s="24"/>
      <c r="C229" s="24"/>
      <c r="D229" s="24"/>
      <c r="E229" s="24"/>
      <c r="J229" s="26"/>
    </row>
    <row r="230" ht="15.75" customHeight="1">
      <c r="A230" s="24"/>
      <c r="B230" s="24"/>
      <c r="C230" s="24"/>
      <c r="D230" s="24"/>
      <c r="E230" s="24"/>
      <c r="J230" s="26"/>
    </row>
    <row r="231" ht="15.75" customHeight="1">
      <c r="A231" s="24"/>
      <c r="B231" s="24"/>
      <c r="C231" s="24"/>
      <c r="D231" s="24"/>
      <c r="E231" s="24"/>
      <c r="J231" s="26"/>
    </row>
    <row r="232" ht="15.75" customHeight="1">
      <c r="A232" s="24"/>
      <c r="B232" s="24"/>
      <c r="C232" s="24"/>
      <c r="D232" s="24"/>
      <c r="E232" s="24"/>
      <c r="J232" s="26"/>
    </row>
    <row r="233" ht="15.75" customHeight="1">
      <c r="A233" s="24"/>
      <c r="B233" s="24"/>
      <c r="C233" s="24"/>
      <c r="D233" s="24"/>
      <c r="E233" s="24"/>
      <c r="J233" s="26"/>
    </row>
    <row r="234" ht="15.75" customHeight="1">
      <c r="A234" s="24"/>
      <c r="B234" s="24"/>
      <c r="C234" s="24"/>
      <c r="D234" s="24"/>
      <c r="E234" s="24"/>
      <c r="J234" s="26"/>
    </row>
    <row r="235" ht="15.75" customHeight="1">
      <c r="A235" s="24"/>
      <c r="B235" s="24"/>
      <c r="C235" s="24"/>
      <c r="D235" s="24"/>
      <c r="E235" s="24"/>
      <c r="J235" s="26"/>
    </row>
    <row r="236" ht="15.75" customHeight="1">
      <c r="A236" s="24"/>
      <c r="B236" s="24"/>
      <c r="C236" s="24"/>
      <c r="D236" s="24"/>
      <c r="E236" s="24"/>
      <c r="J236" s="26"/>
    </row>
    <row r="237" ht="15.75" customHeight="1">
      <c r="A237" s="24"/>
      <c r="B237" s="24"/>
      <c r="C237" s="24"/>
      <c r="D237" s="24"/>
      <c r="E237" s="24"/>
      <c r="J237" s="26"/>
    </row>
    <row r="238" ht="15.75" customHeight="1">
      <c r="J238" s="26"/>
    </row>
    <row r="239" ht="15.75" customHeight="1">
      <c r="J239" s="26"/>
    </row>
    <row r="240" ht="15.75" customHeight="1">
      <c r="J240" s="2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31"/>
    <mergeCell ref="J32:J58"/>
    <mergeCell ref="J59:J85"/>
    <mergeCell ref="D59:D85"/>
    <mergeCell ref="E59:E85"/>
    <mergeCell ref="D86:I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67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115</v>
      </c>
      <c r="F5" s="47" t="s">
        <v>22</v>
      </c>
      <c r="G5" s="48"/>
      <c r="H5" s="49">
        <f>VLOOKUP(F5,$A$4:$B$4,2,TRUE)</f>
        <v>4500</v>
      </c>
      <c r="I5" s="50">
        <f t="shared" ref="I5:I220" si="1">G5*H5</f>
        <v>0</v>
      </c>
      <c r="J5" s="51">
        <f>SUM(I5:I31)</f>
        <v>30400</v>
      </c>
      <c r="K5" s="25"/>
      <c r="L5" s="47" t="s">
        <v>22</v>
      </c>
      <c r="M5" s="43">
        <f>SUMIF(F5:F220,"Gelas bersih",G5:G220)</f>
        <v>4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>
        <v>1.0</v>
      </c>
      <c r="H6" s="53">
        <f>VLOOKUP(F6,$A$5:$B$5,2,TRUE)</f>
        <v>3000</v>
      </c>
      <c r="I6" s="50">
        <f t="shared" si="1"/>
        <v>3000</v>
      </c>
      <c r="J6" s="52"/>
      <c r="K6" s="25"/>
      <c r="L6" s="47" t="s">
        <v>57</v>
      </c>
      <c r="M6" s="43">
        <f>SUMIF(F6:F221,"Botol bersih",G6:G221)</f>
        <v>10</v>
      </c>
      <c r="N6" s="25"/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SUMIF(F7:F221,"Botol Warna",G7:G221)</f>
        <v>0</v>
      </c>
      <c r="N7" s="25"/>
      <c r="O7" s="54" t="s">
        <v>16</v>
      </c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>
        <v>1.0</v>
      </c>
      <c r="H8" s="53">
        <f>VLOOKUP(F8,$A$7:$B$7,2,TRUE)</f>
        <v>2800</v>
      </c>
      <c r="I8" s="50">
        <f t="shared" si="1"/>
        <v>2800</v>
      </c>
      <c r="J8" s="52"/>
      <c r="K8" s="25"/>
      <c r="L8" s="47" t="s">
        <v>25</v>
      </c>
      <c r="M8" s="43">
        <f>SUMIF(F8:F222,"Tutup botol",G8:G222)</f>
        <v>3</v>
      </c>
      <c r="N8" s="25"/>
      <c r="O8" s="55">
        <f>M5+M6+M7+M8+M9+M10+M11+M24+M25</f>
        <v>55.5</v>
      </c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/>
      <c r="H9" s="53">
        <f>VLOOKUP(F9,$A$8:$B$8,2,TRUE)</f>
        <v>3500</v>
      </c>
      <c r="I9" s="50">
        <f t="shared" si="1"/>
        <v>0</v>
      </c>
      <c r="J9" s="52"/>
      <c r="K9" s="25"/>
      <c r="L9" s="47" t="s">
        <v>26</v>
      </c>
      <c r="M9" s="43">
        <f>SUMIF(F9:F223,"Tutup galon",G9:G223)</f>
        <v>1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>
        <v>1.0</v>
      </c>
      <c r="H10" s="53">
        <f>VLOOKUP(F10,$A$9:$B$9,2,TRUE)</f>
        <v>1000</v>
      </c>
      <c r="I10" s="50">
        <f t="shared" si="1"/>
        <v>1000</v>
      </c>
      <c r="J10" s="52"/>
      <c r="K10" s="25"/>
      <c r="L10" s="47" t="s">
        <v>27</v>
      </c>
      <c r="M10" s="43">
        <f>SUMIF(F10:F224,"Hitam",G10:G224)</f>
        <v>19</v>
      </c>
      <c r="N10" s="25"/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/>
      <c r="H11" s="53">
        <f>VLOOKUP(F11,$A$10:$B$10,2,TRUE)</f>
        <v>2000</v>
      </c>
      <c r="I11" s="50">
        <f t="shared" si="1"/>
        <v>0</v>
      </c>
      <c r="J11" s="52"/>
      <c r="K11" s="25"/>
      <c r="L11" s="47" t="s">
        <v>28</v>
      </c>
      <c r="M11" s="43">
        <f>SUMIF(F11:F225,"Plastik Campur",G11:G225)</f>
        <v>8</v>
      </c>
      <c r="N11" s="25"/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>
        <v>6.5</v>
      </c>
      <c r="H12" s="53">
        <f>VLOOKUP(F12,$A$11:$B$11,2,TRUE)</f>
        <v>1500</v>
      </c>
      <c r="I12" s="50">
        <f t="shared" si="1"/>
        <v>9750</v>
      </c>
      <c r="J12" s="52"/>
      <c r="K12" s="25"/>
      <c r="L12" s="47" t="s">
        <v>29</v>
      </c>
      <c r="M12" s="43">
        <f>SUMIF(F12:F226,"Kardus",G12:G226)</f>
        <v>18.5</v>
      </c>
      <c r="N12" s="25"/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/>
      <c r="H13" s="53">
        <f>VLOOKUP(F13,$A$12:$B$12,2,TRUE)</f>
        <v>1300</v>
      </c>
      <c r="I13" s="50">
        <f t="shared" si="1"/>
        <v>0</v>
      </c>
      <c r="J13" s="52"/>
      <c r="K13" s="25"/>
      <c r="L13" s="47" t="s">
        <v>30</v>
      </c>
      <c r="M13" s="43">
        <f>SUMIF(F13:F227,"Kertas Putihan/ HVS",G13:G227)</f>
        <v>0</v>
      </c>
      <c r="N13" s="25"/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SUMIF(F14:F228,"Koran/Buku",G14:G228)</f>
        <v>0</v>
      </c>
      <c r="N14" s="25"/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>
        <v>2.0</v>
      </c>
      <c r="H15" s="53">
        <f>VLOOKUP(F15,$A$14:$B$14,2,TRUE)</f>
        <v>500</v>
      </c>
      <c r="I15" s="50">
        <f t="shared" si="1"/>
        <v>1000</v>
      </c>
      <c r="J15" s="52"/>
      <c r="K15" s="25"/>
      <c r="L15" s="47" t="s">
        <v>32</v>
      </c>
      <c r="M15" s="43">
        <f>SUMIF(F15:F229,"Duplex",G15:G229)</f>
        <v>5</v>
      </c>
      <c r="N15" s="25"/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SUMIF(F16:F230,"Alumunium",G16:G230)</f>
        <v>0</v>
      </c>
      <c r="N16" s="25"/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SUMIF(F17:F231,"Besi",G17:G231)</f>
        <v>3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/>
      <c r="H18" s="53">
        <f>VLOOKUP(F18,$A$17:$B$17,2,TRUE)</f>
        <v>1000</v>
      </c>
      <c r="I18" s="50">
        <f t="shared" si="1"/>
        <v>0</v>
      </c>
      <c r="J18" s="52"/>
      <c r="K18" s="25"/>
      <c r="L18" s="47" t="s">
        <v>35</v>
      </c>
      <c r="M18" s="43">
        <f>SUMIF(F18:F232,"Kaleng kue/susu",G18:G232)</f>
        <v>8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SUMIF(F19:F233,"Kaleng Minuman",G19:G233)</f>
        <v>0.5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SUMIF(F20:F234,"Stanless",G20:G234)</f>
        <v>0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SUMIF(F21:F235,"Tembaga",G21:G235)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SUMIF(F22:F236,"Aki Motor",G22:G236)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SUMIF(F23:F237,"Paralon",G23:G237)</f>
        <v>0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>
        <v>1.0</v>
      </c>
      <c r="H24" s="53">
        <f>VLOOKUP(F24,$A$23:$B$23,2,TRUE)</f>
        <v>500</v>
      </c>
      <c r="I24" s="50">
        <f t="shared" si="1"/>
        <v>500</v>
      </c>
      <c r="J24" s="52"/>
      <c r="K24" s="25"/>
      <c r="L24" s="47" t="s">
        <v>41</v>
      </c>
      <c r="M24" s="43">
        <f>SUMIF(F24:F238,"Plastik bening",G24:G238)</f>
        <v>9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>
        <v>0.5</v>
      </c>
      <c r="H25" s="53">
        <f>VLOOKUP(F25,$A$24:$B$24,2,TRUE)</f>
        <v>200</v>
      </c>
      <c r="I25" s="50">
        <f t="shared" si="1"/>
        <v>100</v>
      </c>
      <c r="J25" s="52"/>
      <c r="K25" s="25"/>
      <c r="L25" s="47" t="s">
        <v>42</v>
      </c>
      <c r="M25" s="43">
        <f>SUMIF(F25:F239,"Plastik Warna",G25:G239)</f>
        <v>1.5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SUMIF(F26:F240,"Selang",G26:G240)</f>
        <v>0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18</v>
      </c>
      <c r="M27" s="43">
        <f>SUMIF(F27:F241,"Beling",G27:G241)</f>
        <v>5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/>
      <c r="H28" s="53">
        <f>VLOOKUP(F28,$A$27:$B$27,2,TRUE)</f>
        <v>100</v>
      </c>
      <c r="I28" s="50">
        <f t="shared" si="1"/>
        <v>0</v>
      </c>
      <c r="J28" s="52"/>
      <c r="K28" s="25"/>
      <c r="L28" s="47" t="s">
        <v>44</v>
      </c>
      <c r="M28" s="43">
        <f>SUMIF(F28:F242,"Pecahan",G28:G242)</f>
        <v>5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/>
      <c r="H29" s="53">
        <f>VLOOKUP(F29,$A$28:$B$28,2,TRUE)</f>
        <v>1500</v>
      </c>
      <c r="I29" s="50">
        <f t="shared" si="1"/>
        <v>0</v>
      </c>
      <c r="J29" s="52"/>
      <c r="K29" s="25"/>
      <c r="L29" s="47" t="s">
        <v>13</v>
      </c>
      <c r="M29" s="43">
        <f>SUMIF(F29:F244,"Paku",G29:G244)</f>
        <v>0</v>
      </c>
      <c r="N29" s="25"/>
    </row>
    <row r="30" ht="15.75" customHeight="1">
      <c r="A30" s="36" t="s">
        <v>60</v>
      </c>
      <c r="B30" s="37">
        <v>500.0</v>
      </c>
      <c r="C30" s="44"/>
      <c r="D30" s="52"/>
      <c r="E30" s="52"/>
      <c r="F30" s="47" t="s">
        <v>20</v>
      </c>
      <c r="G30" s="48">
        <v>3.5</v>
      </c>
      <c r="H30" s="53">
        <f>VLOOKUP(F30,$A$29:$B$29,2,TRUE)</f>
        <v>3500</v>
      </c>
      <c r="I30" s="50">
        <f t="shared" si="1"/>
        <v>12250</v>
      </c>
      <c r="J30" s="52"/>
      <c r="K30" s="25"/>
      <c r="L30" s="47" t="s">
        <v>20</v>
      </c>
      <c r="M30" s="43">
        <f>SUMIF(F30:F245,"Minyak Jelantah",G30:G245)</f>
        <v>13.5</v>
      </c>
      <c r="N30" s="25"/>
    </row>
    <row r="31" ht="15.75" customHeight="1">
      <c r="C31" s="44"/>
      <c r="D31" s="13"/>
      <c r="E31" s="13"/>
      <c r="F31" s="47" t="s">
        <v>60</v>
      </c>
      <c r="G31" s="48">
        <v>1.5</v>
      </c>
      <c r="H31" s="53">
        <v>0.0</v>
      </c>
      <c r="I31" s="50">
        <f t="shared" si="1"/>
        <v>0</v>
      </c>
      <c r="J31" s="13"/>
      <c r="K31" s="25"/>
      <c r="L31" s="47" t="s">
        <v>60</v>
      </c>
      <c r="M31" s="43">
        <f>SUMIF(F31:F246,"Lainnya",G31:G246)</f>
        <v>25</v>
      </c>
      <c r="N31" s="25"/>
    </row>
    <row r="32" ht="15.75" customHeight="1">
      <c r="A32" s="44"/>
      <c r="B32" s="44"/>
      <c r="C32" s="44"/>
      <c r="D32" s="45">
        <v>2.0</v>
      </c>
      <c r="E32" s="46" t="s">
        <v>116</v>
      </c>
      <c r="F32" s="47" t="s">
        <v>22</v>
      </c>
      <c r="G32" s="48"/>
      <c r="H32" s="57">
        <f>VLOOKUP(F32,$A$4:$B$4,2,TRUE)</f>
        <v>4500</v>
      </c>
      <c r="I32" s="50">
        <f t="shared" si="1"/>
        <v>0</v>
      </c>
      <c r="J32" s="51">
        <f>SUM(I32:I58)</f>
        <v>9350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57</v>
      </c>
      <c r="G33" s="48"/>
      <c r="H33" s="57">
        <f>VLOOKUP(F33,$A$5:$B$5,2,TRUE)</f>
        <v>3000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59</v>
      </c>
      <c r="G34" s="48"/>
      <c r="H34" s="57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25</v>
      </c>
      <c r="G35" s="48">
        <v>0.5</v>
      </c>
      <c r="H35" s="57">
        <f>VLOOKUP(F35,$A$7:$B$7,2,TRUE)</f>
        <v>2800</v>
      </c>
      <c r="I35" s="50">
        <f t="shared" si="1"/>
        <v>1400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26</v>
      </c>
      <c r="G36" s="48"/>
      <c r="H36" s="57">
        <f>VLOOKUP(F36,$A$8:$B$8,2,TRUE)</f>
        <v>3500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27</v>
      </c>
      <c r="G37" s="48">
        <v>2.0</v>
      </c>
      <c r="H37" s="57">
        <f>VLOOKUP(F37,$A$9:$B$9,2,TRUE)</f>
        <v>1000</v>
      </c>
      <c r="I37" s="50">
        <f t="shared" si="1"/>
        <v>2000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28</v>
      </c>
      <c r="G38" s="48">
        <v>1.0</v>
      </c>
      <c r="H38" s="57">
        <f>VLOOKUP(F38,$A$10:$B$10,2,TRUE)</f>
        <v>2000</v>
      </c>
      <c r="I38" s="50">
        <f t="shared" si="1"/>
        <v>2000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29</v>
      </c>
      <c r="G39" s="48"/>
      <c r="H39" s="57">
        <f>VLOOKUP(F39,$A$11:$B$11,2,TRUE)</f>
        <v>1500</v>
      </c>
      <c r="I39" s="50">
        <f t="shared" si="1"/>
        <v>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30</v>
      </c>
      <c r="G40" s="48"/>
      <c r="H40" s="57">
        <f>VLOOKUP(F40,$A$12:$B$12,2,TRUE)</f>
        <v>1300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31</v>
      </c>
      <c r="G41" s="48"/>
      <c r="H41" s="57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32</v>
      </c>
      <c r="G42" s="48">
        <v>1.0</v>
      </c>
      <c r="H42" s="57">
        <f>VLOOKUP(F42,$A$14:$B$14,2,TRUE)</f>
        <v>500</v>
      </c>
      <c r="I42" s="50">
        <f t="shared" si="1"/>
        <v>500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33</v>
      </c>
      <c r="G43" s="48"/>
      <c r="H43" s="57">
        <f>VLOOKUP(F43,$A$15:$B$15,2,TRUE)</f>
        <v>7500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34</v>
      </c>
      <c r="G44" s="48"/>
      <c r="H44" s="57">
        <f>VLOOKUP(F44,$A$16:$B$16,2,TRUE)</f>
        <v>2000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35</v>
      </c>
      <c r="G45" s="48"/>
      <c r="H45" s="57">
        <f>VLOOKUP(F45,$A$17:$B$17,2,TRUE)</f>
        <v>1000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36</v>
      </c>
      <c r="G46" s="48">
        <v>0.5</v>
      </c>
      <c r="H46" s="57">
        <f>VLOOKUP(F46,$A$18:$B$18,2,TRUE)</f>
        <v>5000</v>
      </c>
      <c r="I46" s="50">
        <f t="shared" si="1"/>
        <v>2500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37</v>
      </c>
      <c r="G47" s="48"/>
      <c r="H47" s="57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38</v>
      </c>
      <c r="G48" s="48"/>
      <c r="H48" s="57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39</v>
      </c>
      <c r="G49" s="48"/>
      <c r="H49" s="57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40</v>
      </c>
      <c r="G50" s="48"/>
      <c r="H50" s="57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41</v>
      </c>
      <c r="G51" s="48">
        <v>0.5</v>
      </c>
      <c r="H51" s="57">
        <f>VLOOKUP(F51,$A$23:$B$23,2,TRUE)</f>
        <v>500</v>
      </c>
      <c r="I51" s="50">
        <f t="shared" si="1"/>
        <v>250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42</v>
      </c>
      <c r="G52" s="48">
        <v>1.0</v>
      </c>
      <c r="H52" s="57">
        <f>VLOOKUP(F52,$A$24:$B$24,2,TRUE)</f>
        <v>200</v>
      </c>
      <c r="I52" s="50">
        <f t="shared" si="1"/>
        <v>200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43</v>
      </c>
      <c r="G53" s="48"/>
      <c r="H53" s="57">
        <f>VLOOKUP(F53,$A$25:$B$25,2,TRUE)</f>
        <v>1000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18</v>
      </c>
      <c r="G54" s="48"/>
      <c r="H54" s="57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44</v>
      </c>
      <c r="G55" s="48">
        <v>5.0</v>
      </c>
      <c r="H55" s="57">
        <f>VLOOKUP(F55,$A$27:$B$27,2,TRUE)</f>
        <v>100</v>
      </c>
      <c r="I55" s="50">
        <f t="shared" si="1"/>
        <v>500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13</v>
      </c>
      <c r="G56" s="48"/>
      <c r="H56" s="58">
        <f>VLOOKUP(F56,$A$28:$B$28,2,TRUE)</f>
        <v>1500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20</v>
      </c>
      <c r="G57" s="48"/>
      <c r="H57" s="57">
        <f>VLOOKUP(F57,$A$29:$B$29,2,TRUE)</f>
        <v>3500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13"/>
      <c r="E58" s="13"/>
      <c r="F58" s="47" t="s">
        <v>60</v>
      </c>
      <c r="G58" s="48">
        <v>5.0</v>
      </c>
      <c r="H58" s="68">
        <v>0.0</v>
      </c>
      <c r="I58" s="50">
        <f t="shared" si="1"/>
        <v>0</v>
      </c>
      <c r="J58" s="13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9" t="s">
        <v>117</v>
      </c>
      <c r="F59" s="47" t="s">
        <v>22</v>
      </c>
      <c r="G59" s="48">
        <v>1.0</v>
      </c>
      <c r="H59" s="57">
        <f>VLOOKUP(F59,$A$4:$B$4,2,TRUE)</f>
        <v>4500</v>
      </c>
      <c r="I59" s="50">
        <f t="shared" si="1"/>
        <v>4500</v>
      </c>
      <c r="J59" s="51">
        <f>SUM(I59:I85)</f>
        <v>17900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57</v>
      </c>
      <c r="G60" s="48">
        <v>2.0</v>
      </c>
      <c r="H60" s="57">
        <f>VLOOKUP(F60,$A$5:$B$5,2,TRUE)</f>
        <v>3000</v>
      </c>
      <c r="I60" s="50">
        <f t="shared" si="1"/>
        <v>6000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59</v>
      </c>
      <c r="G61" s="48"/>
      <c r="H61" s="57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25</v>
      </c>
      <c r="G62" s="48">
        <v>0.5</v>
      </c>
      <c r="H62" s="57">
        <f>VLOOKUP(F62,$A$7:$B$7,2,TRUE)</f>
        <v>2800</v>
      </c>
      <c r="I62" s="50">
        <f t="shared" si="1"/>
        <v>1400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26</v>
      </c>
      <c r="G63" s="48"/>
      <c r="H63" s="57">
        <f>VLOOKUP(F63,$A$8:$B$8,2,TRUE)</f>
        <v>3500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27</v>
      </c>
      <c r="G64" s="48">
        <v>1.0</v>
      </c>
      <c r="H64" s="57">
        <f>VLOOKUP(F64,$A$9:$B$9,2,TRUE)</f>
        <v>1000</v>
      </c>
      <c r="I64" s="50">
        <f t="shared" si="1"/>
        <v>1000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28</v>
      </c>
      <c r="G65" s="48"/>
      <c r="H65" s="57">
        <f>VLOOKUP(F65,$A$10:$B$10,2,TRUE)</f>
        <v>2000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29</v>
      </c>
      <c r="G66" s="48">
        <v>2.0</v>
      </c>
      <c r="H66" s="57">
        <f>VLOOKUP(F66,$A$11:$B$11,2,TRUE)</f>
        <v>1500</v>
      </c>
      <c r="I66" s="50">
        <f t="shared" si="1"/>
        <v>3000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30</v>
      </c>
      <c r="G67" s="48"/>
      <c r="H67" s="57">
        <f>VLOOKUP(F67,$A$12:$B$12,2,TRUE)</f>
        <v>1300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31</v>
      </c>
      <c r="G68" s="48"/>
      <c r="H68" s="57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32</v>
      </c>
      <c r="G69" s="48">
        <v>1.0</v>
      </c>
      <c r="H69" s="57">
        <f>VLOOKUP(F69,$A$14:$B$14,2,TRUE)</f>
        <v>500</v>
      </c>
      <c r="I69" s="50">
        <f t="shared" si="1"/>
        <v>500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33</v>
      </c>
      <c r="G70" s="48"/>
      <c r="H70" s="57">
        <f>VLOOKUP(F70,$A$15:$B$15,2,TRUE)</f>
        <v>7500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34</v>
      </c>
      <c r="G71" s="48"/>
      <c r="H71" s="57">
        <f>VLOOKUP(F71,$A$16:$B$16,2,TRUE)</f>
        <v>2000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35</v>
      </c>
      <c r="G72" s="48">
        <v>1.0</v>
      </c>
      <c r="H72" s="57">
        <f>VLOOKUP(F72,$A$17:$B$17,2,TRUE)</f>
        <v>1000</v>
      </c>
      <c r="I72" s="50">
        <f t="shared" si="1"/>
        <v>1000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36</v>
      </c>
      <c r="G73" s="48"/>
      <c r="H73" s="57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37</v>
      </c>
      <c r="G74" s="48"/>
      <c r="H74" s="57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38</v>
      </c>
      <c r="G75" s="48"/>
      <c r="H75" s="57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39</v>
      </c>
      <c r="G76" s="48"/>
      <c r="H76" s="57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40</v>
      </c>
      <c r="G77" s="48"/>
      <c r="H77" s="57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41</v>
      </c>
      <c r="G78" s="48">
        <v>1.0</v>
      </c>
      <c r="H78" s="57">
        <f>VLOOKUP(F78,$A$23:$B$23,2,TRUE)</f>
        <v>500</v>
      </c>
      <c r="I78" s="50">
        <f t="shared" si="1"/>
        <v>500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42</v>
      </c>
      <c r="G79" s="48"/>
      <c r="H79" s="57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43</v>
      </c>
      <c r="G80" s="48"/>
      <c r="H80" s="57">
        <f>VLOOKUP(F80,$A$25:$B$25,2,TRUE)</f>
        <v>1000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18</v>
      </c>
      <c r="G81" s="48"/>
      <c r="H81" s="57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44</v>
      </c>
      <c r="G82" s="48"/>
      <c r="H82" s="57">
        <f>VLOOKUP(F82,$A$27:$B$27,2,TRUE)</f>
        <v>100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13</v>
      </c>
      <c r="G83" s="48"/>
      <c r="H83" s="57">
        <f>VLOOKUP(F83,$A$28:$B$28,2,TRUE)</f>
        <v>1500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20</v>
      </c>
      <c r="G84" s="48"/>
      <c r="H84" s="57">
        <f>VLOOKUP(F84,$A$29:$B$29,2,TRUE)</f>
        <v>3500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13"/>
      <c r="E85" s="13"/>
      <c r="F85" s="47" t="s">
        <v>60</v>
      </c>
      <c r="G85" s="48">
        <v>2.0</v>
      </c>
      <c r="H85" s="68">
        <v>0.0</v>
      </c>
      <c r="I85" s="50">
        <f t="shared" si="1"/>
        <v>0</v>
      </c>
      <c r="J85" s="13"/>
      <c r="K85" s="25"/>
      <c r="L85" s="25"/>
      <c r="M85" s="25"/>
      <c r="N85" s="25"/>
    </row>
    <row r="86" ht="15.75" customHeight="1">
      <c r="A86" s="44"/>
      <c r="B86" s="44"/>
      <c r="C86" s="44"/>
      <c r="D86" s="45">
        <v>4.0</v>
      </c>
      <c r="E86" s="46" t="s">
        <v>118</v>
      </c>
      <c r="F86" s="47" t="s">
        <v>22</v>
      </c>
      <c r="G86" s="48"/>
      <c r="H86" s="57">
        <f>VLOOKUP(F86,$A$4:$B$4,2,TRUE)</f>
        <v>4500</v>
      </c>
      <c r="I86" s="50">
        <f t="shared" si="1"/>
        <v>0</v>
      </c>
      <c r="J86" s="51">
        <f>SUM(I86:I112)</f>
        <v>24250</v>
      </c>
      <c r="K86" s="25"/>
      <c r="L86" s="25"/>
      <c r="M86" s="25"/>
      <c r="N86" s="25"/>
    </row>
    <row r="87" ht="15.75" customHeight="1">
      <c r="A87" s="44"/>
      <c r="B87" s="44"/>
      <c r="C87" s="44"/>
      <c r="D87" s="52"/>
      <c r="E87" s="52"/>
      <c r="F87" s="47" t="s">
        <v>57</v>
      </c>
      <c r="G87" s="48"/>
      <c r="H87" s="57">
        <f>VLOOKUP(F87,$A$5:$B$5,2,TRUE)</f>
        <v>3000</v>
      </c>
      <c r="I87" s="50">
        <f t="shared" si="1"/>
        <v>0</v>
      </c>
      <c r="J87" s="52"/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59</v>
      </c>
      <c r="G88" s="48"/>
      <c r="H88" s="57">
        <f>VLOOKUP(F88,$A$6:$B$6,2,TRUE)</f>
        <v>1000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25</v>
      </c>
      <c r="G89" s="48"/>
      <c r="H89" s="57">
        <f>VLOOKUP(F89,$A$7:$B$7,2,TRUE)</f>
        <v>2800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26</v>
      </c>
      <c r="G90" s="48">
        <v>0.5</v>
      </c>
      <c r="H90" s="57">
        <f>VLOOKUP(F90,$A$8:$B$8,2,TRUE)</f>
        <v>3500</v>
      </c>
      <c r="I90" s="50">
        <f t="shared" si="1"/>
        <v>1750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27</v>
      </c>
      <c r="G91" s="48">
        <v>2.0</v>
      </c>
      <c r="H91" s="57">
        <f>VLOOKUP(F91,$A$9:$B$9,2,TRUE)</f>
        <v>1000</v>
      </c>
      <c r="I91" s="50">
        <f t="shared" si="1"/>
        <v>2000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28</v>
      </c>
      <c r="G92" s="48">
        <v>3.0</v>
      </c>
      <c r="H92" s="57">
        <f>VLOOKUP(F92,$A$10:$B$10,2,TRUE)</f>
        <v>2000</v>
      </c>
      <c r="I92" s="50">
        <f t="shared" si="1"/>
        <v>6000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29</v>
      </c>
      <c r="G93" s="48">
        <v>5.0</v>
      </c>
      <c r="H93" s="57">
        <f>VLOOKUP(F93,$A$11:$B$11,2,TRUE)</f>
        <v>1500</v>
      </c>
      <c r="I93" s="50">
        <f t="shared" si="1"/>
        <v>7500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30</v>
      </c>
      <c r="G94" s="48"/>
      <c r="H94" s="57">
        <f>VLOOKUP(F94,$A$12:$B$12,2,TRUE)</f>
        <v>1300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31</v>
      </c>
      <c r="G95" s="48"/>
      <c r="H95" s="57">
        <f>VLOOKUP(F95,$A$13:$B$13,2,TRUE)</f>
        <v>1000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32</v>
      </c>
      <c r="G96" s="48"/>
      <c r="H96" s="57">
        <f>VLOOKUP(F96,$A$14:$B$14,2,TRUE)</f>
        <v>500</v>
      </c>
      <c r="I96" s="50">
        <f t="shared" si="1"/>
        <v>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33</v>
      </c>
      <c r="G97" s="48"/>
      <c r="H97" s="57">
        <f>VLOOKUP(F97,$A$15:$B$15,2,TRUE)</f>
        <v>7500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34</v>
      </c>
      <c r="G98" s="48"/>
      <c r="H98" s="57">
        <f>VLOOKUP(F98,$A$16:$B$16,2,TRUE)</f>
        <v>2000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35</v>
      </c>
      <c r="G99" s="48"/>
      <c r="H99" s="57">
        <f>VLOOKUP(F99,$A$17:$B$17,2,TRUE)</f>
        <v>1000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36</v>
      </c>
      <c r="G100" s="48"/>
      <c r="H100" s="57">
        <f>VLOOKUP(F100,$A$18:$B$18,2,TRUE)</f>
        <v>5000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37</v>
      </c>
      <c r="G101" s="48"/>
      <c r="H101" s="57">
        <f>VLOOKUP(F101,$A$19:$B$19,2,TRUE)</f>
        <v>2700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38</v>
      </c>
      <c r="G102" s="48"/>
      <c r="H102" s="57">
        <f>VLOOKUP(F102,$A$20:$B$20,2,TRUE)</f>
        <v>50000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39</v>
      </c>
      <c r="G103" s="48"/>
      <c r="H103" s="57">
        <f>VLOOKUP(F103,$A$21:$B$21,2,TRUE)</f>
        <v>10000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40</v>
      </c>
      <c r="G104" s="48"/>
      <c r="H104" s="57">
        <f>VLOOKUP(F104,$A$22:$B$22,2,TRUE)</f>
        <v>1000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41</v>
      </c>
      <c r="G105" s="48"/>
      <c r="H105" s="57">
        <f>VLOOKUP(F105,$A$23:$B$23,2,TRUE)</f>
        <v>500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42</v>
      </c>
      <c r="G106" s="48"/>
      <c r="H106" s="57">
        <f>VLOOKUP(F106,$A$24:$B$24,2,TRUE)</f>
        <v>200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43</v>
      </c>
      <c r="G107" s="48"/>
      <c r="H107" s="57">
        <f>VLOOKUP(F107,$A$25:$B$25,2,TRUE)</f>
        <v>1000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18</v>
      </c>
      <c r="G108" s="48"/>
      <c r="H108" s="57">
        <f>VLOOKUP(F108,$A$26:$B$26,2,TRUE)</f>
        <v>300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44</v>
      </c>
      <c r="G109" s="48"/>
      <c r="H109" s="57">
        <f>VLOOKUP(F109,$A$27:$B$27,2,TRUE)</f>
        <v>100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13</v>
      </c>
      <c r="G110" s="48"/>
      <c r="H110" s="57">
        <f>VLOOKUP(F110,$A$28:$B$28,2,TRUE)</f>
        <v>1500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20</v>
      </c>
      <c r="G111" s="48">
        <v>2.0</v>
      </c>
      <c r="H111" s="57">
        <f>VLOOKUP(F111,$A$29:$B$29,2,TRUE)</f>
        <v>3500</v>
      </c>
      <c r="I111" s="50">
        <f t="shared" si="1"/>
        <v>7000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13"/>
      <c r="E112" s="13"/>
      <c r="F112" s="47" t="s">
        <v>60</v>
      </c>
      <c r="G112" s="48">
        <v>3.5</v>
      </c>
      <c r="H112" s="68">
        <v>0.0</v>
      </c>
      <c r="I112" s="50">
        <f t="shared" si="1"/>
        <v>0</v>
      </c>
      <c r="J112" s="13"/>
      <c r="K112" s="25"/>
      <c r="L112" s="25"/>
      <c r="M112" s="25"/>
      <c r="N112" s="25"/>
    </row>
    <row r="113" ht="15.75" customHeight="1">
      <c r="A113" s="44"/>
      <c r="B113" s="44"/>
      <c r="C113" s="44"/>
      <c r="D113" s="45">
        <v>5.0</v>
      </c>
      <c r="E113" s="46" t="s">
        <v>119</v>
      </c>
      <c r="F113" s="47" t="s">
        <v>22</v>
      </c>
      <c r="G113" s="48">
        <v>2.0</v>
      </c>
      <c r="H113" s="57">
        <f>VLOOKUP(F113,$A$4:$B$4,2,TRUE)</f>
        <v>4500</v>
      </c>
      <c r="I113" s="50">
        <f t="shared" si="1"/>
        <v>9000</v>
      </c>
      <c r="J113" s="51">
        <f>SUM(I113:I139)</f>
        <v>32750</v>
      </c>
      <c r="K113" s="25"/>
      <c r="L113" s="25"/>
      <c r="M113" s="25"/>
      <c r="N113" s="25"/>
    </row>
    <row r="114" ht="15.75" customHeight="1">
      <c r="A114" s="44"/>
      <c r="B114" s="44"/>
      <c r="C114" s="44"/>
      <c r="D114" s="52"/>
      <c r="E114" s="52"/>
      <c r="F114" s="47" t="s">
        <v>57</v>
      </c>
      <c r="G114" s="48">
        <v>1.0</v>
      </c>
      <c r="H114" s="57">
        <f>VLOOKUP(F114,$A$5:$B$5,2,TRUE)</f>
        <v>3000</v>
      </c>
      <c r="I114" s="50">
        <f t="shared" si="1"/>
        <v>3000</v>
      </c>
      <c r="J114" s="52"/>
      <c r="K114" s="25"/>
      <c r="L114" s="25"/>
      <c r="M114" s="25"/>
      <c r="N114" s="25"/>
    </row>
    <row r="115" ht="15.75" customHeight="1">
      <c r="A115" s="44"/>
      <c r="B115" s="44"/>
      <c r="C115" s="44"/>
      <c r="D115" s="52"/>
      <c r="E115" s="52"/>
      <c r="F115" s="47" t="s">
        <v>59</v>
      </c>
      <c r="G115" s="48"/>
      <c r="H115" s="57">
        <f>VLOOKUP(F115,$A$6:$B$6,2,TRUE)</f>
        <v>1000</v>
      </c>
      <c r="I115" s="50">
        <f t="shared" si="1"/>
        <v>0</v>
      </c>
      <c r="J115" s="52"/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25</v>
      </c>
      <c r="G116" s="48"/>
      <c r="H116" s="57">
        <f>VLOOKUP(F116,$A$7:$B$7,2,TRUE)</f>
        <v>2800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26</v>
      </c>
      <c r="G117" s="48">
        <v>0.5</v>
      </c>
      <c r="H117" s="57">
        <f>VLOOKUP(F117,$A$8:$B$8,2,TRUE)</f>
        <v>3500</v>
      </c>
      <c r="I117" s="50">
        <f t="shared" si="1"/>
        <v>1750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27</v>
      </c>
      <c r="G118" s="48">
        <v>5.0</v>
      </c>
      <c r="H118" s="57">
        <f>VLOOKUP(F118,$A$9:$B$9,2,TRUE)</f>
        <v>1000</v>
      </c>
      <c r="I118" s="50">
        <f t="shared" si="1"/>
        <v>5000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28</v>
      </c>
      <c r="G119" s="48">
        <v>4.0</v>
      </c>
      <c r="H119" s="57">
        <f>VLOOKUP(F119,$A$10:$B$10,2,TRUE)</f>
        <v>2000</v>
      </c>
      <c r="I119" s="50">
        <f t="shared" si="1"/>
        <v>8000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29</v>
      </c>
      <c r="G120" s="48">
        <v>2.0</v>
      </c>
      <c r="H120" s="57">
        <f>VLOOKUP(F120,$A$11:$B$11,2,TRUE)</f>
        <v>1500</v>
      </c>
      <c r="I120" s="50">
        <f t="shared" si="1"/>
        <v>3000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30</v>
      </c>
      <c r="G121" s="48"/>
      <c r="H121" s="57">
        <f>VLOOKUP(F121,$A$12:$B$12,2,TRUE)</f>
        <v>1300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31</v>
      </c>
      <c r="G122" s="48"/>
      <c r="H122" s="57">
        <f>VLOOKUP(F122,$A$13:$B$13,2,TRUE)</f>
        <v>1000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32</v>
      </c>
      <c r="G123" s="48">
        <v>1.0</v>
      </c>
      <c r="H123" s="57">
        <f>VLOOKUP(F123,$A$14:$B$14,2,TRUE)</f>
        <v>500</v>
      </c>
      <c r="I123" s="50">
        <f t="shared" si="1"/>
        <v>500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33</v>
      </c>
      <c r="G124" s="48"/>
      <c r="H124" s="57">
        <f>VLOOKUP(F124,$A$15:$B$15,2,TRUE)</f>
        <v>7500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34</v>
      </c>
      <c r="G125" s="48"/>
      <c r="H125" s="57">
        <f>VLOOKUP(F125,$A$16:$B$16,2,TRUE)</f>
        <v>2000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35</v>
      </c>
      <c r="G126" s="48">
        <v>1.5</v>
      </c>
      <c r="H126" s="57">
        <f>VLOOKUP(F126,$A$17:$B$17,2,TRUE)</f>
        <v>1000</v>
      </c>
      <c r="I126" s="50">
        <f t="shared" si="1"/>
        <v>1500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36</v>
      </c>
      <c r="G127" s="48"/>
      <c r="H127" s="57">
        <f>VLOOKUP(F127,$A$18:$B$18,2,TRUE)</f>
        <v>5000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37</v>
      </c>
      <c r="G128" s="48"/>
      <c r="H128" s="57">
        <f>VLOOKUP(F128,$A$19:$B$19,2,TRUE)</f>
        <v>2700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38</v>
      </c>
      <c r="G129" s="48"/>
      <c r="H129" s="57">
        <f>VLOOKUP(F129,$A$20:$B$20,2,TRUE)</f>
        <v>50000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39</v>
      </c>
      <c r="G130" s="48"/>
      <c r="H130" s="57">
        <f>VLOOKUP(F130,$A$21:$B$21,2,TRUE)</f>
        <v>10000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40</v>
      </c>
      <c r="G131" s="48"/>
      <c r="H131" s="57">
        <f>VLOOKUP(F131,$A$22:$B$22,2,TRUE)</f>
        <v>1000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41</v>
      </c>
      <c r="G132" s="48">
        <v>2.0</v>
      </c>
      <c r="H132" s="57">
        <f>VLOOKUP(F132,$A$23:$B$23,2,TRUE)</f>
        <v>500</v>
      </c>
      <c r="I132" s="50">
        <f t="shared" si="1"/>
        <v>1000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42</v>
      </c>
      <c r="G133" s="48"/>
      <c r="H133" s="57">
        <f>VLOOKUP(F133,$A$24:$B$24,2,TRUE)</f>
        <v>200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43</v>
      </c>
      <c r="G134" s="48"/>
      <c r="H134" s="57">
        <f>VLOOKUP(F134,$A$25:$B$25,2,TRUE)</f>
        <v>1000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18</v>
      </c>
      <c r="G135" s="48"/>
      <c r="H135" s="57">
        <f>VLOOKUP(F135,$A$26:$B$26,2,TRUE)</f>
        <v>300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44</v>
      </c>
      <c r="G136" s="48"/>
      <c r="H136" s="57">
        <f>VLOOKUP(F136,$A$27:$B$27,2,TRUE)</f>
        <v>100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7">
        <f>VLOOKUP(F137,$A$28:$B$28,2,TRUE)</f>
        <v>1500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20</v>
      </c>
      <c r="G138" s="48"/>
      <c r="H138" s="57">
        <f>VLOOKUP(F138,$A$29:$B$29,2,TRUE)</f>
        <v>3500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13"/>
      <c r="E139" s="13"/>
      <c r="F139" s="47" t="s">
        <v>60</v>
      </c>
      <c r="G139" s="48">
        <v>4.0</v>
      </c>
      <c r="H139" s="68"/>
      <c r="I139" s="50">
        <f t="shared" si="1"/>
        <v>0</v>
      </c>
      <c r="J139" s="13"/>
      <c r="K139" s="25"/>
      <c r="L139" s="25"/>
      <c r="M139" s="25"/>
      <c r="N139" s="25"/>
    </row>
    <row r="140" ht="15.75" customHeight="1">
      <c r="A140" s="44"/>
      <c r="B140" s="44"/>
      <c r="C140" s="44"/>
      <c r="D140" s="45">
        <v>6.0</v>
      </c>
      <c r="E140" s="46" t="s">
        <v>120</v>
      </c>
      <c r="F140" s="47" t="s">
        <v>22</v>
      </c>
      <c r="G140" s="48"/>
      <c r="H140" s="57">
        <f>VLOOKUP(F140,$A$4:$B$4,2,TRUE)</f>
        <v>4500</v>
      </c>
      <c r="I140" s="50">
        <f t="shared" si="1"/>
        <v>0</v>
      </c>
      <c r="J140" s="51">
        <f>SUM(I140:I166)</f>
        <v>40650</v>
      </c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57</v>
      </c>
      <c r="G141" s="48">
        <v>3.5</v>
      </c>
      <c r="H141" s="57">
        <f>VLOOKUP(F141,$A$5:$B$5,2,TRUE)</f>
        <v>3000</v>
      </c>
      <c r="I141" s="50">
        <f t="shared" si="1"/>
        <v>10500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52"/>
      <c r="E142" s="52"/>
      <c r="F142" s="47" t="s">
        <v>59</v>
      </c>
      <c r="G142" s="48"/>
      <c r="H142" s="57">
        <f>VLOOKUP(F142,$A$6:$B$6,2,TRUE)</f>
        <v>1000</v>
      </c>
      <c r="I142" s="50">
        <f t="shared" si="1"/>
        <v>0</v>
      </c>
      <c r="J142" s="52"/>
      <c r="K142" s="25"/>
      <c r="L142" s="25"/>
      <c r="M142" s="25"/>
      <c r="N142" s="25"/>
    </row>
    <row r="143" ht="15.75" customHeight="1">
      <c r="A143" s="44"/>
      <c r="B143" s="44"/>
      <c r="C143" s="44"/>
      <c r="D143" s="52"/>
      <c r="E143" s="52"/>
      <c r="F143" s="47" t="s">
        <v>25</v>
      </c>
      <c r="G143" s="48">
        <v>0.5</v>
      </c>
      <c r="H143" s="57">
        <f>VLOOKUP(F143,$A$7:$B$7,2,TRUE)</f>
        <v>2800</v>
      </c>
      <c r="I143" s="50">
        <f t="shared" si="1"/>
        <v>1400</v>
      </c>
      <c r="J143" s="52"/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26</v>
      </c>
      <c r="G144" s="48"/>
      <c r="H144" s="57">
        <f>VLOOKUP(F144,$A$8:$B$8,2,TRUE)</f>
        <v>3500</v>
      </c>
      <c r="I144" s="50">
        <f t="shared" si="1"/>
        <v>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27</v>
      </c>
      <c r="G145" s="48">
        <v>4.0</v>
      </c>
      <c r="H145" s="57">
        <f>VLOOKUP(F145,$A$9:$B$9,2,TRUE)</f>
        <v>1000</v>
      </c>
      <c r="I145" s="50">
        <f t="shared" si="1"/>
        <v>4000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28</v>
      </c>
      <c r="G146" s="48"/>
      <c r="H146" s="57">
        <f>VLOOKUP(F146,$A$10:$B$10,2,TRUE)</f>
        <v>2000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29</v>
      </c>
      <c r="G147" s="48">
        <v>3.0</v>
      </c>
      <c r="H147" s="57">
        <f>VLOOKUP(F147,$A$11:$B$11,2,TRUE)</f>
        <v>1500</v>
      </c>
      <c r="I147" s="50">
        <f t="shared" si="1"/>
        <v>4500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30</v>
      </c>
      <c r="G148" s="48"/>
      <c r="H148" s="57">
        <f>VLOOKUP(F148,$A$12:$B$12,2,TRUE)</f>
        <v>1300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31</v>
      </c>
      <c r="G149" s="48"/>
      <c r="H149" s="57">
        <f>VLOOKUP(F149,$A$13:$B$13,2,TRUE)</f>
        <v>1000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32</v>
      </c>
      <c r="G150" s="48"/>
      <c r="H150" s="57">
        <f>VLOOKUP(F150,$A$14:$B$14,2,TRUE)</f>
        <v>500</v>
      </c>
      <c r="I150" s="50">
        <f t="shared" si="1"/>
        <v>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33</v>
      </c>
      <c r="G151" s="48"/>
      <c r="H151" s="57">
        <f>VLOOKUP(F151,$A$15:$B$15,2,TRUE)</f>
        <v>7500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34</v>
      </c>
      <c r="G152" s="48">
        <v>3.0</v>
      </c>
      <c r="H152" s="57">
        <f>VLOOKUP(F152,$A$16:$B$16,2,TRUE)</f>
        <v>2000</v>
      </c>
      <c r="I152" s="50">
        <f t="shared" si="1"/>
        <v>6000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35</v>
      </c>
      <c r="G153" s="48">
        <v>2.0</v>
      </c>
      <c r="H153" s="57">
        <f>VLOOKUP(F153,$A$17:$B$17,2,TRUE)</f>
        <v>1000</v>
      </c>
      <c r="I153" s="50">
        <f t="shared" si="1"/>
        <v>2000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36</v>
      </c>
      <c r="G154" s="48"/>
      <c r="H154" s="57">
        <f>VLOOKUP(F154,$A$18:$B$18,2,TRUE)</f>
        <v>5000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37</v>
      </c>
      <c r="G155" s="48"/>
      <c r="H155" s="57">
        <f>VLOOKUP(F155,$A$19:$B$19,2,TRUE)</f>
        <v>2700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38</v>
      </c>
      <c r="G156" s="48"/>
      <c r="H156" s="57">
        <f>VLOOKUP(F156,$A$20:$B$20,2,TRUE)</f>
        <v>50000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39</v>
      </c>
      <c r="G157" s="48"/>
      <c r="H157" s="57">
        <f>VLOOKUP(F157,$A$21:$B$21,2,TRUE)</f>
        <v>10000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40</v>
      </c>
      <c r="G158" s="48"/>
      <c r="H158" s="57">
        <f>VLOOKUP(F158,$A$22:$B$22,2,TRUE)</f>
        <v>1000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41</v>
      </c>
      <c r="G159" s="48">
        <v>0.5</v>
      </c>
      <c r="H159" s="57">
        <f>VLOOKUP(F159,$A$23:$B$23,2,TRUE)</f>
        <v>500</v>
      </c>
      <c r="I159" s="50">
        <f t="shared" si="1"/>
        <v>250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42</v>
      </c>
      <c r="G160" s="48"/>
      <c r="H160" s="57">
        <f>VLOOKUP(F160,$A$24:$B$24,2,TRUE)</f>
        <v>200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43</v>
      </c>
      <c r="G161" s="48"/>
      <c r="H161" s="57">
        <f>VLOOKUP(F161,$A$25:$B$25,2,TRUE)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18</v>
      </c>
      <c r="G162" s="48">
        <v>5.0</v>
      </c>
      <c r="H162" s="57">
        <f>VLOOKUP(F162,$A$26:$B$26,2,TRUE)</f>
        <v>300</v>
      </c>
      <c r="I162" s="50">
        <f t="shared" si="1"/>
        <v>1500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44</v>
      </c>
      <c r="G163" s="48"/>
      <c r="H163" s="57">
        <f>VLOOKUP(F163,$A$27:$B$27,2,TRUE)</f>
        <v>100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13</v>
      </c>
      <c r="G164" s="48"/>
      <c r="H164" s="57">
        <f>VLOOKUP(F164,$A$28:$B$28,2,TRUE)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20</v>
      </c>
      <c r="G165" s="48">
        <v>3.0</v>
      </c>
      <c r="H165" s="57">
        <f>VLOOKUP(F165,$A$29:$B$29,2,TRUE)</f>
        <v>3500</v>
      </c>
      <c r="I165" s="50">
        <f t="shared" si="1"/>
        <v>10500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13"/>
      <c r="E166" s="13"/>
      <c r="F166" s="47" t="s">
        <v>60</v>
      </c>
      <c r="G166" s="48">
        <v>3.0</v>
      </c>
      <c r="H166" s="68">
        <v>0.0</v>
      </c>
      <c r="I166" s="50">
        <f t="shared" si="1"/>
        <v>0</v>
      </c>
      <c r="J166" s="13"/>
      <c r="K166" s="25"/>
      <c r="L166" s="25"/>
      <c r="M166" s="25"/>
      <c r="N166" s="25"/>
    </row>
    <row r="167" ht="15.75" customHeight="1">
      <c r="A167" s="44"/>
      <c r="B167" s="44"/>
      <c r="C167" s="44"/>
      <c r="D167" s="45">
        <v>7.0</v>
      </c>
      <c r="E167" s="46" t="s">
        <v>121</v>
      </c>
      <c r="F167" s="47" t="s">
        <v>22</v>
      </c>
      <c r="G167" s="48"/>
      <c r="H167" s="57">
        <f>VLOOKUP(F167,$A$4:$B$4,2,TRUE)</f>
        <v>4500</v>
      </c>
      <c r="I167" s="50">
        <f t="shared" si="1"/>
        <v>0</v>
      </c>
      <c r="J167" s="51">
        <f>SUM(I167:I193)</f>
        <v>11000</v>
      </c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57</v>
      </c>
      <c r="G168" s="48"/>
      <c r="H168" s="57">
        <f>VLOOKUP(F168,$A$5:$B$5,2,TRUE)</f>
        <v>3000</v>
      </c>
      <c r="I168" s="50">
        <f t="shared" si="1"/>
        <v>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59</v>
      </c>
      <c r="G169" s="48"/>
      <c r="H169" s="57">
        <f>VLOOKUP(F169,$A$6:$B$6,2,TRUE)</f>
        <v>1000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52"/>
      <c r="E170" s="52"/>
      <c r="F170" s="47" t="s">
        <v>25</v>
      </c>
      <c r="G170" s="48"/>
      <c r="H170" s="57">
        <f>VLOOKUP(F170,$A$7:$B$7,2,TRUE)</f>
        <v>2800</v>
      </c>
      <c r="I170" s="50">
        <f t="shared" si="1"/>
        <v>0</v>
      </c>
      <c r="J170" s="52"/>
      <c r="K170" s="25"/>
      <c r="L170" s="25"/>
      <c r="M170" s="25"/>
      <c r="N170" s="25"/>
    </row>
    <row r="171" ht="15.75" customHeight="1">
      <c r="A171" s="44"/>
      <c r="B171" s="44"/>
      <c r="C171" s="44"/>
      <c r="D171" s="52"/>
      <c r="E171" s="52"/>
      <c r="F171" s="47" t="s">
        <v>26</v>
      </c>
      <c r="G171" s="48"/>
      <c r="H171" s="57">
        <f>VLOOKUP(F171,$A$8:$B$8,2,TRUE)</f>
        <v>3500</v>
      </c>
      <c r="I171" s="50">
        <f t="shared" si="1"/>
        <v>0</v>
      </c>
      <c r="J171" s="52"/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27</v>
      </c>
      <c r="G172" s="48">
        <v>4.0</v>
      </c>
      <c r="H172" s="57">
        <f>VLOOKUP(F172,$A$9:$B$9,2,TRUE)</f>
        <v>1000</v>
      </c>
      <c r="I172" s="50">
        <f t="shared" si="1"/>
        <v>4000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28</v>
      </c>
      <c r="G173" s="48"/>
      <c r="H173" s="57">
        <f>VLOOKUP(F173,$A$10:$B$10,2,TRUE)</f>
        <v>2000</v>
      </c>
      <c r="I173" s="50">
        <f t="shared" si="1"/>
        <v>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29</v>
      </c>
      <c r="G174" s="48"/>
      <c r="H174" s="57">
        <f>VLOOKUP(F174,$A$11:$B$11,2,TRUE)</f>
        <v>1500</v>
      </c>
      <c r="I174" s="50">
        <f t="shared" si="1"/>
        <v>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30</v>
      </c>
      <c r="G175" s="48"/>
      <c r="H175" s="57">
        <f>VLOOKUP(F175,$A$12:$B$12,2,TRUE)</f>
        <v>1300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31</v>
      </c>
      <c r="G176" s="48"/>
      <c r="H176" s="57">
        <f>VLOOKUP(F176,$A$13:$B$13,2,TRUE)</f>
        <v>1000</v>
      </c>
      <c r="I176" s="50">
        <f t="shared" si="1"/>
        <v>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32</v>
      </c>
      <c r="G177" s="48"/>
      <c r="H177" s="57">
        <f>VLOOKUP(F177,$A$14:$B$14,2,TRUE)</f>
        <v>500</v>
      </c>
      <c r="I177" s="50">
        <f t="shared" si="1"/>
        <v>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33</v>
      </c>
      <c r="G178" s="48"/>
      <c r="H178" s="57">
        <f>VLOOKUP(F178,$A$15:$B$15,2,TRUE)</f>
        <v>7500</v>
      </c>
      <c r="I178" s="50">
        <f t="shared" si="1"/>
        <v>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34</v>
      </c>
      <c r="G179" s="48"/>
      <c r="H179" s="57">
        <f>VLOOKUP(F179,$A$16:$B$16,2,TRUE)</f>
        <v>2000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35</v>
      </c>
      <c r="G180" s="48"/>
      <c r="H180" s="57">
        <f>VLOOKUP(F180,$A$17:$B$17,2,TRUE)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36</v>
      </c>
      <c r="G181" s="48"/>
      <c r="H181" s="57">
        <f>VLOOKUP(F181,$A$18:$B$18,2,TRUE)</f>
        <v>5000</v>
      </c>
      <c r="I181" s="50">
        <f t="shared" si="1"/>
        <v>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37</v>
      </c>
      <c r="G182" s="48"/>
      <c r="H182" s="57">
        <f>VLOOKUP(F182,$A$19:$B$19,2,TRUE)</f>
        <v>2700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38</v>
      </c>
      <c r="G183" s="48"/>
      <c r="H183" s="57">
        <f>VLOOKUP(F183,$A$20:$B$20,2,TRUE)</f>
        <v>50000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39</v>
      </c>
      <c r="G184" s="48"/>
      <c r="H184" s="57">
        <f>VLOOKUP(F184,$A$21:$B$21,2,TRUE)</f>
        <v>10000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40</v>
      </c>
      <c r="G185" s="48"/>
      <c r="H185" s="57">
        <f>VLOOKUP(F185,$A$22:$B$22,2,TRUE)</f>
        <v>1000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41</v>
      </c>
      <c r="G186" s="48"/>
      <c r="H186" s="57">
        <f>VLOOKUP(F186,$A$23:$B$23,2,TRUE)</f>
        <v>500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42</v>
      </c>
      <c r="G187" s="48"/>
      <c r="H187" s="57">
        <f>VLOOKUP(F187,$A$24:$B$24,2,TRUE)</f>
        <v>200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43</v>
      </c>
      <c r="G188" s="48"/>
      <c r="H188" s="57">
        <f>VLOOKUP(F188,$A$25:$B$25,2,TRUE)</f>
        <v>1000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18</v>
      </c>
      <c r="G189" s="48"/>
      <c r="H189" s="57">
        <f>VLOOKUP(F189,$A$26:$B$26,2,TRUE)</f>
        <v>300</v>
      </c>
      <c r="I189" s="50">
        <f t="shared" si="1"/>
        <v>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44</v>
      </c>
      <c r="G190" s="48"/>
      <c r="H190" s="57">
        <f>VLOOKUP(F190,$A$27:$B$27,2,TRUE)</f>
        <v>100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13</v>
      </c>
      <c r="G191" s="48"/>
      <c r="H191" s="57">
        <f>VLOOKUP(F191,$A$28:$B$28,2,TRUE)</f>
        <v>1500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20</v>
      </c>
      <c r="G192" s="48">
        <v>2.0</v>
      </c>
      <c r="H192" s="57">
        <f>VLOOKUP(F192,$A$29:$B$29,2,TRUE)</f>
        <v>3500</v>
      </c>
      <c r="I192" s="50">
        <f t="shared" si="1"/>
        <v>7000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13"/>
      <c r="E193" s="13"/>
      <c r="F193" s="47" t="s">
        <v>60</v>
      </c>
      <c r="G193" s="48">
        <v>1.0</v>
      </c>
      <c r="H193" s="68">
        <v>0.0</v>
      </c>
      <c r="I193" s="50">
        <f t="shared" si="1"/>
        <v>0</v>
      </c>
      <c r="J193" s="13"/>
      <c r="K193" s="25"/>
      <c r="L193" s="25"/>
      <c r="M193" s="25"/>
      <c r="N193" s="25"/>
    </row>
    <row r="194" ht="15.75" customHeight="1">
      <c r="A194" s="44"/>
      <c r="B194" s="44"/>
      <c r="C194" s="44"/>
      <c r="D194" s="45">
        <v>8.0</v>
      </c>
      <c r="E194" s="69" t="s">
        <v>122</v>
      </c>
      <c r="F194" s="47" t="s">
        <v>22</v>
      </c>
      <c r="G194" s="48">
        <v>1.0</v>
      </c>
      <c r="H194" s="57">
        <f>VLOOKUP(F194,$A$4:$B$4,2,TRUE)</f>
        <v>4500</v>
      </c>
      <c r="I194" s="50">
        <f t="shared" si="1"/>
        <v>4500</v>
      </c>
      <c r="J194" s="51">
        <f>SUM(I194:I220)</f>
        <v>29400</v>
      </c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57</v>
      </c>
      <c r="G195" s="48">
        <v>2.5</v>
      </c>
      <c r="H195" s="57">
        <f>VLOOKUP(F195,$A$5:$B$5,2,TRUE)</f>
        <v>3000</v>
      </c>
      <c r="I195" s="50">
        <f t="shared" si="1"/>
        <v>7500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59</v>
      </c>
      <c r="G196" s="48"/>
      <c r="H196" s="57">
        <f>VLOOKUP(F196,$A$6:$B$6,2,TRUE)</f>
        <v>1000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25</v>
      </c>
      <c r="G197" s="48">
        <v>0.5</v>
      </c>
      <c r="H197" s="57">
        <f>VLOOKUP(F197,$A$7:$B$7,2,TRUE)</f>
        <v>2800</v>
      </c>
      <c r="I197" s="50">
        <f t="shared" si="1"/>
        <v>1400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52"/>
      <c r="E198" s="52"/>
      <c r="F198" s="47" t="s">
        <v>26</v>
      </c>
      <c r="G198" s="48"/>
      <c r="H198" s="57">
        <f>VLOOKUP(F198,$A$8:$B$8,2,TRUE)</f>
        <v>3500</v>
      </c>
      <c r="I198" s="50">
        <f t="shared" si="1"/>
        <v>0</v>
      </c>
      <c r="J198" s="52"/>
      <c r="K198" s="25"/>
      <c r="L198" s="25"/>
      <c r="M198" s="25"/>
      <c r="N198" s="25"/>
    </row>
    <row r="199" ht="15.75" customHeight="1">
      <c r="A199" s="44"/>
      <c r="B199" s="44"/>
      <c r="C199" s="44"/>
      <c r="D199" s="52"/>
      <c r="E199" s="52"/>
      <c r="F199" s="47" t="s">
        <v>27</v>
      </c>
      <c r="G199" s="48"/>
      <c r="H199" s="57">
        <f>VLOOKUP(F199,$A$9:$B$9,2,TRUE)</f>
        <v>1000</v>
      </c>
      <c r="I199" s="50">
        <f t="shared" si="1"/>
        <v>0</v>
      </c>
      <c r="J199" s="52"/>
      <c r="K199" s="25"/>
      <c r="L199" s="25"/>
      <c r="M199" s="25"/>
      <c r="N199" s="25"/>
    </row>
    <row r="200" ht="15.75" customHeight="1">
      <c r="A200" s="44"/>
      <c r="B200" s="44"/>
      <c r="C200" s="44"/>
      <c r="D200" s="52"/>
      <c r="E200" s="52"/>
      <c r="F200" s="47" t="s">
        <v>28</v>
      </c>
      <c r="G200" s="48"/>
      <c r="H200" s="57">
        <f>VLOOKUP(F200,$A$10:$B$10,2,TRUE)</f>
        <v>2000</v>
      </c>
      <c r="I200" s="50">
        <f t="shared" si="1"/>
        <v>0</v>
      </c>
      <c r="J200" s="52"/>
      <c r="K200" s="25"/>
      <c r="L200" s="25"/>
      <c r="M200" s="25"/>
      <c r="N200" s="25"/>
    </row>
    <row r="201" ht="15.75" customHeight="1">
      <c r="A201" s="44"/>
      <c r="B201" s="44"/>
      <c r="C201" s="44"/>
      <c r="D201" s="52"/>
      <c r="E201" s="52"/>
      <c r="F201" s="47" t="s">
        <v>29</v>
      </c>
      <c r="G201" s="48"/>
      <c r="H201" s="57">
        <f>VLOOKUP(F201,$A$11:$B$11,2,TRUE)</f>
        <v>1500</v>
      </c>
      <c r="I201" s="50">
        <f t="shared" si="1"/>
        <v>0</v>
      </c>
      <c r="J201" s="52"/>
      <c r="K201" s="25"/>
      <c r="L201" s="25"/>
      <c r="M201" s="25"/>
      <c r="N201" s="25"/>
    </row>
    <row r="202" ht="15.75" customHeight="1">
      <c r="A202" s="44"/>
      <c r="B202" s="44"/>
      <c r="C202" s="44"/>
      <c r="D202" s="52"/>
      <c r="E202" s="52"/>
      <c r="F202" s="47" t="s">
        <v>30</v>
      </c>
      <c r="G202" s="48"/>
      <c r="H202" s="57">
        <f>VLOOKUP(F202,$A$12:$B$12,2,TRUE)</f>
        <v>1300</v>
      </c>
      <c r="I202" s="50">
        <f t="shared" si="1"/>
        <v>0</v>
      </c>
      <c r="J202" s="52"/>
      <c r="K202" s="25"/>
      <c r="L202" s="25"/>
      <c r="M202" s="25"/>
      <c r="N202" s="25"/>
    </row>
    <row r="203" ht="15.75" customHeight="1">
      <c r="A203" s="44"/>
      <c r="B203" s="44"/>
      <c r="C203" s="44"/>
      <c r="D203" s="52"/>
      <c r="E203" s="52"/>
      <c r="F203" s="47" t="s">
        <v>31</v>
      </c>
      <c r="G203" s="48"/>
      <c r="H203" s="57">
        <f>VLOOKUP(F203,$A$13:$B$13,2,TRUE)</f>
        <v>1000</v>
      </c>
      <c r="I203" s="50">
        <f t="shared" si="1"/>
        <v>0</v>
      </c>
      <c r="J203" s="52"/>
      <c r="K203" s="25"/>
      <c r="L203" s="25"/>
      <c r="M203" s="25"/>
      <c r="N203" s="25"/>
    </row>
    <row r="204" ht="15.75" customHeight="1">
      <c r="A204" s="44"/>
      <c r="B204" s="44"/>
      <c r="C204" s="44"/>
      <c r="D204" s="52"/>
      <c r="E204" s="52"/>
      <c r="F204" s="47" t="s">
        <v>32</v>
      </c>
      <c r="G204" s="48"/>
      <c r="H204" s="57">
        <f>VLOOKUP(F204,$A$14:$B$14,2,TRUE)</f>
        <v>500</v>
      </c>
      <c r="I204" s="50">
        <f t="shared" si="1"/>
        <v>0</v>
      </c>
      <c r="J204" s="52"/>
      <c r="K204" s="25"/>
      <c r="L204" s="25"/>
      <c r="M204" s="25"/>
      <c r="N204" s="25"/>
    </row>
    <row r="205" ht="15.75" customHeight="1">
      <c r="A205" s="44"/>
      <c r="B205" s="44"/>
      <c r="C205" s="44"/>
      <c r="D205" s="52"/>
      <c r="E205" s="52"/>
      <c r="F205" s="47" t="s">
        <v>33</v>
      </c>
      <c r="G205" s="48"/>
      <c r="H205" s="57">
        <f>VLOOKUP(F205,$A$15:$B$15,2,TRUE)</f>
        <v>7500</v>
      </c>
      <c r="I205" s="50">
        <f t="shared" si="1"/>
        <v>0</v>
      </c>
      <c r="J205" s="52"/>
      <c r="K205" s="25"/>
      <c r="L205" s="25"/>
      <c r="M205" s="25"/>
      <c r="N205" s="25"/>
    </row>
    <row r="206" ht="15.75" customHeight="1">
      <c r="A206" s="44"/>
      <c r="B206" s="44"/>
      <c r="C206" s="44"/>
      <c r="D206" s="52"/>
      <c r="E206" s="52"/>
      <c r="F206" s="47" t="s">
        <v>34</v>
      </c>
      <c r="G206" s="48"/>
      <c r="H206" s="57">
        <f>VLOOKUP(F206,$A$16:$B$16,2,TRUE)</f>
        <v>2000</v>
      </c>
      <c r="I206" s="50">
        <f t="shared" si="1"/>
        <v>0</v>
      </c>
      <c r="J206" s="52"/>
      <c r="K206" s="25"/>
      <c r="L206" s="25"/>
      <c r="M206" s="25"/>
      <c r="N206" s="25"/>
    </row>
    <row r="207" ht="15.75" customHeight="1">
      <c r="A207" s="44"/>
      <c r="B207" s="44"/>
      <c r="C207" s="44"/>
      <c r="D207" s="52"/>
      <c r="E207" s="52"/>
      <c r="F207" s="47" t="s">
        <v>35</v>
      </c>
      <c r="G207" s="48">
        <v>3.5</v>
      </c>
      <c r="H207" s="57">
        <f>VLOOKUP(F207,$A$17:$B$17,2,TRUE)</f>
        <v>1000</v>
      </c>
      <c r="I207" s="50">
        <f t="shared" si="1"/>
        <v>3500</v>
      </c>
      <c r="J207" s="52"/>
      <c r="K207" s="25"/>
      <c r="L207" s="25"/>
      <c r="M207" s="25"/>
      <c r="N207" s="25"/>
    </row>
    <row r="208" ht="15.75" customHeight="1">
      <c r="A208" s="44"/>
      <c r="B208" s="44"/>
      <c r="C208" s="44"/>
      <c r="D208" s="52"/>
      <c r="E208" s="52"/>
      <c r="F208" s="47" t="s">
        <v>36</v>
      </c>
      <c r="G208" s="48"/>
      <c r="H208" s="57">
        <f>VLOOKUP(F208,$A$18:$B$18,2,TRUE)</f>
        <v>5000</v>
      </c>
      <c r="I208" s="50">
        <f t="shared" si="1"/>
        <v>0</v>
      </c>
      <c r="J208" s="52"/>
      <c r="K208" s="25"/>
      <c r="L208" s="25"/>
      <c r="M208" s="25"/>
      <c r="N208" s="25"/>
    </row>
    <row r="209" ht="15.75" customHeight="1">
      <c r="A209" s="44"/>
      <c r="B209" s="44"/>
      <c r="C209" s="44"/>
      <c r="D209" s="52"/>
      <c r="E209" s="52"/>
      <c r="F209" s="47" t="s">
        <v>37</v>
      </c>
      <c r="G209" s="48"/>
      <c r="H209" s="57">
        <f>VLOOKUP(F209,$A$19:$B$19,2,TRUE)</f>
        <v>2700</v>
      </c>
      <c r="I209" s="50">
        <f t="shared" si="1"/>
        <v>0</v>
      </c>
      <c r="J209" s="52"/>
      <c r="K209" s="25"/>
      <c r="L209" s="25"/>
      <c r="M209" s="25"/>
      <c r="N209" s="25"/>
    </row>
    <row r="210" ht="15.75" customHeight="1">
      <c r="A210" s="44"/>
      <c r="B210" s="44"/>
      <c r="C210" s="44"/>
      <c r="D210" s="52"/>
      <c r="E210" s="52"/>
      <c r="F210" s="47" t="s">
        <v>38</v>
      </c>
      <c r="G210" s="48"/>
      <c r="H210" s="57">
        <f>VLOOKUP(F210,$A$20:$B$20,2,TRUE)</f>
        <v>50000</v>
      </c>
      <c r="I210" s="50">
        <f t="shared" si="1"/>
        <v>0</v>
      </c>
      <c r="J210" s="52"/>
      <c r="K210" s="25"/>
      <c r="L210" s="25"/>
      <c r="M210" s="25"/>
      <c r="N210" s="25"/>
    </row>
    <row r="211" ht="15.75" customHeight="1">
      <c r="A211" s="44"/>
      <c r="B211" s="44"/>
      <c r="C211" s="44"/>
      <c r="D211" s="52"/>
      <c r="E211" s="52"/>
      <c r="F211" s="47" t="s">
        <v>39</v>
      </c>
      <c r="G211" s="48"/>
      <c r="H211" s="57">
        <f>VLOOKUP(F211,$A$21:$B$21,2,TRUE)</f>
        <v>10000</v>
      </c>
      <c r="I211" s="50">
        <f t="shared" si="1"/>
        <v>0</v>
      </c>
      <c r="J211" s="52"/>
      <c r="K211" s="25"/>
      <c r="L211" s="25"/>
      <c r="M211" s="25"/>
      <c r="N211" s="25"/>
    </row>
    <row r="212" ht="15.75" customHeight="1">
      <c r="A212" s="44"/>
      <c r="B212" s="44"/>
      <c r="C212" s="44"/>
      <c r="D212" s="52"/>
      <c r="E212" s="52"/>
      <c r="F212" s="47" t="s">
        <v>40</v>
      </c>
      <c r="G212" s="48"/>
      <c r="H212" s="57">
        <f>VLOOKUP(F212,$A$22:$B$22,2,TRUE)</f>
        <v>1000</v>
      </c>
      <c r="I212" s="50">
        <f t="shared" si="1"/>
        <v>0</v>
      </c>
      <c r="J212" s="52"/>
      <c r="K212" s="25"/>
      <c r="L212" s="25"/>
      <c r="M212" s="25"/>
      <c r="N212" s="25"/>
    </row>
    <row r="213" ht="15.75" customHeight="1">
      <c r="A213" s="44"/>
      <c r="B213" s="44"/>
      <c r="C213" s="44"/>
      <c r="D213" s="52"/>
      <c r="E213" s="52"/>
      <c r="F213" s="47" t="s">
        <v>41</v>
      </c>
      <c r="G213" s="48">
        <v>4.0</v>
      </c>
      <c r="H213" s="57">
        <f>VLOOKUP(F213,$A$23:$B$23,2,TRUE)</f>
        <v>500</v>
      </c>
      <c r="I213" s="50">
        <f t="shared" si="1"/>
        <v>2000</v>
      </c>
      <c r="J213" s="52"/>
      <c r="K213" s="25"/>
      <c r="L213" s="25"/>
      <c r="M213" s="25"/>
      <c r="N213" s="25"/>
    </row>
    <row r="214" ht="15.75" customHeight="1">
      <c r="A214" s="44"/>
      <c r="B214" s="44"/>
      <c r="C214" s="44"/>
      <c r="D214" s="52"/>
      <c r="E214" s="52"/>
      <c r="F214" s="47" t="s">
        <v>42</v>
      </c>
      <c r="G214" s="48"/>
      <c r="H214" s="57">
        <f>VLOOKUP(F214,$A$24:$B$24,2,TRUE)</f>
        <v>200</v>
      </c>
      <c r="I214" s="50">
        <f t="shared" si="1"/>
        <v>0</v>
      </c>
      <c r="J214" s="52"/>
      <c r="K214" s="25"/>
      <c r="L214" s="25"/>
      <c r="M214" s="25"/>
      <c r="N214" s="25"/>
    </row>
    <row r="215" ht="15.75" customHeight="1">
      <c r="A215" s="44"/>
      <c r="B215" s="44"/>
      <c r="C215" s="44"/>
      <c r="D215" s="52"/>
      <c r="E215" s="52"/>
      <c r="F215" s="47" t="s">
        <v>43</v>
      </c>
      <c r="G215" s="48"/>
      <c r="H215" s="57">
        <f>VLOOKUP(F215,$A$25:$B$25,2,TRUE)</f>
        <v>1000</v>
      </c>
      <c r="I215" s="50">
        <f t="shared" si="1"/>
        <v>0</v>
      </c>
      <c r="J215" s="52"/>
      <c r="K215" s="25"/>
      <c r="L215" s="25"/>
      <c r="M215" s="25"/>
      <c r="N215" s="25"/>
    </row>
    <row r="216" ht="15.75" customHeight="1">
      <c r="A216" s="44"/>
      <c r="B216" s="44"/>
      <c r="C216" s="44"/>
      <c r="D216" s="52"/>
      <c r="E216" s="52"/>
      <c r="F216" s="47" t="s">
        <v>18</v>
      </c>
      <c r="G216" s="48"/>
      <c r="H216" s="57">
        <f>VLOOKUP(F216,$A$26:$B$26,2,TRUE)</f>
        <v>300</v>
      </c>
      <c r="I216" s="50">
        <f t="shared" si="1"/>
        <v>0</v>
      </c>
      <c r="J216" s="52"/>
      <c r="K216" s="25"/>
      <c r="L216" s="25"/>
      <c r="M216" s="25"/>
      <c r="N216" s="25"/>
    </row>
    <row r="217" ht="15.75" customHeight="1">
      <c r="A217" s="44"/>
      <c r="B217" s="44"/>
      <c r="C217" s="44"/>
      <c r="D217" s="52"/>
      <c r="E217" s="52"/>
      <c r="F217" s="47" t="s">
        <v>44</v>
      </c>
      <c r="G217" s="48"/>
      <c r="H217" s="57">
        <f>VLOOKUP(F217,$A$27:$B$27,2,TRUE)</f>
        <v>100</v>
      </c>
      <c r="I217" s="50">
        <f t="shared" si="1"/>
        <v>0</v>
      </c>
      <c r="J217" s="52"/>
      <c r="K217" s="25"/>
      <c r="L217" s="25"/>
      <c r="M217" s="25"/>
      <c r="N217" s="25"/>
    </row>
    <row r="218" ht="15.75" customHeight="1">
      <c r="A218" s="44"/>
      <c r="B218" s="44"/>
      <c r="C218" s="44"/>
      <c r="D218" s="52"/>
      <c r="E218" s="52"/>
      <c r="F218" s="47" t="s">
        <v>13</v>
      </c>
      <c r="G218" s="48"/>
      <c r="H218" s="57">
        <f>VLOOKUP(F218,$A$28:$B$28,2,TRUE)</f>
        <v>1500</v>
      </c>
      <c r="I218" s="50">
        <f t="shared" si="1"/>
        <v>0</v>
      </c>
      <c r="J218" s="52"/>
      <c r="K218" s="25"/>
      <c r="L218" s="25"/>
      <c r="M218" s="25"/>
      <c r="N218" s="25"/>
    </row>
    <row r="219" ht="15.75" customHeight="1">
      <c r="A219" s="44"/>
      <c r="B219" s="44"/>
      <c r="C219" s="44"/>
      <c r="D219" s="52"/>
      <c r="E219" s="52"/>
      <c r="F219" s="47" t="s">
        <v>20</v>
      </c>
      <c r="G219" s="48">
        <v>3.0</v>
      </c>
      <c r="H219" s="57">
        <f>VLOOKUP(F219,$A$29:$B$29,2,TRUE)</f>
        <v>3500</v>
      </c>
      <c r="I219" s="50">
        <f t="shared" si="1"/>
        <v>10500</v>
      </c>
      <c r="J219" s="52"/>
      <c r="K219" s="25"/>
      <c r="L219" s="25"/>
      <c r="M219" s="25"/>
      <c r="N219" s="25"/>
    </row>
    <row r="220" ht="15.75" customHeight="1">
      <c r="A220" s="44"/>
      <c r="B220" s="44"/>
      <c r="C220" s="44"/>
      <c r="D220" s="13"/>
      <c r="E220" s="13"/>
      <c r="F220" s="47" t="s">
        <v>60</v>
      </c>
      <c r="G220" s="48">
        <v>5.0</v>
      </c>
      <c r="H220" s="68"/>
      <c r="I220" s="50">
        <f t="shared" si="1"/>
        <v>0</v>
      </c>
      <c r="J220" s="13"/>
      <c r="K220" s="25"/>
      <c r="L220" s="25"/>
      <c r="M220" s="25"/>
      <c r="N220" s="25"/>
    </row>
    <row r="221" ht="15.75" customHeight="1">
      <c r="A221" s="44"/>
      <c r="B221" s="44"/>
      <c r="C221" s="44"/>
      <c r="D221" s="60" t="s">
        <v>68</v>
      </c>
      <c r="E221" s="61"/>
      <c r="F221" s="61"/>
      <c r="G221" s="61"/>
      <c r="H221" s="61"/>
      <c r="I221" s="62"/>
      <c r="J221" s="63">
        <f>SUM(J5:J220)</f>
        <v>195700</v>
      </c>
      <c r="K221" s="25"/>
      <c r="L221" s="25"/>
      <c r="M221" s="25"/>
      <c r="N221" s="25"/>
    </row>
    <row r="222" ht="15.75" customHeight="1">
      <c r="A222" s="24"/>
      <c r="B222" s="24"/>
      <c r="C222" s="24"/>
      <c r="D222" s="24"/>
      <c r="E222" s="24"/>
      <c r="F222" s="25"/>
      <c r="G222" s="25"/>
      <c r="H222" s="25"/>
      <c r="I222" s="25"/>
      <c r="J222" s="26"/>
      <c r="K222" s="25"/>
      <c r="L222" s="25"/>
      <c r="M222" s="25"/>
      <c r="N222" s="25"/>
    </row>
    <row r="223" ht="15.75" customHeight="1">
      <c r="A223" s="24"/>
      <c r="B223" s="24"/>
      <c r="C223" s="24"/>
      <c r="D223" s="24"/>
      <c r="E223" s="24"/>
      <c r="F223" s="25"/>
      <c r="G223" s="25"/>
      <c r="H223" s="25"/>
      <c r="I223" s="25"/>
      <c r="J223" s="26"/>
      <c r="K223" s="25"/>
      <c r="L223" s="25"/>
      <c r="M223" s="25"/>
      <c r="N223" s="25"/>
    </row>
    <row r="224" ht="15.75" customHeight="1">
      <c r="A224" s="24"/>
      <c r="B224" s="24"/>
      <c r="C224" s="24"/>
      <c r="D224" s="24"/>
      <c r="E224" s="24"/>
      <c r="F224" s="25"/>
      <c r="G224" s="25"/>
      <c r="H224" s="25"/>
      <c r="I224" s="25"/>
      <c r="J224" s="26"/>
      <c r="K224" s="25"/>
      <c r="L224" s="25"/>
      <c r="M224" s="25"/>
      <c r="N224" s="25"/>
    </row>
    <row r="225" ht="15.75" customHeight="1">
      <c r="A225" s="24"/>
      <c r="B225" s="24"/>
      <c r="C225" s="24"/>
      <c r="D225" s="24"/>
      <c r="E225" s="24"/>
      <c r="F225" s="25"/>
      <c r="G225" s="25"/>
      <c r="H225" s="25"/>
      <c r="I225" s="25"/>
      <c r="J225" s="26"/>
      <c r="K225" s="25"/>
      <c r="L225" s="25"/>
      <c r="M225" s="25"/>
      <c r="N225" s="25"/>
    </row>
    <row r="226" ht="15.75" customHeight="1">
      <c r="A226" s="24"/>
      <c r="B226" s="24"/>
      <c r="C226" s="24"/>
      <c r="D226" s="24"/>
      <c r="E226" s="24"/>
      <c r="F226" s="25"/>
      <c r="G226" s="25"/>
      <c r="H226" s="25"/>
      <c r="I226" s="25"/>
      <c r="J226" s="26"/>
      <c r="K226" s="25"/>
      <c r="L226" s="25"/>
      <c r="M226" s="25"/>
      <c r="N226" s="25"/>
    </row>
    <row r="227" ht="15.75" customHeight="1">
      <c r="A227" s="24"/>
      <c r="B227" s="24"/>
      <c r="C227" s="24"/>
      <c r="D227" s="24"/>
      <c r="E227" s="24"/>
      <c r="F227" s="25"/>
      <c r="G227" s="25"/>
      <c r="H227" s="25"/>
      <c r="I227" s="25"/>
      <c r="J227" s="26"/>
      <c r="K227" s="25"/>
      <c r="L227" s="25"/>
      <c r="M227" s="25"/>
      <c r="N227" s="25"/>
    </row>
    <row r="228" ht="15.75" customHeight="1">
      <c r="A228" s="24"/>
      <c r="B228" s="24"/>
      <c r="C228" s="24"/>
      <c r="D228" s="24"/>
      <c r="E228" s="24"/>
      <c r="F228" s="25"/>
      <c r="G228" s="25"/>
      <c r="H228" s="25"/>
      <c r="I228" s="25"/>
      <c r="J228" s="26"/>
      <c r="K228" s="25"/>
      <c r="L228" s="25"/>
      <c r="M228" s="25"/>
      <c r="N228" s="25"/>
    </row>
    <row r="229" ht="15.75" customHeight="1">
      <c r="A229" s="24"/>
      <c r="B229" s="24"/>
      <c r="C229" s="24"/>
      <c r="D229" s="24"/>
      <c r="E229" s="24"/>
      <c r="F229" s="25"/>
      <c r="G229" s="25"/>
      <c r="H229" s="25"/>
      <c r="I229" s="25"/>
      <c r="J229" s="26"/>
      <c r="K229" s="25"/>
      <c r="L229" s="25"/>
      <c r="M229" s="25"/>
      <c r="N229" s="25"/>
    </row>
    <row r="230" ht="15.75" customHeight="1">
      <c r="A230" s="24"/>
      <c r="B230" s="24"/>
      <c r="C230" s="24"/>
      <c r="D230" s="24"/>
      <c r="E230" s="24"/>
      <c r="J230" s="26"/>
    </row>
    <row r="231" ht="15.75" customHeight="1">
      <c r="A231" s="24"/>
      <c r="B231" s="24"/>
      <c r="C231" s="24"/>
      <c r="D231" s="24"/>
      <c r="E231" s="24"/>
      <c r="J231" s="26"/>
    </row>
    <row r="232" ht="15.75" customHeight="1">
      <c r="A232" s="24"/>
      <c r="B232" s="24"/>
      <c r="C232" s="24"/>
      <c r="D232" s="24"/>
      <c r="E232" s="24"/>
      <c r="J232" s="26"/>
    </row>
    <row r="233" ht="15.75" customHeight="1">
      <c r="A233" s="24"/>
      <c r="B233" s="24"/>
      <c r="C233" s="24"/>
      <c r="D233" s="24"/>
      <c r="E233" s="24"/>
      <c r="J233" s="26"/>
    </row>
    <row r="234" ht="15.75" customHeight="1">
      <c r="A234" s="24"/>
      <c r="B234" s="24"/>
      <c r="C234" s="24"/>
      <c r="D234" s="24"/>
      <c r="E234" s="24"/>
      <c r="J234" s="26"/>
    </row>
    <row r="235" ht="15.75" customHeight="1">
      <c r="A235" s="24"/>
      <c r="B235" s="24"/>
      <c r="C235" s="24"/>
      <c r="D235" s="24"/>
      <c r="E235" s="24"/>
      <c r="J235" s="26"/>
    </row>
    <row r="236" ht="15.75" customHeight="1">
      <c r="A236" s="24"/>
      <c r="B236" s="24"/>
      <c r="C236" s="24"/>
      <c r="D236" s="24"/>
      <c r="E236" s="24"/>
      <c r="J236" s="26"/>
    </row>
    <row r="237" ht="15.75" customHeight="1">
      <c r="A237" s="24"/>
      <c r="B237" s="24"/>
      <c r="C237" s="24"/>
      <c r="D237" s="24"/>
      <c r="E237" s="24"/>
      <c r="J237" s="26"/>
    </row>
    <row r="238" ht="15.75" customHeight="1">
      <c r="A238" s="24"/>
      <c r="B238" s="24"/>
      <c r="C238" s="24"/>
      <c r="D238" s="24"/>
      <c r="E238" s="24"/>
      <c r="J238" s="26"/>
    </row>
    <row r="239" ht="15.75" customHeight="1">
      <c r="A239" s="24"/>
      <c r="B239" s="24"/>
      <c r="C239" s="24"/>
      <c r="D239" s="24"/>
      <c r="E239" s="24"/>
      <c r="J239" s="26"/>
    </row>
    <row r="240" ht="15.75" customHeight="1">
      <c r="A240" s="24"/>
      <c r="B240" s="24"/>
      <c r="C240" s="24"/>
      <c r="D240" s="24"/>
      <c r="E240" s="24"/>
      <c r="J240" s="26"/>
    </row>
    <row r="241" ht="15.75" customHeight="1">
      <c r="A241" s="24"/>
      <c r="B241" s="24"/>
      <c r="C241" s="24"/>
      <c r="D241" s="24"/>
      <c r="E241" s="24"/>
      <c r="J241" s="26"/>
    </row>
    <row r="242" ht="15.75" customHeight="1">
      <c r="A242" s="24"/>
      <c r="B242" s="24"/>
      <c r="C242" s="24"/>
      <c r="D242" s="24"/>
      <c r="E242" s="24"/>
      <c r="J242" s="26"/>
    </row>
    <row r="243" ht="15.75" customHeight="1">
      <c r="A243" s="24"/>
      <c r="B243" s="24"/>
      <c r="C243" s="24"/>
      <c r="D243" s="24"/>
      <c r="E243" s="24"/>
      <c r="J243" s="26"/>
    </row>
    <row r="244" ht="15.75" customHeight="1">
      <c r="A244" s="24"/>
      <c r="B244" s="24"/>
      <c r="C244" s="24"/>
      <c r="D244" s="24"/>
      <c r="E244" s="24"/>
      <c r="J244" s="26"/>
    </row>
    <row r="245" ht="15.75" customHeight="1">
      <c r="A245" s="24"/>
      <c r="B245" s="24"/>
      <c r="C245" s="24"/>
      <c r="D245" s="24"/>
      <c r="E245" s="24"/>
      <c r="J245" s="26"/>
    </row>
    <row r="246" ht="15.75" customHeight="1">
      <c r="A246" s="24"/>
      <c r="B246" s="24"/>
      <c r="C246" s="24"/>
      <c r="D246" s="24"/>
      <c r="E246" s="24"/>
      <c r="J246" s="26"/>
    </row>
    <row r="247" ht="15.75" customHeight="1">
      <c r="A247" s="24"/>
      <c r="B247" s="24"/>
      <c r="C247" s="24"/>
      <c r="D247" s="24"/>
      <c r="E247" s="24"/>
      <c r="J247" s="26"/>
    </row>
    <row r="248" ht="15.75" customHeight="1">
      <c r="A248" s="24"/>
      <c r="B248" s="24"/>
      <c r="C248" s="24"/>
      <c r="D248" s="24"/>
      <c r="E248" s="24"/>
      <c r="J248" s="26"/>
    </row>
    <row r="249" ht="15.75" customHeight="1">
      <c r="A249" s="24"/>
      <c r="B249" s="24"/>
      <c r="C249" s="24"/>
      <c r="D249" s="24"/>
      <c r="E249" s="24"/>
      <c r="J249" s="26"/>
    </row>
    <row r="250" ht="15.75" customHeight="1">
      <c r="A250" s="24"/>
      <c r="B250" s="24"/>
      <c r="C250" s="24"/>
      <c r="D250" s="24"/>
      <c r="E250" s="24"/>
      <c r="J250" s="26"/>
    </row>
    <row r="251" ht="15.75" customHeight="1">
      <c r="A251" s="24"/>
      <c r="B251" s="24"/>
      <c r="C251" s="24"/>
      <c r="D251" s="24"/>
      <c r="E251" s="24"/>
      <c r="J251" s="26"/>
    </row>
    <row r="252" ht="15.75" customHeight="1">
      <c r="A252" s="24"/>
      <c r="B252" s="24"/>
      <c r="C252" s="24"/>
      <c r="D252" s="24"/>
      <c r="E252" s="24"/>
      <c r="J252" s="26"/>
    </row>
    <row r="253" ht="15.75" customHeight="1">
      <c r="A253" s="24"/>
      <c r="B253" s="24"/>
      <c r="C253" s="24"/>
      <c r="D253" s="24"/>
      <c r="E253" s="24"/>
      <c r="J253" s="26"/>
    </row>
    <row r="254" ht="15.75" customHeight="1">
      <c r="A254" s="24"/>
      <c r="B254" s="24"/>
      <c r="C254" s="24"/>
      <c r="D254" s="24"/>
      <c r="E254" s="24"/>
      <c r="J254" s="26"/>
    </row>
    <row r="255" ht="15.75" customHeight="1">
      <c r="A255" s="24"/>
      <c r="B255" s="24"/>
      <c r="C255" s="24"/>
      <c r="D255" s="24"/>
      <c r="E255" s="24"/>
      <c r="J255" s="26"/>
    </row>
    <row r="256" ht="15.75" customHeight="1">
      <c r="A256" s="24"/>
      <c r="B256" s="24"/>
      <c r="C256" s="24"/>
      <c r="D256" s="24"/>
      <c r="E256" s="24"/>
      <c r="J256" s="26"/>
    </row>
    <row r="257" ht="15.75" customHeight="1">
      <c r="A257" s="24"/>
      <c r="B257" s="24"/>
      <c r="C257" s="24"/>
      <c r="D257" s="24"/>
      <c r="E257" s="24"/>
      <c r="J257" s="26"/>
    </row>
    <row r="258" ht="15.75" customHeight="1">
      <c r="A258" s="24"/>
      <c r="B258" s="24"/>
      <c r="C258" s="24"/>
      <c r="D258" s="24"/>
      <c r="E258" s="24"/>
      <c r="J258" s="26"/>
    </row>
    <row r="259" ht="15.75" customHeight="1">
      <c r="A259" s="24"/>
      <c r="B259" s="24"/>
      <c r="C259" s="24"/>
      <c r="D259" s="24"/>
      <c r="E259" s="24"/>
      <c r="J259" s="26"/>
    </row>
    <row r="260" ht="15.75" customHeight="1">
      <c r="A260" s="24"/>
      <c r="B260" s="24"/>
      <c r="C260" s="24"/>
      <c r="D260" s="24"/>
      <c r="E260" s="24"/>
      <c r="J260" s="26"/>
    </row>
    <row r="261" ht="15.75" customHeight="1">
      <c r="A261" s="24"/>
      <c r="B261" s="24"/>
      <c r="C261" s="24"/>
      <c r="D261" s="24"/>
      <c r="E261" s="24"/>
      <c r="J261" s="26"/>
    </row>
    <row r="262" ht="15.75" customHeight="1">
      <c r="A262" s="24"/>
      <c r="B262" s="24"/>
      <c r="C262" s="24"/>
      <c r="D262" s="24"/>
      <c r="E262" s="24"/>
      <c r="J262" s="26"/>
    </row>
    <row r="263" ht="15.75" customHeight="1">
      <c r="A263" s="24"/>
      <c r="B263" s="24"/>
      <c r="C263" s="24"/>
      <c r="D263" s="24"/>
      <c r="E263" s="24"/>
      <c r="J263" s="26"/>
    </row>
    <row r="264" ht="15.75" customHeight="1">
      <c r="A264" s="24"/>
      <c r="B264" s="24"/>
      <c r="C264" s="24"/>
      <c r="D264" s="24"/>
      <c r="E264" s="24"/>
      <c r="J264" s="26"/>
    </row>
    <row r="265" ht="15.75" customHeight="1">
      <c r="A265" s="24"/>
      <c r="B265" s="24"/>
      <c r="C265" s="24"/>
      <c r="D265" s="24"/>
      <c r="E265" s="24"/>
      <c r="J265" s="26"/>
    </row>
    <row r="266" ht="15.75" customHeight="1">
      <c r="A266" s="24"/>
      <c r="B266" s="24"/>
      <c r="C266" s="24"/>
      <c r="D266" s="24"/>
      <c r="E266" s="24"/>
      <c r="J266" s="26"/>
    </row>
    <row r="267" ht="15.75" customHeight="1">
      <c r="A267" s="24"/>
      <c r="B267" s="24"/>
      <c r="C267" s="24"/>
      <c r="D267" s="24"/>
      <c r="E267" s="24"/>
      <c r="J267" s="26"/>
    </row>
    <row r="268" ht="15.75" customHeight="1">
      <c r="A268" s="24"/>
      <c r="B268" s="24"/>
      <c r="C268" s="24"/>
      <c r="D268" s="24"/>
      <c r="E268" s="24"/>
      <c r="J268" s="26"/>
    </row>
    <row r="269" ht="15.75" customHeight="1">
      <c r="A269" s="24"/>
      <c r="B269" s="24"/>
      <c r="C269" s="24"/>
      <c r="D269" s="24"/>
      <c r="E269" s="24"/>
      <c r="J269" s="26"/>
    </row>
    <row r="270" ht="15.75" customHeight="1">
      <c r="A270" s="24"/>
      <c r="B270" s="24"/>
      <c r="C270" s="24"/>
      <c r="D270" s="24"/>
      <c r="E270" s="24"/>
      <c r="J270" s="26"/>
    </row>
    <row r="271" ht="15.75" customHeight="1">
      <c r="A271" s="24"/>
      <c r="B271" s="24"/>
      <c r="C271" s="24"/>
      <c r="D271" s="24"/>
      <c r="E271" s="24"/>
      <c r="J271" s="26"/>
    </row>
    <row r="272" ht="15.75" customHeight="1">
      <c r="A272" s="24"/>
      <c r="B272" s="24"/>
      <c r="C272" s="24"/>
      <c r="D272" s="24"/>
      <c r="E272" s="24"/>
      <c r="J272" s="26"/>
    </row>
    <row r="273" ht="15.75" customHeight="1">
      <c r="A273" s="24"/>
      <c r="B273" s="24"/>
      <c r="C273" s="24"/>
      <c r="D273" s="24"/>
      <c r="E273" s="24"/>
      <c r="J273" s="26"/>
    </row>
    <row r="274" ht="15.75" customHeight="1">
      <c r="A274" s="24"/>
      <c r="B274" s="24"/>
      <c r="C274" s="24"/>
      <c r="D274" s="24"/>
      <c r="E274" s="24"/>
      <c r="J274" s="26"/>
    </row>
    <row r="275" ht="15.75" customHeight="1">
      <c r="A275" s="24"/>
      <c r="B275" s="24"/>
      <c r="C275" s="24"/>
      <c r="D275" s="24"/>
      <c r="E275" s="24"/>
      <c r="J275" s="26"/>
    </row>
    <row r="276" ht="15.75" customHeight="1">
      <c r="A276" s="24"/>
      <c r="B276" s="24"/>
      <c r="C276" s="24"/>
      <c r="D276" s="24"/>
      <c r="E276" s="24"/>
      <c r="J276" s="26"/>
    </row>
    <row r="277" ht="15.75" customHeight="1">
      <c r="A277" s="24"/>
      <c r="B277" s="24"/>
      <c r="C277" s="24"/>
      <c r="D277" s="24"/>
      <c r="E277" s="24"/>
      <c r="J277" s="26"/>
    </row>
    <row r="278" ht="15.75" customHeight="1">
      <c r="A278" s="24"/>
      <c r="B278" s="24"/>
      <c r="C278" s="24"/>
      <c r="D278" s="24"/>
      <c r="E278" s="24"/>
      <c r="J278" s="26"/>
    </row>
    <row r="279" ht="15.75" customHeight="1">
      <c r="A279" s="24"/>
      <c r="B279" s="24"/>
      <c r="C279" s="24"/>
      <c r="D279" s="24"/>
      <c r="E279" s="24"/>
      <c r="J279" s="26"/>
    </row>
    <row r="280" ht="15.75" customHeight="1">
      <c r="A280" s="24"/>
      <c r="B280" s="24"/>
      <c r="C280" s="24"/>
      <c r="D280" s="24"/>
      <c r="E280" s="24"/>
      <c r="J280" s="26"/>
    </row>
    <row r="281" ht="15.75" customHeight="1">
      <c r="A281" s="24"/>
      <c r="B281" s="24"/>
      <c r="C281" s="24"/>
      <c r="D281" s="24"/>
      <c r="E281" s="24"/>
      <c r="J281" s="26"/>
    </row>
    <row r="282" ht="15.75" customHeight="1">
      <c r="A282" s="24"/>
      <c r="B282" s="24"/>
      <c r="C282" s="24"/>
      <c r="D282" s="24"/>
      <c r="E282" s="24"/>
      <c r="J282" s="26"/>
    </row>
    <row r="283" ht="15.75" customHeight="1">
      <c r="A283" s="24"/>
      <c r="B283" s="24"/>
      <c r="C283" s="24"/>
      <c r="D283" s="24"/>
      <c r="E283" s="24"/>
      <c r="J283" s="26"/>
    </row>
    <row r="284" ht="15.75" customHeight="1">
      <c r="A284" s="24"/>
      <c r="B284" s="24"/>
      <c r="C284" s="24"/>
      <c r="D284" s="24"/>
      <c r="E284" s="24"/>
      <c r="J284" s="26"/>
    </row>
    <row r="285" ht="15.75" customHeight="1">
      <c r="A285" s="24"/>
      <c r="B285" s="24"/>
      <c r="C285" s="24"/>
      <c r="D285" s="24"/>
      <c r="E285" s="24"/>
      <c r="J285" s="26"/>
    </row>
    <row r="286" ht="15.75" customHeight="1">
      <c r="A286" s="24"/>
      <c r="B286" s="24"/>
      <c r="C286" s="24"/>
      <c r="D286" s="24"/>
      <c r="E286" s="24"/>
      <c r="J286" s="26"/>
    </row>
    <row r="287" ht="15.75" customHeight="1">
      <c r="A287" s="24"/>
      <c r="B287" s="24"/>
      <c r="C287" s="24"/>
      <c r="D287" s="24"/>
      <c r="E287" s="24"/>
      <c r="J287" s="26"/>
    </row>
    <row r="288" ht="15.75" customHeight="1">
      <c r="A288" s="24"/>
      <c r="B288" s="24"/>
      <c r="C288" s="24"/>
      <c r="D288" s="24"/>
      <c r="E288" s="24"/>
      <c r="J288" s="26"/>
    </row>
    <row r="289" ht="15.75" customHeight="1">
      <c r="A289" s="24"/>
      <c r="B289" s="24"/>
      <c r="C289" s="24"/>
      <c r="D289" s="24"/>
      <c r="E289" s="24"/>
      <c r="J289" s="26"/>
    </row>
    <row r="290" ht="15.75" customHeight="1">
      <c r="A290" s="24"/>
      <c r="B290" s="24"/>
      <c r="C290" s="24"/>
      <c r="D290" s="24"/>
      <c r="E290" s="24"/>
      <c r="J290" s="26"/>
    </row>
    <row r="291" ht="15.75" customHeight="1">
      <c r="A291" s="24"/>
      <c r="B291" s="24"/>
      <c r="C291" s="24"/>
      <c r="D291" s="24"/>
      <c r="E291" s="24"/>
      <c r="J291" s="26"/>
    </row>
    <row r="292" ht="15.75" customHeight="1">
      <c r="A292" s="24"/>
      <c r="B292" s="24"/>
      <c r="C292" s="24"/>
      <c r="D292" s="24"/>
      <c r="E292" s="24"/>
      <c r="J292" s="26"/>
    </row>
    <row r="293" ht="15.75" customHeight="1">
      <c r="A293" s="24"/>
      <c r="B293" s="24"/>
      <c r="C293" s="24"/>
      <c r="D293" s="24"/>
      <c r="E293" s="24"/>
      <c r="J293" s="26"/>
    </row>
    <row r="294" ht="15.75" customHeight="1">
      <c r="A294" s="24"/>
      <c r="B294" s="24"/>
      <c r="C294" s="24"/>
      <c r="D294" s="24"/>
      <c r="E294" s="24"/>
      <c r="J294" s="26"/>
    </row>
    <row r="295" ht="15.75" customHeight="1">
      <c r="A295" s="24"/>
      <c r="B295" s="24"/>
      <c r="C295" s="24"/>
      <c r="D295" s="24"/>
      <c r="E295" s="24"/>
      <c r="J295" s="26"/>
    </row>
    <row r="296" ht="15.75" customHeight="1">
      <c r="A296" s="24"/>
      <c r="B296" s="24"/>
      <c r="C296" s="24"/>
      <c r="D296" s="24"/>
      <c r="E296" s="24"/>
      <c r="J296" s="26"/>
    </row>
    <row r="297" ht="15.75" customHeight="1">
      <c r="A297" s="24"/>
      <c r="B297" s="24"/>
      <c r="C297" s="24"/>
      <c r="D297" s="24"/>
      <c r="E297" s="24"/>
      <c r="J297" s="26"/>
    </row>
    <row r="298" ht="15.75" customHeight="1">
      <c r="A298" s="24"/>
      <c r="B298" s="24"/>
      <c r="C298" s="24"/>
      <c r="D298" s="24"/>
      <c r="E298" s="24"/>
      <c r="J298" s="26"/>
    </row>
    <row r="299" ht="15.75" customHeight="1">
      <c r="A299" s="24"/>
      <c r="B299" s="24"/>
      <c r="C299" s="24"/>
      <c r="D299" s="24"/>
      <c r="E299" s="24"/>
      <c r="J299" s="26"/>
    </row>
    <row r="300" ht="15.75" customHeight="1">
      <c r="A300" s="24"/>
      <c r="B300" s="24"/>
      <c r="C300" s="24"/>
      <c r="D300" s="24"/>
      <c r="E300" s="24"/>
      <c r="J300" s="26"/>
    </row>
    <row r="301" ht="15.75" customHeight="1">
      <c r="A301" s="24"/>
      <c r="B301" s="24"/>
      <c r="C301" s="24"/>
      <c r="D301" s="24"/>
      <c r="E301" s="24"/>
      <c r="J301" s="26"/>
    </row>
    <row r="302" ht="15.75" customHeight="1">
      <c r="A302" s="24"/>
      <c r="B302" s="24"/>
      <c r="C302" s="24"/>
      <c r="D302" s="24"/>
      <c r="E302" s="24"/>
      <c r="J302" s="26"/>
    </row>
    <row r="303" ht="15.75" customHeight="1">
      <c r="A303" s="24"/>
      <c r="B303" s="24"/>
      <c r="C303" s="24"/>
      <c r="D303" s="24"/>
      <c r="E303" s="24"/>
      <c r="J303" s="26"/>
    </row>
    <row r="304" ht="15.75" customHeight="1">
      <c r="A304" s="24"/>
      <c r="B304" s="24"/>
      <c r="C304" s="24"/>
      <c r="D304" s="24"/>
      <c r="E304" s="24"/>
      <c r="J304" s="26"/>
    </row>
    <row r="305" ht="15.75" customHeight="1">
      <c r="A305" s="24"/>
      <c r="B305" s="24"/>
      <c r="C305" s="24"/>
      <c r="D305" s="24"/>
      <c r="E305" s="24"/>
      <c r="J305" s="26"/>
    </row>
    <row r="306" ht="15.75" customHeight="1">
      <c r="A306" s="24"/>
      <c r="B306" s="24"/>
      <c r="C306" s="24"/>
      <c r="D306" s="24"/>
      <c r="E306" s="24"/>
      <c r="J306" s="26"/>
    </row>
    <row r="307" ht="15.75" customHeight="1">
      <c r="A307" s="24"/>
      <c r="B307" s="24"/>
      <c r="C307" s="24"/>
      <c r="D307" s="24"/>
      <c r="E307" s="24"/>
      <c r="J307" s="26"/>
    </row>
    <row r="308" ht="15.75" customHeight="1">
      <c r="A308" s="24"/>
      <c r="B308" s="24"/>
      <c r="C308" s="24"/>
      <c r="D308" s="24"/>
      <c r="E308" s="24"/>
      <c r="J308" s="26"/>
    </row>
    <row r="309" ht="15.75" customHeight="1">
      <c r="A309" s="24"/>
      <c r="B309" s="24"/>
      <c r="C309" s="24"/>
      <c r="D309" s="24"/>
      <c r="E309" s="24"/>
      <c r="J309" s="26"/>
    </row>
    <row r="310" ht="15.75" customHeight="1">
      <c r="A310" s="24"/>
      <c r="B310" s="24"/>
      <c r="C310" s="24"/>
      <c r="D310" s="24"/>
      <c r="E310" s="24"/>
      <c r="J310" s="26"/>
    </row>
    <row r="311" ht="15.75" customHeight="1">
      <c r="A311" s="24"/>
      <c r="B311" s="24"/>
      <c r="C311" s="24"/>
      <c r="D311" s="24"/>
      <c r="E311" s="24"/>
      <c r="J311" s="26"/>
    </row>
    <row r="312" ht="15.75" customHeight="1">
      <c r="A312" s="24"/>
      <c r="B312" s="24"/>
      <c r="C312" s="24"/>
      <c r="D312" s="24"/>
      <c r="E312" s="24"/>
      <c r="J312" s="26"/>
    </row>
    <row r="313" ht="15.75" customHeight="1">
      <c r="A313" s="24"/>
      <c r="B313" s="24"/>
      <c r="C313" s="24"/>
      <c r="D313" s="24"/>
      <c r="E313" s="24"/>
      <c r="J313" s="26"/>
    </row>
    <row r="314" ht="15.75" customHeight="1">
      <c r="A314" s="24"/>
      <c r="B314" s="24"/>
      <c r="C314" s="24"/>
      <c r="D314" s="24"/>
      <c r="E314" s="24"/>
      <c r="J314" s="26"/>
    </row>
    <row r="315" ht="15.75" customHeight="1">
      <c r="A315" s="24"/>
      <c r="B315" s="24"/>
      <c r="C315" s="24"/>
      <c r="D315" s="24"/>
      <c r="E315" s="24"/>
      <c r="J315" s="26"/>
    </row>
    <row r="316" ht="15.75" customHeight="1">
      <c r="A316" s="24"/>
      <c r="B316" s="24"/>
      <c r="C316" s="24"/>
      <c r="D316" s="24"/>
      <c r="E316" s="24"/>
      <c r="J316" s="26"/>
    </row>
    <row r="317" ht="15.75" customHeight="1">
      <c r="A317" s="24"/>
      <c r="B317" s="24"/>
      <c r="C317" s="24"/>
      <c r="D317" s="24"/>
      <c r="E317" s="24"/>
      <c r="J317" s="26"/>
    </row>
    <row r="318" ht="15.75" customHeight="1">
      <c r="A318" s="24"/>
      <c r="B318" s="24"/>
      <c r="C318" s="24"/>
      <c r="D318" s="24"/>
      <c r="E318" s="24"/>
      <c r="J318" s="26"/>
    </row>
    <row r="319" ht="15.75" customHeight="1">
      <c r="A319" s="24"/>
      <c r="B319" s="24"/>
      <c r="C319" s="24"/>
      <c r="D319" s="24"/>
      <c r="E319" s="24"/>
      <c r="J319" s="26"/>
    </row>
    <row r="320" ht="15.75" customHeight="1">
      <c r="A320" s="24"/>
      <c r="B320" s="24"/>
      <c r="C320" s="24"/>
      <c r="D320" s="24"/>
      <c r="E320" s="24"/>
      <c r="J320" s="26"/>
    </row>
    <row r="321" ht="15.75" customHeight="1">
      <c r="A321" s="24"/>
      <c r="B321" s="24"/>
      <c r="C321" s="24"/>
      <c r="D321" s="24"/>
      <c r="E321" s="24"/>
      <c r="J321" s="26"/>
    </row>
    <row r="322" ht="15.75" customHeight="1">
      <c r="A322" s="24"/>
      <c r="B322" s="24"/>
      <c r="C322" s="24"/>
      <c r="D322" s="24"/>
      <c r="E322" s="24"/>
      <c r="J322" s="26"/>
    </row>
    <row r="323" ht="15.75" customHeight="1">
      <c r="A323" s="24"/>
      <c r="B323" s="24"/>
      <c r="C323" s="24"/>
      <c r="D323" s="24"/>
      <c r="E323" s="24"/>
      <c r="J323" s="26"/>
    </row>
    <row r="324" ht="15.75" customHeight="1">
      <c r="A324" s="24"/>
      <c r="B324" s="24"/>
      <c r="C324" s="24"/>
      <c r="D324" s="24"/>
      <c r="E324" s="24"/>
      <c r="J324" s="26"/>
    </row>
    <row r="325" ht="15.75" customHeight="1">
      <c r="A325" s="24"/>
      <c r="B325" s="24"/>
      <c r="C325" s="24"/>
      <c r="D325" s="24"/>
      <c r="E325" s="24"/>
      <c r="J325" s="26"/>
    </row>
    <row r="326" ht="15.75" customHeight="1">
      <c r="A326" s="24"/>
      <c r="B326" s="24"/>
      <c r="C326" s="24"/>
      <c r="D326" s="24"/>
      <c r="E326" s="24"/>
      <c r="J326" s="26"/>
    </row>
    <row r="327" ht="15.75" customHeight="1">
      <c r="A327" s="24"/>
      <c r="B327" s="24"/>
      <c r="C327" s="24"/>
      <c r="D327" s="24"/>
      <c r="E327" s="24"/>
      <c r="J327" s="26"/>
    </row>
    <row r="328" ht="15.75" customHeight="1">
      <c r="A328" s="24"/>
      <c r="B328" s="24"/>
      <c r="C328" s="24"/>
      <c r="D328" s="24"/>
      <c r="E328" s="24"/>
      <c r="J328" s="26"/>
    </row>
    <row r="329" ht="15.75" customHeight="1">
      <c r="A329" s="24"/>
      <c r="B329" s="24"/>
      <c r="C329" s="24"/>
      <c r="D329" s="24"/>
      <c r="E329" s="24"/>
      <c r="J329" s="26"/>
    </row>
    <row r="330" ht="15.75" customHeight="1">
      <c r="A330" s="24"/>
      <c r="B330" s="24"/>
      <c r="C330" s="24"/>
      <c r="D330" s="24"/>
      <c r="E330" s="24"/>
      <c r="J330" s="26"/>
    </row>
    <row r="331" ht="15.75" customHeight="1">
      <c r="A331" s="24"/>
      <c r="B331" s="24"/>
      <c r="C331" s="24"/>
      <c r="D331" s="24"/>
      <c r="E331" s="24"/>
      <c r="J331" s="26"/>
    </row>
    <row r="332" ht="15.75" customHeight="1">
      <c r="A332" s="24"/>
      <c r="B332" s="24"/>
      <c r="C332" s="24"/>
      <c r="D332" s="24"/>
      <c r="E332" s="24"/>
      <c r="J332" s="26"/>
    </row>
    <row r="333" ht="15.75" customHeight="1">
      <c r="A333" s="24"/>
      <c r="B333" s="24"/>
      <c r="C333" s="24"/>
      <c r="D333" s="24"/>
      <c r="E333" s="24"/>
      <c r="J333" s="26"/>
    </row>
    <row r="334" ht="15.75" customHeight="1">
      <c r="A334" s="24"/>
      <c r="B334" s="24"/>
      <c r="C334" s="24"/>
      <c r="D334" s="24"/>
      <c r="E334" s="24"/>
      <c r="J334" s="26"/>
    </row>
    <row r="335" ht="15.75" customHeight="1">
      <c r="A335" s="24"/>
      <c r="B335" s="24"/>
      <c r="C335" s="24"/>
      <c r="D335" s="24"/>
      <c r="E335" s="24"/>
      <c r="J335" s="26"/>
    </row>
    <row r="336" ht="15.75" customHeight="1">
      <c r="A336" s="24"/>
      <c r="B336" s="24"/>
      <c r="C336" s="24"/>
      <c r="D336" s="24"/>
      <c r="E336" s="24"/>
      <c r="J336" s="26"/>
    </row>
    <row r="337" ht="15.75" customHeight="1">
      <c r="A337" s="24"/>
      <c r="B337" s="24"/>
      <c r="C337" s="24"/>
      <c r="D337" s="24"/>
      <c r="E337" s="24"/>
      <c r="J337" s="26"/>
    </row>
    <row r="338" ht="15.75" customHeight="1">
      <c r="A338" s="24"/>
      <c r="B338" s="24"/>
      <c r="C338" s="24"/>
      <c r="D338" s="24"/>
      <c r="E338" s="24"/>
      <c r="J338" s="26"/>
    </row>
    <row r="339" ht="15.75" customHeight="1">
      <c r="A339" s="24"/>
      <c r="B339" s="24"/>
      <c r="C339" s="24"/>
      <c r="D339" s="24"/>
      <c r="E339" s="24"/>
      <c r="J339" s="26"/>
    </row>
    <row r="340" ht="15.75" customHeight="1">
      <c r="A340" s="24"/>
      <c r="B340" s="24"/>
      <c r="C340" s="24"/>
      <c r="D340" s="24"/>
      <c r="E340" s="24"/>
      <c r="J340" s="26"/>
    </row>
    <row r="341" ht="15.75" customHeight="1">
      <c r="A341" s="24"/>
      <c r="B341" s="24"/>
      <c r="C341" s="24"/>
      <c r="D341" s="24"/>
      <c r="E341" s="24"/>
      <c r="J341" s="26"/>
    </row>
    <row r="342" ht="15.75" customHeight="1">
      <c r="A342" s="24"/>
      <c r="B342" s="24"/>
      <c r="C342" s="24"/>
      <c r="D342" s="24"/>
      <c r="E342" s="24"/>
      <c r="J342" s="26"/>
    </row>
    <row r="343" ht="15.75" customHeight="1">
      <c r="A343" s="24"/>
      <c r="B343" s="24"/>
      <c r="C343" s="24"/>
      <c r="D343" s="24"/>
      <c r="E343" s="24"/>
      <c r="J343" s="26"/>
    </row>
    <row r="344" ht="15.75" customHeight="1">
      <c r="A344" s="24"/>
      <c r="B344" s="24"/>
      <c r="C344" s="24"/>
      <c r="D344" s="24"/>
      <c r="E344" s="24"/>
      <c r="J344" s="26"/>
    </row>
    <row r="345" ht="15.75" customHeight="1">
      <c r="A345" s="24"/>
      <c r="B345" s="24"/>
      <c r="C345" s="24"/>
      <c r="D345" s="24"/>
      <c r="E345" s="24"/>
      <c r="J345" s="26"/>
    </row>
    <row r="346" ht="15.75" customHeight="1">
      <c r="A346" s="24"/>
      <c r="B346" s="24"/>
      <c r="C346" s="24"/>
      <c r="D346" s="24"/>
      <c r="E346" s="24"/>
      <c r="J346" s="26"/>
    </row>
    <row r="347" ht="15.75" customHeight="1">
      <c r="A347" s="24"/>
      <c r="B347" s="24"/>
      <c r="C347" s="24"/>
      <c r="D347" s="24"/>
      <c r="E347" s="24"/>
      <c r="J347" s="26"/>
    </row>
    <row r="348" ht="15.75" customHeight="1">
      <c r="A348" s="24"/>
      <c r="B348" s="24"/>
      <c r="C348" s="24"/>
      <c r="D348" s="24"/>
      <c r="E348" s="24"/>
      <c r="J348" s="26"/>
    </row>
    <row r="349" ht="15.75" customHeight="1">
      <c r="A349" s="24"/>
      <c r="B349" s="24"/>
      <c r="C349" s="24"/>
      <c r="D349" s="24"/>
      <c r="E349" s="24"/>
      <c r="J349" s="26"/>
    </row>
    <row r="350" ht="15.75" customHeight="1">
      <c r="A350" s="24"/>
      <c r="B350" s="24"/>
      <c r="C350" s="24"/>
      <c r="D350" s="24"/>
      <c r="E350" s="24"/>
      <c r="J350" s="26"/>
    </row>
    <row r="351" ht="15.75" customHeight="1">
      <c r="A351" s="24"/>
      <c r="B351" s="24"/>
      <c r="C351" s="24"/>
      <c r="D351" s="24"/>
      <c r="E351" s="24"/>
      <c r="J351" s="26"/>
    </row>
    <row r="352" ht="15.75" customHeight="1">
      <c r="A352" s="24"/>
      <c r="B352" s="24"/>
      <c r="C352" s="24"/>
      <c r="D352" s="24"/>
      <c r="E352" s="24"/>
      <c r="J352" s="26"/>
    </row>
    <row r="353" ht="15.75" customHeight="1">
      <c r="A353" s="24"/>
      <c r="B353" s="24"/>
      <c r="C353" s="24"/>
      <c r="D353" s="24"/>
      <c r="E353" s="24"/>
      <c r="J353" s="26"/>
    </row>
    <row r="354" ht="15.75" customHeight="1">
      <c r="A354" s="24"/>
      <c r="B354" s="24"/>
      <c r="C354" s="24"/>
      <c r="D354" s="24"/>
      <c r="E354" s="24"/>
      <c r="J354" s="26"/>
    </row>
    <row r="355" ht="15.75" customHeight="1">
      <c r="A355" s="24"/>
      <c r="B355" s="24"/>
      <c r="C355" s="24"/>
      <c r="D355" s="24"/>
      <c r="E355" s="24"/>
      <c r="J355" s="26"/>
    </row>
    <row r="356" ht="15.75" customHeight="1">
      <c r="A356" s="24"/>
      <c r="B356" s="24"/>
      <c r="C356" s="24"/>
      <c r="D356" s="24"/>
      <c r="E356" s="24"/>
      <c r="J356" s="26"/>
    </row>
    <row r="357" ht="15.75" customHeight="1">
      <c r="A357" s="24"/>
      <c r="B357" s="24"/>
      <c r="C357" s="24"/>
      <c r="D357" s="24"/>
      <c r="E357" s="24"/>
      <c r="J357" s="26"/>
    </row>
    <row r="358" ht="15.75" customHeight="1">
      <c r="A358" s="24"/>
      <c r="B358" s="24"/>
      <c r="C358" s="24"/>
      <c r="D358" s="24"/>
      <c r="E358" s="24"/>
      <c r="J358" s="26"/>
    </row>
    <row r="359" ht="15.75" customHeight="1">
      <c r="A359" s="24"/>
      <c r="B359" s="24"/>
      <c r="C359" s="24"/>
      <c r="D359" s="24"/>
      <c r="E359" s="24"/>
      <c r="J359" s="26"/>
    </row>
    <row r="360" ht="15.75" customHeight="1">
      <c r="A360" s="24"/>
      <c r="B360" s="24"/>
      <c r="C360" s="24"/>
      <c r="D360" s="24"/>
      <c r="E360" s="24"/>
      <c r="J360" s="26"/>
    </row>
    <row r="361" ht="15.75" customHeight="1">
      <c r="A361" s="24"/>
      <c r="B361" s="24"/>
      <c r="C361" s="24"/>
      <c r="D361" s="24"/>
      <c r="E361" s="24"/>
      <c r="J361" s="26"/>
    </row>
    <row r="362" ht="15.75" customHeight="1">
      <c r="A362" s="24"/>
      <c r="B362" s="24"/>
      <c r="C362" s="24"/>
      <c r="D362" s="24"/>
      <c r="E362" s="24"/>
      <c r="J362" s="26"/>
    </row>
    <row r="363" ht="15.75" customHeight="1">
      <c r="A363" s="24"/>
      <c r="B363" s="24"/>
      <c r="C363" s="24"/>
      <c r="D363" s="24"/>
      <c r="E363" s="24"/>
      <c r="J363" s="26"/>
    </row>
    <row r="364" ht="15.75" customHeight="1">
      <c r="A364" s="24"/>
      <c r="B364" s="24"/>
      <c r="C364" s="24"/>
      <c r="D364" s="24"/>
      <c r="E364" s="24"/>
      <c r="J364" s="26"/>
    </row>
    <row r="365" ht="15.75" customHeight="1">
      <c r="A365" s="24"/>
      <c r="B365" s="24"/>
      <c r="C365" s="24"/>
      <c r="D365" s="24"/>
      <c r="E365" s="24"/>
      <c r="J365" s="26"/>
    </row>
    <row r="366" ht="15.75" customHeight="1">
      <c r="A366" s="24"/>
      <c r="B366" s="24"/>
      <c r="C366" s="24"/>
      <c r="D366" s="24"/>
      <c r="E366" s="24"/>
      <c r="J366" s="26"/>
    </row>
    <row r="367" ht="15.75" customHeight="1">
      <c r="A367" s="24"/>
      <c r="B367" s="24"/>
      <c r="C367" s="24"/>
      <c r="D367" s="24"/>
      <c r="E367" s="24"/>
      <c r="J367" s="26"/>
    </row>
    <row r="368" ht="15.75" customHeight="1">
      <c r="A368" s="24"/>
      <c r="B368" s="24"/>
      <c r="C368" s="24"/>
      <c r="D368" s="24"/>
      <c r="E368" s="24"/>
      <c r="J368" s="26"/>
    </row>
    <row r="369" ht="15.75" customHeight="1">
      <c r="A369" s="24"/>
      <c r="B369" s="24"/>
      <c r="C369" s="24"/>
      <c r="D369" s="24"/>
      <c r="E369" s="24"/>
      <c r="J369" s="26"/>
    </row>
    <row r="370" ht="15.75" customHeight="1">
      <c r="A370" s="24"/>
      <c r="B370" s="24"/>
      <c r="C370" s="24"/>
      <c r="D370" s="24"/>
      <c r="E370" s="24"/>
      <c r="J370" s="26"/>
    </row>
    <row r="371" ht="15.75" customHeight="1">
      <c r="A371" s="24"/>
      <c r="B371" s="24"/>
      <c r="C371" s="24"/>
      <c r="D371" s="24"/>
      <c r="E371" s="24"/>
      <c r="J371" s="26"/>
    </row>
    <row r="372" ht="15.75" customHeight="1">
      <c r="A372" s="24"/>
      <c r="B372" s="24"/>
      <c r="C372" s="24"/>
      <c r="D372" s="24"/>
      <c r="E372" s="24"/>
      <c r="J372" s="26"/>
    </row>
    <row r="373" ht="15.75" customHeight="1">
      <c r="J373" s="26"/>
    </row>
    <row r="374" ht="15.75" customHeight="1">
      <c r="J374" s="26"/>
    </row>
    <row r="375" ht="15.75" customHeight="1">
      <c r="J375" s="26"/>
    </row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J5:J31"/>
    <mergeCell ref="J32:J58"/>
    <mergeCell ref="J59:J85"/>
    <mergeCell ref="J86:J112"/>
    <mergeCell ref="J113:J139"/>
    <mergeCell ref="J140:J166"/>
    <mergeCell ref="J167:J193"/>
    <mergeCell ref="J194:J220"/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E167:E193"/>
    <mergeCell ref="E194:E220"/>
    <mergeCell ref="D221:I221"/>
    <mergeCell ref="D59:D85"/>
    <mergeCell ref="E59:E85"/>
    <mergeCell ref="D86:D112"/>
    <mergeCell ref="E86:E112"/>
    <mergeCell ref="D113:D139"/>
    <mergeCell ref="E113:E139"/>
    <mergeCell ref="E140:E16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4"/>
      <c r="B1" s="24"/>
      <c r="C1" s="24"/>
      <c r="D1" s="24"/>
      <c r="E1" s="24"/>
      <c r="F1" s="25"/>
      <c r="G1" s="25"/>
      <c r="H1" s="25"/>
      <c r="I1" s="25"/>
      <c r="J1" s="26"/>
      <c r="K1" s="25"/>
      <c r="L1" s="25"/>
      <c r="M1" s="25"/>
      <c r="N1" s="25"/>
    </row>
    <row r="2" ht="15.75" customHeight="1">
      <c r="A2" s="27" t="s">
        <v>45</v>
      </c>
      <c r="B2" s="28"/>
      <c r="C2" s="29"/>
      <c r="D2" s="29" t="s">
        <v>46</v>
      </c>
      <c r="K2" s="25"/>
      <c r="L2" s="30" t="s">
        <v>47</v>
      </c>
      <c r="M2" s="31"/>
      <c r="N2" s="25"/>
    </row>
    <row r="3" ht="15.75" customHeight="1">
      <c r="A3" s="32" t="s">
        <v>48</v>
      </c>
      <c r="B3" s="33" t="s">
        <v>49</v>
      </c>
      <c r="C3" s="24"/>
      <c r="D3" s="24"/>
      <c r="E3" s="24"/>
      <c r="F3" s="25"/>
      <c r="G3" s="25"/>
      <c r="H3" s="25"/>
      <c r="I3" s="25"/>
      <c r="J3" s="34"/>
      <c r="K3" s="25"/>
      <c r="L3" s="35"/>
      <c r="M3" s="7"/>
      <c r="N3" s="25"/>
    </row>
    <row r="4" ht="15.75" customHeight="1">
      <c r="A4" s="36" t="s">
        <v>22</v>
      </c>
      <c r="B4" s="37">
        <v>4500.0</v>
      </c>
      <c r="C4" s="38"/>
      <c r="D4" s="39" t="s">
        <v>1</v>
      </c>
      <c r="E4" s="39" t="s">
        <v>50</v>
      </c>
      <c r="F4" s="40" t="s">
        <v>51</v>
      </c>
      <c r="G4" s="41" t="s">
        <v>52</v>
      </c>
      <c r="H4" s="41" t="s">
        <v>53</v>
      </c>
      <c r="I4" s="41" t="s">
        <v>54</v>
      </c>
      <c r="J4" s="42" t="s">
        <v>55</v>
      </c>
      <c r="K4" s="25"/>
      <c r="L4" s="43" t="s">
        <v>56</v>
      </c>
      <c r="M4" s="43" t="s">
        <v>52</v>
      </c>
      <c r="N4" s="25"/>
    </row>
    <row r="5" ht="15.75" customHeight="1">
      <c r="A5" s="36" t="s">
        <v>57</v>
      </c>
      <c r="B5" s="37">
        <v>3000.0</v>
      </c>
      <c r="C5" s="44"/>
      <c r="D5" s="45">
        <v>1.0</v>
      </c>
      <c r="E5" s="46" t="s">
        <v>123</v>
      </c>
      <c r="F5" s="47" t="s">
        <v>22</v>
      </c>
      <c r="G5" s="48">
        <v>0.5</v>
      </c>
      <c r="H5" s="49">
        <f>VLOOKUP(F5,$A$4:$B$4,2,TRUE)</f>
        <v>4500</v>
      </c>
      <c r="I5" s="50">
        <f t="shared" ref="I5:I301" si="1">G5*H5</f>
        <v>2250</v>
      </c>
      <c r="J5" s="51">
        <f>SUM(I5:I31)</f>
        <v>40550</v>
      </c>
      <c r="K5" s="25"/>
      <c r="L5" s="47" t="s">
        <v>22</v>
      </c>
      <c r="M5" s="43">
        <f>SUMIF(F5:F301,"Gelas bersih",G5:G301)</f>
        <v>2.5</v>
      </c>
      <c r="N5" s="25"/>
    </row>
    <row r="6" ht="15.75" customHeight="1">
      <c r="A6" s="36" t="s">
        <v>59</v>
      </c>
      <c r="B6" s="37">
        <v>1000.0</v>
      </c>
      <c r="C6" s="44"/>
      <c r="D6" s="52"/>
      <c r="E6" s="52"/>
      <c r="F6" s="47" t="s">
        <v>57</v>
      </c>
      <c r="G6" s="48">
        <v>6.0</v>
      </c>
      <c r="H6" s="53">
        <f>VLOOKUP(F6,$A$5:$B$5,2,TRUE)</f>
        <v>3000</v>
      </c>
      <c r="I6" s="50">
        <f t="shared" si="1"/>
        <v>18000</v>
      </c>
      <c r="J6" s="52"/>
      <c r="K6" s="25"/>
      <c r="L6" s="47" t="s">
        <v>57</v>
      </c>
      <c r="M6" s="43">
        <f>SUMIF(F6:F302,"Botol bersih",G6:G302)</f>
        <v>12</v>
      </c>
      <c r="N6" s="25"/>
      <c r="O6" s="54" t="s">
        <v>16</v>
      </c>
    </row>
    <row r="7" ht="15.75" customHeight="1">
      <c r="A7" s="36" t="s">
        <v>25</v>
      </c>
      <c r="B7" s="37">
        <v>2800.0</v>
      </c>
      <c r="C7" s="44"/>
      <c r="D7" s="52"/>
      <c r="E7" s="52"/>
      <c r="F7" s="47" t="s">
        <v>59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59</v>
      </c>
      <c r="M7" s="43">
        <f>SUMIF(F7:F302,"Botol Warna",G7:G302)</f>
        <v>0</v>
      </c>
      <c r="N7" s="25"/>
      <c r="O7" s="55">
        <f>M5+M6+M7+M8+M9+M10+M11+M23+M24</f>
        <v>59</v>
      </c>
    </row>
    <row r="8" ht="15.75" customHeight="1">
      <c r="A8" s="36" t="s">
        <v>26</v>
      </c>
      <c r="B8" s="37">
        <v>3500.0</v>
      </c>
      <c r="C8" s="44"/>
      <c r="D8" s="52"/>
      <c r="E8" s="52"/>
      <c r="F8" s="47" t="s">
        <v>25</v>
      </c>
      <c r="G8" s="48">
        <v>1.0</v>
      </c>
      <c r="H8" s="53">
        <f>VLOOKUP(F8,$A$7:$B$7,2,TRUE)</f>
        <v>2800</v>
      </c>
      <c r="I8" s="50">
        <f t="shared" si="1"/>
        <v>2800</v>
      </c>
      <c r="J8" s="52"/>
      <c r="K8" s="25"/>
      <c r="L8" s="47" t="s">
        <v>25</v>
      </c>
      <c r="M8" s="43">
        <f>SUMIF(F8:F303,"Tutup botol",G8:G303)</f>
        <v>1</v>
      </c>
      <c r="N8" s="25"/>
    </row>
    <row r="9" ht="15.75" customHeight="1">
      <c r="A9" s="36" t="s">
        <v>27</v>
      </c>
      <c r="B9" s="37">
        <v>1000.0</v>
      </c>
      <c r="C9" s="44"/>
      <c r="D9" s="52"/>
      <c r="E9" s="52"/>
      <c r="F9" s="47" t="s">
        <v>26</v>
      </c>
      <c r="G9" s="48">
        <v>1.0</v>
      </c>
      <c r="H9" s="53">
        <f>VLOOKUP(F9,$A$8:$B$8,2,TRUE)</f>
        <v>3500</v>
      </c>
      <c r="I9" s="50">
        <f t="shared" si="1"/>
        <v>3500</v>
      </c>
      <c r="J9" s="52"/>
      <c r="K9" s="25"/>
      <c r="L9" s="47" t="s">
        <v>26</v>
      </c>
      <c r="M9" s="43">
        <f>SUMIF(F9:F304,"Tutup galon",G9:G304)</f>
        <v>1</v>
      </c>
      <c r="N9" s="25"/>
    </row>
    <row r="10" ht="15.75" customHeight="1">
      <c r="A10" s="36" t="s">
        <v>28</v>
      </c>
      <c r="B10" s="37">
        <v>2000.0</v>
      </c>
      <c r="C10" s="44"/>
      <c r="D10" s="52"/>
      <c r="E10" s="52"/>
      <c r="F10" s="47" t="s">
        <v>27</v>
      </c>
      <c r="G10" s="48">
        <v>7.0</v>
      </c>
      <c r="H10" s="53">
        <f>VLOOKUP(F10,$A$9:$B$9,2,TRUE)</f>
        <v>1000</v>
      </c>
      <c r="I10" s="50">
        <f t="shared" si="1"/>
        <v>7000</v>
      </c>
      <c r="J10" s="52"/>
      <c r="K10" s="25"/>
      <c r="L10" s="47" t="s">
        <v>27</v>
      </c>
      <c r="M10" s="43">
        <f>SUMIF(F10:F305,"Hitam",G10:G305)</f>
        <v>28.5</v>
      </c>
      <c r="N10" s="25"/>
    </row>
    <row r="11" ht="15.75" customHeight="1">
      <c r="A11" s="36" t="s">
        <v>29</v>
      </c>
      <c r="B11" s="37">
        <v>1500.0</v>
      </c>
      <c r="C11" s="44"/>
      <c r="D11" s="52"/>
      <c r="E11" s="52"/>
      <c r="F11" s="47" t="s">
        <v>28</v>
      </c>
      <c r="G11" s="48"/>
      <c r="H11" s="53">
        <f>VLOOKUP(F11,$A$10:$B$10,2,TRUE)</f>
        <v>2000</v>
      </c>
      <c r="I11" s="50">
        <f t="shared" si="1"/>
        <v>0</v>
      </c>
      <c r="J11" s="52"/>
      <c r="K11" s="25"/>
      <c r="L11" s="47" t="s">
        <v>28</v>
      </c>
      <c r="M11" s="43">
        <f>SUMIF(F11:F306,"Plastik Campur",G11:G306)</f>
        <v>10</v>
      </c>
      <c r="N11" s="25"/>
    </row>
    <row r="12" ht="15.75" customHeight="1">
      <c r="A12" s="36" t="s">
        <v>30</v>
      </c>
      <c r="B12" s="37">
        <v>1300.0</v>
      </c>
      <c r="C12" s="44"/>
      <c r="D12" s="52"/>
      <c r="E12" s="52"/>
      <c r="F12" s="47" t="s">
        <v>29</v>
      </c>
      <c r="G12" s="48"/>
      <c r="H12" s="53">
        <f>VLOOKUP(F12,$A$11:$B$11,2,TRUE)</f>
        <v>1500</v>
      </c>
      <c r="I12" s="50">
        <f t="shared" si="1"/>
        <v>0</v>
      </c>
      <c r="J12" s="52"/>
      <c r="K12" s="25"/>
      <c r="L12" s="47" t="s">
        <v>29</v>
      </c>
      <c r="M12" s="43">
        <f>SUMIF(F12:F307,"Kardus",G12:G307)</f>
        <v>9</v>
      </c>
      <c r="N12" s="25"/>
    </row>
    <row r="13" ht="15.75" customHeight="1">
      <c r="A13" s="36" t="s">
        <v>31</v>
      </c>
      <c r="B13" s="37">
        <v>1000.0</v>
      </c>
      <c r="C13" s="44"/>
      <c r="D13" s="52"/>
      <c r="E13" s="52"/>
      <c r="F13" s="47" t="s">
        <v>30</v>
      </c>
      <c r="G13" s="48"/>
      <c r="H13" s="53">
        <f>VLOOKUP(F13,$A$12:$B$12,2,TRUE)</f>
        <v>1300</v>
      </c>
      <c r="I13" s="50">
        <f t="shared" si="1"/>
        <v>0</v>
      </c>
      <c r="J13" s="52"/>
      <c r="K13" s="25"/>
      <c r="L13" s="47" t="s">
        <v>30</v>
      </c>
      <c r="M13" s="43">
        <f>SUMIF(F13:F308,"Kertas Putihan/ HVS",G13:G308)</f>
        <v>0</v>
      </c>
      <c r="N13" s="25"/>
    </row>
    <row r="14" ht="15.75" customHeight="1">
      <c r="A14" s="36" t="s">
        <v>32</v>
      </c>
      <c r="B14" s="37">
        <v>500.0</v>
      </c>
      <c r="C14" s="44"/>
      <c r="D14" s="52"/>
      <c r="E14" s="52"/>
      <c r="F14" s="47" t="s">
        <v>31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31</v>
      </c>
      <c r="M14" s="43">
        <f>SUMIF(F14:F309,"Koran/Buku",G14:G309)</f>
        <v>15</v>
      </c>
      <c r="N14" s="25"/>
    </row>
    <row r="15" ht="15.75" customHeight="1">
      <c r="A15" s="36" t="s">
        <v>33</v>
      </c>
      <c r="B15" s="37">
        <v>7500.0</v>
      </c>
      <c r="C15" s="44"/>
      <c r="D15" s="52"/>
      <c r="E15" s="52"/>
      <c r="F15" s="47" t="s">
        <v>32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32</v>
      </c>
      <c r="M15" s="43">
        <f>SUMIF(F15:F310,"Duplex",G15:G310)</f>
        <v>6</v>
      </c>
      <c r="N15" s="25"/>
    </row>
    <row r="16" ht="15.75" customHeight="1">
      <c r="A16" s="36" t="s">
        <v>34</v>
      </c>
      <c r="B16" s="37">
        <v>2000.0</v>
      </c>
      <c r="C16" s="44"/>
      <c r="D16" s="52"/>
      <c r="E16" s="52"/>
      <c r="F16" s="47" t="s">
        <v>33</v>
      </c>
      <c r="G16" s="48"/>
      <c r="H16" s="53">
        <f>VLOOKUP(F16,$A$15:$B$15,2,TRUE)</f>
        <v>7500</v>
      </c>
      <c r="I16" s="50">
        <f t="shared" si="1"/>
        <v>0</v>
      </c>
      <c r="J16" s="52"/>
      <c r="K16" s="25"/>
      <c r="L16" s="47" t="s">
        <v>33</v>
      </c>
      <c r="M16" s="43">
        <f>SUMIF(F16:F311,"Alumunium",G16:G311)</f>
        <v>0</v>
      </c>
      <c r="N16" s="25"/>
    </row>
    <row r="17" ht="15.75" customHeight="1">
      <c r="A17" s="36" t="s">
        <v>35</v>
      </c>
      <c r="B17" s="37">
        <v>1000.0</v>
      </c>
      <c r="C17" s="44"/>
      <c r="D17" s="52"/>
      <c r="E17" s="52"/>
      <c r="F17" s="47" t="s">
        <v>34</v>
      </c>
      <c r="G17" s="48"/>
      <c r="H17" s="53">
        <f>VLOOKUP(F17,$A$16:$B$16,2,TRUE)</f>
        <v>2000</v>
      </c>
      <c r="I17" s="50">
        <f t="shared" si="1"/>
        <v>0</v>
      </c>
      <c r="J17" s="52"/>
      <c r="K17" s="25"/>
      <c r="L17" s="47" t="s">
        <v>34</v>
      </c>
      <c r="M17" s="43">
        <f>SUMIF(F17:F312,"Besi",G17:G312)</f>
        <v>6.5</v>
      </c>
      <c r="N17" s="25"/>
    </row>
    <row r="18" ht="15.75" customHeight="1">
      <c r="A18" s="36" t="s">
        <v>36</v>
      </c>
      <c r="B18" s="37">
        <v>5000.0</v>
      </c>
      <c r="C18" s="44"/>
      <c r="D18" s="52"/>
      <c r="E18" s="52"/>
      <c r="F18" s="47" t="s">
        <v>35</v>
      </c>
      <c r="G18" s="48">
        <v>1.0</v>
      </c>
      <c r="H18" s="53">
        <f>VLOOKUP(F18,$A$17:$B$17,2,TRUE)</f>
        <v>1000</v>
      </c>
      <c r="I18" s="50">
        <f t="shared" si="1"/>
        <v>1000</v>
      </c>
      <c r="J18" s="52"/>
      <c r="K18" s="25"/>
      <c r="L18" s="47" t="s">
        <v>35</v>
      </c>
      <c r="M18" s="43">
        <f>SUMIF(F18:F313,"Kaleng kue/susu",G18:G313)</f>
        <v>1</v>
      </c>
      <c r="N18" s="25"/>
    </row>
    <row r="19" ht="15.75" customHeight="1">
      <c r="A19" s="36" t="s">
        <v>37</v>
      </c>
      <c r="B19" s="37">
        <v>2700.0</v>
      </c>
      <c r="C19" s="44"/>
      <c r="D19" s="52"/>
      <c r="E19" s="52"/>
      <c r="F19" s="47" t="s">
        <v>36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36</v>
      </c>
      <c r="M19" s="43">
        <f>SUMIF(F19:F314,"Kaleng Minuman",G19:G314)</f>
        <v>0</v>
      </c>
      <c r="N19" s="25"/>
    </row>
    <row r="20" ht="15.75" customHeight="1">
      <c r="A20" s="36" t="s">
        <v>38</v>
      </c>
      <c r="B20" s="37">
        <v>50000.0</v>
      </c>
      <c r="C20" s="44"/>
      <c r="D20" s="52"/>
      <c r="E20" s="52"/>
      <c r="F20" s="47" t="s">
        <v>37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37</v>
      </c>
      <c r="M20" s="43">
        <f>SUMIF(F20:F315,"Stanless",G20:G315)</f>
        <v>0</v>
      </c>
      <c r="N20" s="25"/>
    </row>
    <row r="21" ht="15.75" customHeight="1">
      <c r="A21" s="36" t="s">
        <v>39</v>
      </c>
      <c r="B21" s="37">
        <v>10000.0</v>
      </c>
      <c r="C21" s="44"/>
      <c r="D21" s="52"/>
      <c r="E21" s="52"/>
      <c r="F21" s="47" t="s">
        <v>38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38</v>
      </c>
      <c r="M21" s="43">
        <f>SUMIF(F21:F316,"Tembaga",G21:G316)</f>
        <v>0</v>
      </c>
      <c r="N21" s="25"/>
    </row>
    <row r="22" ht="15.75" customHeight="1">
      <c r="A22" s="36" t="s">
        <v>40</v>
      </c>
      <c r="B22" s="37">
        <v>1000.0</v>
      </c>
      <c r="C22" s="44"/>
      <c r="D22" s="52"/>
      <c r="E22" s="52"/>
      <c r="F22" s="47" t="s">
        <v>39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39</v>
      </c>
      <c r="M22" s="43">
        <f>SUMIF(F22:F317,"Aki Motor",G22:G317)</f>
        <v>0</v>
      </c>
      <c r="N22" s="25"/>
    </row>
    <row r="23" ht="15.75" customHeight="1">
      <c r="A23" s="36" t="s">
        <v>41</v>
      </c>
      <c r="B23" s="37">
        <v>500.0</v>
      </c>
      <c r="C23" s="44"/>
      <c r="D23" s="52"/>
      <c r="E23" s="52"/>
      <c r="F23" s="47" t="s">
        <v>40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40</v>
      </c>
      <c r="M23" s="43">
        <f>SUMIF(F23:F318,"Paralon",G23:G318)</f>
        <v>3.5</v>
      </c>
      <c r="N23" s="25"/>
    </row>
    <row r="24" ht="15.75" customHeight="1">
      <c r="A24" s="36" t="s">
        <v>42</v>
      </c>
      <c r="B24" s="37">
        <v>200.0</v>
      </c>
      <c r="C24" s="44"/>
      <c r="D24" s="52"/>
      <c r="E24" s="52"/>
      <c r="F24" s="47" t="s">
        <v>41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41</v>
      </c>
      <c r="M24" s="43">
        <f>SUMIF(F24:F319,"Plastik bening",G24:G319)</f>
        <v>0.5</v>
      </c>
      <c r="N24" s="25"/>
    </row>
    <row r="25" ht="15.75" customHeight="1">
      <c r="A25" s="36" t="s">
        <v>43</v>
      </c>
      <c r="B25" s="37">
        <v>1000.0</v>
      </c>
      <c r="C25" s="44"/>
      <c r="D25" s="52"/>
      <c r="E25" s="52"/>
      <c r="F25" s="47" t="s">
        <v>42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42</v>
      </c>
      <c r="M25" s="43">
        <f>SUMIF(F25:F320,"Plastik Warna",G25:G320)</f>
        <v>0</v>
      </c>
      <c r="N25" s="25"/>
    </row>
    <row r="26" ht="15.75" customHeight="1">
      <c r="A26" s="36" t="s">
        <v>18</v>
      </c>
      <c r="B26" s="37">
        <v>300.0</v>
      </c>
      <c r="C26" s="44"/>
      <c r="D26" s="52"/>
      <c r="E26" s="52"/>
      <c r="F26" s="47" t="s">
        <v>43</v>
      </c>
      <c r="G26" s="48"/>
      <c r="H26" s="53">
        <f>VLOOKUP(F26,$A$25:$B$25,2,TRUE)</f>
        <v>1000</v>
      </c>
      <c r="I26" s="50">
        <f t="shared" si="1"/>
        <v>0</v>
      </c>
      <c r="J26" s="52"/>
      <c r="K26" s="25"/>
      <c r="L26" s="47" t="s">
        <v>43</v>
      </c>
      <c r="M26" s="43">
        <f>SUMIF(F26:F321,"Selang",G26:G321)</f>
        <v>0</v>
      </c>
      <c r="N26" s="25"/>
    </row>
    <row r="27" ht="15.75" customHeight="1">
      <c r="A27" s="36" t="s">
        <v>44</v>
      </c>
      <c r="B27" s="37">
        <v>100.0</v>
      </c>
      <c r="C27" s="44"/>
      <c r="D27" s="52"/>
      <c r="E27" s="52"/>
      <c r="F27" s="47" t="s">
        <v>18</v>
      </c>
      <c r="G27" s="48">
        <v>5.0</v>
      </c>
      <c r="H27" s="53">
        <f>VLOOKUP(F27,$A$26:$B$26,2,TRUE)</f>
        <v>300</v>
      </c>
      <c r="I27" s="50">
        <f t="shared" si="1"/>
        <v>1500</v>
      </c>
      <c r="J27" s="52"/>
      <c r="K27" s="25"/>
      <c r="L27" s="47" t="s">
        <v>18</v>
      </c>
      <c r="M27" s="43">
        <f>SUMIF(F27:F322,"Beling",G27:G322)</f>
        <v>7.5</v>
      </c>
      <c r="N27" s="25"/>
    </row>
    <row r="28" ht="15.75" customHeight="1">
      <c r="A28" s="36" t="s">
        <v>13</v>
      </c>
      <c r="B28" s="56">
        <v>1500.0</v>
      </c>
      <c r="C28" s="44"/>
      <c r="D28" s="52"/>
      <c r="E28" s="52"/>
      <c r="F28" s="47" t="s">
        <v>44</v>
      </c>
      <c r="G28" s="48"/>
      <c r="H28" s="53">
        <f>VLOOKUP(F28,$A$27:$B$27,2,TRUE)</f>
        <v>100</v>
      </c>
      <c r="I28" s="50">
        <f t="shared" si="1"/>
        <v>0</v>
      </c>
      <c r="J28" s="52"/>
      <c r="K28" s="25"/>
      <c r="L28" s="47" t="s">
        <v>44</v>
      </c>
      <c r="M28" s="43">
        <f>SUMIF(F28:F323,"Pecahan",G28:G323)</f>
        <v>16.5</v>
      </c>
      <c r="N28" s="25"/>
    </row>
    <row r="29" ht="15.75" customHeight="1">
      <c r="A29" s="36" t="s">
        <v>20</v>
      </c>
      <c r="B29" s="37">
        <v>3500.0</v>
      </c>
      <c r="C29" s="44"/>
      <c r="D29" s="52"/>
      <c r="E29" s="52"/>
      <c r="F29" s="47" t="s">
        <v>13</v>
      </c>
      <c r="G29" s="48">
        <v>3.0</v>
      </c>
      <c r="H29" s="53">
        <f>VLOOKUP(F29,$A$28:$B$28,2,TRUE)</f>
        <v>1500</v>
      </c>
      <c r="I29" s="50">
        <f t="shared" si="1"/>
        <v>4500</v>
      </c>
      <c r="J29" s="52"/>
      <c r="K29" s="25"/>
      <c r="L29" s="47" t="s">
        <v>13</v>
      </c>
      <c r="M29" s="43">
        <f>SUMIF(F29:F325,"Paku",G29:G325)</f>
        <v>12.5</v>
      </c>
      <c r="N29" s="25"/>
    </row>
    <row r="30" ht="15.75" customHeight="1">
      <c r="A30" s="36" t="s">
        <v>60</v>
      </c>
      <c r="B30" s="37">
        <v>500.0</v>
      </c>
      <c r="C30" s="44"/>
      <c r="D30" s="52"/>
      <c r="E30" s="52"/>
      <c r="F30" s="47" t="s">
        <v>20</v>
      </c>
      <c r="G30" s="48"/>
      <c r="H30" s="53">
        <f>VLOOKUP(F30,$A$29:$B$29,2,TRUE)</f>
        <v>3500</v>
      </c>
      <c r="I30" s="50">
        <f t="shared" si="1"/>
        <v>0</v>
      </c>
      <c r="J30" s="52"/>
      <c r="K30" s="25"/>
      <c r="L30" s="47" t="s">
        <v>20</v>
      </c>
      <c r="M30" s="43">
        <f>SUMIF(F30:F326,"Minyak Jelantah",G30:G326)</f>
        <v>1</v>
      </c>
      <c r="N30" s="25"/>
    </row>
    <row r="31" ht="15.75" customHeight="1">
      <c r="C31" s="44"/>
      <c r="D31" s="13"/>
      <c r="E31" s="13"/>
      <c r="F31" s="47" t="s">
        <v>60</v>
      </c>
      <c r="G31" s="48"/>
      <c r="H31" s="53">
        <f>VLOOKUP(F31,$A$30:$B$30,2,TRUE)</f>
        <v>500</v>
      </c>
      <c r="I31" s="50">
        <f t="shared" si="1"/>
        <v>0</v>
      </c>
      <c r="J31" s="13"/>
      <c r="K31" s="25"/>
      <c r="L31" s="47" t="s">
        <v>60</v>
      </c>
      <c r="M31" s="43">
        <f>SUMIF(F31:F327,"Lainnya",G31:G327)</f>
        <v>38.5</v>
      </c>
      <c r="N31" s="25"/>
    </row>
    <row r="32" ht="15.75" customHeight="1">
      <c r="A32" s="44"/>
      <c r="B32" s="44"/>
      <c r="C32" s="44"/>
      <c r="D32" s="45">
        <v>2.0</v>
      </c>
      <c r="E32" s="46" t="s">
        <v>124</v>
      </c>
      <c r="F32" s="47" t="s">
        <v>22</v>
      </c>
      <c r="G32" s="48"/>
      <c r="H32" s="57">
        <f>VLOOKUP(F32,$A$4:$B$4,2,TRUE)</f>
        <v>4500</v>
      </c>
      <c r="I32" s="50">
        <f t="shared" si="1"/>
        <v>0</v>
      </c>
      <c r="J32" s="51">
        <f>SUM(I32:I58)</f>
        <v>4000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57</v>
      </c>
      <c r="G33" s="48"/>
      <c r="H33" s="57">
        <f>VLOOKUP(F33,$A$5:$B$5,2,TRUE)</f>
        <v>3000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59</v>
      </c>
      <c r="G34" s="48"/>
      <c r="H34" s="57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25</v>
      </c>
      <c r="G35" s="48"/>
      <c r="H35" s="57">
        <f>VLOOKUP(F35,$A$7:$B$7,2,TRUE)</f>
        <v>2800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26</v>
      </c>
      <c r="G36" s="48"/>
      <c r="H36" s="57">
        <f>VLOOKUP(F36,$A$8:$B$8,2,TRUE)</f>
        <v>3500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27</v>
      </c>
      <c r="G37" s="48">
        <v>1.0</v>
      </c>
      <c r="H37" s="57">
        <f>VLOOKUP(F37,$A$9:$B$9,2,TRUE)</f>
        <v>1000</v>
      </c>
      <c r="I37" s="50">
        <f t="shared" si="1"/>
        <v>1000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28</v>
      </c>
      <c r="G38" s="48"/>
      <c r="H38" s="57">
        <f>VLOOKUP(F38,$A$10:$B$10,2,TRUE)</f>
        <v>2000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29</v>
      </c>
      <c r="G39" s="48"/>
      <c r="H39" s="57">
        <f>VLOOKUP(F39,$A$11:$B$11,2,TRUE)</f>
        <v>1500</v>
      </c>
      <c r="I39" s="50">
        <f t="shared" si="1"/>
        <v>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30</v>
      </c>
      <c r="G40" s="48"/>
      <c r="H40" s="57">
        <f>VLOOKUP(F40,$A$12:$B$12,2,TRUE)</f>
        <v>1300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31</v>
      </c>
      <c r="G41" s="48"/>
      <c r="H41" s="57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32</v>
      </c>
      <c r="G42" s="48"/>
      <c r="H42" s="57">
        <f>VLOOKUP(F42,$A$14:$B$14,2,TRUE)</f>
        <v>500</v>
      </c>
      <c r="I42" s="50">
        <f t="shared" si="1"/>
        <v>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33</v>
      </c>
      <c r="G43" s="48"/>
      <c r="H43" s="57">
        <f>VLOOKUP(F43,$A$15:$B$15,2,TRUE)</f>
        <v>7500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34</v>
      </c>
      <c r="G44" s="48"/>
      <c r="H44" s="57">
        <f>VLOOKUP(F44,$A$16:$B$16,2,TRUE)</f>
        <v>2000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35</v>
      </c>
      <c r="G45" s="48"/>
      <c r="H45" s="57">
        <f>VLOOKUP(F45,$A$17:$B$17,2,TRUE)</f>
        <v>1000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36</v>
      </c>
      <c r="G46" s="48"/>
      <c r="H46" s="57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37</v>
      </c>
      <c r="G47" s="48"/>
      <c r="H47" s="57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38</v>
      </c>
      <c r="G48" s="48"/>
      <c r="H48" s="57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39</v>
      </c>
      <c r="G49" s="48"/>
      <c r="H49" s="57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40</v>
      </c>
      <c r="G50" s="48"/>
      <c r="H50" s="57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41</v>
      </c>
      <c r="G51" s="48"/>
      <c r="H51" s="57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42</v>
      </c>
      <c r="G52" s="48"/>
      <c r="H52" s="57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43</v>
      </c>
      <c r="G53" s="48"/>
      <c r="H53" s="57">
        <f>VLOOKUP(F53,$A$25:$B$25,2,TRUE)</f>
        <v>1000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18</v>
      </c>
      <c r="G54" s="48"/>
      <c r="H54" s="57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44</v>
      </c>
      <c r="G55" s="48"/>
      <c r="H55" s="57">
        <f>VLOOKUP(F55,$A$27:$B$27,2,TRUE)</f>
        <v>100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13</v>
      </c>
      <c r="G56" s="48">
        <v>2.0</v>
      </c>
      <c r="H56" s="58">
        <f>VLOOKUP(F56,$A$28:$B$28,2,TRUE)</f>
        <v>1500</v>
      </c>
      <c r="I56" s="50">
        <f t="shared" si="1"/>
        <v>3000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20</v>
      </c>
      <c r="G57" s="48"/>
      <c r="H57" s="57">
        <f>VLOOKUP(F57,$A$29:$B$29,2,TRUE)</f>
        <v>3500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13"/>
      <c r="E58" s="13"/>
      <c r="F58" s="47" t="s">
        <v>60</v>
      </c>
      <c r="G58" s="48"/>
      <c r="H58" s="57">
        <f>VLOOKUP(F58,$A$30:$B$30,2,TRUE)</f>
        <v>500</v>
      </c>
      <c r="I58" s="50">
        <f t="shared" si="1"/>
        <v>0</v>
      </c>
      <c r="J58" s="13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9" t="s">
        <v>125</v>
      </c>
      <c r="F59" s="47" t="s">
        <v>22</v>
      </c>
      <c r="G59" s="48"/>
      <c r="H59" s="57">
        <f>VLOOKUP(F59,$A$4:$B$4,2,TRUE)</f>
        <v>4500</v>
      </c>
      <c r="I59" s="50">
        <f t="shared" si="1"/>
        <v>0</v>
      </c>
      <c r="J59" s="51">
        <f>SUM(I59:I85)</f>
        <v>14250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57</v>
      </c>
      <c r="G60" s="48"/>
      <c r="H60" s="57">
        <f>VLOOKUP(F60,$A$5:$B$5,2,TRUE)</f>
        <v>3000</v>
      </c>
      <c r="I60" s="50">
        <f t="shared" si="1"/>
        <v>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59</v>
      </c>
      <c r="G61" s="48"/>
      <c r="H61" s="57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25</v>
      </c>
      <c r="G62" s="48"/>
      <c r="H62" s="57">
        <f>VLOOKUP(F62,$A$7:$B$7,2,TRUE)</f>
        <v>2800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26</v>
      </c>
      <c r="G63" s="48"/>
      <c r="H63" s="57">
        <f>VLOOKUP(F63,$A$8:$B$8,2,TRUE)</f>
        <v>3500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27</v>
      </c>
      <c r="G64" s="48">
        <v>1.0</v>
      </c>
      <c r="H64" s="57">
        <f>VLOOKUP(F64,$A$9:$B$9,2,TRUE)</f>
        <v>1000</v>
      </c>
      <c r="I64" s="50">
        <f t="shared" si="1"/>
        <v>1000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28</v>
      </c>
      <c r="G65" s="48">
        <v>1.0</v>
      </c>
      <c r="H65" s="57">
        <f>VLOOKUP(F65,$A$10:$B$10,2,TRUE)</f>
        <v>2000</v>
      </c>
      <c r="I65" s="50">
        <f t="shared" si="1"/>
        <v>2000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29</v>
      </c>
      <c r="G66" s="48"/>
      <c r="H66" s="57">
        <f>VLOOKUP(F66,$A$11:$B$11,2,TRUE)</f>
        <v>1500</v>
      </c>
      <c r="I66" s="50">
        <f t="shared" si="1"/>
        <v>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30</v>
      </c>
      <c r="G67" s="48"/>
      <c r="H67" s="57">
        <f>VLOOKUP(F67,$A$12:$B$12,2,TRUE)</f>
        <v>1300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31</v>
      </c>
      <c r="G68" s="48">
        <v>10.0</v>
      </c>
      <c r="H68" s="57">
        <f>VLOOKUP(F68,$A$13:$B$13,2,TRUE)</f>
        <v>1000</v>
      </c>
      <c r="I68" s="50">
        <f t="shared" si="1"/>
        <v>10000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32</v>
      </c>
      <c r="G69" s="48">
        <v>2.5</v>
      </c>
      <c r="H69" s="57">
        <f>VLOOKUP(F69,$A$14:$B$14,2,TRUE)</f>
        <v>500</v>
      </c>
      <c r="I69" s="50">
        <f t="shared" si="1"/>
        <v>1250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33</v>
      </c>
      <c r="G70" s="48"/>
      <c r="H70" s="57">
        <f>VLOOKUP(F70,$A$15:$B$15,2,TRUE)</f>
        <v>7500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34</v>
      </c>
      <c r="G71" s="48"/>
      <c r="H71" s="57">
        <f>VLOOKUP(F71,$A$16:$B$16,2,TRUE)</f>
        <v>2000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35</v>
      </c>
      <c r="G72" s="48"/>
      <c r="H72" s="57">
        <f>VLOOKUP(F72,$A$17:$B$17,2,TRUE)</f>
        <v>1000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36</v>
      </c>
      <c r="G73" s="48"/>
      <c r="H73" s="57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37</v>
      </c>
      <c r="G74" s="48"/>
      <c r="H74" s="57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38</v>
      </c>
      <c r="G75" s="48"/>
      <c r="H75" s="57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39</v>
      </c>
      <c r="G76" s="48"/>
      <c r="H76" s="57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40</v>
      </c>
      <c r="G77" s="48"/>
      <c r="H77" s="57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41</v>
      </c>
      <c r="G78" s="48"/>
      <c r="H78" s="57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42</v>
      </c>
      <c r="G79" s="48"/>
      <c r="H79" s="57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43</v>
      </c>
      <c r="G80" s="48"/>
      <c r="H80" s="57">
        <f>VLOOKUP(F80,$A$25:$B$25,2,TRUE)</f>
        <v>1000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18</v>
      </c>
      <c r="G81" s="48"/>
      <c r="H81" s="57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44</v>
      </c>
      <c r="G82" s="48"/>
      <c r="H82" s="57">
        <f>VLOOKUP(F82,$A$27:$B$27,2,TRUE)</f>
        <v>100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13</v>
      </c>
      <c r="G83" s="48"/>
      <c r="H83" s="57">
        <f>VLOOKUP(F83,$A$28:$B$28,2,TRUE)</f>
        <v>1500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20</v>
      </c>
      <c r="G84" s="48"/>
      <c r="H84" s="57">
        <f>VLOOKUP(F84,$A$29:$B$29,2,TRUE)</f>
        <v>3500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13"/>
      <c r="E85" s="13"/>
      <c r="F85" s="47" t="s">
        <v>60</v>
      </c>
      <c r="G85" s="48">
        <f>3+6</f>
        <v>9</v>
      </c>
      <c r="H85" s="68">
        <v>0.0</v>
      </c>
      <c r="I85" s="50">
        <f t="shared" si="1"/>
        <v>0</v>
      </c>
      <c r="J85" s="13"/>
      <c r="K85" s="25"/>
      <c r="L85" s="25"/>
      <c r="M85" s="25"/>
      <c r="N85" s="25"/>
    </row>
    <row r="86" ht="15.75" customHeight="1">
      <c r="A86" s="44"/>
      <c r="B86" s="44"/>
      <c r="C86" s="44"/>
      <c r="D86" s="45">
        <v>4.0</v>
      </c>
      <c r="E86" s="46" t="s">
        <v>126</v>
      </c>
      <c r="F86" s="47" t="s">
        <v>22</v>
      </c>
      <c r="G86" s="48"/>
      <c r="H86" s="57">
        <f>VLOOKUP(F86,$A$4:$B$4,2,TRUE)</f>
        <v>4500</v>
      </c>
      <c r="I86" s="50">
        <f t="shared" si="1"/>
        <v>0</v>
      </c>
      <c r="J86" s="51">
        <f>SUM(I86:I112)</f>
        <v>2000</v>
      </c>
      <c r="K86" s="25"/>
      <c r="L86" s="25"/>
      <c r="M86" s="25"/>
      <c r="N86" s="25"/>
    </row>
    <row r="87" ht="15.75" customHeight="1">
      <c r="A87" s="44"/>
      <c r="B87" s="44"/>
      <c r="C87" s="44"/>
      <c r="D87" s="52"/>
      <c r="E87" s="52"/>
      <c r="F87" s="47" t="s">
        <v>57</v>
      </c>
      <c r="G87" s="48"/>
      <c r="H87" s="57">
        <f>VLOOKUP(F87,$A$5:$B$5,2,TRUE)</f>
        <v>3000</v>
      </c>
      <c r="I87" s="50">
        <f t="shared" si="1"/>
        <v>0</v>
      </c>
      <c r="J87" s="52"/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59</v>
      </c>
      <c r="G88" s="48"/>
      <c r="H88" s="57">
        <f>VLOOKUP(F88,$A$6:$B$6,2,TRUE)</f>
        <v>1000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25</v>
      </c>
      <c r="G89" s="48"/>
      <c r="H89" s="57">
        <f>VLOOKUP(F89,$A$7:$B$7,2,TRUE)</f>
        <v>2800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26</v>
      </c>
      <c r="G90" s="48"/>
      <c r="H90" s="57">
        <f>VLOOKUP(F90,$A$8:$B$8,2,TRUE)</f>
        <v>3500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27</v>
      </c>
      <c r="G91" s="48">
        <v>2.0</v>
      </c>
      <c r="H91" s="57">
        <f>VLOOKUP(F91,$A$9:$B$9,2,TRUE)</f>
        <v>1000</v>
      </c>
      <c r="I91" s="50">
        <f t="shared" si="1"/>
        <v>2000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28</v>
      </c>
      <c r="G92" s="48"/>
      <c r="H92" s="57">
        <f>VLOOKUP(F92,$A$10:$B$10,2,TRUE)</f>
        <v>2000</v>
      </c>
      <c r="I92" s="50">
        <f t="shared" si="1"/>
        <v>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29</v>
      </c>
      <c r="G93" s="48"/>
      <c r="H93" s="57">
        <f>VLOOKUP(F93,$A$11:$B$11,2,TRUE)</f>
        <v>1500</v>
      </c>
      <c r="I93" s="50">
        <f t="shared" si="1"/>
        <v>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30</v>
      </c>
      <c r="G94" s="48"/>
      <c r="H94" s="57">
        <f>VLOOKUP(F94,$A$12:$B$12,2,TRUE)</f>
        <v>1300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31</v>
      </c>
      <c r="G95" s="48"/>
      <c r="H95" s="57">
        <f>VLOOKUP(F95,$A$13:$B$13,2,TRUE)</f>
        <v>1000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32</v>
      </c>
      <c r="G96" s="48"/>
      <c r="H96" s="57">
        <f>VLOOKUP(F96,$A$14:$B$14,2,TRUE)</f>
        <v>500</v>
      </c>
      <c r="I96" s="50">
        <f t="shared" si="1"/>
        <v>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33</v>
      </c>
      <c r="G97" s="48"/>
      <c r="H97" s="57">
        <f>VLOOKUP(F97,$A$15:$B$15,2,TRUE)</f>
        <v>7500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34</v>
      </c>
      <c r="G98" s="48"/>
      <c r="H98" s="57">
        <f>VLOOKUP(F98,$A$16:$B$16,2,TRUE)</f>
        <v>2000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35</v>
      </c>
      <c r="G99" s="48"/>
      <c r="H99" s="57">
        <f>VLOOKUP(F99,$A$17:$B$17,2,TRUE)</f>
        <v>1000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36</v>
      </c>
      <c r="G100" s="48"/>
      <c r="H100" s="57">
        <f>VLOOKUP(F100,$A$18:$B$18,2,TRUE)</f>
        <v>5000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37</v>
      </c>
      <c r="G101" s="48"/>
      <c r="H101" s="57">
        <f>VLOOKUP(F101,$A$19:$B$19,2,TRUE)</f>
        <v>2700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38</v>
      </c>
      <c r="G102" s="48"/>
      <c r="H102" s="57">
        <f>VLOOKUP(F102,$A$20:$B$20,2,TRUE)</f>
        <v>50000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39</v>
      </c>
      <c r="G103" s="48"/>
      <c r="H103" s="57">
        <f>VLOOKUP(F103,$A$21:$B$21,2,TRUE)</f>
        <v>10000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40</v>
      </c>
      <c r="G104" s="48"/>
      <c r="H104" s="57">
        <f>VLOOKUP(F104,$A$22:$B$22,2,TRUE)</f>
        <v>1000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41</v>
      </c>
      <c r="G105" s="48"/>
      <c r="H105" s="57">
        <f>VLOOKUP(F105,$A$23:$B$23,2,TRUE)</f>
        <v>500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42</v>
      </c>
      <c r="G106" s="48"/>
      <c r="H106" s="57">
        <f>VLOOKUP(F106,$A$24:$B$24,2,TRUE)</f>
        <v>200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43</v>
      </c>
      <c r="G107" s="48"/>
      <c r="H107" s="57">
        <f>VLOOKUP(F107,$A$25:$B$25,2,TRUE)</f>
        <v>1000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18</v>
      </c>
      <c r="G108" s="48"/>
      <c r="H108" s="57">
        <f>VLOOKUP(F108,$A$26:$B$26,2,TRUE)</f>
        <v>300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44</v>
      </c>
      <c r="G109" s="48"/>
      <c r="H109" s="57">
        <f>VLOOKUP(F109,$A$27:$B$27,2,TRUE)</f>
        <v>100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13</v>
      </c>
      <c r="G110" s="48"/>
      <c r="H110" s="57">
        <f>VLOOKUP(F110,$A$28:$B$28,2,TRUE)</f>
        <v>1500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20</v>
      </c>
      <c r="G111" s="48"/>
      <c r="H111" s="57">
        <f>VLOOKUP(F111,$A$29:$B$29,2,TRUE)</f>
        <v>3500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13"/>
      <c r="E112" s="13"/>
      <c r="F112" s="47" t="s">
        <v>60</v>
      </c>
      <c r="G112" s="48">
        <v>1.0</v>
      </c>
      <c r="H112" s="68">
        <v>0.0</v>
      </c>
      <c r="I112" s="50">
        <f t="shared" si="1"/>
        <v>0</v>
      </c>
      <c r="J112" s="13"/>
      <c r="K112" s="25"/>
      <c r="L112" s="25"/>
      <c r="M112" s="25"/>
      <c r="N112" s="25"/>
    </row>
    <row r="113" ht="15.75" customHeight="1">
      <c r="A113" s="44"/>
      <c r="B113" s="44"/>
      <c r="C113" s="44"/>
      <c r="D113" s="45">
        <v>5.0</v>
      </c>
      <c r="E113" s="46" t="s">
        <v>127</v>
      </c>
      <c r="F113" s="47" t="s">
        <v>22</v>
      </c>
      <c r="G113" s="48"/>
      <c r="H113" s="57">
        <f>VLOOKUP(F113,$A$4:$B$4,2,TRUE)</f>
        <v>4500</v>
      </c>
      <c r="I113" s="50">
        <f t="shared" si="1"/>
        <v>0</v>
      </c>
      <c r="J113" s="51">
        <f>SUM(I113:I139)</f>
        <v>5000</v>
      </c>
      <c r="K113" s="25"/>
      <c r="L113" s="25"/>
      <c r="M113" s="25"/>
      <c r="N113" s="25"/>
    </row>
    <row r="114" ht="15.75" customHeight="1">
      <c r="A114" s="44"/>
      <c r="B114" s="44"/>
      <c r="C114" s="44"/>
      <c r="D114" s="52"/>
      <c r="E114" s="52"/>
      <c r="F114" s="47" t="s">
        <v>57</v>
      </c>
      <c r="G114" s="48"/>
      <c r="H114" s="57">
        <f>VLOOKUP(F114,$A$5:$B$5,2,TRUE)</f>
        <v>3000</v>
      </c>
      <c r="I114" s="50">
        <f t="shared" si="1"/>
        <v>0</v>
      </c>
      <c r="J114" s="52"/>
      <c r="K114" s="25"/>
      <c r="L114" s="25"/>
      <c r="M114" s="25"/>
      <c r="N114" s="25"/>
    </row>
    <row r="115" ht="15.75" customHeight="1">
      <c r="A115" s="44"/>
      <c r="B115" s="44"/>
      <c r="C115" s="44"/>
      <c r="D115" s="52"/>
      <c r="E115" s="52"/>
      <c r="F115" s="47" t="s">
        <v>59</v>
      </c>
      <c r="G115" s="48"/>
      <c r="H115" s="57">
        <f>VLOOKUP(F115,$A$6:$B$6,2,TRUE)</f>
        <v>1000</v>
      </c>
      <c r="I115" s="50">
        <f t="shared" si="1"/>
        <v>0</v>
      </c>
      <c r="J115" s="52"/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25</v>
      </c>
      <c r="G116" s="48"/>
      <c r="H116" s="57">
        <f>VLOOKUP(F116,$A$7:$B$7,2,TRUE)</f>
        <v>2800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26</v>
      </c>
      <c r="G117" s="48"/>
      <c r="H117" s="57">
        <f>VLOOKUP(F117,$A$8:$B$8,2,TRUE)</f>
        <v>3500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27</v>
      </c>
      <c r="G118" s="48">
        <v>5.0</v>
      </c>
      <c r="H118" s="57">
        <f>VLOOKUP(F118,$A$9:$B$9,2,TRUE)</f>
        <v>1000</v>
      </c>
      <c r="I118" s="50">
        <f t="shared" si="1"/>
        <v>5000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28</v>
      </c>
      <c r="G119" s="48"/>
      <c r="H119" s="57">
        <f>VLOOKUP(F119,$A$10:$B$10,2,TRUE)</f>
        <v>2000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29</v>
      </c>
      <c r="G120" s="48"/>
      <c r="H120" s="57">
        <f>VLOOKUP(F120,$A$11:$B$11,2,TRUE)</f>
        <v>1500</v>
      </c>
      <c r="I120" s="50">
        <f t="shared" si="1"/>
        <v>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30</v>
      </c>
      <c r="G121" s="48"/>
      <c r="H121" s="57">
        <f>VLOOKUP(F121,$A$12:$B$12,2,TRUE)</f>
        <v>1300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31</v>
      </c>
      <c r="G122" s="48"/>
      <c r="H122" s="57">
        <f>VLOOKUP(F122,$A$13:$B$13,2,TRUE)</f>
        <v>1000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32</v>
      </c>
      <c r="G123" s="48"/>
      <c r="H123" s="57">
        <f>VLOOKUP(F123,$A$14:$B$14,2,TRUE)</f>
        <v>500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33</v>
      </c>
      <c r="G124" s="48"/>
      <c r="H124" s="57">
        <f>VLOOKUP(F124,$A$15:$B$15,2,TRUE)</f>
        <v>7500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34</v>
      </c>
      <c r="G125" s="48"/>
      <c r="H125" s="57">
        <f>VLOOKUP(F125,$A$16:$B$16,2,TRUE)</f>
        <v>2000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35</v>
      </c>
      <c r="G126" s="48"/>
      <c r="H126" s="57">
        <f>VLOOKUP(F126,$A$17:$B$17,2,TRUE)</f>
        <v>1000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36</v>
      </c>
      <c r="G127" s="48"/>
      <c r="H127" s="57">
        <f>VLOOKUP(F127,$A$18:$B$18,2,TRUE)</f>
        <v>5000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37</v>
      </c>
      <c r="G128" s="48"/>
      <c r="H128" s="57">
        <f>VLOOKUP(F128,$A$19:$B$19,2,TRUE)</f>
        <v>2700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38</v>
      </c>
      <c r="G129" s="48"/>
      <c r="H129" s="57">
        <f>VLOOKUP(F129,$A$20:$B$20,2,TRUE)</f>
        <v>50000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39</v>
      </c>
      <c r="G130" s="48"/>
      <c r="H130" s="57">
        <f>VLOOKUP(F130,$A$21:$B$21,2,TRUE)</f>
        <v>10000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40</v>
      </c>
      <c r="G131" s="48"/>
      <c r="H131" s="57">
        <f>VLOOKUP(F131,$A$22:$B$22,2,TRUE)</f>
        <v>1000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41</v>
      </c>
      <c r="G132" s="48"/>
      <c r="H132" s="57">
        <f>VLOOKUP(F132,$A$23:$B$23,2,TRUE)</f>
        <v>500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42</v>
      </c>
      <c r="G133" s="48"/>
      <c r="H133" s="57">
        <f>VLOOKUP(F133,$A$24:$B$24,2,TRUE)</f>
        <v>200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43</v>
      </c>
      <c r="G134" s="48"/>
      <c r="H134" s="57">
        <f>VLOOKUP(F134,$A$25:$B$25,2,TRUE)</f>
        <v>1000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18</v>
      </c>
      <c r="G135" s="48"/>
      <c r="H135" s="57">
        <f>VLOOKUP(F135,$A$26:$B$26,2,TRUE)</f>
        <v>300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44</v>
      </c>
      <c r="G136" s="48"/>
      <c r="H136" s="57">
        <f>VLOOKUP(F136,$A$27:$B$27,2,TRUE)</f>
        <v>100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7">
        <f>VLOOKUP(F137,$A$28:$B$28,2,TRUE)</f>
        <v>1500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20</v>
      </c>
      <c r="G138" s="48"/>
      <c r="H138" s="57">
        <f>VLOOKUP(F138,$A$29:$B$29,2,TRUE)</f>
        <v>3500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13"/>
      <c r="E139" s="13"/>
      <c r="F139" s="47" t="s">
        <v>60</v>
      </c>
      <c r="G139" s="48">
        <v>1.0</v>
      </c>
      <c r="H139" s="68">
        <v>0.0</v>
      </c>
      <c r="I139" s="50">
        <f t="shared" si="1"/>
        <v>0</v>
      </c>
      <c r="J139" s="13"/>
      <c r="K139" s="25"/>
      <c r="L139" s="25"/>
      <c r="M139" s="25"/>
      <c r="N139" s="25"/>
    </row>
    <row r="140" ht="15.75" customHeight="1">
      <c r="A140" s="44"/>
      <c r="B140" s="44"/>
      <c r="C140" s="44"/>
      <c r="D140" s="45">
        <v>6.0</v>
      </c>
      <c r="E140" s="46" t="s">
        <v>128</v>
      </c>
      <c r="F140" s="47" t="s">
        <v>22</v>
      </c>
      <c r="G140" s="48">
        <v>1.0</v>
      </c>
      <c r="H140" s="57">
        <f>VLOOKUP(F140,$A$4:$B$4,2,TRUE)</f>
        <v>4500</v>
      </c>
      <c r="I140" s="50">
        <f t="shared" si="1"/>
        <v>4500</v>
      </c>
      <c r="J140" s="51">
        <f>SUM(I140:I166)</f>
        <v>8250</v>
      </c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57</v>
      </c>
      <c r="G141" s="48"/>
      <c r="H141" s="57">
        <f>VLOOKUP(F141,$A$5:$B$5,2,TRUE)</f>
        <v>3000</v>
      </c>
      <c r="I141" s="50">
        <f t="shared" si="1"/>
        <v>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52"/>
      <c r="E142" s="52"/>
      <c r="F142" s="47" t="s">
        <v>59</v>
      </c>
      <c r="G142" s="48"/>
      <c r="H142" s="57">
        <f>VLOOKUP(F142,$A$6:$B$6,2,TRUE)</f>
        <v>1000</v>
      </c>
      <c r="I142" s="50">
        <f t="shared" si="1"/>
        <v>0</v>
      </c>
      <c r="J142" s="52"/>
      <c r="K142" s="25"/>
      <c r="L142" s="25"/>
      <c r="M142" s="25"/>
      <c r="N142" s="25"/>
    </row>
    <row r="143" ht="15.75" customHeight="1">
      <c r="A143" s="44"/>
      <c r="B143" s="44"/>
      <c r="C143" s="44"/>
      <c r="D143" s="52"/>
      <c r="E143" s="52"/>
      <c r="F143" s="47" t="s">
        <v>25</v>
      </c>
      <c r="G143" s="48"/>
      <c r="H143" s="57">
        <f>VLOOKUP(F143,$A$7:$B$7,2,TRUE)</f>
        <v>2800</v>
      </c>
      <c r="I143" s="50">
        <f t="shared" si="1"/>
        <v>0</v>
      </c>
      <c r="J143" s="52"/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26</v>
      </c>
      <c r="G144" s="48"/>
      <c r="H144" s="57">
        <f>VLOOKUP(F144,$A$8:$B$8,2,TRUE)</f>
        <v>3500</v>
      </c>
      <c r="I144" s="50">
        <f t="shared" si="1"/>
        <v>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27</v>
      </c>
      <c r="G145" s="48"/>
      <c r="H145" s="57">
        <f>VLOOKUP(F145,$A$9:$B$9,2,TRUE)</f>
        <v>1000</v>
      </c>
      <c r="I145" s="50">
        <f t="shared" si="1"/>
        <v>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28</v>
      </c>
      <c r="G146" s="48">
        <v>0.5</v>
      </c>
      <c r="H146" s="57">
        <f>VLOOKUP(F146,$A$10:$B$10,2,TRUE)</f>
        <v>2000</v>
      </c>
      <c r="I146" s="50">
        <f t="shared" si="1"/>
        <v>1000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29</v>
      </c>
      <c r="G147" s="48">
        <v>1.0</v>
      </c>
      <c r="H147" s="57">
        <f>VLOOKUP(F147,$A$11:$B$11,2,TRUE)</f>
        <v>1500</v>
      </c>
      <c r="I147" s="50">
        <f t="shared" si="1"/>
        <v>1500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30</v>
      </c>
      <c r="G148" s="48"/>
      <c r="H148" s="57">
        <f>VLOOKUP(F148,$A$12:$B$12,2,TRUE)</f>
        <v>1300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31</v>
      </c>
      <c r="G149" s="48"/>
      <c r="H149" s="57">
        <f>VLOOKUP(F149,$A$13:$B$13,2,TRUE)</f>
        <v>1000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32</v>
      </c>
      <c r="G150" s="48">
        <v>2.0</v>
      </c>
      <c r="H150" s="57">
        <f>VLOOKUP(F150,$A$14:$B$14,2,TRUE)</f>
        <v>500</v>
      </c>
      <c r="I150" s="50">
        <f t="shared" si="1"/>
        <v>1000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33</v>
      </c>
      <c r="G151" s="48"/>
      <c r="H151" s="57">
        <f>VLOOKUP(F151,$A$15:$B$15,2,TRUE)</f>
        <v>7500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34</v>
      </c>
      <c r="G152" s="48"/>
      <c r="H152" s="57">
        <f>VLOOKUP(F152,$A$16:$B$16,2,TRUE)</f>
        <v>2000</v>
      </c>
      <c r="I152" s="50">
        <f t="shared" si="1"/>
        <v>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35</v>
      </c>
      <c r="G153" s="48"/>
      <c r="H153" s="57">
        <f>VLOOKUP(F153,$A$17:$B$17,2,TRUE)</f>
        <v>1000</v>
      </c>
      <c r="I153" s="50">
        <f t="shared" si="1"/>
        <v>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36</v>
      </c>
      <c r="G154" s="48"/>
      <c r="H154" s="57">
        <f>VLOOKUP(F154,$A$18:$B$18,2,TRUE)</f>
        <v>5000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37</v>
      </c>
      <c r="G155" s="48"/>
      <c r="H155" s="57">
        <f>VLOOKUP(F155,$A$19:$B$19,2,TRUE)</f>
        <v>2700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38</v>
      </c>
      <c r="G156" s="48"/>
      <c r="H156" s="57">
        <f>VLOOKUP(F156,$A$20:$B$20,2,TRUE)</f>
        <v>50000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39</v>
      </c>
      <c r="G157" s="48"/>
      <c r="H157" s="57">
        <f>VLOOKUP(F157,$A$21:$B$21,2,TRUE)</f>
        <v>10000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40</v>
      </c>
      <c r="G158" s="48"/>
      <c r="H158" s="57">
        <f>VLOOKUP(F158,$A$22:$B$22,2,TRUE)</f>
        <v>1000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41</v>
      </c>
      <c r="G159" s="48">
        <v>0.5</v>
      </c>
      <c r="H159" s="57">
        <f>VLOOKUP(F159,$A$23:$B$23,2,TRUE)</f>
        <v>500</v>
      </c>
      <c r="I159" s="50">
        <f t="shared" si="1"/>
        <v>250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42</v>
      </c>
      <c r="G160" s="48"/>
      <c r="H160" s="57">
        <f>VLOOKUP(F160,$A$24:$B$24,2,TRUE)</f>
        <v>200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43</v>
      </c>
      <c r="G161" s="48"/>
      <c r="H161" s="57">
        <f>VLOOKUP(F161,$A$25:$B$25,2,TRUE)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18</v>
      </c>
      <c r="G162" s="48"/>
      <c r="H162" s="57">
        <f>VLOOKUP(F162,$A$26:$B$26,2,TRUE)</f>
        <v>300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44</v>
      </c>
      <c r="G163" s="48"/>
      <c r="H163" s="57">
        <f>VLOOKUP(F163,$A$27:$B$27,2,TRUE)</f>
        <v>100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13</v>
      </c>
      <c r="G164" s="48"/>
      <c r="H164" s="57">
        <f>VLOOKUP(F164,$A$28:$B$28,2,TRUE)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20</v>
      </c>
      <c r="G165" s="48"/>
      <c r="H165" s="57">
        <f>VLOOKUP(F165,$A$29:$B$29,2,TRUE)</f>
        <v>3500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13"/>
      <c r="E166" s="13"/>
      <c r="F166" s="47" t="s">
        <v>60</v>
      </c>
      <c r="G166" s="48">
        <v>1.0</v>
      </c>
      <c r="H166" s="68">
        <v>0.0</v>
      </c>
      <c r="I166" s="50">
        <f t="shared" si="1"/>
        <v>0</v>
      </c>
      <c r="J166" s="13"/>
      <c r="K166" s="25"/>
      <c r="L166" s="25"/>
      <c r="M166" s="25"/>
      <c r="N166" s="25"/>
    </row>
    <row r="167" ht="15.75" customHeight="1">
      <c r="A167" s="44"/>
      <c r="B167" s="44"/>
      <c r="C167" s="44"/>
      <c r="D167" s="45">
        <v>7.0</v>
      </c>
      <c r="E167" s="46" t="s">
        <v>129</v>
      </c>
      <c r="F167" s="47" t="s">
        <v>22</v>
      </c>
      <c r="G167" s="48"/>
      <c r="H167" s="57">
        <f>VLOOKUP(F167,$A$4:$B$4,2,TRUE)</f>
        <v>4500</v>
      </c>
      <c r="I167" s="50">
        <f t="shared" si="1"/>
        <v>0</v>
      </c>
      <c r="J167" s="51">
        <f>SUM(I167:I193)</f>
        <v>10000</v>
      </c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57</v>
      </c>
      <c r="G168" s="48"/>
      <c r="H168" s="57">
        <f>VLOOKUP(F168,$A$5:$B$5,2,TRUE)</f>
        <v>3000</v>
      </c>
      <c r="I168" s="50">
        <f t="shared" si="1"/>
        <v>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59</v>
      </c>
      <c r="G169" s="48"/>
      <c r="H169" s="57">
        <f>VLOOKUP(F169,$A$6:$B$6,2,TRUE)</f>
        <v>1000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52"/>
      <c r="E170" s="52"/>
      <c r="F170" s="47" t="s">
        <v>25</v>
      </c>
      <c r="G170" s="48"/>
      <c r="H170" s="57">
        <f>VLOOKUP(F170,$A$7:$B$7,2,TRUE)</f>
        <v>2800</v>
      </c>
      <c r="I170" s="50">
        <f t="shared" si="1"/>
        <v>0</v>
      </c>
      <c r="J170" s="52"/>
      <c r="K170" s="25"/>
      <c r="L170" s="25"/>
      <c r="M170" s="25"/>
      <c r="N170" s="25"/>
    </row>
    <row r="171" ht="15.75" customHeight="1">
      <c r="A171" s="44"/>
      <c r="B171" s="44"/>
      <c r="C171" s="44"/>
      <c r="D171" s="52"/>
      <c r="E171" s="52"/>
      <c r="F171" s="47" t="s">
        <v>26</v>
      </c>
      <c r="G171" s="48"/>
      <c r="H171" s="57">
        <f>VLOOKUP(F171,$A$8:$B$8,2,TRUE)</f>
        <v>3500</v>
      </c>
      <c r="I171" s="50">
        <f t="shared" si="1"/>
        <v>0</v>
      </c>
      <c r="J171" s="52"/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27</v>
      </c>
      <c r="G172" s="48"/>
      <c r="H172" s="57">
        <f>VLOOKUP(F172,$A$9:$B$9,2,TRUE)</f>
        <v>1000</v>
      </c>
      <c r="I172" s="50">
        <f t="shared" si="1"/>
        <v>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28</v>
      </c>
      <c r="G173" s="48">
        <v>2.5</v>
      </c>
      <c r="H173" s="57">
        <f>VLOOKUP(F173,$A$10:$B$10,2,TRUE)</f>
        <v>2000</v>
      </c>
      <c r="I173" s="50">
        <f t="shared" si="1"/>
        <v>5000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29</v>
      </c>
      <c r="G174" s="48">
        <v>1.0</v>
      </c>
      <c r="H174" s="57">
        <f>VLOOKUP(F174,$A$11:$B$11,2,TRUE)</f>
        <v>1500</v>
      </c>
      <c r="I174" s="50">
        <f t="shared" si="1"/>
        <v>1500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30</v>
      </c>
      <c r="G175" s="48"/>
      <c r="H175" s="57">
        <f>VLOOKUP(F175,$A$12:$B$12,2,TRUE)</f>
        <v>1300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31</v>
      </c>
      <c r="G176" s="48"/>
      <c r="H176" s="57">
        <f>VLOOKUP(F176,$A$13:$B$13,2,TRUE)</f>
        <v>1000</v>
      </c>
      <c r="I176" s="50">
        <f t="shared" si="1"/>
        <v>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32</v>
      </c>
      <c r="G177" s="48"/>
      <c r="H177" s="57">
        <f>VLOOKUP(F177,$A$14:$B$14,2,TRUE)</f>
        <v>500</v>
      </c>
      <c r="I177" s="50">
        <f t="shared" si="1"/>
        <v>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33</v>
      </c>
      <c r="G178" s="48"/>
      <c r="H178" s="57">
        <f>VLOOKUP(F178,$A$15:$B$15,2,TRUE)</f>
        <v>7500</v>
      </c>
      <c r="I178" s="50">
        <f t="shared" si="1"/>
        <v>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34</v>
      </c>
      <c r="G179" s="48"/>
      <c r="H179" s="57">
        <f>VLOOKUP(F179,$A$16:$B$16,2,TRUE)</f>
        <v>2000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35</v>
      </c>
      <c r="G180" s="48"/>
      <c r="H180" s="57">
        <f>VLOOKUP(F180,$A$17:$B$17,2,TRUE)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36</v>
      </c>
      <c r="G181" s="48"/>
      <c r="H181" s="57">
        <f>VLOOKUP(F181,$A$18:$B$18,2,TRUE)</f>
        <v>5000</v>
      </c>
      <c r="I181" s="50">
        <f t="shared" si="1"/>
        <v>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37</v>
      </c>
      <c r="G182" s="48"/>
      <c r="H182" s="57">
        <f>VLOOKUP(F182,$A$19:$B$19,2,TRUE)</f>
        <v>2700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38</v>
      </c>
      <c r="G183" s="48"/>
      <c r="H183" s="57">
        <f>VLOOKUP(F183,$A$20:$B$20,2,TRUE)</f>
        <v>50000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39</v>
      </c>
      <c r="G184" s="48"/>
      <c r="H184" s="57">
        <f>VLOOKUP(F184,$A$21:$B$21,2,TRUE)</f>
        <v>10000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40</v>
      </c>
      <c r="G185" s="48"/>
      <c r="H185" s="57">
        <f>VLOOKUP(F185,$A$22:$B$22,2,TRUE)</f>
        <v>1000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41</v>
      </c>
      <c r="G186" s="48"/>
      <c r="H186" s="57">
        <f>VLOOKUP(F186,$A$23:$B$23,2,TRUE)</f>
        <v>500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42</v>
      </c>
      <c r="G187" s="48"/>
      <c r="H187" s="57">
        <f>VLOOKUP(F187,$A$24:$B$24,2,TRUE)</f>
        <v>200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43</v>
      </c>
      <c r="G188" s="48"/>
      <c r="H188" s="57">
        <f>VLOOKUP(F188,$A$25:$B$25,2,TRUE)</f>
        <v>1000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18</v>
      </c>
      <c r="G189" s="48"/>
      <c r="H189" s="57">
        <f>VLOOKUP(F189,$A$26:$B$26,2,TRUE)</f>
        <v>300</v>
      </c>
      <c r="I189" s="50">
        <f t="shared" si="1"/>
        <v>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44</v>
      </c>
      <c r="G190" s="48"/>
      <c r="H190" s="57">
        <f>VLOOKUP(F190,$A$27:$B$27,2,TRUE)</f>
        <v>100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13</v>
      </c>
      <c r="G191" s="48"/>
      <c r="H191" s="57">
        <f>VLOOKUP(F191,$A$28:$B$28,2,TRUE)</f>
        <v>1500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20</v>
      </c>
      <c r="G192" s="48">
        <v>1.0</v>
      </c>
      <c r="H192" s="57">
        <f>VLOOKUP(F192,$A$29:$B$29,2,TRUE)</f>
        <v>3500</v>
      </c>
      <c r="I192" s="50">
        <f t="shared" si="1"/>
        <v>3500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13"/>
      <c r="E193" s="13"/>
      <c r="F193" s="47" t="s">
        <v>60</v>
      </c>
      <c r="G193" s="48"/>
      <c r="H193" s="57">
        <f>VLOOKUP(F193,$A$30:$B$30,2,TRUE)</f>
        <v>500</v>
      </c>
      <c r="I193" s="50">
        <f t="shared" si="1"/>
        <v>0</v>
      </c>
      <c r="J193" s="13"/>
      <c r="K193" s="25"/>
      <c r="L193" s="25"/>
      <c r="M193" s="25"/>
      <c r="N193" s="25"/>
    </row>
    <row r="194" ht="15.75" customHeight="1">
      <c r="A194" s="44"/>
      <c r="B194" s="44"/>
      <c r="C194" s="44"/>
      <c r="D194" s="45">
        <v>8.0</v>
      </c>
      <c r="E194" s="46" t="s">
        <v>130</v>
      </c>
      <c r="F194" s="47" t="s">
        <v>22</v>
      </c>
      <c r="G194" s="48"/>
      <c r="H194" s="57">
        <f>VLOOKUP(F194,$A$4:$B$4,2,TRUE)</f>
        <v>4500</v>
      </c>
      <c r="I194" s="50">
        <f t="shared" si="1"/>
        <v>0</v>
      </c>
      <c r="J194" s="51">
        <f>SUM(I194:I220)</f>
        <v>28000</v>
      </c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57</v>
      </c>
      <c r="G195" s="48">
        <v>3.0</v>
      </c>
      <c r="H195" s="57">
        <f>VLOOKUP(F195,$A$5:$B$5,2,TRUE)</f>
        <v>3000</v>
      </c>
      <c r="I195" s="50">
        <f t="shared" si="1"/>
        <v>9000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59</v>
      </c>
      <c r="G196" s="48"/>
      <c r="H196" s="57">
        <f>VLOOKUP(F196,$A$6:$B$6,2,TRUE)</f>
        <v>1000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25</v>
      </c>
      <c r="G197" s="48"/>
      <c r="H197" s="57">
        <f>VLOOKUP(F197,$A$7:$B$7,2,TRUE)</f>
        <v>2800</v>
      </c>
      <c r="I197" s="50">
        <f t="shared" si="1"/>
        <v>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52"/>
      <c r="E198" s="52"/>
      <c r="F198" s="47" t="s">
        <v>26</v>
      </c>
      <c r="G198" s="48"/>
      <c r="H198" s="57">
        <f>VLOOKUP(F198,$A$8:$B$8,2,TRUE)</f>
        <v>3500</v>
      </c>
      <c r="I198" s="50">
        <f t="shared" si="1"/>
        <v>0</v>
      </c>
      <c r="J198" s="52"/>
      <c r="K198" s="25"/>
      <c r="L198" s="25"/>
      <c r="M198" s="25"/>
      <c r="N198" s="25"/>
    </row>
    <row r="199" ht="15.75" customHeight="1">
      <c r="A199" s="44"/>
      <c r="B199" s="44"/>
      <c r="C199" s="44"/>
      <c r="D199" s="52"/>
      <c r="E199" s="52"/>
      <c r="F199" s="47" t="s">
        <v>27</v>
      </c>
      <c r="G199" s="48">
        <v>2.0</v>
      </c>
      <c r="H199" s="57">
        <f>VLOOKUP(F199,$A$9:$B$9,2,TRUE)</f>
        <v>1000</v>
      </c>
      <c r="I199" s="50">
        <f t="shared" si="1"/>
        <v>2000</v>
      </c>
      <c r="J199" s="52"/>
      <c r="K199" s="25"/>
      <c r="L199" s="25"/>
      <c r="M199" s="25"/>
      <c r="N199" s="25"/>
    </row>
    <row r="200" ht="15.75" customHeight="1">
      <c r="A200" s="44"/>
      <c r="B200" s="44"/>
      <c r="C200" s="44"/>
      <c r="D200" s="52"/>
      <c r="E200" s="52"/>
      <c r="F200" s="47" t="s">
        <v>28</v>
      </c>
      <c r="G200" s="48"/>
      <c r="H200" s="57">
        <f>VLOOKUP(F200,$A$10:$B$10,2,TRUE)</f>
        <v>2000</v>
      </c>
      <c r="I200" s="50">
        <f t="shared" si="1"/>
        <v>0</v>
      </c>
      <c r="J200" s="52"/>
      <c r="K200" s="25"/>
      <c r="L200" s="25"/>
      <c r="M200" s="25"/>
      <c r="N200" s="25"/>
    </row>
    <row r="201" ht="15.75" customHeight="1">
      <c r="A201" s="44"/>
      <c r="B201" s="44"/>
      <c r="C201" s="44"/>
      <c r="D201" s="52"/>
      <c r="E201" s="52"/>
      <c r="F201" s="47" t="s">
        <v>29</v>
      </c>
      <c r="G201" s="48"/>
      <c r="H201" s="57">
        <f>VLOOKUP(F201,$A$11:$B$11,2,TRUE)</f>
        <v>1500</v>
      </c>
      <c r="I201" s="50">
        <f t="shared" si="1"/>
        <v>0</v>
      </c>
      <c r="J201" s="52"/>
      <c r="K201" s="25"/>
      <c r="L201" s="25"/>
      <c r="M201" s="25"/>
      <c r="N201" s="25"/>
    </row>
    <row r="202" ht="15.75" customHeight="1">
      <c r="A202" s="44"/>
      <c r="B202" s="44"/>
      <c r="C202" s="44"/>
      <c r="D202" s="52"/>
      <c r="E202" s="52"/>
      <c r="F202" s="47" t="s">
        <v>30</v>
      </c>
      <c r="G202" s="48"/>
      <c r="H202" s="57">
        <f>VLOOKUP(F202,$A$12:$B$12,2,TRUE)</f>
        <v>1300</v>
      </c>
      <c r="I202" s="50">
        <f t="shared" si="1"/>
        <v>0</v>
      </c>
      <c r="J202" s="52"/>
      <c r="K202" s="25"/>
      <c r="L202" s="25"/>
      <c r="M202" s="25"/>
      <c r="N202" s="25"/>
    </row>
    <row r="203" ht="15.75" customHeight="1">
      <c r="A203" s="44"/>
      <c r="B203" s="44"/>
      <c r="C203" s="44"/>
      <c r="D203" s="52"/>
      <c r="E203" s="52"/>
      <c r="F203" s="47" t="s">
        <v>31</v>
      </c>
      <c r="G203" s="48"/>
      <c r="H203" s="57">
        <f>VLOOKUP(F203,$A$13:$B$13,2,TRUE)</f>
        <v>1000</v>
      </c>
      <c r="I203" s="50">
        <f t="shared" si="1"/>
        <v>0</v>
      </c>
      <c r="J203" s="52"/>
      <c r="K203" s="25"/>
      <c r="L203" s="25"/>
      <c r="M203" s="25"/>
      <c r="N203" s="25"/>
    </row>
    <row r="204" ht="15.75" customHeight="1">
      <c r="A204" s="44"/>
      <c r="B204" s="44"/>
      <c r="C204" s="44"/>
      <c r="D204" s="52"/>
      <c r="E204" s="52"/>
      <c r="F204" s="47" t="s">
        <v>32</v>
      </c>
      <c r="G204" s="48">
        <v>1.5</v>
      </c>
      <c r="H204" s="57">
        <f>VLOOKUP(F204,$A$14:$B$14,2,TRUE)</f>
        <v>500</v>
      </c>
      <c r="I204" s="50">
        <f t="shared" si="1"/>
        <v>750</v>
      </c>
      <c r="J204" s="52"/>
      <c r="K204" s="25"/>
      <c r="L204" s="25"/>
      <c r="M204" s="25"/>
      <c r="N204" s="25"/>
    </row>
    <row r="205" ht="15.75" customHeight="1">
      <c r="A205" s="44"/>
      <c r="B205" s="44"/>
      <c r="C205" s="44"/>
      <c r="D205" s="52"/>
      <c r="E205" s="52"/>
      <c r="F205" s="47" t="s">
        <v>33</v>
      </c>
      <c r="G205" s="48"/>
      <c r="H205" s="57">
        <f>VLOOKUP(F205,$A$15:$B$15,2,TRUE)</f>
        <v>7500</v>
      </c>
      <c r="I205" s="50">
        <f t="shared" si="1"/>
        <v>0</v>
      </c>
      <c r="J205" s="52"/>
      <c r="K205" s="25"/>
      <c r="L205" s="25"/>
      <c r="M205" s="25"/>
      <c r="N205" s="25"/>
    </row>
    <row r="206" ht="15.75" customHeight="1">
      <c r="A206" s="44"/>
      <c r="B206" s="44"/>
      <c r="C206" s="44"/>
      <c r="D206" s="52"/>
      <c r="E206" s="52"/>
      <c r="F206" s="47" t="s">
        <v>34</v>
      </c>
      <c r="G206" s="48"/>
      <c r="H206" s="57">
        <f>VLOOKUP(F206,$A$16:$B$16,2,TRUE)</f>
        <v>2000</v>
      </c>
      <c r="I206" s="50">
        <f t="shared" si="1"/>
        <v>0</v>
      </c>
      <c r="J206" s="52"/>
      <c r="K206" s="25"/>
      <c r="L206" s="25"/>
      <c r="M206" s="25"/>
      <c r="N206" s="25"/>
    </row>
    <row r="207" ht="15.75" customHeight="1">
      <c r="A207" s="44"/>
      <c r="B207" s="44"/>
      <c r="C207" s="44"/>
      <c r="D207" s="52"/>
      <c r="E207" s="52"/>
      <c r="F207" s="47" t="s">
        <v>35</v>
      </c>
      <c r="G207" s="48"/>
      <c r="H207" s="57">
        <f>VLOOKUP(F207,$A$17:$B$17,2,TRUE)</f>
        <v>1000</v>
      </c>
      <c r="I207" s="50">
        <f t="shared" si="1"/>
        <v>0</v>
      </c>
      <c r="J207" s="52"/>
      <c r="K207" s="25"/>
      <c r="L207" s="25"/>
      <c r="M207" s="25"/>
      <c r="N207" s="25"/>
    </row>
    <row r="208" ht="15.75" customHeight="1">
      <c r="A208" s="44"/>
      <c r="B208" s="44"/>
      <c r="C208" s="44"/>
      <c r="D208" s="52"/>
      <c r="E208" s="52"/>
      <c r="F208" s="47" t="s">
        <v>36</v>
      </c>
      <c r="G208" s="48"/>
      <c r="H208" s="57">
        <f>VLOOKUP(F208,$A$18:$B$18,2,TRUE)</f>
        <v>5000</v>
      </c>
      <c r="I208" s="50">
        <f t="shared" si="1"/>
        <v>0</v>
      </c>
      <c r="J208" s="52"/>
      <c r="K208" s="25"/>
      <c r="L208" s="25"/>
      <c r="M208" s="25"/>
      <c r="N208" s="25"/>
    </row>
    <row r="209" ht="15.75" customHeight="1">
      <c r="A209" s="44"/>
      <c r="B209" s="44"/>
      <c r="C209" s="44"/>
      <c r="D209" s="52"/>
      <c r="E209" s="52"/>
      <c r="F209" s="47" t="s">
        <v>37</v>
      </c>
      <c r="G209" s="48"/>
      <c r="H209" s="57">
        <f>VLOOKUP(F209,$A$19:$B$19,2,TRUE)</f>
        <v>2700</v>
      </c>
      <c r="I209" s="50">
        <f t="shared" si="1"/>
        <v>0</v>
      </c>
      <c r="J209" s="52"/>
      <c r="K209" s="25"/>
      <c r="L209" s="25"/>
      <c r="M209" s="25"/>
      <c r="N209" s="25"/>
    </row>
    <row r="210" ht="15.75" customHeight="1">
      <c r="A210" s="44"/>
      <c r="B210" s="44"/>
      <c r="C210" s="44"/>
      <c r="D210" s="52"/>
      <c r="E210" s="52"/>
      <c r="F210" s="47" t="s">
        <v>38</v>
      </c>
      <c r="G210" s="48"/>
      <c r="H210" s="57">
        <f>VLOOKUP(F210,$A$20:$B$20,2,TRUE)</f>
        <v>50000</v>
      </c>
      <c r="I210" s="50">
        <f t="shared" si="1"/>
        <v>0</v>
      </c>
      <c r="J210" s="52"/>
      <c r="K210" s="25"/>
      <c r="L210" s="25"/>
      <c r="M210" s="25"/>
      <c r="N210" s="25"/>
    </row>
    <row r="211" ht="15.75" customHeight="1">
      <c r="A211" s="44"/>
      <c r="B211" s="44"/>
      <c r="C211" s="44"/>
      <c r="D211" s="52"/>
      <c r="E211" s="52"/>
      <c r="F211" s="47" t="s">
        <v>39</v>
      </c>
      <c r="G211" s="48"/>
      <c r="H211" s="57">
        <f>VLOOKUP(F211,$A$21:$B$21,2,TRUE)</f>
        <v>10000</v>
      </c>
      <c r="I211" s="50">
        <f t="shared" si="1"/>
        <v>0</v>
      </c>
      <c r="J211" s="52"/>
      <c r="K211" s="25"/>
      <c r="L211" s="25"/>
      <c r="M211" s="25"/>
      <c r="N211" s="25"/>
    </row>
    <row r="212" ht="15.75" customHeight="1">
      <c r="A212" s="44"/>
      <c r="B212" s="44"/>
      <c r="C212" s="44"/>
      <c r="D212" s="52"/>
      <c r="E212" s="52"/>
      <c r="F212" s="47" t="s">
        <v>40</v>
      </c>
      <c r="G212" s="48">
        <f>3.5</f>
        <v>3.5</v>
      </c>
      <c r="H212" s="57">
        <f>VLOOKUP(F212,$A$22:$B$22,2,TRUE)</f>
        <v>1000</v>
      </c>
      <c r="I212" s="50">
        <f t="shared" si="1"/>
        <v>3500</v>
      </c>
      <c r="J212" s="52"/>
      <c r="K212" s="25"/>
      <c r="L212" s="25"/>
      <c r="M212" s="25"/>
      <c r="N212" s="25"/>
    </row>
    <row r="213" ht="15.75" customHeight="1">
      <c r="A213" s="44"/>
      <c r="B213" s="44"/>
      <c r="C213" s="44"/>
      <c r="D213" s="52"/>
      <c r="E213" s="52"/>
      <c r="F213" s="47" t="s">
        <v>41</v>
      </c>
      <c r="G213" s="48"/>
      <c r="H213" s="57">
        <f>VLOOKUP(F213,$A$23:$B$23,2,TRUE)</f>
        <v>500</v>
      </c>
      <c r="I213" s="50">
        <f t="shared" si="1"/>
        <v>0</v>
      </c>
      <c r="J213" s="52"/>
      <c r="K213" s="25"/>
      <c r="L213" s="25"/>
      <c r="M213" s="25"/>
      <c r="N213" s="25"/>
    </row>
    <row r="214" ht="15.75" customHeight="1">
      <c r="A214" s="44"/>
      <c r="B214" s="44"/>
      <c r="C214" s="44"/>
      <c r="D214" s="52"/>
      <c r="E214" s="52"/>
      <c r="F214" s="47" t="s">
        <v>42</v>
      </c>
      <c r="G214" s="48"/>
      <c r="H214" s="57">
        <f>VLOOKUP(F214,$A$24:$B$24,2,TRUE)</f>
        <v>200</v>
      </c>
      <c r="I214" s="50">
        <f t="shared" si="1"/>
        <v>0</v>
      </c>
      <c r="J214" s="52"/>
      <c r="K214" s="25"/>
      <c r="L214" s="25"/>
      <c r="M214" s="25"/>
      <c r="N214" s="25"/>
    </row>
    <row r="215" ht="15.75" customHeight="1">
      <c r="A215" s="44"/>
      <c r="B215" s="44"/>
      <c r="C215" s="44"/>
      <c r="D215" s="52"/>
      <c r="E215" s="52"/>
      <c r="F215" s="47" t="s">
        <v>43</v>
      </c>
      <c r="G215" s="48"/>
      <c r="H215" s="57">
        <f>VLOOKUP(F215,$A$25:$B$25,2,TRUE)</f>
        <v>1000</v>
      </c>
      <c r="I215" s="50">
        <f t="shared" si="1"/>
        <v>0</v>
      </c>
      <c r="J215" s="52"/>
      <c r="K215" s="25"/>
      <c r="L215" s="25"/>
      <c r="M215" s="25"/>
      <c r="N215" s="25"/>
    </row>
    <row r="216" ht="15.75" customHeight="1">
      <c r="A216" s="44"/>
      <c r="B216" s="44"/>
      <c r="C216" s="44"/>
      <c r="D216" s="52"/>
      <c r="E216" s="52"/>
      <c r="F216" s="47" t="s">
        <v>18</v>
      </c>
      <c r="G216" s="48"/>
      <c r="H216" s="57">
        <f>VLOOKUP(F216,$A$26:$B$26,2,TRUE)</f>
        <v>300</v>
      </c>
      <c r="I216" s="50">
        <f t="shared" si="1"/>
        <v>0</v>
      </c>
      <c r="J216" s="52"/>
      <c r="K216" s="25"/>
      <c r="L216" s="25"/>
      <c r="M216" s="25"/>
      <c r="N216" s="25"/>
    </row>
    <row r="217" ht="15.75" customHeight="1">
      <c r="A217" s="44"/>
      <c r="B217" s="44"/>
      <c r="C217" s="44"/>
      <c r="D217" s="52"/>
      <c r="E217" s="52"/>
      <c r="F217" s="47" t="s">
        <v>44</v>
      </c>
      <c r="G217" s="48">
        <v>15.0</v>
      </c>
      <c r="H217" s="57">
        <f>VLOOKUP(F217,$A$27:$B$27,2,TRUE)</f>
        <v>100</v>
      </c>
      <c r="I217" s="50">
        <f t="shared" si="1"/>
        <v>1500</v>
      </c>
      <c r="J217" s="52"/>
      <c r="K217" s="25"/>
      <c r="L217" s="25"/>
      <c r="M217" s="25"/>
      <c r="N217" s="25"/>
    </row>
    <row r="218" ht="15.75" customHeight="1">
      <c r="A218" s="44"/>
      <c r="B218" s="44"/>
      <c r="C218" s="44"/>
      <c r="D218" s="52"/>
      <c r="E218" s="52"/>
      <c r="F218" s="47" t="s">
        <v>13</v>
      </c>
      <c r="G218" s="48">
        <v>7.5</v>
      </c>
      <c r="H218" s="57">
        <f>VLOOKUP(F218,$A$28:$B$28,2,TRUE)</f>
        <v>1500</v>
      </c>
      <c r="I218" s="50">
        <f t="shared" si="1"/>
        <v>11250</v>
      </c>
      <c r="J218" s="52"/>
      <c r="K218" s="25"/>
      <c r="L218" s="25"/>
      <c r="M218" s="25"/>
      <c r="N218" s="25"/>
    </row>
    <row r="219" ht="15.75" customHeight="1">
      <c r="A219" s="44"/>
      <c r="B219" s="44"/>
      <c r="C219" s="44"/>
      <c r="D219" s="52"/>
      <c r="E219" s="52"/>
      <c r="F219" s="47" t="s">
        <v>20</v>
      </c>
      <c r="G219" s="48"/>
      <c r="H219" s="57">
        <f>VLOOKUP(F219,$A$29:$B$29,2,TRUE)</f>
        <v>3500</v>
      </c>
      <c r="I219" s="50">
        <f t="shared" si="1"/>
        <v>0</v>
      </c>
      <c r="J219" s="52"/>
      <c r="K219" s="25"/>
      <c r="L219" s="25"/>
      <c r="M219" s="25"/>
      <c r="N219" s="25"/>
    </row>
    <row r="220" ht="15.75" customHeight="1">
      <c r="A220" s="44"/>
      <c r="B220" s="44"/>
      <c r="C220" s="44"/>
      <c r="D220" s="13"/>
      <c r="E220" s="13"/>
      <c r="F220" s="47" t="s">
        <v>60</v>
      </c>
      <c r="G220" s="48">
        <v>1.0</v>
      </c>
      <c r="H220" s="68">
        <v>0.0</v>
      </c>
      <c r="I220" s="50">
        <f t="shared" si="1"/>
        <v>0</v>
      </c>
      <c r="J220" s="13"/>
      <c r="K220" s="25"/>
      <c r="L220" s="25"/>
      <c r="M220" s="25"/>
      <c r="N220" s="25"/>
    </row>
    <row r="221" ht="15.75" customHeight="1">
      <c r="A221" s="44"/>
      <c r="B221" s="44"/>
      <c r="C221" s="44"/>
      <c r="D221" s="45">
        <v>9.0</v>
      </c>
      <c r="E221" s="46" t="s">
        <v>131</v>
      </c>
      <c r="F221" s="47" t="s">
        <v>22</v>
      </c>
      <c r="G221" s="48"/>
      <c r="H221" s="57">
        <f>VLOOKUP(F221,$A$4:$B$4,2,TRUE)</f>
        <v>4500</v>
      </c>
      <c r="I221" s="50">
        <f t="shared" si="1"/>
        <v>0</v>
      </c>
      <c r="J221" s="51">
        <f>SUM(I221:I247)</f>
        <v>23500</v>
      </c>
      <c r="K221" s="25"/>
      <c r="L221" s="25"/>
      <c r="M221" s="25"/>
      <c r="N221" s="25"/>
    </row>
    <row r="222" ht="15.75" customHeight="1">
      <c r="A222" s="44"/>
      <c r="B222" s="44"/>
      <c r="C222" s="44"/>
      <c r="D222" s="52"/>
      <c r="E222" s="52"/>
      <c r="F222" s="47" t="s">
        <v>57</v>
      </c>
      <c r="G222" s="48"/>
      <c r="H222" s="57">
        <f>VLOOKUP(F222,$A$5:$B$5,2,TRUE)</f>
        <v>3000</v>
      </c>
      <c r="I222" s="50">
        <f t="shared" si="1"/>
        <v>0</v>
      </c>
      <c r="J222" s="52"/>
      <c r="K222" s="25"/>
      <c r="L222" s="25"/>
      <c r="M222" s="25"/>
      <c r="N222" s="25"/>
    </row>
    <row r="223" ht="15.75" customHeight="1">
      <c r="A223" s="44"/>
      <c r="B223" s="44"/>
      <c r="C223" s="44"/>
      <c r="D223" s="52"/>
      <c r="E223" s="52"/>
      <c r="F223" s="47" t="s">
        <v>59</v>
      </c>
      <c r="G223" s="48"/>
      <c r="H223" s="57">
        <f>VLOOKUP(F223,$A$6:$B$6,2,TRUE)</f>
        <v>1000</v>
      </c>
      <c r="I223" s="50">
        <f t="shared" si="1"/>
        <v>0</v>
      </c>
      <c r="J223" s="52"/>
      <c r="K223" s="25"/>
      <c r="L223" s="25"/>
      <c r="M223" s="25"/>
      <c r="N223" s="25"/>
    </row>
    <row r="224" ht="15.75" customHeight="1">
      <c r="A224" s="44"/>
      <c r="B224" s="44"/>
      <c r="C224" s="44"/>
      <c r="D224" s="52"/>
      <c r="E224" s="52"/>
      <c r="F224" s="47" t="s">
        <v>25</v>
      </c>
      <c r="G224" s="48"/>
      <c r="H224" s="57">
        <f>VLOOKUP(F224,$A$7:$B$7,2,TRUE)</f>
        <v>2800</v>
      </c>
      <c r="I224" s="50">
        <f t="shared" si="1"/>
        <v>0</v>
      </c>
      <c r="J224" s="52"/>
      <c r="K224" s="25"/>
      <c r="L224" s="25"/>
      <c r="M224" s="25"/>
      <c r="N224" s="25"/>
    </row>
    <row r="225" ht="15.75" customHeight="1">
      <c r="A225" s="44"/>
      <c r="B225" s="44"/>
      <c r="C225" s="44"/>
      <c r="D225" s="52"/>
      <c r="E225" s="52"/>
      <c r="F225" s="47" t="s">
        <v>26</v>
      </c>
      <c r="G225" s="48"/>
      <c r="H225" s="57">
        <f>VLOOKUP(F225,$A$8:$B$8,2,TRUE)</f>
        <v>3500</v>
      </c>
      <c r="I225" s="50">
        <f t="shared" si="1"/>
        <v>0</v>
      </c>
      <c r="J225" s="52"/>
      <c r="K225" s="25"/>
      <c r="L225" s="25"/>
      <c r="M225" s="25"/>
      <c r="N225" s="25"/>
    </row>
    <row r="226" ht="15.75" customHeight="1">
      <c r="A226" s="44"/>
      <c r="B226" s="44"/>
      <c r="C226" s="44"/>
      <c r="D226" s="52"/>
      <c r="E226" s="52"/>
      <c r="F226" s="47" t="s">
        <v>27</v>
      </c>
      <c r="G226" s="48">
        <v>3.0</v>
      </c>
      <c r="H226" s="57">
        <f>VLOOKUP(F226,$A$9:$B$9,2,TRUE)</f>
        <v>1000</v>
      </c>
      <c r="I226" s="50">
        <f t="shared" si="1"/>
        <v>3000</v>
      </c>
      <c r="J226" s="52"/>
      <c r="K226" s="25"/>
      <c r="L226" s="25"/>
      <c r="M226" s="25"/>
      <c r="N226" s="25"/>
    </row>
    <row r="227" ht="15.75" customHeight="1">
      <c r="A227" s="44"/>
      <c r="B227" s="44"/>
      <c r="C227" s="44"/>
      <c r="D227" s="52"/>
      <c r="E227" s="52"/>
      <c r="F227" s="47" t="s">
        <v>28</v>
      </c>
      <c r="G227" s="48"/>
      <c r="H227" s="57">
        <f>VLOOKUP(F227,$A$10:$B$10,2,TRUE)</f>
        <v>2000</v>
      </c>
      <c r="I227" s="50">
        <f t="shared" si="1"/>
        <v>0</v>
      </c>
      <c r="J227" s="52"/>
      <c r="K227" s="25"/>
      <c r="L227" s="25"/>
      <c r="M227" s="25"/>
      <c r="N227" s="25"/>
    </row>
    <row r="228" ht="15.75" customHeight="1">
      <c r="A228" s="44"/>
      <c r="B228" s="44"/>
      <c r="C228" s="44"/>
      <c r="D228" s="52"/>
      <c r="E228" s="52"/>
      <c r="F228" s="47" t="s">
        <v>29</v>
      </c>
      <c r="G228" s="48">
        <v>4.5</v>
      </c>
      <c r="H228" s="57">
        <f>VLOOKUP(F228,$A$11:$B$11,2,TRUE)</f>
        <v>1500</v>
      </c>
      <c r="I228" s="50">
        <f t="shared" si="1"/>
        <v>6750</v>
      </c>
      <c r="J228" s="52"/>
      <c r="K228" s="25"/>
      <c r="L228" s="25"/>
      <c r="M228" s="25"/>
      <c r="N228" s="25"/>
    </row>
    <row r="229" ht="15.75" customHeight="1">
      <c r="A229" s="44"/>
      <c r="B229" s="44"/>
      <c r="C229" s="44"/>
      <c r="D229" s="52"/>
      <c r="E229" s="52"/>
      <c r="F229" s="47" t="s">
        <v>30</v>
      </c>
      <c r="G229" s="48"/>
      <c r="H229" s="57">
        <f>VLOOKUP(F229,$A$12:$B$12,2,TRUE)</f>
        <v>1300</v>
      </c>
      <c r="I229" s="50">
        <f t="shared" si="1"/>
        <v>0</v>
      </c>
      <c r="J229" s="52"/>
      <c r="K229" s="25"/>
      <c r="L229" s="25"/>
      <c r="M229" s="25"/>
      <c r="N229" s="25"/>
    </row>
    <row r="230" ht="15.75" customHeight="1">
      <c r="A230" s="44"/>
      <c r="B230" s="44"/>
      <c r="C230" s="44"/>
      <c r="D230" s="52"/>
      <c r="E230" s="52"/>
      <c r="F230" s="47" t="s">
        <v>31</v>
      </c>
      <c r="G230" s="48"/>
      <c r="H230" s="57">
        <f>VLOOKUP(F230,$A$13:$B$13,2,TRUE)</f>
        <v>1000</v>
      </c>
      <c r="I230" s="50">
        <f t="shared" si="1"/>
        <v>0</v>
      </c>
      <c r="J230" s="52"/>
      <c r="K230" s="25"/>
      <c r="L230" s="25"/>
      <c r="M230" s="25"/>
      <c r="N230" s="25"/>
    </row>
    <row r="231" ht="15.75" customHeight="1">
      <c r="A231" s="44"/>
      <c r="B231" s="44"/>
      <c r="C231" s="44"/>
      <c r="D231" s="52"/>
      <c r="E231" s="52"/>
      <c r="F231" s="47" t="s">
        <v>32</v>
      </c>
      <c r="G231" s="48"/>
      <c r="H231" s="57">
        <f>VLOOKUP(F231,$A$14:$B$14,2,TRUE)</f>
        <v>500</v>
      </c>
      <c r="I231" s="50">
        <f t="shared" si="1"/>
        <v>0</v>
      </c>
      <c r="J231" s="52"/>
      <c r="K231" s="25"/>
      <c r="L231" s="25"/>
      <c r="M231" s="25"/>
      <c r="N231" s="25"/>
    </row>
    <row r="232" ht="15.75" customHeight="1">
      <c r="A232" s="44"/>
      <c r="B232" s="44"/>
      <c r="C232" s="44"/>
      <c r="D232" s="52"/>
      <c r="E232" s="52"/>
      <c r="F232" s="47" t="s">
        <v>33</v>
      </c>
      <c r="G232" s="48"/>
      <c r="H232" s="57">
        <f>VLOOKUP(F232,$A$15:$B$15,2,TRUE)</f>
        <v>7500</v>
      </c>
      <c r="I232" s="50">
        <f t="shared" si="1"/>
        <v>0</v>
      </c>
      <c r="J232" s="52"/>
      <c r="K232" s="25"/>
      <c r="L232" s="25"/>
      <c r="M232" s="25"/>
      <c r="N232" s="25"/>
    </row>
    <row r="233" ht="15.75" customHeight="1">
      <c r="A233" s="44"/>
      <c r="B233" s="44"/>
      <c r="C233" s="44"/>
      <c r="D233" s="52"/>
      <c r="E233" s="52"/>
      <c r="F233" s="47" t="s">
        <v>34</v>
      </c>
      <c r="G233" s="48">
        <f>2.5+4</f>
        <v>6.5</v>
      </c>
      <c r="H233" s="57">
        <f>VLOOKUP(F233,$A$16:$B$16,2,TRUE)</f>
        <v>2000</v>
      </c>
      <c r="I233" s="50">
        <f t="shared" si="1"/>
        <v>13000</v>
      </c>
      <c r="J233" s="52"/>
      <c r="K233" s="25"/>
      <c r="L233" s="25"/>
      <c r="M233" s="25"/>
      <c r="N233" s="25"/>
    </row>
    <row r="234" ht="15.75" customHeight="1">
      <c r="A234" s="44"/>
      <c r="B234" s="44"/>
      <c r="C234" s="44"/>
      <c r="D234" s="52"/>
      <c r="E234" s="52"/>
      <c r="F234" s="47" t="s">
        <v>35</v>
      </c>
      <c r="G234" s="48"/>
      <c r="H234" s="57">
        <f>VLOOKUP(F234,$A$17:$B$17,2,TRUE)</f>
        <v>1000</v>
      </c>
      <c r="I234" s="50">
        <f t="shared" si="1"/>
        <v>0</v>
      </c>
      <c r="J234" s="52"/>
      <c r="K234" s="25"/>
      <c r="L234" s="25"/>
      <c r="M234" s="25"/>
      <c r="N234" s="25"/>
    </row>
    <row r="235" ht="15.75" customHeight="1">
      <c r="A235" s="44"/>
      <c r="B235" s="44"/>
      <c r="C235" s="44"/>
      <c r="D235" s="52"/>
      <c r="E235" s="52"/>
      <c r="F235" s="47" t="s">
        <v>36</v>
      </c>
      <c r="G235" s="48"/>
      <c r="H235" s="57">
        <f>VLOOKUP(F235,$A$18:$B$18,2,TRUE)</f>
        <v>5000</v>
      </c>
      <c r="I235" s="50">
        <f t="shared" si="1"/>
        <v>0</v>
      </c>
      <c r="J235" s="52"/>
      <c r="K235" s="25"/>
      <c r="L235" s="25"/>
      <c r="M235" s="25"/>
      <c r="N235" s="25"/>
    </row>
    <row r="236" ht="15.75" customHeight="1">
      <c r="A236" s="44"/>
      <c r="B236" s="44"/>
      <c r="C236" s="44"/>
      <c r="D236" s="52"/>
      <c r="E236" s="52"/>
      <c r="F236" s="47" t="s">
        <v>37</v>
      </c>
      <c r="G236" s="48"/>
      <c r="H236" s="57">
        <f>VLOOKUP(F236,$A$19:$B$19,2,TRUE)</f>
        <v>2700</v>
      </c>
      <c r="I236" s="50">
        <f t="shared" si="1"/>
        <v>0</v>
      </c>
      <c r="J236" s="52"/>
      <c r="K236" s="25"/>
      <c r="L236" s="25"/>
      <c r="M236" s="25"/>
      <c r="N236" s="25"/>
    </row>
    <row r="237" ht="15.75" customHeight="1">
      <c r="A237" s="44"/>
      <c r="B237" s="44"/>
      <c r="C237" s="44"/>
      <c r="D237" s="52"/>
      <c r="E237" s="52"/>
      <c r="F237" s="47" t="s">
        <v>38</v>
      </c>
      <c r="G237" s="48"/>
      <c r="H237" s="57">
        <f>VLOOKUP(F237,$A$20:$B$20,2,TRUE)</f>
        <v>50000</v>
      </c>
      <c r="I237" s="50">
        <f t="shared" si="1"/>
        <v>0</v>
      </c>
      <c r="J237" s="52"/>
      <c r="K237" s="25"/>
      <c r="L237" s="25"/>
      <c r="M237" s="25"/>
      <c r="N237" s="25"/>
    </row>
    <row r="238" ht="15.75" customHeight="1">
      <c r="A238" s="44"/>
      <c r="B238" s="44"/>
      <c r="C238" s="44"/>
      <c r="D238" s="52"/>
      <c r="E238" s="52"/>
      <c r="F238" s="47" t="s">
        <v>39</v>
      </c>
      <c r="G238" s="48"/>
      <c r="H238" s="57">
        <f>VLOOKUP(F238,$A$21:$B$21,2,TRUE)</f>
        <v>10000</v>
      </c>
      <c r="I238" s="50">
        <f t="shared" si="1"/>
        <v>0</v>
      </c>
      <c r="J238" s="52"/>
      <c r="K238" s="25"/>
      <c r="L238" s="25"/>
      <c r="M238" s="25"/>
      <c r="N238" s="25"/>
    </row>
    <row r="239" ht="15.75" customHeight="1">
      <c r="A239" s="44"/>
      <c r="B239" s="44"/>
      <c r="C239" s="44"/>
      <c r="D239" s="52"/>
      <c r="E239" s="52"/>
      <c r="F239" s="47" t="s">
        <v>40</v>
      </c>
      <c r="G239" s="48"/>
      <c r="H239" s="57">
        <f>VLOOKUP(F239,$A$22:$B$22,2,TRUE)</f>
        <v>1000</v>
      </c>
      <c r="I239" s="50">
        <f t="shared" si="1"/>
        <v>0</v>
      </c>
      <c r="J239" s="52"/>
      <c r="K239" s="25"/>
      <c r="L239" s="25"/>
      <c r="M239" s="25"/>
      <c r="N239" s="25"/>
    </row>
    <row r="240" ht="15.75" customHeight="1">
      <c r="A240" s="44"/>
      <c r="B240" s="44"/>
      <c r="C240" s="44"/>
      <c r="D240" s="52"/>
      <c r="E240" s="52"/>
      <c r="F240" s="47" t="s">
        <v>41</v>
      </c>
      <c r="G240" s="48"/>
      <c r="H240" s="57">
        <f>VLOOKUP(F240,$A$23:$B$23,2,TRUE)</f>
        <v>500</v>
      </c>
      <c r="I240" s="50">
        <f t="shared" si="1"/>
        <v>0</v>
      </c>
      <c r="J240" s="52"/>
      <c r="K240" s="25"/>
      <c r="L240" s="25"/>
      <c r="M240" s="25"/>
      <c r="N240" s="25"/>
    </row>
    <row r="241" ht="15.75" customHeight="1">
      <c r="A241" s="44"/>
      <c r="B241" s="44"/>
      <c r="C241" s="44"/>
      <c r="D241" s="52"/>
      <c r="E241" s="52"/>
      <c r="F241" s="47" t="s">
        <v>42</v>
      </c>
      <c r="G241" s="48"/>
      <c r="H241" s="57">
        <f>VLOOKUP(F241,$A$24:$B$24,2,TRUE)</f>
        <v>200</v>
      </c>
      <c r="I241" s="50">
        <f t="shared" si="1"/>
        <v>0</v>
      </c>
      <c r="J241" s="52"/>
      <c r="K241" s="25"/>
      <c r="L241" s="25"/>
      <c r="M241" s="25"/>
      <c r="N241" s="25"/>
    </row>
    <row r="242" ht="15.75" customHeight="1">
      <c r="A242" s="44"/>
      <c r="B242" s="44"/>
      <c r="C242" s="44"/>
      <c r="D242" s="52"/>
      <c r="E242" s="52"/>
      <c r="F242" s="47" t="s">
        <v>43</v>
      </c>
      <c r="G242" s="48"/>
      <c r="H242" s="57">
        <f>VLOOKUP(F242,$A$25:$B$25,2,TRUE)</f>
        <v>1000</v>
      </c>
      <c r="I242" s="50">
        <f t="shared" si="1"/>
        <v>0</v>
      </c>
      <c r="J242" s="52"/>
      <c r="K242" s="25"/>
      <c r="L242" s="25"/>
      <c r="M242" s="25"/>
      <c r="N242" s="25"/>
    </row>
    <row r="243" ht="15.75" customHeight="1">
      <c r="A243" s="44"/>
      <c r="B243" s="44"/>
      <c r="C243" s="44"/>
      <c r="D243" s="52"/>
      <c r="E243" s="52"/>
      <c r="F243" s="47" t="s">
        <v>18</v>
      </c>
      <c r="G243" s="48">
        <v>2.5</v>
      </c>
      <c r="H243" s="57">
        <f>VLOOKUP(F243,$A$26:$B$26,2,TRUE)</f>
        <v>300</v>
      </c>
      <c r="I243" s="50">
        <f t="shared" si="1"/>
        <v>750</v>
      </c>
      <c r="J243" s="52"/>
      <c r="K243" s="25"/>
      <c r="L243" s="25"/>
      <c r="M243" s="25"/>
      <c r="N243" s="25"/>
    </row>
    <row r="244" ht="15.75" customHeight="1">
      <c r="A244" s="44"/>
      <c r="B244" s="44"/>
      <c r="C244" s="44"/>
      <c r="D244" s="52"/>
      <c r="E244" s="52"/>
      <c r="F244" s="47" t="s">
        <v>44</v>
      </c>
      <c r="G244" s="48"/>
      <c r="H244" s="57">
        <f>VLOOKUP(F244,$A$27:$B$27,2,TRUE)</f>
        <v>100</v>
      </c>
      <c r="I244" s="50">
        <f t="shared" si="1"/>
        <v>0</v>
      </c>
      <c r="J244" s="52"/>
      <c r="K244" s="25"/>
      <c r="L244" s="25"/>
      <c r="M244" s="25"/>
      <c r="N244" s="25"/>
    </row>
    <row r="245" ht="15.75" customHeight="1">
      <c r="A245" s="44"/>
      <c r="B245" s="44"/>
      <c r="C245" s="44"/>
      <c r="D245" s="52"/>
      <c r="E245" s="52"/>
      <c r="F245" s="47" t="s">
        <v>13</v>
      </c>
      <c r="G245" s="48"/>
      <c r="H245" s="57">
        <f>VLOOKUP(F245,$A$28:$B$28,2,TRUE)</f>
        <v>1500</v>
      </c>
      <c r="I245" s="50">
        <f t="shared" si="1"/>
        <v>0</v>
      </c>
      <c r="J245" s="52"/>
      <c r="K245" s="25"/>
      <c r="L245" s="25"/>
      <c r="M245" s="25"/>
      <c r="N245" s="25"/>
    </row>
    <row r="246" ht="15.75" customHeight="1">
      <c r="A246" s="44"/>
      <c r="B246" s="44"/>
      <c r="C246" s="44"/>
      <c r="D246" s="52"/>
      <c r="E246" s="52"/>
      <c r="F246" s="47" t="s">
        <v>20</v>
      </c>
      <c r="G246" s="48"/>
      <c r="H246" s="57">
        <f>VLOOKUP(F246,$A$29:$B$29,2,TRUE)</f>
        <v>3500</v>
      </c>
      <c r="I246" s="50">
        <f t="shared" si="1"/>
        <v>0</v>
      </c>
      <c r="J246" s="52"/>
      <c r="K246" s="25"/>
      <c r="L246" s="25"/>
      <c r="M246" s="25"/>
      <c r="N246" s="25"/>
    </row>
    <row r="247" ht="15.75" customHeight="1">
      <c r="A247" s="44"/>
      <c r="B247" s="44"/>
      <c r="C247" s="44"/>
      <c r="D247" s="13"/>
      <c r="E247" s="13"/>
      <c r="F247" s="47" t="s">
        <v>60</v>
      </c>
      <c r="G247" s="48">
        <v>6.0</v>
      </c>
      <c r="H247" s="68">
        <v>0.0</v>
      </c>
      <c r="I247" s="50">
        <f t="shared" si="1"/>
        <v>0</v>
      </c>
      <c r="J247" s="13"/>
      <c r="K247" s="25"/>
      <c r="L247" s="25"/>
      <c r="M247" s="25"/>
      <c r="N247" s="25"/>
    </row>
    <row r="248" ht="15.75" customHeight="1">
      <c r="A248" s="44"/>
      <c r="B248" s="44"/>
      <c r="C248" s="44"/>
      <c r="D248" s="45">
        <v>10.0</v>
      </c>
      <c r="E248" s="46" t="s">
        <v>132</v>
      </c>
      <c r="F248" s="47" t="s">
        <v>22</v>
      </c>
      <c r="G248" s="48"/>
      <c r="H248" s="57">
        <f>VLOOKUP(F248,$A$4:$B$4,2,TRUE)</f>
        <v>4500</v>
      </c>
      <c r="I248" s="50">
        <f t="shared" si="1"/>
        <v>0</v>
      </c>
      <c r="J248" s="51">
        <f>SUM(I248:I274)</f>
        <v>4000</v>
      </c>
      <c r="K248" s="25"/>
      <c r="L248" s="25"/>
      <c r="M248" s="25"/>
      <c r="N248" s="25"/>
    </row>
    <row r="249" ht="15.75" customHeight="1">
      <c r="A249" s="44"/>
      <c r="B249" s="44"/>
      <c r="C249" s="44"/>
      <c r="D249" s="52"/>
      <c r="E249" s="52"/>
      <c r="F249" s="47" t="s">
        <v>57</v>
      </c>
      <c r="G249" s="48"/>
      <c r="H249" s="57">
        <f>VLOOKUP(F249,$A$5:$B$5,2,TRUE)</f>
        <v>3000</v>
      </c>
      <c r="I249" s="50">
        <f t="shared" si="1"/>
        <v>0</v>
      </c>
      <c r="J249" s="52"/>
      <c r="K249" s="25"/>
      <c r="L249" s="25"/>
      <c r="M249" s="25"/>
      <c r="N249" s="25"/>
    </row>
    <row r="250" ht="15.75" customHeight="1">
      <c r="A250" s="44"/>
      <c r="B250" s="44"/>
      <c r="C250" s="44"/>
      <c r="D250" s="52"/>
      <c r="E250" s="52"/>
      <c r="F250" s="47" t="s">
        <v>59</v>
      </c>
      <c r="G250" s="48"/>
      <c r="H250" s="57">
        <f>VLOOKUP(F250,$A$6:$B$6,2,TRUE)</f>
        <v>1000</v>
      </c>
      <c r="I250" s="50">
        <f t="shared" si="1"/>
        <v>0</v>
      </c>
      <c r="J250" s="52"/>
      <c r="K250" s="25"/>
      <c r="L250" s="25"/>
      <c r="M250" s="25"/>
      <c r="N250" s="25"/>
    </row>
    <row r="251" ht="15.75" customHeight="1">
      <c r="A251" s="44"/>
      <c r="B251" s="44"/>
      <c r="C251" s="44"/>
      <c r="D251" s="52"/>
      <c r="E251" s="52"/>
      <c r="F251" s="47" t="s">
        <v>25</v>
      </c>
      <c r="G251" s="48"/>
      <c r="H251" s="57">
        <f>VLOOKUP(F251,$A$7:$B$7,2,TRUE)</f>
        <v>2800</v>
      </c>
      <c r="I251" s="50">
        <f t="shared" si="1"/>
        <v>0</v>
      </c>
      <c r="J251" s="52"/>
      <c r="K251" s="25"/>
      <c r="L251" s="25"/>
      <c r="M251" s="25"/>
      <c r="N251" s="25"/>
    </row>
    <row r="252" ht="15.75" customHeight="1">
      <c r="A252" s="44"/>
      <c r="B252" s="44"/>
      <c r="C252" s="44"/>
      <c r="D252" s="52"/>
      <c r="E252" s="52"/>
      <c r="F252" s="47" t="s">
        <v>26</v>
      </c>
      <c r="G252" s="48"/>
      <c r="H252" s="57">
        <f>VLOOKUP(F252,$A$8:$B$8,2,TRUE)</f>
        <v>3500</v>
      </c>
      <c r="I252" s="50">
        <f t="shared" si="1"/>
        <v>0</v>
      </c>
      <c r="J252" s="52"/>
      <c r="K252" s="25"/>
      <c r="L252" s="25"/>
      <c r="M252" s="25"/>
      <c r="N252" s="25"/>
    </row>
    <row r="253" ht="15.75" customHeight="1">
      <c r="A253" s="44"/>
      <c r="B253" s="44"/>
      <c r="C253" s="44"/>
      <c r="D253" s="52"/>
      <c r="E253" s="52"/>
      <c r="F253" s="47" t="s">
        <v>27</v>
      </c>
      <c r="G253" s="48">
        <v>4.0</v>
      </c>
      <c r="H253" s="57">
        <f>VLOOKUP(F253,$A$9:$B$9,2,TRUE)</f>
        <v>1000</v>
      </c>
      <c r="I253" s="50">
        <f t="shared" si="1"/>
        <v>4000</v>
      </c>
      <c r="J253" s="52"/>
      <c r="K253" s="25"/>
      <c r="L253" s="25"/>
      <c r="M253" s="25"/>
      <c r="N253" s="25"/>
    </row>
    <row r="254" ht="15.75" customHeight="1">
      <c r="A254" s="44"/>
      <c r="B254" s="44"/>
      <c r="C254" s="44"/>
      <c r="D254" s="52"/>
      <c r="E254" s="52"/>
      <c r="F254" s="47" t="s">
        <v>28</v>
      </c>
      <c r="G254" s="48"/>
      <c r="H254" s="57">
        <f>VLOOKUP(F254,$A$10:$B$10,2,TRUE)</f>
        <v>2000</v>
      </c>
      <c r="I254" s="50">
        <f t="shared" si="1"/>
        <v>0</v>
      </c>
      <c r="J254" s="52"/>
      <c r="K254" s="25"/>
      <c r="L254" s="25"/>
      <c r="M254" s="25"/>
      <c r="N254" s="25"/>
    </row>
    <row r="255" ht="15.75" customHeight="1">
      <c r="A255" s="44"/>
      <c r="B255" s="44"/>
      <c r="C255" s="44"/>
      <c r="D255" s="52"/>
      <c r="E255" s="52"/>
      <c r="F255" s="47" t="s">
        <v>29</v>
      </c>
      <c r="G255" s="48"/>
      <c r="H255" s="57">
        <f>VLOOKUP(F255,$A$11:$B$11,2,TRUE)</f>
        <v>1500</v>
      </c>
      <c r="I255" s="50">
        <f t="shared" si="1"/>
        <v>0</v>
      </c>
      <c r="J255" s="52"/>
      <c r="K255" s="25"/>
      <c r="L255" s="25"/>
      <c r="M255" s="25"/>
      <c r="N255" s="25"/>
    </row>
    <row r="256" ht="15.75" customHeight="1">
      <c r="A256" s="44"/>
      <c r="B256" s="44"/>
      <c r="C256" s="44"/>
      <c r="D256" s="52"/>
      <c r="E256" s="52"/>
      <c r="F256" s="47" t="s">
        <v>30</v>
      </c>
      <c r="G256" s="48"/>
      <c r="H256" s="57">
        <f>VLOOKUP(F256,$A$12:$B$12,2,TRUE)</f>
        <v>1300</v>
      </c>
      <c r="I256" s="50">
        <f t="shared" si="1"/>
        <v>0</v>
      </c>
      <c r="J256" s="52"/>
      <c r="K256" s="25"/>
      <c r="L256" s="25"/>
      <c r="M256" s="25"/>
      <c r="N256" s="25"/>
    </row>
    <row r="257" ht="15.75" customHeight="1">
      <c r="A257" s="44"/>
      <c r="B257" s="44"/>
      <c r="C257" s="44"/>
      <c r="D257" s="52"/>
      <c r="E257" s="52"/>
      <c r="F257" s="47" t="s">
        <v>31</v>
      </c>
      <c r="G257" s="48"/>
      <c r="H257" s="57">
        <f>VLOOKUP(F257,$A$13:$B$13,2,TRUE)</f>
        <v>1000</v>
      </c>
      <c r="I257" s="50">
        <f t="shared" si="1"/>
        <v>0</v>
      </c>
      <c r="J257" s="52"/>
      <c r="K257" s="25"/>
      <c r="L257" s="25"/>
      <c r="M257" s="25"/>
      <c r="N257" s="25"/>
    </row>
    <row r="258" ht="15.75" customHeight="1">
      <c r="A258" s="44"/>
      <c r="B258" s="44"/>
      <c r="C258" s="44"/>
      <c r="D258" s="52"/>
      <c r="E258" s="52"/>
      <c r="F258" s="47" t="s">
        <v>32</v>
      </c>
      <c r="G258" s="48"/>
      <c r="H258" s="57">
        <f>VLOOKUP(F258,$A$14:$B$14,2,TRUE)</f>
        <v>500</v>
      </c>
      <c r="I258" s="50">
        <f t="shared" si="1"/>
        <v>0</v>
      </c>
      <c r="J258" s="52"/>
      <c r="K258" s="25"/>
      <c r="L258" s="25"/>
      <c r="M258" s="25"/>
      <c r="N258" s="25"/>
    </row>
    <row r="259" ht="15.75" customHeight="1">
      <c r="A259" s="44"/>
      <c r="B259" s="44"/>
      <c r="C259" s="44"/>
      <c r="D259" s="52"/>
      <c r="E259" s="52"/>
      <c r="F259" s="47" t="s">
        <v>33</v>
      </c>
      <c r="G259" s="48"/>
      <c r="H259" s="57">
        <f>VLOOKUP(F259,$A$15:$B$15,2,TRUE)</f>
        <v>7500</v>
      </c>
      <c r="I259" s="50">
        <f t="shared" si="1"/>
        <v>0</v>
      </c>
      <c r="J259" s="52"/>
      <c r="K259" s="25"/>
      <c r="L259" s="25"/>
      <c r="M259" s="25"/>
      <c r="N259" s="25"/>
    </row>
    <row r="260" ht="15.75" customHeight="1">
      <c r="A260" s="44"/>
      <c r="B260" s="44"/>
      <c r="C260" s="44"/>
      <c r="D260" s="52"/>
      <c r="E260" s="52"/>
      <c r="F260" s="47" t="s">
        <v>34</v>
      </c>
      <c r="G260" s="48"/>
      <c r="H260" s="57">
        <f>VLOOKUP(F260,$A$16:$B$16,2,TRUE)</f>
        <v>2000</v>
      </c>
      <c r="I260" s="50">
        <f t="shared" si="1"/>
        <v>0</v>
      </c>
      <c r="J260" s="52"/>
      <c r="K260" s="25"/>
      <c r="L260" s="25"/>
      <c r="M260" s="25"/>
      <c r="N260" s="25"/>
    </row>
    <row r="261" ht="15.75" customHeight="1">
      <c r="A261" s="44"/>
      <c r="B261" s="44"/>
      <c r="C261" s="44"/>
      <c r="D261" s="52"/>
      <c r="E261" s="52"/>
      <c r="F261" s="47" t="s">
        <v>35</v>
      </c>
      <c r="G261" s="48"/>
      <c r="H261" s="57">
        <f>VLOOKUP(F261,$A$17:$B$17,2,TRUE)</f>
        <v>1000</v>
      </c>
      <c r="I261" s="50">
        <f t="shared" si="1"/>
        <v>0</v>
      </c>
      <c r="J261" s="52"/>
      <c r="K261" s="25"/>
      <c r="L261" s="25"/>
      <c r="M261" s="25"/>
      <c r="N261" s="25"/>
    </row>
    <row r="262" ht="15.75" customHeight="1">
      <c r="A262" s="44"/>
      <c r="B262" s="44"/>
      <c r="C262" s="44"/>
      <c r="D262" s="52"/>
      <c r="E262" s="52"/>
      <c r="F262" s="47" t="s">
        <v>36</v>
      </c>
      <c r="G262" s="48"/>
      <c r="H262" s="57">
        <f>VLOOKUP(F262,$A$18:$B$18,2,TRUE)</f>
        <v>5000</v>
      </c>
      <c r="I262" s="50">
        <f t="shared" si="1"/>
        <v>0</v>
      </c>
      <c r="J262" s="52"/>
      <c r="K262" s="25"/>
      <c r="L262" s="25"/>
      <c r="M262" s="25"/>
      <c r="N262" s="25"/>
    </row>
    <row r="263" ht="15.75" customHeight="1">
      <c r="A263" s="44"/>
      <c r="B263" s="44"/>
      <c r="C263" s="44"/>
      <c r="D263" s="52"/>
      <c r="E263" s="52"/>
      <c r="F263" s="47" t="s">
        <v>37</v>
      </c>
      <c r="G263" s="48"/>
      <c r="H263" s="57">
        <f>VLOOKUP(F263,$A$19:$B$19,2,TRUE)</f>
        <v>2700</v>
      </c>
      <c r="I263" s="50">
        <f t="shared" si="1"/>
        <v>0</v>
      </c>
      <c r="J263" s="52"/>
      <c r="K263" s="25"/>
      <c r="L263" s="25"/>
      <c r="M263" s="25"/>
      <c r="N263" s="25"/>
    </row>
    <row r="264" ht="15.75" customHeight="1">
      <c r="A264" s="44"/>
      <c r="B264" s="44"/>
      <c r="C264" s="44"/>
      <c r="D264" s="52"/>
      <c r="E264" s="52"/>
      <c r="F264" s="47" t="s">
        <v>38</v>
      </c>
      <c r="G264" s="48"/>
      <c r="H264" s="57">
        <f>VLOOKUP(F264,$A$20:$B$20,2,TRUE)</f>
        <v>50000</v>
      </c>
      <c r="I264" s="50">
        <f t="shared" si="1"/>
        <v>0</v>
      </c>
      <c r="J264" s="52"/>
      <c r="K264" s="25"/>
      <c r="L264" s="25"/>
      <c r="M264" s="25"/>
      <c r="N264" s="25"/>
    </row>
    <row r="265" ht="15.75" customHeight="1">
      <c r="A265" s="44"/>
      <c r="B265" s="44"/>
      <c r="C265" s="44"/>
      <c r="D265" s="52"/>
      <c r="E265" s="52"/>
      <c r="F265" s="47" t="s">
        <v>39</v>
      </c>
      <c r="G265" s="48"/>
      <c r="H265" s="57">
        <f>VLOOKUP(F265,$A$21:$B$21,2,TRUE)</f>
        <v>10000</v>
      </c>
      <c r="I265" s="50">
        <f t="shared" si="1"/>
        <v>0</v>
      </c>
      <c r="J265" s="52"/>
      <c r="K265" s="25"/>
      <c r="L265" s="25"/>
      <c r="M265" s="25"/>
      <c r="N265" s="25"/>
    </row>
    <row r="266" ht="15.75" customHeight="1">
      <c r="A266" s="44"/>
      <c r="B266" s="44"/>
      <c r="C266" s="44"/>
      <c r="D266" s="52"/>
      <c r="E266" s="52"/>
      <c r="F266" s="47" t="s">
        <v>40</v>
      </c>
      <c r="G266" s="48"/>
      <c r="H266" s="57">
        <f>VLOOKUP(F266,$A$22:$B$22,2,TRUE)</f>
        <v>1000</v>
      </c>
      <c r="I266" s="50">
        <f t="shared" si="1"/>
        <v>0</v>
      </c>
      <c r="J266" s="52"/>
      <c r="K266" s="25"/>
      <c r="L266" s="25"/>
      <c r="M266" s="25"/>
      <c r="N266" s="25"/>
    </row>
    <row r="267" ht="15.75" customHeight="1">
      <c r="A267" s="44"/>
      <c r="B267" s="44"/>
      <c r="C267" s="44"/>
      <c r="D267" s="52"/>
      <c r="E267" s="52"/>
      <c r="F267" s="47" t="s">
        <v>41</v>
      </c>
      <c r="G267" s="48"/>
      <c r="H267" s="57">
        <f>VLOOKUP(F267,$A$23:$B$23,2,TRUE)</f>
        <v>500</v>
      </c>
      <c r="I267" s="50">
        <f t="shared" si="1"/>
        <v>0</v>
      </c>
      <c r="J267" s="52"/>
      <c r="K267" s="25"/>
      <c r="L267" s="25"/>
      <c r="M267" s="25"/>
      <c r="N267" s="25"/>
    </row>
    <row r="268" ht="15.75" customHeight="1">
      <c r="A268" s="44"/>
      <c r="B268" s="44"/>
      <c r="C268" s="44"/>
      <c r="D268" s="52"/>
      <c r="E268" s="52"/>
      <c r="F268" s="47" t="s">
        <v>42</v>
      </c>
      <c r="G268" s="48"/>
      <c r="H268" s="57">
        <f>VLOOKUP(F268,$A$24:$B$24,2,TRUE)</f>
        <v>200</v>
      </c>
      <c r="I268" s="50">
        <f t="shared" si="1"/>
        <v>0</v>
      </c>
      <c r="J268" s="52"/>
      <c r="K268" s="25"/>
      <c r="L268" s="25"/>
      <c r="M268" s="25"/>
      <c r="N268" s="25"/>
    </row>
    <row r="269" ht="15.75" customHeight="1">
      <c r="A269" s="44"/>
      <c r="B269" s="44"/>
      <c r="C269" s="44"/>
      <c r="D269" s="52"/>
      <c r="E269" s="52"/>
      <c r="F269" s="47" t="s">
        <v>43</v>
      </c>
      <c r="G269" s="48"/>
      <c r="H269" s="57">
        <f>VLOOKUP(F269,$A$25:$B$25,2,TRUE)</f>
        <v>1000</v>
      </c>
      <c r="I269" s="50">
        <f t="shared" si="1"/>
        <v>0</v>
      </c>
      <c r="J269" s="52"/>
      <c r="K269" s="25"/>
      <c r="L269" s="25"/>
      <c r="M269" s="25"/>
      <c r="N269" s="25"/>
    </row>
    <row r="270" ht="15.75" customHeight="1">
      <c r="A270" s="44"/>
      <c r="B270" s="44"/>
      <c r="C270" s="44"/>
      <c r="D270" s="52"/>
      <c r="E270" s="52"/>
      <c r="F270" s="47" t="s">
        <v>18</v>
      </c>
      <c r="G270" s="48"/>
      <c r="H270" s="57">
        <f>VLOOKUP(F270,$A$26:$B$26,2,TRUE)</f>
        <v>300</v>
      </c>
      <c r="I270" s="50">
        <f t="shared" si="1"/>
        <v>0</v>
      </c>
      <c r="J270" s="52"/>
      <c r="K270" s="25"/>
      <c r="L270" s="25"/>
      <c r="M270" s="25"/>
      <c r="N270" s="25"/>
    </row>
    <row r="271" ht="15.75" customHeight="1">
      <c r="A271" s="44"/>
      <c r="B271" s="44"/>
      <c r="C271" s="44"/>
      <c r="D271" s="52"/>
      <c r="E271" s="52"/>
      <c r="F271" s="47" t="s">
        <v>44</v>
      </c>
      <c r="G271" s="48"/>
      <c r="H271" s="57">
        <f>VLOOKUP(F271,$A$27:$B$27,2,TRUE)</f>
        <v>100</v>
      </c>
      <c r="I271" s="50">
        <f t="shared" si="1"/>
        <v>0</v>
      </c>
      <c r="J271" s="52"/>
      <c r="K271" s="25"/>
      <c r="L271" s="25"/>
      <c r="M271" s="25"/>
      <c r="N271" s="25"/>
    </row>
    <row r="272" ht="15.75" customHeight="1">
      <c r="A272" s="44"/>
      <c r="B272" s="44"/>
      <c r="C272" s="44"/>
      <c r="D272" s="52"/>
      <c r="E272" s="52"/>
      <c r="F272" s="47" t="s">
        <v>13</v>
      </c>
      <c r="G272" s="48"/>
      <c r="H272" s="57">
        <f>VLOOKUP(F272,$A$28:$B$28,2,TRUE)</f>
        <v>1500</v>
      </c>
      <c r="I272" s="50">
        <f t="shared" si="1"/>
        <v>0</v>
      </c>
      <c r="J272" s="52"/>
      <c r="K272" s="25"/>
      <c r="L272" s="25"/>
      <c r="M272" s="25"/>
      <c r="N272" s="25"/>
    </row>
    <row r="273" ht="15.75" customHeight="1">
      <c r="A273" s="44"/>
      <c r="B273" s="44"/>
      <c r="C273" s="44"/>
      <c r="D273" s="52"/>
      <c r="E273" s="52"/>
      <c r="F273" s="47" t="s">
        <v>20</v>
      </c>
      <c r="G273" s="48"/>
      <c r="H273" s="57">
        <f>VLOOKUP(F273,$A$29:$B$29,2,TRUE)</f>
        <v>3500</v>
      </c>
      <c r="I273" s="50">
        <f t="shared" si="1"/>
        <v>0</v>
      </c>
      <c r="J273" s="52"/>
      <c r="K273" s="25"/>
      <c r="L273" s="25"/>
      <c r="M273" s="25"/>
      <c r="N273" s="25"/>
    </row>
    <row r="274" ht="15.75" customHeight="1">
      <c r="A274" s="44"/>
      <c r="B274" s="44"/>
      <c r="C274" s="44"/>
      <c r="D274" s="13"/>
      <c r="E274" s="13"/>
      <c r="F274" s="47" t="s">
        <v>60</v>
      </c>
      <c r="G274" s="48">
        <v>3.5</v>
      </c>
      <c r="H274" s="68">
        <v>0.0</v>
      </c>
      <c r="I274" s="50">
        <f t="shared" si="1"/>
        <v>0</v>
      </c>
      <c r="J274" s="13"/>
      <c r="K274" s="25"/>
      <c r="L274" s="25"/>
      <c r="M274" s="25"/>
      <c r="N274" s="25"/>
    </row>
    <row r="275" ht="15.75" customHeight="1">
      <c r="A275" s="44"/>
      <c r="B275" s="44"/>
      <c r="C275" s="44"/>
      <c r="D275" s="45">
        <v>11.0</v>
      </c>
      <c r="E275" s="46" t="s">
        <v>133</v>
      </c>
      <c r="F275" s="47" t="s">
        <v>22</v>
      </c>
      <c r="G275" s="48">
        <v>1.0</v>
      </c>
      <c r="H275" s="57">
        <f>VLOOKUP(F275,$A$4:$B$4,2,TRUE)</f>
        <v>4500</v>
      </c>
      <c r="I275" s="50">
        <f t="shared" si="1"/>
        <v>4500</v>
      </c>
      <c r="J275" s="51">
        <f>SUM(I275:I301)</f>
        <v>37900</v>
      </c>
      <c r="K275" s="25"/>
      <c r="L275" s="25"/>
      <c r="M275" s="25"/>
      <c r="N275" s="25"/>
    </row>
    <row r="276" ht="15.75" customHeight="1">
      <c r="A276" s="44"/>
      <c r="B276" s="44"/>
      <c r="C276" s="44"/>
      <c r="D276" s="52"/>
      <c r="E276" s="52"/>
      <c r="F276" s="47" t="s">
        <v>57</v>
      </c>
      <c r="G276" s="48">
        <v>3.0</v>
      </c>
      <c r="H276" s="57">
        <f>VLOOKUP(F276,$A$5:$B$5,2,TRUE)</f>
        <v>3000</v>
      </c>
      <c r="I276" s="50">
        <f t="shared" si="1"/>
        <v>9000</v>
      </c>
      <c r="J276" s="52"/>
      <c r="K276" s="25"/>
      <c r="L276" s="25"/>
      <c r="M276" s="25"/>
      <c r="N276" s="25"/>
    </row>
    <row r="277" ht="15.75" customHeight="1">
      <c r="A277" s="44"/>
      <c r="B277" s="44"/>
      <c r="C277" s="44"/>
      <c r="D277" s="52"/>
      <c r="E277" s="52"/>
      <c r="F277" s="47" t="s">
        <v>59</v>
      </c>
      <c r="G277" s="48"/>
      <c r="H277" s="57">
        <f>VLOOKUP(F277,$A$6:$B$6,2,TRUE)</f>
        <v>1000</v>
      </c>
      <c r="I277" s="50">
        <f t="shared" si="1"/>
        <v>0</v>
      </c>
      <c r="J277" s="52"/>
      <c r="K277" s="25"/>
      <c r="L277" s="25"/>
      <c r="M277" s="25"/>
      <c r="N277" s="25"/>
    </row>
    <row r="278" ht="15.75" customHeight="1">
      <c r="A278" s="44"/>
      <c r="B278" s="44"/>
      <c r="C278" s="44"/>
      <c r="D278" s="52"/>
      <c r="E278" s="52"/>
      <c r="F278" s="47" t="s">
        <v>25</v>
      </c>
      <c r="G278" s="48"/>
      <c r="H278" s="57">
        <f>VLOOKUP(F278,$A$7:$B$7,2,TRUE)</f>
        <v>2800</v>
      </c>
      <c r="I278" s="50">
        <f t="shared" si="1"/>
        <v>0</v>
      </c>
      <c r="J278" s="52"/>
      <c r="K278" s="25"/>
      <c r="L278" s="25"/>
      <c r="M278" s="25"/>
      <c r="N278" s="25"/>
    </row>
    <row r="279" ht="15.75" customHeight="1">
      <c r="A279" s="44"/>
      <c r="B279" s="44"/>
      <c r="C279" s="44"/>
      <c r="D279" s="52"/>
      <c r="E279" s="52"/>
      <c r="F279" s="47" t="s">
        <v>26</v>
      </c>
      <c r="G279" s="48"/>
      <c r="H279" s="57">
        <f>VLOOKUP(F279,$A$8:$B$8,2,TRUE)</f>
        <v>3500</v>
      </c>
      <c r="I279" s="50">
        <f t="shared" si="1"/>
        <v>0</v>
      </c>
      <c r="J279" s="52"/>
      <c r="K279" s="25"/>
      <c r="L279" s="25"/>
      <c r="M279" s="25"/>
      <c r="N279" s="25"/>
    </row>
    <row r="280" ht="15.75" customHeight="1">
      <c r="A280" s="44"/>
      <c r="B280" s="44"/>
      <c r="C280" s="44"/>
      <c r="D280" s="52"/>
      <c r="E280" s="52"/>
      <c r="F280" s="47" t="s">
        <v>27</v>
      </c>
      <c r="G280" s="48">
        <f>2+1.5</f>
        <v>3.5</v>
      </c>
      <c r="H280" s="57">
        <f>VLOOKUP(F280,$A$9:$B$9,2,TRUE)</f>
        <v>1000</v>
      </c>
      <c r="I280" s="50">
        <f t="shared" si="1"/>
        <v>3500</v>
      </c>
      <c r="J280" s="52"/>
      <c r="K280" s="25"/>
      <c r="L280" s="25"/>
      <c r="M280" s="25"/>
      <c r="N280" s="25"/>
    </row>
    <row r="281" ht="15.75" customHeight="1">
      <c r="A281" s="44"/>
      <c r="B281" s="44"/>
      <c r="C281" s="44"/>
      <c r="D281" s="52"/>
      <c r="E281" s="52"/>
      <c r="F281" s="47" t="s">
        <v>28</v>
      </c>
      <c r="G281" s="48">
        <f>2+4</f>
        <v>6</v>
      </c>
      <c r="H281" s="57">
        <f>VLOOKUP(F281,$A$10:$B$10,2,TRUE)</f>
        <v>2000</v>
      </c>
      <c r="I281" s="50">
        <f t="shared" si="1"/>
        <v>12000</v>
      </c>
      <c r="J281" s="52"/>
      <c r="K281" s="25"/>
      <c r="L281" s="25"/>
      <c r="M281" s="25"/>
      <c r="N281" s="25"/>
    </row>
    <row r="282" ht="15.75" customHeight="1">
      <c r="A282" s="44"/>
      <c r="B282" s="44"/>
      <c r="C282" s="44"/>
      <c r="D282" s="52"/>
      <c r="E282" s="52"/>
      <c r="F282" s="47" t="s">
        <v>29</v>
      </c>
      <c r="G282" s="48">
        <v>2.5</v>
      </c>
      <c r="H282" s="57">
        <f>VLOOKUP(F282,$A$11:$B$11,2,TRUE)</f>
        <v>1500</v>
      </c>
      <c r="I282" s="50">
        <f t="shared" si="1"/>
        <v>3750</v>
      </c>
      <c r="J282" s="52"/>
      <c r="K282" s="25"/>
      <c r="L282" s="25"/>
      <c r="M282" s="25"/>
      <c r="N282" s="25"/>
    </row>
    <row r="283" ht="15.75" customHeight="1">
      <c r="A283" s="44"/>
      <c r="B283" s="44"/>
      <c r="C283" s="44"/>
      <c r="D283" s="52"/>
      <c r="E283" s="52"/>
      <c r="F283" s="47" t="s">
        <v>30</v>
      </c>
      <c r="G283" s="48"/>
      <c r="H283" s="57">
        <f>VLOOKUP(F283,$A$12:$B$12,2,TRUE)</f>
        <v>1300</v>
      </c>
      <c r="I283" s="50">
        <f t="shared" si="1"/>
        <v>0</v>
      </c>
      <c r="J283" s="52"/>
      <c r="K283" s="25"/>
      <c r="L283" s="25"/>
      <c r="M283" s="25"/>
      <c r="N283" s="25"/>
    </row>
    <row r="284" ht="15.75" customHeight="1">
      <c r="A284" s="44"/>
      <c r="B284" s="44"/>
      <c r="C284" s="44"/>
      <c r="D284" s="52"/>
      <c r="E284" s="52"/>
      <c r="F284" s="47" t="s">
        <v>31</v>
      </c>
      <c r="G284" s="48">
        <v>5.0</v>
      </c>
      <c r="H284" s="57">
        <f>VLOOKUP(F284,$A$13:$B$13,2,TRUE)</f>
        <v>1000</v>
      </c>
      <c r="I284" s="50">
        <f t="shared" si="1"/>
        <v>5000</v>
      </c>
      <c r="J284" s="52"/>
      <c r="K284" s="25"/>
      <c r="L284" s="25"/>
      <c r="M284" s="25"/>
      <c r="N284" s="25"/>
    </row>
    <row r="285" ht="15.75" customHeight="1">
      <c r="A285" s="44"/>
      <c r="B285" s="44"/>
      <c r="C285" s="44"/>
      <c r="D285" s="52"/>
      <c r="E285" s="52"/>
      <c r="F285" s="47" t="s">
        <v>32</v>
      </c>
      <c r="G285" s="48"/>
      <c r="H285" s="57">
        <f>VLOOKUP(F285,$A$14:$B$14,2,TRUE)</f>
        <v>500</v>
      </c>
      <c r="I285" s="50">
        <f t="shared" si="1"/>
        <v>0</v>
      </c>
      <c r="J285" s="52"/>
      <c r="K285" s="25"/>
      <c r="L285" s="25"/>
      <c r="M285" s="25"/>
      <c r="N285" s="25"/>
    </row>
    <row r="286" ht="15.75" customHeight="1">
      <c r="A286" s="44"/>
      <c r="B286" s="44"/>
      <c r="C286" s="44"/>
      <c r="D286" s="52"/>
      <c r="E286" s="52"/>
      <c r="F286" s="47" t="s">
        <v>33</v>
      </c>
      <c r="G286" s="48"/>
      <c r="H286" s="57">
        <f>VLOOKUP(F286,$A$15:$B$15,2,TRUE)</f>
        <v>7500</v>
      </c>
      <c r="I286" s="50">
        <f t="shared" si="1"/>
        <v>0</v>
      </c>
      <c r="J286" s="52"/>
      <c r="K286" s="25"/>
      <c r="L286" s="25"/>
      <c r="M286" s="25"/>
      <c r="N286" s="25"/>
    </row>
    <row r="287" ht="15.75" customHeight="1">
      <c r="A287" s="44"/>
      <c r="B287" s="44"/>
      <c r="C287" s="44"/>
      <c r="D287" s="52"/>
      <c r="E287" s="52"/>
      <c r="F287" s="47" t="s">
        <v>34</v>
      </c>
      <c r="G287" s="48"/>
      <c r="H287" s="57">
        <f>VLOOKUP(F287,$A$16:$B$16,2,TRUE)</f>
        <v>2000</v>
      </c>
      <c r="I287" s="50">
        <f t="shared" si="1"/>
        <v>0</v>
      </c>
      <c r="J287" s="52"/>
      <c r="K287" s="25"/>
      <c r="L287" s="25"/>
      <c r="M287" s="25"/>
      <c r="N287" s="25"/>
    </row>
    <row r="288" ht="15.75" customHeight="1">
      <c r="A288" s="44"/>
      <c r="B288" s="44"/>
      <c r="C288" s="44"/>
      <c r="D288" s="52"/>
      <c r="E288" s="52"/>
      <c r="F288" s="47" t="s">
        <v>35</v>
      </c>
      <c r="G288" s="48"/>
      <c r="H288" s="57">
        <f>VLOOKUP(F288,$A$17:$B$17,2,TRUE)</f>
        <v>1000</v>
      </c>
      <c r="I288" s="50">
        <f t="shared" si="1"/>
        <v>0</v>
      </c>
      <c r="J288" s="52"/>
      <c r="K288" s="25"/>
      <c r="L288" s="25"/>
      <c r="M288" s="25"/>
      <c r="N288" s="25"/>
    </row>
    <row r="289" ht="15.75" customHeight="1">
      <c r="A289" s="44"/>
      <c r="B289" s="44"/>
      <c r="C289" s="44"/>
      <c r="D289" s="52"/>
      <c r="E289" s="52"/>
      <c r="F289" s="47" t="s">
        <v>36</v>
      </c>
      <c r="G289" s="48"/>
      <c r="H289" s="57">
        <f>VLOOKUP(F289,$A$18:$B$18,2,TRUE)</f>
        <v>5000</v>
      </c>
      <c r="I289" s="50">
        <f t="shared" si="1"/>
        <v>0</v>
      </c>
      <c r="J289" s="52"/>
      <c r="K289" s="25"/>
      <c r="L289" s="25"/>
      <c r="M289" s="25"/>
      <c r="N289" s="25"/>
    </row>
    <row r="290" ht="15.75" customHeight="1">
      <c r="A290" s="44"/>
      <c r="B290" s="44"/>
      <c r="C290" s="44"/>
      <c r="D290" s="52"/>
      <c r="E290" s="52"/>
      <c r="F290" s="47" t="s">
        <v>37</v>
      </c>
      <c r="G290" s="48"/>
      <c r="H290" s="57">
        <f>VLOOKUP(F290,$A$19:$B$19,2,TRUE)</f>
        <v>2700</v>
      </c>
      <c r="I290" s="50">
        <f t="shared" si="1"/>
        <v>0</v>
      </c>
      <c r="J290" s="52"/>
      <c r="K290" s="25"/>
      <c r="L290" s="25"/>
      <c r="M290" s="25"/>
      <c r="N290" s="25"/>
    </row>
    <row r="291" ht="15.75" customHeight="1">
      <c r="A291" s="44"/>
      <c r="B291" s="44"/>
      <c r="C291" s="44"/>
      <c r="D291" s="52"/>
      <c r="E291" s="52"/>
      <c r="F291" s="47" t="s">
        <v>38</v>
      </c>
      <c r="G291" s="48"/>
      <c r="H291" s="57">
        <f>VLOOKUP(F291,$A$20:$B$20,2,TRUE)</f>
        <v>50000</v>
      </c>
      <c r="I291" s="50">
        <f t="shared" si="1"/>
        <v>0</v>
      </c>
      <c r="J291" s="52"/>
      <c r="K291" s="25"/>
      <c r="L291" s="25"/>
      <c r="M291" s="25"/>
      <c r="N291" s="25"/>
    </row>
    <row r="292" ht="15.75" customHeight="1">
      <c r="A292" s="44"/>
      <c r="B292" s="44"/>
      <c r="C292" s="44"/>
      <c r="D292" s="52"/>
      <c r="E292" s="52"/>
      <c r="F292" s="47" t="s">
        <v>39</v>
      </c>
      <c r="G292" s="48"/>
      <c r="H292" s="57">
        <f>VLOOKUP(F292,$A$21:$B$21,2,TRUE)</f>
        <v>10000</v>
      </c>
      <c r="I292" s="50">
        <f t="shared" si="1"/>
        <v>0</v>
      </c>
      <c r="J292" s="52"/>
      <c r="K292" s="25"/>
      <c r="L292" s="25"/>
      <c r="M292" s="25"/>
      <c r="N292" s="25"/>
    </row>
    <row r="293" ht="15.75" customHeight="1">
      <c r="A293" s="44"/>
      <c r="B293" s="44"/>
      <c r="C293" s="44"/>
      <c r="D293" s="52"/>
      <c r="E293" s="52"/>
      <c r="F293" s="47" t="s">
        <v>40</v>
      </c>
      <c r="G293" s="48"/>
      <c r="H293" s="57">
        <f>VLOOKUP(F293,$A$22:$B$22,2,TRUE)</f>
        <v>1000</v>
      </c>
      <c r="I293" s="50">
        <f t="shared" si="1"/>
        <v>0</v>
      </c>
      <c r="J293" s="52"/>
      <c r="K293" s="25"/>
      <c r="L293" s="25"/>
      <c r="M293" s="25"/>
      <c r="N293" s="25"/>
    </row>
    <row r="294" ht="15.75" customHeight="1">
      <c r="A294" s="44"/>
      <c r="B294" s="44"/>
      <c r="C294" s="44"/>
      <c r="D294" s="52"/>
      <c r="E294" s="52"/>
      <c r="F294" s="47" t="s">
        <v>41</v>
      </c>
      <c r="G294" s="48"/>
      <c r="H294" s="57">
        <f>VLOOKUP(F294,$A$23:$B$23,2,TRUE)</f>
        <v>500</v>
      </c>
      <c r="I294" s="50">
        <f t="shared" si="1"/>
        <v>0</v>
      </c>
      <c r="J294" s="52"/>
      <c r="K294" s="25"/>
      <c r="L294" s="25"/>
      <c r="M294" s="25"/>
      <c r="N294" s="25"/>
    </row>
    <row r="295" ht="15.75" customHeight="1">
      <c r="A295" s="44"/>
      <c r="B295" s="44"/>
      <c r="C295" s="44"/>
      <c r="D295" s="52"/>
      <c r="E295" s="52"/>
      <c r="F295" s="47" t="s">
        <v>42</v>
      </c>
      <c r="G295" s="48"/>
      <c r="H295" s="57">
        <f>VLOOKUP(F295,$A$24:$B$24,2,TRUE)</f>
        <v>200</v>
      </c>
      <c r="I295" s="50">
        <f t="shared" si="1"/>
        <v>0</v>
      </c>
      <c r="J295" s="52"/>
      <c r="K295" s="25"/>
      <c r="L295" s="25"/>
      <c r="M295" s="25"/>
      <c r="N295" s="25"/>
    </row>
    <row r="296" ht="15.75" customHeight="1">
      <c r="A296" s="44"/>
      <c r="B296" s="44"/>
      <c r="C296" s="44"/>
      <c r="D296" s="52"/>
      <c r="E296" s="52"/>
      <c r="F296" s="47" t="s">
        <v>43</v>
      </c>
      <c r="G296" s="48"/>
      <c r="H296" s="57">
        <f>VLOOKUP(F296,$A$25:$B$25,2,TRUE)</f>
        <v>1000</v>
      </c>
      <c r="I296" s="50">
        <f t="shared" si="1"/>
        <v>0</v>
      </c>
      <c r="J296" s="52"/>
      <c r="K296" s="25"/>
      <c r="L296" s="25"/>
      <c r="M296" s="25"/>
      <c r="N296" s="25"/>
    </row>
    <row r="297" ht="15.75" customHeight="1">
      <c r="A297" s="44"/>
      <c r="B297" s="44"/>
      <c r="C297" s="44"/>
      <c r="D297" s="52"/>
      <c r="E297" s="52"/>
      <c r="F297" s="47" t="s">
        <v>18</v>
      </c>
      <c r="G297" s="48"/>
      <c r="H297" s="57">
        <f>VLOOKUP(F297,$A$26:$B$26,2,TRUE)</f>
        <v>300</v>
      </c>
      <c r="I297" s="50">
        <f t="shared" si="1"/>
        <v>0</v>
      </c>
      <c r="J297" s="52"/>
      <c r="K297" s="25"/>
      <c r="L297" s="25"/>
      <c r="M297" s="25"/>
      <c r="N297" s="25"/>
    </row>
    <row r="298" ht="15.75" customHeight="1">
      <c r="A298" s="44"/>
      <c r="B298" s="44"/>
      <c r="C298" s="44"/>
      <c r="D298" s="52"/>
      <c r="E298" s="52"/>
      <c r="F298" s="47" t="s">
        <v>44</v>
      </c>
      <c r="G298" s="48">
        <v>1.5</v>
      </c>
      <c r="H298" s="57">
        <f>VLOOKUP(F298,$A$27:$B$27,2,TRUE)</f>
        <v>100</v>
      </c>
      <c r="I298" s="50">
        <f t="shared" si="1"/>
        <v>150</v>
      </c>
      <c r="J298" s="52"/>
      <c r="K298" s="25"/>
      <c r="L298" s="25"/>
      <c r="M298" s="25"/>
      <c r="N298" s="25"/>
    </row>
    <row r="299" ht="15.75" customHeight="1">
      <c r="A299" s="44"/>
      <c r="B299" s="44"/>
      <c r="C299" s="44"/>
      <c r="D299" s="52"/>
      <c r="E299" s="52"/>
      <c r="F299" s="47" t="s">
        <v>13</v>
      </c>
      <c r="G299" s="48"/>
      <c r="H299" s="57">
        <f>VLOOKUP(F299,$A$28:$B$28,2,TRUE)</f>
        <v>1500</v>
      </c>
      <c r="I299" s="50">
        <f t="shared" si="1"/>
        <v>0</v>
      </c>
      <c r="J299" s="52"/>
      <c r="K299" s="25"/>
      <c r="L299" s="25"/>
      <c r="M299" s="25"/>
      <c r="N299" s="25"/>
    </row>
    <row r="300" ht="15.75" customHeight="1">
      <c r="A300" s="44"/>
      <c r="B300" s="44"/>
      <c r="C300" s="44"/>
      <c r="D300" s="52"/>
      <c r="E300" s="52"/>
      <c r="F300" s="47" t="s">
        <v>20</v>
      </c>
      <c r="G300" s="48"/>
      <c r="H300" s="57">
        <f>VLOOKUP(F300,$A$29:$B$29,2,TRUE)</f>
        <v>3500</v>
      </c>
      <c r="I300" s="50">
        <f t="shared" si="1"/>
        <v>0</v>
      </c>
      <c r="J300" s="52"/>
      <c r="K300" s="25"/>
      <c r="L300" s="25"/>
      <c r="M300" s="25"/>
      <c r="N300" s="25"/>
    </row>
    <row r="301" ht="15.75" customHeight="1">
      <c r="A301" s="44"/>
      <c r="B301" s="44"/>
      <c r="C301" s="44"/>
      <c r="D301" s="13"/>
      <c r="E301" s="13"/>
      <c r="F301" s="47" t="s">
        <v>60</v>
      </c>
      <c r="G301" s="48">
        <f>2.5+4+2+3+2.5+2</f>
        <v>16</v>
      </c>
      <c r="H301" s="68">
        <v>0.0</v>
      </c>
      <c r="I301" s="50">
        <f t="shared" si="1"/>
        <v>0</v>
      </c>
      <c r="J301" s="13"/>
      <c r="K301" s="25"/>
      <c r="L301" s="25"/>
      <c r="M301" s="25"/>
      <c r="N301" s="25"/>
    </row>
    <row r="302" ht="15.75" customHeight="1">
      <c r="A302" s="44"/>
      <c r="B302" s="44"/>
      <c r="C302" s="44"/>
      <c r="D302" s="60" t="s">
        <v>68</v>
      </c>
      <c r="E302" s="61"/>
      <c r="F302" s="61"/>
      <c r="G302" s="61"/>
      <c r="H302" s="61"/>
      <c r="I302" s="62"/>
      <c r="J302" s="63">
        <f>SUM(J5:J301)</f>
        <v>177450</v>
      </c>
      <c r="K302" s="25"/>
      <c r="L302" s="25"/>
      <c r="M302" s="25"/>
      <c r="N302" s="25"/>
    </row>
    <row r="303" ht="15.75" customHeight="1">
      <c r="A303" s="24"/>
      <c r="B303" s="24"/>
      <c r="C303" s="24"/>
      <c r="D303" s="24"/>
      <c r="E303" s="24"/>
      <c r="F303" s="25"/>
      <c r="G303" s="25"/>
      <c r="H303" s="25"/>
      <c r="I303" s="25"/>
      <c r="J303" s="26"/>
      <c r="K303" s="25"/>
      <c r="L303" s="25"/>
      <c r="M303" s="25"/>
      <c r="N303" s="25"/>
    </row>
    <row r="304" ht="15.75" customHeight="1">
      <c r="A304" s="24"/>
      <c r="B304" s="24"/>
      <c r="C304" s="24"/>
      <c r="D304" s="24"/>
      <c r="E304" s="24"/>
      <c r="F304" s="25"/>
      <c r="G304" s="25"/>
      <c r="H304" s="25"/>
      <c r="I304" s="25"/>
      <c r="J304" s="26"/>
      <c r="K304" s="25"/>
      <c r="L304" s="25"/>
      <c r="M304" s="25"/>
      <c r="N304" s="25"/>
    </row>
    <row r="305" ht="15.75" customHeight="1">
      <c r="A305" s="24"/>
      <c r="B305" s="24"/>
      <c r="C305" s="24"/>
      <c r="D305" s="24"/>
      <c r="E305" s="24"/>
      <c r="F305" s="25"/>
      <c r="G305" s="25"/>
      <c r="H305" s="25"/>
      <c r="I305" s="25"/>
      <c r="J305" s="26"/>
      <c r="K305" s="25"/>
      <c r="L305" s="25"/>
      <c r="M305" s="25"/>
      <c r="N305" s="25"/>
    </row>
    <row r="306" ht="15.75" customHeight="1">
      <c r="A306" s="24"/>
      <c r="B306" s="24"/>
      <c r="C306" s="24"/>
      <c r="D306" s="24"/>
      <c r="E306" s="24"/>
      <c r="F306" s="25"/>
      <c r="G306" s="25"/>
      <c r="H306" s="25"/>
      <c r="I306" s="25"/>
      <c r="J306" s="26"/>
      <c r="K306" s="25"/>
      <c r="L306" s="25"/>
      <c r="M306" s="25"/>
      <c r="N306" s="25"/>
    </row>
    <row r="307" ht="15.75" customHeight="1">
      <c r="A307" s="24"/>
      <c r="B307" s="24"/>
      <c r="C307" s="24"/>
      <c r="D307" s="24"/>
      <c r="E307" s="24"/>
      <c r="F307" s="25"/>
      <c r="G307" s="25"/>
      <c r="H307" s="25"/>
      <c r="I307" s="25"/>
      <c r="J307" s="26"/>
      <c r="K307" s="25"/>
      <c r="L307" s="25"/>
      <c r="M307" s="25"/>
      <c r="N307" s="25"/>
    </row>
    <row r="308" ht="15.75" customHeight="1">
      <c r="A308" s="24"/>
      <c r="B308" s="24"/>
      <c r="C308" s="24"/>
      <c r="D308" s="24"/>
      <c r="E308" s="24"/>
      <c r="F308" s="25"/>
      <c r="G308" s="25"/>
      <c r="H308" s="25"/>
      <c r="I308" s="25"/>
      <c r="J308" s="26"/>
      <c r="K308" s="25"/>
      <c r="L308" s="25"/>
      <c r="M308" s="25"/>
      <c r="N308" s="25"/>
    </row>
    <row r="309" ht="15.75" customHeight="1">
      <c r="A309" s="24"/>
      <c r="B309" s="24"/>
      <c r="C309" s="24"/>
      <c r="D309" s="24"/>
      <c r="E309" s="24"/>
      <c r="F309" s="25"/>
      <c r="G309" s="25"/>
      <c r="H309" s="25"/>
      <c r="I309" s="25"/>
      <c r="J309" s="26"/>
      <c r="K309" s="25"/>
      <c r="L309" s="25"/>
      <c r="M309" s="25"/>
      <c r="N309" s="25"/>
    </row>
    <row r="310" ht="15.75" customHeight="1">
      <c r="A310" s="24"/>
      <c r="B310" s="24"/>
      <c r="C310" s="24"/>
      <c r="D310" s="24"/>
      <c r="E310" s="24"/>
      <c r="F310" s="25"/>
      <c r="G310" s="25"/>
      <c r="H310" s="25"/>
      <c r="I310" s="25"/>
      <c r="J310" s="26"/>
      <c r="K310" s="25"/>
      <c r="L310" s="25"/>
      <c r="M310" s="25"/>
      <c r="N310" s="25"/>
    </row>
    <row r="311" ht="15.75" customHeight="1">
      <c r="A311" s="24"/>
      <c r="B311" s="24"/>
      <c r="C311" s="24"/>
      <c r="D311" s="24"/>
      <c r="E311" s="24"/>
      <c r="J311" s="26"/>
    </row>
    <row r="312" ht="15.75" customHeight="1">
      <c r="A312" s="24"/>
      <c r="B312" s="24"/>
      <c r="C312" s="24"/>
      <c r="D312" s="24"/>
      <c r="E312" s="24"/>
      <c r="J312" s="26"/>
    </row>
    <row r="313" ht="15.75" customHeight="1">
      <c r="A313" s="24"/>
      <c r="B313" s="24"/>
      <c r="C313" s="24"/>
      <c r="D313" s="24"/>
      <c r="E313" s="24"/>
      <c r="J313" s="26"/>
    </row>
    <row r="314" ht="15.75" customHeight="1">
      <c r="A314" s="24"/>
      <c r="B314" s="24"/>
      <c r="C314" s="24"/>
      <c r="D314" s="24"/>
      <c r="E314" s="24"/>
      <c r="J314" s="26"/>
    </row>
    <row r="315" ht="15.75" customHeight="1">
      <c r="A315" s="24"/>
      <c r="B315" s="24"/>
      <c r="C315" s="24"/>
      <c r="D315" s="24"/>
      <c r="E315" s="24"/>
      <c r="J315" s="26"/>
    </row>
    <row r="316" ht="15.75" customHeight="1">
      <c r="A316" s="24"/>
      <c r="B316" s="24"/>
      <c r="C316" s="24"/>
      <c r="D316" s="24"/>
      <c r="E316" s="24"/>
      <c r="J316" s="26"/>
    </row>
    <row r="317" ht="15.75" customHeight="1">
      <c r="A317" s="24"/>
      <c r="B317" s="24"/>
      <c r="C317" s="24"/>
      <c r="D317" s="24"/>
      <c r="E317" s="24"/>
      <c r="J317" s="26"/>
    </row>
    <row r="318" ht="15.75" customHeight="1">
      <c r="A318" s="24"/>
      <c r="B318" s="24"/>
      <c r="C318" s="24"/>
      <c r="D318" s="24"/>
      <c r="E318" s="24"/>
      <c r="J318" s="26"/>
    </row>
    <row r="319" ht="15.75" customHeight="1">
      <c r="A319" s="24"/>
      <c r="B319" s="24"/>
      <c r="C319" s="24"/>
      <c r="D319" s="24"/>
      <c r="E319" s="24"/>
      <c r="J319" s="26"/>
    </row>
    <row r="320" ht="15.75" customHeight="1">
      <c r="A320" s="24"/>
      <c r="B320" s="24"/>
      <c r="C320" s="24"/>
      <c r="D320" s="24"/>
      <c r="E320" s="24"/>
      <c r="J320" s="26"/>
    </row>
    <row r="321" ht="15.75" customHeight="1">
      <c r="A321" s="24"/>
      <c r="B321" s="24"/>
      <c r="C321" s="24"/>
      <c r="D321" s="24"/>
      <c r="E321" s="24"/>
      <c r="J321" s="26"/>
    </row>
    <row r="322" ht="15.75" customHeight="1">
      <c r="A322" s="24"/>
      <c r="B322" s="24"/>
      <c r="C322" s="24"/>
      <c r="D322" s="24"/>
      <c r="E322" s="24"/>
      <c r="J322" s="26"/>
    </row>
    <row r="323" ht="15.75" customHeight="1">
      <c r="A323" s="24"/>
      <c r="B323" s="24"/>
      <c r="C323" s="24"/>
      <c r="D323" s="24"/>
      <c r="E323" s="24"/>
      <c r="J323" s="26"/>
    </row>
    <row r="324" ht="15.75" customHeight="1">
      <c r="A324" s="24"/>
      <c r="B324" s="24"/>
      <c r="C324" s="24"/>
      <c r="D324" s="24"/>
      <c r="E324" s="24"/>
      <c r="J324" s="26"/>
    </row>
    <row r="325" ht="15.75" customHeight="1">
      <c r="A325" s="24"/>
      <c r="B325" s="24"/>
      <c r="C325" s="24"/>
      <c r="D325" s="24"/>
      <c r="E325" s="24"/>
      <c r="J325" s="26"/>
    </row>
    <row r="326" ht="15.75" customHeight="1">
      <c r="A326" s="24"/>
      <c r="B326" s="24"/>
      <c r="C326" s="24"/>
      <c r="D326" s="24"/>
      <c r="E326" s="24"/>
      <c r="J326" s="26"/>
    </row>
    <row r="327" ht="15.75" customHeight="1">
      <c r="A327" s="24"/>
      <c r="B327" s="24"/>
      <c r="C327" s="24"/>
      <c r="D327" s="24"/>
      <c r="E327" s="24"/>
      <c r="J327" s="26"/>
    </row>
    <row r="328" ht="15.75" customHeight="1">
      <c r="A328" s="24"/>
      <c r="B328" s="24"/>
      <c r="C328" s="24"/>
      <c r="D328" s="24"/>
      <c r="E328" s="24"/>
      <c r="J328" s="26"/>
    </row>
    <row r="329" ht="15.75" customHeight="1">
      <c r="A329" s="24"/>
      <c r="B329" s="24"/>
      <c r="C329" s="24"/>
      <c r="D329" s="24"/>
      <c r="E329" s="24"/>
      <c r="J329" s="26"/>
    </row>
    <row r="330" ht="15.75" customHeight="1">
      <c r="A330" s="24"/>
      <c r="B330" s="24"/>
      <c r="C330" s="24"/>
      <c r="D330" s="24"/>
      <c r="E330" s="24"/>
      <c r="J330" s="26"/>
    </row>
    <row r="331" ht="15.75" customHeight="1">
      <c r="A331" s="24"/>
      <c r="B331" s="24"/>
      <c r="C331" s="24"/>
      <c r="D331" s="24"/>
      <c r="E331" s="24"/>
      <c r="J331" s="26"/>
    </row>
    <row r="332" ht="15.75" customHeight="1">
      <c r="A332" s="24"/>
      <c r="B332" s="24"/>
      <c r="C332" s="24"/>
      <c r="D332" s="24"/>
      <c r="E332" s="24"/>
      <c r="J332" s="26"/>
    </row>
    <row r="333" ht="15.75" customHeight="1">
      <c r="A333" s="24"/>
      <c r="B333" s="24"/>
      <c r="C333" s="24"/>
      <c r="D333" s="24"/>
      <c r="E333" s="24"/>
      <c r="J333" s="26"/>
    </row>
    <row r="334" ht="15.75" customHeight="1">
      <c r="A334" s="24"/>
      <c r="B334" s="24"/>
      <c r="C334" s="24"/>
      <c r="D334" s="24"/>
      <c r="E334" s="24"/>
      <c r="J334" s="26"/>
    </row>
    <row r="335" ht="15.75" customHeight="1">
      <c r="A335" s="24"/>
      <c r="B335" s="24"/>
      <c r="C335" s="24"/>
      <c r="D335" s="24"/>
      <c r="E335" s="24"/>
      <c r="J335" s="26"/>
    </row>
    <row r="336" ht="15.75" customHeight="1">
      <c r="A336" s="24"/>
      <c r="B336" s="24"/>
      <c r="C336" s="24"/>
      <c r="D336" s="24"/>
      <c r="E336" s="24"/>
      <c r="J336" s="26"/>
    </row>
    <row r="337" ht="15.75" customHeight="1">
      <c r="A337" s="24"/>
      <c r="B337" s="24"/>
      <c r="C337" s="24"/>
      <c r="D337" s="24"/>
      <c r="E337" s="24"/>
      <c r="J337" s="26"/>
    </row>
    <row r="338" ht="15.75" customHeight="1">
      <c r="A338" s="24"/>
      <c r="B338" s="24"/>
      <c r="C338" s="24"/>
      <c r="D338" s="24"/>
      <c r="E338" s="24"/>
      <c r="J338" s="26"/>
    </row>
    <row r="339" ht="15.75" customHeight="1">
      <c r="A339" s="24"/>
      <c r="B339" s="24"/>
      <c r="C339" s="24"/>
      <c r="D339" s="24"/>
      <c r="E339" s="24"/>
      <c r="J339" s="26"/>
    </row>
    <row r="340" ht="15.75" customHeight="1">
      <c r="A340" s="24"/>
      <c r="B340" s="24"/>
      <c r="C340" s="24"/>
      <c r="D340" s="24"/>
      <c r="E340" s="24"/>
      <c r="J340" s="26"/>
    </row>
    <row r="341" ht="15.75" customHeight="1">
      <c r="A341" s="24"/>
      <c r="B341" s="24"/>
      <c r="C341" s="24"/>
      <c r="D341" s="24"/>
      <c r="E341" s="24"/>
      <c r="J341" s="26"/>
    </row>
    <row r="342" ht="15.75" customHeight="1">
      <c r="A342" s="24"/>
      <c r="B342" s="24"/>
      <c r="C342" s="24"/>
      <c r="D342" s="24"/>
      <c r="E342" s="24"/>
      <c r="J342" s="26"/>
    </row>
    <row r="343" ht="15.75" customHeight="1">
      <c r="A343" s="24"/>
      <c r="B343" s="24"/>
      <c r="C343" s="24"/>
      <c r="D343" s="24"/>
      <c r="E343" s="24"/>
      <c r="J343" s="26"/>
    </row>
    <row r="344" ht="15.75" customHeight="1">
      <c r="A344" s="24"/>
      <c r="B344" s="24"/>
      <c r="C344" s="24"/>
      <c r="D344" s="24"/>
      <c r="E344" s="24"/>
      <c r="J344" s="26"/>
    </row>
    <row r="345" ht="15.75" customHeight="1">
      <c r="A345" s="24"/>
      <c r="B345" s="24"/>
      <c r="C345" s="24"/>
      <c r="D345" s="24"/>
      <c r="E345" s="24"/>
      <c r="J345" s="26"/>
    </row>
    <row r="346" ht="15.75" customHeight="1">
      <c r="A346" s="24"/>
      <c r="B346" s="24"/>
      <c r="C346" s="24"/>
      <c r="D346" s="24"/>
      <c r="E346" s="24"/>
      <c r="J346" s="26"/>
    </row>
    <row r="347" ht="15.75" customHeight="1">
      <c r="A347" s="24"/>
      <c r="B347" s="24"/>
      <c r="C347" s="24"/>
      <c r="D347" s="24"/>
      <c r="E347" s="24"/>
      <c r="J347" s="26"/>
    </row>
    <row r="348" ht="15.75" customHeight="1">
      <c r="A348" s="24"/>
      <c r="B348" s="24"/>
      <c r="C348" s="24"/>
      <c r="D348" s="24"/>
      <c r="E348" s="24"/>
      <c r="J348" s="26"/>
    </row>
    <row r="349" ht="15.75" customHeight="1">
      <c r="A349" s="24"/>
      <c r="B349" s="24"/>
      <c r="C349" s="24"/>
      <c r="D349" s="24"/>
      <c r="E349" s="24"/>
      <c r="J349" s="26"/>
    </row>
    <row r="350" ht="15.75" customHeight="1">
      <c r="A350" s="24"/>
      <c r="B350" s="24"/>
      <c r="C350" s="24"/>
      <c r="D350" s="24"/>
      <c r="E350" s="24"/>
      <c r="J350" s="26"/>
    </row>
    <row r="351" ht="15.75" customHeight="1">
      <c r="A351" s="24"/>
      <c r="B351" s="24"/>
      <c r="C351" s="24"/>
      <c r="D351" s="24"/>
      <c r="E351" s="24"/>
      <c r="J351" s="26"/>
    </row>
    <row r="352" ht="15.75" customHeight="1">
      <c r="A352" s="24"/>
      <c r="B352" s="24"/>
      <c r="C352" s="24"/>
      <c r="D352" s="24"/>
      <c r="E352" s="24"/>
      <c r="J352" s="26"/>
    </row>
    <row r="353" ht="15.75" customHeight="1">
      <c r="A353" s="24"/>
      <c r="B353" s="24"/>
      <c r="C353" s="24"/>
      <c r="D353" s="24"/>
      <c r="E353" s="24"/>
      <c r="J353" s="26"/>
    </row>
    <row r="354" ht="15.75" customHeight="1">
      <c r="A354" s="24"/>
      <c r="B354" s="24"/>
      <c r="C354" s="24"/>
      <c r="D354" s="24"/>
      <c r="E354" s="24"/>
      <c r="J354" s="26"/>
    </row>
    <row r="355" ht="15.75" customHeight="1">
      <c r="A355" s="24"/>
      <c r="B355" s="24"/>
      <c r="C355" s="24"/>
      <c r="D355" s="24"/>
      <c r="E355" s="24"/>
      <c r="J355" s="26"/>
    </row>
    <row r="356" ht="15.75" customHeight="1">
      <c r="A356" s="24"/>
      <c r="B356" s="24"/>
      <c r="C356" s="24"/>
      <c r="D356" s="24"/>
      <c r="E356" s="24"/>
      <c r="J356" s="26"/>
    </row>
    <row r="357" ht="15.75" customHeight="1">
      <c r="A357" s="24"/>
      <c r="B357" s="24"/>
      <c r="C357" s="24"/>
      <c r="D357" s="24"/>
      <c r="E357" s="24"/>
      <c r="J357" s="26"/>
    </row>
    <row r="358" ht="15.75" customHeight="1">
      <c r="A358" s="24"/>
      <c r="B358" s="24"/>
      <c r="C358" s="24"/>
      <c r="D358" s="24"/>
      <c r="E358" s="24"/>
      <c r="J358" s="26"/>
    </row>
    <row r="359" ht="15.75" customHeight="1">
      <c r="A359" s="24"/>
      <c r="B359" s="24"/>
      <c r="C359" s="24"/>
      <c r="D359" s="24"/>
      <c r="E359" s="24"/>
      <c r="J359" s="26"/>
    </row>
    <row r="360" ht="15.75" customHeight="1">
      <c r="A360" s="24"/>
      <c r="B360" s="24"/>
      <c r="C360" s="24"/>
      <c r="D360" s="24"/>
      <c r="E360" s="24"/>
      <c r="J360" s="26"/>
    </row>
    <row r="361" ht="15.75" customHeight="1">
      <c r="A361" s="24"/>
      <c r="B361" s="24"/>
      <c r="C361" s="24"/>
      <c r="D361" s="24"/>
      <c r="E361" s="24"/>
      <c r="J361" s="26"/>
    </row>
    <row r="362" ht="15.75" customHeight="1">
      <c r="A362" s="24"/>
      <c r="B362" s="24"/>
      <c r="C362" s="24"/>
      <c r="D362" s="24"/>
      <c r="E362" s="24"/>
      <c r="J362" s="26"/>
    </row>
    <row r="363" ht="15.75" customHeight="1">
      <c r="A363" s="24"/>
      <c r="B363" s="24"/>
      <c r="C363" s="24"/>
      <c r="D363" s="24"/>
      <c r="E363" s="24"/>
      <c r="J363" s="26"/>
    </row>
    <row r="364" ht="15.75" customHeight="1">
      <c r="A364" s="24"/>
      <c r="B364" s="24"/>
      <c r="C364" s="24"/>
      <c r="D364" s="24"/>
      <c r="E364" s="24"/>
      <c r="J364" s="26"/>
    </row>
    <row r="365" ht="15.75" customHeight="1">
      <c r="A365" s="24"/>
      <c r="B365" s="24"/>
      <c r="C365" s="24"/>
      <c r="D365" s="24"/>
      <c r="E365" s="24"/>
      <c r="J365" s="26"/>
    </row>
    <row r="366" ht="15.75" customHeight="1">
      <c r="A366" s="24"/>
      <c r="B366" s="24"/>
      <c r="C366" s="24"/>
      <c r="D366" s="24"/>
      <c r="E366" s="24"/>
      <c r="J366" s="26"/>
    </row>
    <row r="367" ht="15.75" customHeight="1">
      <c r="A367" s="24"/>
      <c r="B367" s="24"/>
      <c r="C367" s="24"/>
      <c r="D367" s="24"/>
      <c r="E367" s="24"/>
      <c r="J367" s="26"/>
    </row>
    <row r="368" ht="15.75" customHeight="1">
      <c r="A368" s="24"/>
      <c r="B368" s="24"/>
      <c r="C368" s="24"/>
      <c r="D368" s="24"/>
      <c r="E368" s="24"/>
      <c r="J368" s="26"/>
    </row>
    <row r="369" ht="15.75" customHeight="1">
      <c r="A369" s="24"/>
      <c r="B369" s="24"/>
      <c r="C369" s="24"/>
      <c r="D369" s="24"/>
      <c r="E369" s="24"/>
      <c r="J369" s="26"/>
    </row>
    <row r="370" ht="15.75" customHeight="1">
      <c r="A370" s="24"/>
      <c r="B370" s="24"/>
      <c r="C370" s="24"/>
      <c r="D370" s="24"/>
      <c r="E370" s="24"/>
      <c r="J370" s="26"/>
    </row>
    <row r="371" ht="15.75" customHeight="1">
      <c r="A371" s="24"/>
      <c r="B371" s="24"/>
      <c r="C371" s="24"/>
      <c r="D371" s="24"/>
      <c r="E371" s="24"/>
      <c r="J371" s="26"/>
    </row>
    <row r="372" ht="15.75" customHeight="1">
      <c r="A372" s="24"/>
      <c r="B372" s="24"/>
      <c r="C372" s="24"/>
      <c r="D372" s="24"/>
      <c r="E372" s="24"/>
      <c r="J372" s="26"/>
    </row>
    <row r="373" ht="15.75" customHeight="1">
      <c r="A373" s="24"/>
      <c r="B373" s="24"/>
      <c r="C373" s="24"/>
      <c r="D373" s="24"/>
      <c r="E373" s="24"/>
      <c r="J373" s="26"/>
    </row>
    <row r="374" ht="15.75" customHeight="1">
      <c r="A374" s="24"/>
      <c r="B374" s="24"/>
      <c r="C374" s="24"/>
      <c r="D374" s="24"/>
      <c r="E374" s="24"/>
      <c r="J374" s="26"/>
    </row>
    <row r="375" ht="15.75" customHeight="1">
      <c r="A375" s="24"/>
      <c r="B375" s="24"/>
      <c r="C375" s="24"/>
      <c r="D375" s="24"/>
      <c r="E375" s="24"/>
      <c r="J375" s="26"/>
    </row>
    <row r="376" ht="15.75" customHeight="1">
      <c r="A376" s="24"/>
      <c r="B376" s="24"/>
      <c r="C376" s="24"/>
      <c r="D376" s="24"/>
      <c r="E376" s="24"/>
      <c r="J376" s="26"/>
    </row>
    <row r="377" ht="15.75" customHeight="1">
      <c r="A377" s="24"/>
      <c r="B377" s="24"/>
      <c r="C377" s="24"/>
      <c r="D377" s="24"/>
      <c r="E377" s="24"/>
      <c r="J377" s="26"/>
    </row>
    <row r="378" ht="15.75" customHeight="1">
      <c r="A378" s="24"/>
      <c r="B378" s="24"/>
      <c r="C378" s="24"/>
      <c r="D378" s="24"/>
      <c r="E378" s="24"/>
      <c r="J378" s="26"/>
    </row>
    <row r="379" ht="15.75" customHeight="1">
      <c r="A379" s="24"/>
      <c r="B379" s="24"/>
      <c r="C379" s="24"/>
      <c r="D379" s="24"/>
      <c r="E379" s="24"/>
      <c r="J379" s="26"/>
    </row>
    <row r="380" ht="15.75" customHeight="1">
      <c r="A380" s="24"/>
      <c r="B380" s="24"/>
      <c r="C380" s="24"/>
      <c r="D380" s="24"/>
      <c r="E380" s="24"/>
      <c r="J380" s="26"/>
    </row>
    <row r="381" ht="15.75" customHeight="1">
      <c r="A381" s="24"/>
      <c r="B381" s="24"/>
      <c r="C381" s="24"/>
      <c r="D381" s="24"/>
      <c r="E381" s="24"/>
      <c r="J381" s="26"/>
    </row>
    <row r="382" ht="15.75" customHeight="1">
      <c r="A382" s="24"/>
      <c r="B382" s="24"/>
      <c r="C382" s="24"/>
      <c r="D382" s="24"/>
      <c r="E382" s="24"/>
      <c r="J382" s="26"/>
    </row>
    <row r="383" ht="15.75" customHeight="1">
      <c r="A383" s="24"/>
      <c r="B383" s="24"/>
      <c r="C383" s="24"/>
      <c r="D383" s="24"/>
      <c r="E383" s="24"/>
      <c r="J383" s="26"/>
    </row>
    <row r="384" ht="15.75" customHeight="1">
      <c r="A384" s="24"/>
      <c r="B384" s="24"/>
      <c r="C384" s="24"/>
      <c r="D384" s="24"/>
      <c r="E384" s="24"/>
      <c r="J384" s="26"/>
    </row>
    <row r="385" ht="15.75" customHeight="1">
      <c r="A385" s="24"/>
      <c r="B385" s="24"/>
      <c r="C385" s="24"/>
      <c r="D385" s="24"/>
      <c r="E385" s="24"/>
      <c r="J385" s="26"/>
    </row>
    <row r="386" ht="15.75" customHeight="1">
      <c r="A386" s="24"/>
      <c r="B386" s="24"/>
      <c r="C386" s="24"/>
      <c r="D386" s="24"/>
      <c r="E386" s="24"/>
      <c r="J386" s="26"/>
    </row>
    <row r="387" ht="15.75" customHeight="1">
      <c r="A387" s="24"/>
      <c r="B387" s="24"/>
      <c r="C387" s="24"/>
      <c r="D387" s="24"/>
      <c r="E387" s="24"/>
      <c r="J387" s="26"/>
    </row>
    <row r="388" ht="15.75" customHeight="1">
      <c r="A388" s="24"/>
      <c r="B388" s="24"/>
      <c r="C388" s="24"/>
      <c r="D388" s="24"/>
      <c r="E388" s="24"/>
      <c r="J388" s="26"/>
    </row>
    <row r="389" ht="15.75" customHeight="1">
      <c r="A389" s="24"/>
      <c r="B389" s="24"/>
      <c r="C389" s="24"/>
      <c r="D389" s="24"/>
      <c r="E389" s="24"/>
      <c r="J389" s="26"/>
    </row>
    <row r="390" ht="15.75" customHeight="1">
      <c r="A390" s="24"/>
      <c r="B390" s="24"/>
      <c r="C390" s="24"/>
      <c r="D390" s="24"/>
      <c r="E390" s="24"/>
      <c r="J390" s="26"/>
    </row>
    <row r="391" ht="15.75" customHeight="1">
      <c r="A391" s="24"/>
      <c r="B391" s="24"/>
      <c r="C391" s="24"/>
      <c r="D391" s="24"/>
      <c r="E391" s="24"/>
      <c r="J391" s="26"/>
    </row>
    <row r="392" ht="15.75" customHeight="1">
      <c r="A392" s="24"/>
      <c r="B392" s="24"/>
      <c r="C392" s="24"/>
      <c r="D392" s="24"/>
      <c r="E392" s="24"/>
      <c r="J392" s="26"/>
    </row>
    <row r="393" ht="15.75" customHeight="1">
      <c r="A393" s="24"/>
      <c r="B393" s="24"/>
      <c r="C393" s="24"/>
      <c r="D393" s="24"/>
      <c r="E393" s="24"/>
      <c r="J393" s="26"/>
    </row>
    <row r="394" ht="15.75" customHeight="1">
      <c r="A394" s="24"/>
      <c r="B394" s="24"/>
      <c r="C394" s="24"/>
      <c r="D394" s="24"/>
      <c r="E394" s="24"/>
      <c r="J394" s="26"/>
    </row>
    <row r="395" ht="15.75" customHeight="1">
      <c r="A395" s="24"/>
      <c r="B395" s="24"/>
      <c r="C395" s="24"/>
      <c r="D395" s="24"/>
      <c r="E395" s="24"/>
      <c r="J395" s="26"/>
    </row>
    <row r="396" ht="15.75" customHeight="1">
      <c r="A396" s="24"/>
      <c r="B396" s="24"/>
      <c r="C396" s="24"/>
      <c r="D396" s="24"/>
      <c r="E396" s="24"/>
      <c r="J396" s="26"/>
    </row>
    <row r="397" ht="15.75" customHeight="1">
      <c r="A397" s="24"/>
      <c r="B397" s="24"/>
      <c r="C397" s="24"/>
      <c r="D397" s="24"/>
      <c r="E397" s="24"/>
      <c r="J397" s="26"/>
    </row>
    <row r="398" ht="15.75" customHeight="1">
      <c r="A398" s="24"/>
      <c r="B398" s="24"/>
      <c r="C398" s="24"/>
      <c r="D398" s="24"/>
      <c r="E398" s="24"/>
      <c r="J398" s="26"/>
    </row>
    <row r="399" ht="15.75" customHeight="1">
      <c r="A399" s="24"/>
      <c r="B399" s="24"/>
      <c r="C399" s="24"/>
      <c r="D399" s="24"/>
      <c r="E399" s="24"/>
      <c r="J399" s="26"/>
    </row>
    <row r="400" ht="15.75" customHeight="1">
      <c r="A400" s="24"/>
      <c r="B400" s="24"/>
      <c r="C400" s="24"/>
      <c r="D400" s="24"/>
      <c r="E400" s="24"/>
      <c r="J400" s="26"/>
    </row>
    <row r="401" ht="15.75" customHeight="1">
      <c r="A401" s="24"/>
      <c r="B401" s="24"/>
      <c r="C401" s="24"/>
      <c r="D401" s="24"/>
      <c r="E401" s="24"/>
      <c r="J401" s="26"/>
    </row>
    <row r="402" ht="15.75" customHeight="1">
      <c r="A402" s="24"/>
      <c r="B402" s="24"/>
      <c r="C402" s="24"/>
      <c r="D402" s="24"/>
      <c r="E402" s="24"/>
      <c r="J402" s="26"/>
    </row>
    <row r="403" ht="15.75" customHeight="1">
      <c r="A403" s="24"/>
      <c r="B403" s="24"/>
      <c r="C403" s="24"/>
      <c r="D403" s="24"/>
      <c r="E403" s="24"/>
      <c r="J403" s="26"/>
    </row>
    <row r="404" ht="15.75" customHeight="1">
      <c r="A404" s="24"/>
      <c r="B404" s="24"/>
      <c r="C404" s="24"/>
      <c r="D404" s="24"/>
      <c r="E404" s="24"/>
      <c r="J404" s="26"/>
    </row>
    <row r="405" ht="15.75" customHeight="1">
      <c r="A405" s="24"/>
      <c r="B405" s="24"/>
      <c r="C405" s="24"/>
      <c r="D405" s="24"/>
      <c r="E405" s="24"/>
      <c r="J405" s="26"/>
    </row>
    <row r="406" ht="15.75" customHeight="1">
      <c r="A406" s="24"/>
      <c r="B406" s="24"/>
      <c r="C406" s="24"/>
      <c r="D406" s="24"/>
      <c r="E406" s="24"/>
      <c r="J406" s="26"/>
    </row>
    <row r="407" ht="15.75" customHeight="1">
      <c r="A407" s="24"/>
      <c r="B407" s="24"/>
      <c r="C407" s="24"/>
      <c r="D407" s="24"/>
      <c r="E407" s="24"/>
      <c r="J407" s="26"/>
    </row>
    <row r="408" ht="15.75" customHeight="1">
      <c r="A408" s="24"/>
      <c r="B408" s="24"/>
      <c r="C408" s="24"/>
      <c r="D408" s="24"/>
      <c r="E408" s="24"/>
      <c r="J408" s="26"/>
    </row>
    <row r="409" ht="15.75" customHeight="1">
      <c r="A409" s="24"/>
      <c r="B409" s="24"/>
      <c r="C409" s="24"/>
      <c r="D409" s="24"/>
      <c r="E409" s="24"/>
      <c r="J409" s="26"/>
    </row>
    <row r="410" ht="15.75" customHeight="1">
      <c r="A410" s="24"/>
      <c r="B410" s="24"/>
      <c r="C410" s="24"/>
      <c r="D410" s="24"/>
      <c r="E410" s="24"/>
      <c r="J410" s="26"/>
    </row>
    <row r="411" ht="15.75" customHeight="1">
      <c r="A411" s="24"/>
      <c r="B411" s="24"/>
      <c r="C411" s="24"/>
      <c r="D411" s="24"/>
      <c r="E411" s="24"/>
      <c r="J411" s="26"/>
    </row>
    <row r="412" ht="15.75" customHeight="1">
      <c r="A412" s="24"/>
      <c r="B412" s="24"/>
      <c r="C412" s="24"/>
      <c r="D412" s="24"/>
      <c r="E412" s="24"/>
      <c r="J412" s="26"/>
    </row>
    <row r="413" ht="15.75" customHeight="1">
      <c r="A413" s="24"/>
      <c r="B413" s="24"/>
      <c r="C413" s="24"/>
      <c r="D413" s="24"/>
      <c r="E413" s="24"/>
      <c r="J413" s="26"/>
    </row>
    <row r="414" ht="15.75" customHeight="1">
      <c r="A414" s="24"/>
      <c r="B414" s="24"/>
      <c r="C414" s="24"/>
      <c r="D414" s="24"/>
      <c r="E414" s="24"/>
      <c r="J414" s="26"/>
    </row>
    <row r="415" ht="15.75" customHeight="1">
      <c r="A415" s="24"/>
      <c r="B415" s="24"/>
      <c r="C415" s="24"/>
      <c r="D415" s="24"/>
      <c r="E415" s="24"/>
      <c r="J415" s="26"/>
    </row>
    <row r="416" ht="15.75" customHeight="1">
      <c r="A416" s="24"/>
      <c r="B416" s="24"/>
      <c r="C416" s="24"/>
      <c r="D416" s="24"/>
      <c r="E416" s="24"/>
      <c r="J416" s="26"/>
    </row>
    <row r="417" ht="15.75" customHeight="1">
      <c r="A417" s="24"/>
      <c r="B417" s="24"/>
      <c r="C417" s="24"/>
      <c r="D417" s="24"/>
      <c r="E417" s="24"/>
      <c r="J417" s="26"/>
    </row>
    <row r="418" ht="15.75" customHeight="1">
      <c r="A418" s="24"/>
      <c r="B418" s="24"/>
      <c r="C418" s="24"/>
      <c r="D418" s="24"/>
      <c r="E418" s="24"/>
      <c r="J418" s="26"/>
    </row>
    <row r="419" ht="15.75" customHeight="1">
      <c r="A419" s="24"/>
      <c r="B419" s="24"/>
      <c r="C419" s="24"/>
      <c r="D419" s="24"/>
      <c r="E419" s="24"/>
      <c r="J419" s="26"/>
    </row>
    <row r="420" ht="15.75" customHeight="1">
      <c r="A420" s="24"/>
      <c r="B420" s="24"/>
      <c r="C420" s="24"/>
      <c r="D420" s="24"/>
      <c r="E420" s="24"/>
      <c r="J420" s="26"/>
    </row>
    <row r="421" ht="15.75" customHeight="1">
      <c r="A421" s="24"/>
      <c r="B421" s="24"/>
      <c r="C421" s="24"/>
      <c r="D421" s="24"/>
      <c r="E421" s="24"/>
      <c r="J421" s="26"/>
    </row>
    <row r="422" ht="15.75" customHeight="1">
      <c r="A422" s="24"/>
      <c r="B422" s="24"/>
      <c r="C422" s="24"/>
      <c r="D422" s="24"/>
      <c r="E422" s="24"/>
      <c r="J422" s="26"/>
    </row>
    <row r="423" ht="15.75" customHeight="1">
      <c r="A423" s="24"/>
      <c r="B423" s="24"/>
      <c r="C423" s="24"/>
      <c r="D423" s="24"/>
      <c r="E423" s="24"/>
      <c r="J423" s="26"/>
    </row>
    <row r="424" ht="15.75" customHeight="1">
      <c r="A424" s="24"/>
      <c r="B424" s="24"/>
      <c r="C424" s="24"/>
      <c r="D424" s="24"/>
      <c r="E424" s="24"/>
      <c r="J424" s="26"/>
    </row>
    <row r="425" ht="15.75" customHeight="1">
      <c r="A425" s="24"/>
      <c r="B425" s="24"/>
      <c r="C425" s="24"/>
      <c r="D425" s="24"/>
      <c r="E425" s="24"/>
      <c r="J425" s="26"/>
    </row>
    <row r="426" ht="15.75" customHeight="1">
      <c r="A426" s="24"/>
      <c r="B426" s="24"/>
      <c r="C426" s="24"/>
      <c r="D426" s="24"/>
      <c r="E426" s="24"/>
      <c r="J426" s="26"/>
    </row>
    <row r="427" ht="15.75" customHeight="1">
      <c r="A427" s="24"/>
      <c r="B427" s="24"/>
      <c r="C427" s="24"/>
      <c r="D427" s="24"/>
      <c r="E427" s="24"/>
      <c r="J427" s="26"/>
    </row>
    <row r="428" ht="15.75" customHeight="1">
      <c r="A428" s="24"/>
      <c r="B428" s="24"/>
      <c r="C428" s="24"/>
      <c r="D428" s="24"/>
      <c r="E428" s="24"/>
      <c r="J428" s="26"/>
    </row>
    <row r="429" ht="15.75" customHeight="1">
      <c r="A429" s="24"/>
      <c r="B429" s="24"/>
      <c r="C429" s="24"/>
      <c r="D429" s="24"/>
      <c r="E429" s="24"/>
      <c r="J429" s="26"/>
    </row>
    <row r="430" ht="15.75" customHeight="1">
      <c r="A430" s="24"/>
      <c r="B430" s="24"/>
      <c r="C430" s="24"/>
      <c r="D430" s="24"/>
      <c r="E430" s="24"/>
      <c r="J430" s="26"/>
    </row>
    <row r="431" ht="15.75" customHeight="1">
      <c r="A431" s="24"/>
      <c r="B431" s="24"/>
      <c r="C431" s="24"/>
      <c r="D431" s="24"/>
      <c r="E431" s="24"/>
      <c r="J431" s="26"/>
    </row>
    <row r="432" ht="15.75" customHeight="1">
      <c r="A432" s="24"/>
      <c r="B432" s="24"/>
      <c r="C432" s="24"/>
      <c r="D432" s="24"/>
      <c r="E432" s="24"/>
      <c r="J432" s="26"/>
    </row>
    <row r="433" ht="15.75" customHeight="1">
      <c r="A433" s="24"/>
      <c r="B433" s="24"/>
      <c r="C433" s="24"/>
      <c r="D433" s="24"/>
      <c r="E433" s="24"/>
      <c r="J433" s="26"/>
    </row>
    <row r="434" ht="15.75" customHeight="1">
      <c r="A434" s="24"/>
      <c r="B434" s="24"/>
      <c r="C434" s="24"/>
      <c r="D434" s="24"/>
      <c r="E434" s="24"/>
      <c r="J434" s="26"/>
    </row>
    <row r="435" ht="15.75" customHeight="1">
      <c r="A435" s="24"/>
      <c r="B435" s="24"/>
      <c r="C435" s="24"/>
      <c r="D435" s="24"/>
      <c r="E435" s="24"/>
      <c r="J435" s="26"/>
    </row>
    <row r="436" ht="15.75" customHeight="1">
      <c r="A436" s="24"/>
      <c r="B436" s="24"/>
      <c r="C436" s="24"/>
      <c r="D436" s="24"/>
      <c r="E436" s="24"/>
      <c r="J436" s="26"/>
    </row>
    <row r="437" ht="15.75" customHeight="1">
      <c r="A437" s="24"/>
      <c r="B437" s="24"/>
      <c r="C437" s="24"/>
      <c r="D437" s="24"/>
      <c r="E437" s="24"/>
      <c r="J437" s="26"/>
    </row>
    <row r="438" ht="15.75" customHeight="1">
      <c r="A438" s="24"/>
      <c r="B438" s="24"/>
      <c r="C438" s="24"/>
      <c r="D438" s="24"/>
      <c r="E438" s="24"/>
      <c r="J438" s="26"/>
    </row>
    <row r="439" ht="15.75" customHeight="1">
      <c r="A439" s="24"/>
      <c r="B439" s="24"/>
      <c r="C439" s="24"/>
      <c r="D439" s="24"/>
      <c r="E439" s="24"/>
      <c r="J439" s="26"/>
    </row>
    <row r="440" ht="15.75" customHeight="1">
      <c r="A440" s="24"/>
      <c r="B440" s="24"/>
      <c r="C440" s="24"/>
      <c r="D440" s="24"/>
      <c r="E440" s="24"/>
      <c r="J440" s="26"/>
    </row>
    <row r="441" ht="15.75" customHeight="1">
      <c r="A441" s="24"/>
      <c r="B441" s="24"/>
      <c r="C441" s="24"/>
      <c r="D441" s="24"/>
      <c r="E441" s="24"/>
      <c r="J441" s="26"/>
    </row>
    <row r="442" ht="15.75" customHeight="1">
      <c r="A442" s="24"/>
      <c r="B442" s="24"/>
      <c r="C442" s="24"/>
      <c r="D442" s="24"/>
      <c r="E442" s="24"/>
      <c r="J442" s="26"/>
    </row>
    <row r="443" ht="15.75" customHeight="1">
      <c r="A443" s="24"/>
      <c r="B443" s="24"/>
      <c r="C443" s="24"/>
      <c r="D443" s="24"/>
      <c r="E443" s="24"/>
      <c r="J443" s="26"/>
    </row>
    <row r="444" ht="15.75" customHeight="1">
      <c r="A444" s="24"/>
      <c r="B444" s="24"/>
      <c r="C444" s="24"/>
      <c r="D444" s="24"/>
      <c r="E444" s="24"/>
      <c r="J444" s="26"/>
    </row>
    <row r="445" ht="15.75" customHeight="1">
      <c r="A445" s="24"/>
      <c r="B445" s="24"/>
      <c r="C445" s="24"/>
      <c r="D445" s="24"/>
      <c r="E445" s="24"/>
      <c r="J445" s="26"/>
    </row>
    <row r="446" ht="15.75" customHeight="1">
      <c r="A446" s="24"/>
      <c r="B446" s="24"/>
      <c r="C446" s="24"/>
      <c r="D446" s="24"/>
      <c r="E446" s="24"/>
      <c r="J446" s="26"/>
    </row>
    <row r="447" ht="15.75" customHeight="1">
      <c r="A447" s="24"/>
      <c r="B447" s="24"/>
      <c r="C447" s="24"/>
      <c r="D447" s="24"/>
      <c r="E447" s="24"/>
      <c r="J447" s="26"/>
    </row>
    <row r="448" ht="15.75" customHeight="1">
      <c r="A448" s="24"/>
      <c r="B448" s="24"/>
      <c r="C448" s="24"/>
      <c r="D448" s="24"/>
      <c r="E448" s="24"/>
      <c r="J448" s="26"/>
    </row>
    <row r="449" ht="15.75" customHeight="1">
      <c r="A449" s="24"/>
      <c r="B449" s="24"/>
      <c r="C449" s="24"/>
      <c r="D449" s="24"/>
      <c r="E449" s="24"/>
      <c r="J449" s="26"/>
    </row>
    <row r="450" ht="15.75" customHeight="1">
      <c r="A450" s="24"/>
      <c r="B450" s="24"/>
      <c r="C450" s="24"/>
      <c r="D450" s="24"/>
      <c r="E450" s="24"/>
      <c r="J450" s="26"/>
    </row>
    <row r="451" ht="15.75" customHeight="1">
      <c r="A451" s="24"/>
      <c r="B451" s="24"/>
      <c r="C451" s="24"/>
      <c r="D451" s="24"/>
      <c r="E451" s="24"/>
      <c r="J451" s="26"/>
    </row>
    <row r="452" ht="15.75" customHeight="1">
      <c r="A452" s="24"/>
      <c r="B452" s="24"/>
      <c r="C452" s="24"/>
      <c r="D452" s="24"/>
      <c r="E452" s="24"/>
      <c r="J452" s="26"/>
    </row>
    <row r="453" ht="15.75" customHeight="1">
      <c r="A453" s="24"/>
      <c r="B453" s="24"/>
      <c r="C453" s="24"/>
      <c r="D453" s="24"/>
      <c r="E453" s="24"/>
      <c r="J453" s="26"/>
    </row>
    <row r="454" ht="15.75" customHeight="1">
      <c r="J454" s="26"/>
    </row>
    <row r="455" ht="15.75" customHeight="1">
      <c r="J455" s="26"/>
    </row>
    <row r="456" ht="15.75" customHeight="1">
      <c r="J456" s="26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D221:D247"/>
    <mergeCell ref="D248:D274"/>
    <mergeCell ref="D275:D301"/>
    <mergeCell ref="E167:E193"/>
    <mergeCell ref="E194:E220"/>
    <mergeCell ref="E221:E247"/>
    <mergeCell ref="E248:E274"/>
    <mergeCell ref="E275:E301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J275:J301"/>
    <mergeCell ref="D302:I302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