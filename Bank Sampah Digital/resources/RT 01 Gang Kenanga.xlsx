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DELL\Documents\DigitalSkola\Intenrship at BSD\Data Tabungan Nasabah-20240716T135941Z-001\Data Tabungan Nasabah\"/>
    </mc:Choice>
  </mc:AlternateContent>
  <xr:revisionPtr revIDLastSave="0" documentId="13_ncr:1_{C534FC3D-5BA0-44EB-8C9D-4D7DB9B0AD6B}" xr6:coauthVersionLast="41" xr6:coauthVersionMax="41" xr10:uidLastSave="{00000000-0000-0000-0000-000000000000}"/>
  <bookViews>
    <workbookView xWindow="-120" yWindow="-120" windowWidth="20730" windowHeight="11310" xr2:uid="{00000000-000D-0000-FFFF-FFFF00000000}"/>
  </bookViews>
  <sheets>
    <sheet name="2024" sheetId="1" r:id="rId1"/>
    <sheet name="KENAGA 2023" sheetId="2" r:id="rId2"/>
    <sheet name="GANG KENANGA" sheetId="3" r:id="rId3"/>
    <sheet name="MULTILAYER" sheetId="4" r:id="rId4"/>
    <sheet name="DATA NASABAH" sheetId="5" r:id="rId5"/>
  </sheets>
  <calcPr calcId="191029"/>
</workbook>
</file>

<file path=xl/calcChain.xml><?xml version="1.0" encoding="utf-8"?>
<calcChain xmlns="http://schemas.openxmlformats.org/spreadsheetml/2006/main">
  <c r="Z32" i="4" l="1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Z3" i="4"/>
  <c r="Z34" i="4" s="1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R33" i="3"/>
  <c r="T33" i="3" s="1"/>
  <c r="T32" i="3"/>
  <c r="R32" i="3"/>
  <c r="T31" i="3"/>
  <c r="R31" i="3"/>
  <c r="T30" i="3"/>
  <c r="R30" i="3"/>
  <c r="R29" i="3"/>
  <c r="T29" i="3" s="1"/>
  <c r="T28" i="3"/>
  <c r="R28" i="3"/>
  <c r="T27" i="3"/>
  <c r="R27" i="3"/>
  <c r="T26" i="3"/>
  <c r="R26" i="3"/>
  <c r="R25" i="3"/>
  <c r="T25" i="3" s="1"/>
  <c r="T24" i="3"/>
  <c r="R24" i="3"/>
  <c r="T23" i="3"/>
  <c r="R23" i="3"/>
  <c r="T22" i="3"/>
  <c r="R22" i="3"/>
  <c r="R21" i="3"/>
  <c r="T21" i="3" s="1"/>
  <c r="T20" i="3"/>
  <c r="R20" i="3"/>
  <c r="T19" i="3"/>
  <c r="R19" i="3"/>
  <c r="T18" i="3"/>
  <c r="R18" i="3"/>
  <c r="R17" i="3"/>
  <c r="T17" i="3" s="1"/>
  <c r="T16" i="3"/>
  <c r="R16" i="3"/>
  <c r="T15" i="3"/>
  <c r="R15" i="3"/>
  <c r="T14" i="3"/>
  <c r="R14" i="3"/>
  <c r="S13" i="3"/>
  <c r="T13" i="3" s="1"/>
  <c r="R13" i="3"/>
  <c r="R12" i="3"/>
  <c r="T12" i="3" s="1"/>
  <c r="R11" i="3"/>
  <c r="T11" i="3" s="1"/>
  <c r="R10" i="3"/>
  <c r="T10" i="3" s="1"/>
  <c r="T9" i="3"/>
  <c r="S9" i="3"/>
  <c r="S36" i="3" s="1"/>
  <c r="R9" i="3"/>
  <c r="T8" i="3"/>
  <c r="R8" i="3"/>
  <c r="T7" i="3"/>
  <c r="R7" i="3"/>
  <c r="R6" i="3"/>
  <c r="R36" i="3" s="1"/>
  <c r="T5" i="3"/>
  <c r="R5" i="3"/>
  <c r="T4" i="3"/>
  <c r="R4" i="3"/>
  <c r="K36" i="2"/>
  <c r="I36" i="2"/>
  <c r="H36" i="2"/>
  <c r="G36" i="2"/>
  <c r="F36" i="2"/>
  <c r="E36" i="2"/>
  <c r="D36" i="2"/>
  <c r="N33" i="2"/>
  <c r="L33" i="2"/>
  <c r="C32" i="2"/>
  <c r="C36" i="2" s="1"/>
  <c r="N31" i="2"/>
  <c r="L31" i="2"/>
  <c r="L30" i="2"/>
  <c r="N30" i="2" s="1"/>
  <c r="N29" i="2"/>
  <c r="L29" i="2"/>
  <c r="L28" i="2"/>
  <c r="N28" i="2" s="1"/>
  <c r="N27" i="2"/>
  <c r="L27" i="2"/>
  <c r="L26" i="2"/>
  <c r="N26" i="2" s="1"/>
  <c r="N25" i="2"/>
  <c r="L25" i="2"/>
  <c r="L24" i="2"/>
  <c r="N24" i="2" s="1"/>
  <c r="N23" i="2"/>
  <c r="L23" i="2"/>
  <c r="L22" i="2"/>
  <c r="N22" i="2" s="1"/>
  <c r="N21" i="2"/>
  <c r="L21" i="2"/>
  <c r="L20" i="2"/>
  <c r="N20" i="2" s="1"/>
  <c r="N19" i="2"/>
  <c r="L19" i="2"/>
  <c r="L18" i="2"/>
  <c r="N18" i="2" s="1"/>
  <c r="L17" i="2"/>
  <c r="N17" i="2" s="1"/>
  <c r="L16" i="2"/>
  <c r="N16" i="2" s="1"/>
  <c r="N15" i="2"/>
  <c r="L15" i="2"/>
  <c r="L14" i="2"/>
  <c r="N14" i="2" s="1"/>
  <c r="N13" i="2"/>
  <c r="L13" i="2"/>
  <c r="L12" i="2"/>
  <c r="N12" i="2" s="1"/>
  <c r="N11" i="2"/>
  <c r="L11" i="2"/>
  <c r="L10" i="2"/>
  <c r="N10" i="2" s="1"/>
  <c r="M9" i="2"/>
  <c r="M36" i="2" s="1"/>
  <c r="L9" i="2"/>
  <c r="N9" i="2" s="1"/>
  <c r="N8" i="2"/>
  <c r="L8" i="2"/>
  <c r="L7" i="2"/>
  <c r="N7" i="2" s="1"/>
  <c r="N6" i="2"/>
  <c r="L6" i="2"/>
  <c r="L5" i="2"/>
  <c r="N5" i="2" s="1"/>
  <c r="N4" i="2"/>
  <c r="L4" i="2"/>
  <c r="O36" i="1"/>
  <c r="M36" i="1"/>
  <c r="L36" i="1"/>
  <c r="K36" i="1"/>
  <c r="J36" i="1"/>
  <c r="I36" i="1"/>
  <c r="H36" i="1"/>
  <c r="G36" i="1"/>
  <c r="F36" i="1"/>
  <c r="E36" i="1"/>
  <c r="D36" i="1"/>
  <c r="P33" i="1"/>
  <c r="N33" i="1"/>
  <c r="N31" i="1"/>
  <c r="P31" i="1" s="1"/>
  <c r="N30" i="1"/>
  <c r="P30" i="1" s="1"/>
  <c r="P29" i="1"/>
  <c r="N29" i="1"/>
  <c r="N28" i="1"/>
  <c r="P28" i="1" s="1"/>
  <c r="N27" i="1"/>
  <c r="P27" i="1" s="1"/>
  <c r="N26" i="1"/>
  <c r="P26" i="1" s="1"/>
  <c r="P25" i="1"/>
  <c r="N25" i="1"/>
  <c r="N24" i="1"/>
  <c r="P24" i="1" s="1"/>
  <c r="N23" i="1"/>
  <c r="P23" i="1" s="1"/>
  <c r="N22" i="1"/>
  <c r="P22" i="1" s="1"/>
  <c r="P21" i="1"/>
  <c r="N21" i="1"/>
  <c r="N20" i="1"/>
  <c r="P20" i="1" s="1"/>
  <c r="N19" i="1"/>
  <c r="P19" i="1" s="1"/>
  <c r="N18" i="1"/>
  <c r="P18" i="1" s="1"/>
  <c r="P17" i="1"/>
  <c r="N17" i="1"/>
  <c r="N16" i="1"/>
  <c r="P16" i="1" s="1"/>
  <c r="N15" i="1"/>
  <c r="P15" i="1" s="1"/>
  <c r="N14" i="1"/>
  <c r="P14" i="1" s="1"/>
  <c r="P13" i="1"/>
  <c r="N13" i="1"/>
  <c r="N12" i="1"/>
  <c r="P12" i="1" s="1"/>
  <c r="N11" i="1"/>
  <c r="P11" i="1" s="1"/>
  <c r="N10" i="1"/>
  <c r="P10" i="1" s="1"/>
  <c r="P9" i="1"/>
  <c r="N9" i="1"/>
  <c r="N8" i="1"/>
  <c r="P8" i="1" s="1"/>
  <c r="N7" i="1"/>
  <c r="P7" i="1" s="1"/>
  <c r="N6" i="1"/>
  <c r="P6" i="1" s="1"/>
  <c r="P5" i="1"/>
  <c r="N5" i="1"/>
  <c r="C4" i="1"/>
  <c r="N4" i="1" l="1"/>
  <c r="L32" i="2"/>
  <c r="N32" i="2" s="1"/>
  <c r="C32" i="1" s="1"/>
  <c r="N32" i="1" s="1"/>
  <c r="P32" i="1" s="1"/>
  <c r="T6" i="3"/>
  <c r="T36" i="3" s="1"/>
  <c r="N36" i="2" l="1"/>
  <c r="N36" i="1"/>
  <c r="P4" i="1"/>
  <c r="P36" i="1" s="1"/>
  <c r="C36" i="1"/>
  <c r="L36" i="2"/>
</calcChain>
</file>

<file path=xl/sharedStrings.xml><?xml version="1.0" encoding="utf-8"?>
<sst xmlns="http://schemas.openxmlformats.org/spreadsheetml/2006/main" count="357" uniqueCount="153">
  <si>
    <t>DAFTAR NASABAH BANK SAMPAH DIGITAL</t>
  </si>
  <si>
    <t>No</t>
  </si>
  <si>
    <t>Nama Lengkap</t>
  </si>
  <si>
    <t>Sisa Saldo</t>
  </si>
  <si>
    <t>Jan</t>
  </si>
  <si>
    <t>Feb</t>
  </si>
  <si>
    <t>Mei</t>
  </si>
  <si>
    <t>Jun</t>
  </si>
  <si>
    <t>Jul</t>
  </si>
  <si>
    <t>Agustus</t>
  </si>
  <si>
    <t>Sep</t>
  </si>
  <si>
    <t>Okt</t>
  </si>
  <si>
    <t>Nov</t>
  </si>
  <si>
    <t>Des</t>
  </si>
  <si>
    <t>Jumlah Total</t>
  </si>
  <si>
    <t>Total Dicairkan</t>
  </si>
  <si>
    <t xml:space="preserve">Siti Aminah </t>
  </si>
  <si>
    <t xml:space="preserve">Susanti Apriyani </t>
  </si>
  <si>
    <t>Fajriah</t>
  </si>
  <si>
    <t>Dede Yustiana</t>
  </si>
  <si>
    <t>31/1/2024</t>
  </si>
  <si>
    <t>Bayinah</t>
  </si>
  <si>
    <t>Juleha</t>
  </si>
  <si>
    <t>Eti Suhaeti</t>
  </si>
  <si>
    <t>Hadiyah</t>
  </si>
  <si>
    <t>-</t>
  </si>
  <si>
    <t>Husniyati</t>
  </si>
  <si>
    <t>Iin Sri Royanti</t>
  </si>
  <si>
    <t>Ayii Nurhayati</t>
  </si>
  <si>
    <t>26/3/24 469.125</t>
  </si>
  <si>
    <t>Ayi Rohaet</t>
  </si>
  <si>
    <t>26/3/24 85.050</t>
  </si>
  <si>
    <t>Thoifah</t>
  </si>
  <si>
    <t>Roro</t>
  </si>
  <si>
    <t>Rahmi Adila</t>
  </si>
  <si>
    <t>Ade Supriono</t>
  </si>
  <si>
    <t>Siti Aliyah</t>
  </si>
  <si>
    <t>Dewi Yasmin Kaza Luthfi</t>
  </si>
  <si>
    <t>Atin Handayanti</t>
  </si>
  <si>
    <t>Siti Mellia Rohmawati</t>
  </si>
  <si>
    <t>Wety Susilawati</t>
  </si>
  <si>
    <t>M helmi</t>
  </si>
  <si>
    <t>M.Amin</t>
  </si>
  <si>
    <t>M. Satibi</t>
  </si>
  <si>
    <t>Saleh</t>
  </si>
  <si>
    <t>Sriyanti</t>
  </si>
  <si>
    <t>Eny Nuraeni</t>
  </si>
  <si>
    <t>Siti Ropiah</t>
  </si>
  <si>
    <t>Abdiah Jamilah</t>
  </si>
  <si>
    <t>Noname</t>
  </si>
  <si>
    <t>Jumlah Nasabah Menabung</t>
  </si>
  <si>
    <t>Total Transaksi</t>
  </si>
  <si>
    <t>Mart</t>
  </si>
  <si>
    <t>September</t>
  </si>
  <si>
    <t>Oktober</t>
  </si>
  <si>
    <t>25/3/2023 200.000</t>
  </si>
  <si>
    <t>25/3/2023 150.000</t>
  </si>
  <si>
    <t>16/8/23 100.00</t>
  </si>
  <si>
    <t>25/3/2023 50.000</t>
  </si>
  <si>
    <t>16/8/23 50.000</t>
  </si>
  <si>
    <t>25/3/2023 100.000</t>
  </si>
  <si>
    <t>November</t>
  </si>
  <si>
    <t>Desember</t>
  </si>
  <si>
    <t>Januari</t>
  </si>
  <si>
    <t>Februari</t>
  </si>
  <si>
    <t>Maret</t>
  </si>
  <si>
    <t>April</t>
  </si>
  <si>
    <t>Juni</t>
  </si>
  <si>
    <t>Juli</t>
  </si>
  <si>
    <t>22/3/2022 600.000</t>
  </si>
  <si>
    <t>19/4/22 (200rb)</t>
  </si>
  <si>
    <t>23/07/22 (100rb)</t>
  </si>
  <si>
    <t>22/3/2022 400.000</t>
  </si>
  <si>
    <t>25/07/22(50rb)</t>
  </si>
  <si>
    <t>22/10/22(50rb)</t>
  </si>
  <si>
    <t>Sept</t>
  </si>
  <si>
    <t>Ok</t>
  </si>
  <si>
    <t>Agt</t>
  </si>
  <si>
    <t>Agutus</t>
  </si>
  <si>
    <t>Septemer</t>
  </si>
  <si>
    <t>JAN</t>
  </si>
  <si>
    <t>`10.5</t>
  </si>
  <si>
    <t>Total</t>
  </si>
  <si>
    <t>Nama Bank Sampah</t>
  </si>
  <si>
    <t>Pengurus</t>
  </si>
  <si>
    <t>NO</t>
  </si>
  <si>
    <t>NAMA LENGKAP</t>
  </si>
  <si>
    <t>ID Nasabah</t>
  </si>
  <si>
    <t xml:space="preserve">NO HP </t>
  </si>
  <si>
    <t xml:space="preserve">IDENTITAS </t>
  </si>
  <si>
    <t xml:space="preserve">ALAMAT </t>
  </si>
  <si>
    <t>JENIS TABUNGAN</t>
  </si>
  <si>
    <t>01-02-0019-001</t>
  </si>
  <si>
    <t>081908221422</t>
  </si>
  <si>
    <t>3604304812710001</t>
  </si>
  <si>
    <t>Jln. Raya Anyar Kp. Kenanga RT 01 RW 01 Kec. Anyar</t>
  </si>
  <si>
    <t>UANG</t>
  </si>
  <si>
    <t>01-02-0019-002</t>
  </si>
  <si>
    <t>0895635105426</t>
  </si>
  <si>
    <t>3604305509820001</t>
  </si>
  <si>
    <t>Kp. Kenanga RT 01 RW 01 Desa Anyar</t>
  </si>
  <si>
    <t>01-02-0019-003</t>
  </si>
  <si>
    <t>087874247686</t>
  </si>
  <si>
    <t>3604305708850001</t>
  </si>
  <si>
    <t>Nursiyah</t>
  </si>
  <si>
    <t>01-02-0019-004</t>
  </si>
  <si>
    <t>085946241817</t>
  </si>
  <si>
    <t>3604305602650001</t>
  </si>
  <si>
    <t>Kp. Cempaka Putih RT 02 RW 05 Desa Anyar</t>
  </si>
  <si>
    <t>01-02-0019-005</t>
  </si>
  <si>
    <t>081295088515</t>
  </si>
  <si>
    <t>3604304711860002</t>
  </si>
  <si>
    <t>01-02-0019-006</t>
  </si>
  <si>
    <t>089507855076</t>
  </si>
  <si>
    <t>3604305805670001</t>
  </si>
  <si>
    <t>01-02-0019-007</t>
  </si>
  <si>
    <t>3604305707640001</t>
  </si>
  <si>
    <t>Khodiyah</t>
  </si>
  <si>
    <t>01-02-0019-008</t>
  </si>
  <si>
    <t>01-02-0019-009</t>
  </si>
  <si>
    <t>081906257081</t>
  </si>
  <si>
    <t>3604305011620001</t>
  </si>
  <si>
    <t>01-02-0019-010</t>
  </si>
  <si>
    <t>3604305204770005</t>
  </si>
  <si>
    <t>01-02-0019-011</t>
  </si>
  <si>
    <t>3604306803810001</t>
  </si>
  <si>
    <t>01-02-0019-012</t>
  </si>
  <si>
    <t>Ayii Muhayati</t>
  </si>
  <si>
    <t>01-02-0019-013</t>
  </si>
  <si>
    <t>3604305505700001</t>
  </si>
  <si>
    <t>01-02-0019-014</t>
  </si>
  <si>
    <t>089652413945</t>
  </si>
  <si>
    <t>3604306502730003</t>
  </si>
  <si>
    <t>01-02-0019-015</t>
  </si>
  <si>
    <t>3671090507120012</t>
  </si>
  <si>
    <t>Roro Rahmawati</t>
  </si>
  <si>
    <t>01-02-0019-016</t>
  </si>
  <si>
    <t>3604300404090029</t>
  </si>
  <si>
    <t>Rahmi Adilah</t>
  </si>
  <si>
    <t>01-02-0019-017</t>
  </si>
  <si>
    <t>3604305705690003</t>
  </si>
  <si>
    <t>01-02-0019-018</t>
  </si>
  <si>
    <t>3604300912670001</t>
  </si>
  <si>
    <t>01-02-0019-019</t>
  </si>
  <si>
    <t>3604305501740001</t>
  </si>
  <si>
    <t>01-02-0019-020</t>
  </si>
  <si>
    <t>3604305903930004</t>
  </si>
  <si>
    <t>01-02-0019-021</t>
  </si>
  <si>
    <t>3604305204800002</t>
  </si>
  <si>
    <t>01-02-0019-022</t>
  </si>
  <si>
    <t>M Satibi</t>
  </si>
  <si>
    <t>01-02-0019-023</t>
  </si>
  <si>
    <t>01-02-0019-024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</si>
</sst>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R\p* #,##0_);_(\R\p* \(#,##0\);_(\R\p* &quot;-&quot;??_);_(@_)"/>
    <numFmt numFmtId="165" formatCode="_-[$Rp-421]* #,##0_-;_-[$Rp-421]* \-#,##0_-;_-[$Rp-421]* &quot;-&quot;??_-;_-@"/>
    <numFmt numFmtId="166" formatCode="[$Rp]#,##0"/>
    <numFmt numFmtId="167" formatCode="#,##0.0;\(#,##0.0\)"/>
    <numFmt numFmtId="168" formatCode="#,##0;\(#,##0\)"/>
  </numFmts>
  <fonts count="15">
    <font>
      <sz val="10"/>
      <color rgb="FF000000"/>
      <name val="Arial"/>
      <scheme val="minor"/>
    </font>
    <font>
      <b/>
      <sz val="11"/>
      <color theme="1"/>
      <name val="&quot;Times New Roman&quot;"/>
    </font>
    <font>
      <sz val="11"/>
      <color theme="1"/>
      <name val="Times New Roman"/>
    </font>
    <font>
      <sz val="10"/>
      <color theme="1"/>
      <name val="Arial"/>
    </font>
    <font>
      <sz val="11"/>
      <color rgb="FF000000"/>
      <name val="Times New Roman"/>
    </font>
    <font>
      <sz val="10"/>
      <color theme="1"/>
      <name val="Arial"/>
      <scheme val="minor"/>
    </font>
    <font>
      <sz val="12"/>
      <color theme="1"/>
      <name val="Times New Roman"/>
    </font>
    <font>
      <sz val="10"/>
      <color theme="1"/>
      <name val="Times New Roman"/>
    </font>
    <font>
      <sz val="11"/>
      <color theme="1"/>
      <name val="Calibri"/>
    </font>
    <font>
      <sz val="11"/>
      <color theme="1"/>
      <name val="&quot;Times New Roman&quot;"/>
    </font>
    <font>
      <b/>
      <sz val="11"/>
      <color theme="1"/>
      <name val="Arial"/>
      <scheme val="minor"/>
    </font>
    <font>
      <sz val="12"/>
      <color theme="1"/>
      <name val="Arial"/>
      <scheme val="minor"/>
    </font>
    <font>
      <b/>
      <sz val="12"/>
      <color theme="1"/>
      <name val="&quot;Times New Roman&quot;"/>
    </font>
    <font>
      <b/>
      <sz val="11"/>
      <color theme="1"/>
      <name val="Times New Roman"/>
    </font>
    <font>
      <b/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BF9000"/>
        <bgColor rgb="FFBF90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164" fontId="3" fillId="2" borderId="1" xfId="0" applyNumberFormat="1" applyFont="1" applyFill="1" applyBorder="1" applyAlignment="1">
      <alignment horizontal="right"/>
    </xf>
    <xf numFmtId="164" fontId="4" fillId="2" borderId="1" xfId="0" applyNumberFormat="1" applyFont="1" applyFill="1" applyBorder="1" applyAlignment="1"/>
    <xf numFmtId="165" fontId="4" fillId="2" borderId="1" xfId="0" applyNumberFormat="1" applyFont="1" applyFill="1" applyBorder="1" applyAlignment="1"/>
    <xf numFmtId="0" fontId="5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164" fontId="3" fillId="0" borderId="1" xfId="0" applyNumberFormat="1" applyFont="1" applyBorder="1" applyAlignment="1">
      <alignment horizontal="right"/>
    </xf>
    <xf numFmtId="164" fontId="4" fillId="3" borderId="1" xfId="0" applyNumberFormat="1" applyFont="1" applyFill="1" applyBorder="1" applyAlignment="1"/>
    <xf numFmtId="165" fontId="4" fillId="3" borderId="1" xfId="0" applyNumberFormat="1" applyFont="1" applyFill="1" applyBorder="1" applyAlignment="1"/>
    <xf numFmtId="164" fontId="3" fillId="0" borderId="1" xfId="0" applyNumberFormat="1" applyFont="1" applyBorder="1" applyAlignment="1">
      <alignment horizontal="right"/>
    </xf>
    <xf numFmtId="165" fontId="4" fillId="3" borderId="1" xfId="0" applyNumberFormat="1" applyFont="1" applyFill="1" applyBorder="1"/>
    <xf numFmtId="0" fontId="5" fillId="0" borderId="0" xfId="0" applyFont="1" applyAlignment="1"/>
    <xf numFmtId="164" fontId="5" fillId="0" borderId="1" xfId="0" applyNumberFormat="1" applyFont="1" applyBorder="1" applyAlignment="1"/>
    <xf numFmtId="166" fontId="5" fillId="0" borderId="0" xfId="0" applyNumberFormat="1" applyFont="1" applyAlignment="1"/>
    <xf numFmtId="164" fontId="3" fillId="0" borderId="1" xfId="0" applyNumberFormat="1" applyFont="1" applyBorder="1" applyAlignment="1"/>
    <xf numFmtId="0" fontId="6" fillId="0" borderId="1" xfId="0" applyFont="1" applyBorder="1" applyAlignment="1"/>
    <xf numFmtId="0" fontId="7" fillId="0" borderId="1" xfId="0" applyFont="1" applyBorder="1" applyAlignment="1"/>
    <xf numFmtId="0" fontId="7" fillId="2" borderId="1" xfId="0" applyFont="1" applyFill="1" applyBorder="1" applyAlignment="1"/>
    <xf numFmtId="164" fontId="3" fillId="2" borderId="1" xfId="0" applyNumberFormat="1" applyFont="1" applyFill="1" applyBorder="1" applyAlignment="1">
      <alignment horizontal="right"/>
    </xf>
    <xf numFmtId="164" fontId="5" fillId="2" borderId="1" xfId="0" applyNumberFormat="1" applyFont="1" applyFill="1" applyBorder="1" applyAlignment="1"/>
    <xf numFmtId="166" fontId="5" fillId="2" borderId="0" xfId="0" applyNumberFormat="1" applyFont="1" applyFill="1" applyAlignment="1"/>
    <xf numFmtId="165" fontId="4" fillId="4" borderId="1" xfId="0" applyNumberFormat="1" applyFont="1" applyFill="1" applyBorder="1" applyAlignment="1"/>
    <xf numFmtId="0" fontId="5" fillId="0" borderId="1" xfId="0" applyFont="1" applyBorder="1" applyAlignment="1"/>
    <xf numFmtId="0" fontId="5" fillId="0" borderId="1" xfId="0" applyFont="1" applyBorder="1"/>
    <xf numFmtId="0" fontId="6" fillId="5" borderId="1" xfId="0" applyFont="1" applyFill="1" applyBorder="1" applyAlignment="1"/>
    <xf numFmtId="0" fontId="6" fillId="2" borderId="1" xfId="0" applyFont="1" applyFill="1" applyBorder="1" applyAlignment="1"/>
    <xf numFmtId="0" fontId="5" fillId="2" borderId="1" xfId="0" applyFont="1" applyFill="1" applyBorder="1"/>
    <xf numFmtId="164" fontId="3" fillId="0" borderId="1" xfId="0" applyNumberFormat="1" applyFont="1" applyBorder="1" applyAlignment="1"/>
    <xf numFmtId="0" fontId="1" fillId="0" borderId="0" xfId="0" applyFont="1" applyAlignment="1"/>
    <xf numFmtId="0" fontId="8" fillId="0" borderId="0" xfId="0" applyFont="1" applyAlignment="1">
      <alignment horizontal="center"/>
    </xf>
    <xf numFmtId="3" fontId="8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165" fontId="9" fillId="0" borderId="0" xfId="0" applyNumberFormat="1" applyFont="1" applyAlignment="1">
      <alignment horizontal="right"/>
    </xf>
    <xf numFmtId="165" fontId="7" fillId="6" borderId="0" xfId="0" applyNumberFormat="1" applyFont="1" applyFill="1"/>
    <xf numFmtId="165" fontId="7" fillId="5" borderId="0" xfId="0" applyNumberFormat="1" applyFont="1" applyFill="1"/>
    <xf numFmtId="166" fontId="7" fillId="7" borderId="0" xfId="0" applyNumberFormat="1" applyFont="1" applyFill="1"/>
    <xf numFmtId="165" fontId="4" fillId="8" borderId="1" xfId="0" applyNumberFormat="1" applyFont="1" applyFill="1" applyBorder="1" applyAlignment="1"/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7" fontId="1" fillId="8" borderId="1" xfId="0" applyNumberFormat="1" applyFont="1" applyFill="1" applyBorder="1" applyAlignment="1">
      <alignment horizontal="center"/>
    </xf>
    <xf numFmtId="168" fontId="1" fillId="8" borderId="1" xfId="0" applyNumberFormat="1" applyFont="1" applyFill="1" applyBorder="1" applyAlignment="1">
      <alignment horizontal="center"/>
    </xf>
    <xf numFmtId="167" fontId="1" fillId="9" borderId="1" xfId="0" applyNumberFormat="1" applyFont="1" applyFill="1" applyBorder="1" applyAlignment="1">
      <alignment horizontal="center"/>
    </xf>
    <xf numFmtId="167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167" fontId="3" fillId="8" borderId="1" xfId="0" applyNumberFormat="1" applyFont="1" applyFill="1" applyBorder="1" applyAlignment="1">
      <alignment horizontal="center"/>
    </xf>
    <xf numFmtId="168" fontId="4" fillId="8" borderId="1" xfId="0" applyNumberFormat="1" applyFont="1" applyFill="1" applyBorder="1" applyAlignment="1">
      <alignment horizontal="center"/>
    </xf>
    <xf numFmtId="167" fontId="4" fillId="8" borderId="1" xfId="0" applyNumberFormat="1" applyFont="1" applyFill="1" applyBorder="1" applyAlignment="1">
      <alignment horizontal="center"/>
    </xf>
    <xf numFmtId="167" fontId="4" fillId="9" borderId="1" xfId="0" applyNumberFormat="1" applyFont="1" applyFill="1" applyBorder="1" applyAlignment="1">
      <alignment horizontal="center"/>
    </xf>
    <xf numFmtId="168" fontId="4" fillId="9" borderId="1" xfId="0" applyNumberFormat="1" applyFont="1" applyFill="1" applyBorder="1" applyAlignment="1">
      <alignment horizontal="center"/>
    </xf>
    <xf numFmtId="167" fontId="4" fillId="10" borderId="1" xfId="0" applyNumberFormat="1" applyFont="1" applyFill="1" applyBorder="1" applyAlignment="1">
      <alignment horizontal="center"/>
    </xf>
    <xf numFmtId="1" fontId="4" fillId="10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68" fontId="4" fillId="10" borderId="1" xfId="0" applyNumberFormat="1" applyFont="1" applyFill="1" applyBorder="1" applyAlignment="1">
      <alignment horizontal="center"/>
    </xf>
    <xf numFmtId="168" fontId="3" fillId="8" borderId="1" xfId="0" applyNumberFormat="1" applyFont="1" applyFill="1" applyBorder="1" applyAlignment="1">
      <alignment horizontal="center"/>
    </xf>
    <xf numFmtId="168" fontId="5" fillId="8" borderId="1" xfId="0" applyNumberFormat="1" applyFont="1" applyFill="1" applyBorder="1" applyAlignment="1">
      <alignment horizontal="center"/>
    </xf>
    <xf numFmtId="167" fontId="5" fillId="8" borderId="1" xfId="0" applyNumberFormat="1" applyFont="1" applyFill="1" applyBorder="1" applyAlignment="1">
      <alignment horizontal="center"/>
    </xf>
    <xf numFmtId="0" fontId="5" fillId="9" borderId="1" xfId="0" applyFont="1" applyFill="1" applyBorder="1"/>
    <xf numFmtId="0" fontId="5" fillId="10" borderId="0" xfId="0" applyFont="1" applyFill="1" applyAlignment="1">
      <alignment horizontal="center"/>
    </xf>
    <xf numFmtId="167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7" fontId="10" fillId="11" borderId="0" xfId="0" applyNumberFormat="1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1" fontId="10" fillId="11" borderId="0" xfId="0" applyNumberFormat="1" applyFont="1" applyFill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" fillId="0" borderId="1" xfId="0" quotePrefix="1" applyFont="1" applyBorder="1" applyAlignment="1"/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/>
    <xf numFmtId="0" fontId="7" fillId="0" borderId="1" xfId="0" quotePrefix="1" applyFont="1" applyBorder="1" applyAlignment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6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R8" sqref="R8"/>
    </sheetView>
  </sheetViews>
  <sheetFormatPr defaultColWidth="12.5703125" defaultRowHeight="15.75" customHeight="1"/>
  <cols>
    <col min="1" max="1" width="4.28515625" customWidth="1"/>
    <col min="2" max="2" width="21" customWidth="1"/>
    <col min="3" max="6" width="12.5703125" hidden="1"/>
    <col min="7" max="7" width="13.85546875" hidden="1" customWidth="1"/>
    <col min="14" max="14" width="14.42578125" customWidth="1"/>
    <col min="15" max="15" width="14.7109375" customWidth="1"/>
    <col min="16" max="16" width="15.85546875" customWidth="1"/>
    <col min="17" max="17" width="14.85546875" customWidth="1"/>
  </cols>
  <sheetData>
    <row r="1" spans="1:33" ht="15.75" customHeight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3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33" ht="15.75" customHeight="1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2" t="s">
        <v>14</v>
      </c>
      <c r="O3" s="2" t="s">
        <v>15</v>
      </c>
      <c r="P3" s="2" t="s">
        <v>3</v>
      </c>
    </row>
    <row r="4" spans="1:33" ht="15.75" customHeight="1">
      <c r="A4" s="4">
        <v>1</v>
      </c>
      <c r="B4" s="5" t="s">
        <v>16</v>
      </c>
      <c r="C4" s="6">
        <f>'KENAGA 2023'!N4</f>
        <v>85750</v>
      </c>
      <c r="D4" s="7">
        <v>5600</v>
      </c>
      <c r="E4" s="8">
        <v>4000</v>
      </c>
      <c r="F4" s="8">
        <v>6750</v>
      </c>
      <c r="G4" s="8"/>
      <c r="H4" s="8"/>
      <c r="I4" s="8"/>
      <c r="J4" s="8"/>
      <c r="K4" s="8"/>
      <c r="L4" s="8"/>
      <c r="M4" s="8"/>
      <c r="N4" s="8">
        <f t="shared" ref="N4:N33" si="0">SUM(C4:M4)</f>
        <v>102100</v>
      </c>
      <c r="O4" s="8"/>
      <c r="P4" s="8">
        <f t="shared" ref="P4:P33" si="1">N4-O4</f>
        <v>102100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 ht="15.75" customHeight="1">
      <c r="A5" s="10">
        <v>2</v>
      </c>
      <c r="B5" s="11" t="s">
        <v>17</v>
      </c>
      <c r="C5" s="12">
        <v>27000</v>
      </c>
      <c r="D5" s="13"/>
      <c r="E5" s="14"/>
      <c r="F5" s="14"/>
      <c r="G5" s="14"/>
      <c r="H5" s="14"/>
      <c r="I5" s="14"/>
      <c r="J5" s="14"/>
      <c r="K5" s="14"/>
      <c r="L5" s="14"/>
      <c r="M5" s="14"/>
      <c r="N5" s="14">
        <f t="shared" si="0"/>
        <v>27000</v>
      </c>
      <c r="O5" s="14">
        <v>27000</v>
      </c>
      <c r="P5" s="14">
        <f t="shared" si="1"/>
        <v>0</v>
      </c>
    </row>
    <row r="6" spans="1:33" ht="15.75" customHeight="1">
      <c r="A6" s="10">
        <v>3</v>
      </c>
      <c r="B6" s="11" t="s">
        <v>18</v>
      </c>
      <c r="C6" s="12">
        <v>900</v>
      </c>
      <c r="D6" s="13"/>
      <c r="E6" s="14"/>
      <c r="F6" s="14"/>
      <c r="G6" s="14"/>
      <c r="H6" s="14"/>
      <c r="I6" s="14"/>
      <c r="J6" s="14"/>
      <c r="K6" s="14"/>
      <c r="L6" s="14"/>
      <c r="M6" s="14"/>
      <c r="N6" s="14">
        <f t="shared" si="0"/>
        <v>900</v>
      </c>
      <c r="O6" s="14"/>
      <c r="P6" s="14">
        <f t="shared" si="1"/>
        <v>900</v>
      </c>
    </row>
    <row r="7" spans="1:33" ht="15.75" customHeight="1">
      <c r="A7" s="10">
        <v>4</v>
      </c>
      <c r="B7" s="11" t="s">
        <v>19</v>
      </c>
      <c r="C7" s="15">
        <v>759375</v>
      </c>
      <c r="D7" s="13">
        <v>270400</v>
      </c>
      <c r="E7" s="14">
        <v>38750</v>
      </c>
      <c r="F7" s="14"/>
      <c r="G7" s="14">
        <v>51350</v>
      </c>
      <c r="H7" s="16"/>
      <c r="I7" s="16"/>
      <c r="J7" s="14"/>
      <c r="K7" s="14"/>
      <c r="L7" s="14"/>
      <c r="M7" s="14"/>
      <c r="N7" s="14">
        <f t="shared" si="0"/>
        <v>1119875</v>
      </c>
      <c r="O7" s="14">
        <v>1000000</v>
      </c>
      <c r="P7" s="14">
        <f t="shared" si="1"/>
        <v>119875</v>
      </c>
      <c r="Q7" s="17" t="s">
        <v>20</v>
      </c>
    </row>
    <row r="8" spans="1:33" ht="15.75" customHeight="1">
      <c r="A8" s="10">
        <v>5</v>
      </c>
      <c r="B8" s="11" t="s">
        <v>21</v>
      </c>
      <c r="C8" s="15">
        <v>64375</v>
      </c>
      <c r="D8" s="13"/>
      <c r="E8" s="14"/>
      <c r="F8" s="14"/>
      <c r="G8" s="14"/>
      <c r="H8" s="14"/>
      <c r="I8" s="14"/>
      <c r="J8" s="14"/>
      <c r="K8" s="14"/>
      <c r="L8" s="14"/>
      <c r="M8" s="14"/>
      <c r="N8" s="14">
        <f t="shared" si="0"/>
        <v>64375</v>
      </c>
      <c r="O8" s="14">
        <v>64000</v>
      </c>
      <c r="P8" s="14">
        <f t="shared" si="1"/>
        <v>375</v>
      </c>
    </row>
    <row r="9" spans="1:33" ht="15.75" customHeight="1">
      <c r="A9" s="4">
        <v>6</v>
      </c>
      <c r="B9" s="5" t="s">
        <v>22</v>
      </c>
      <c r="C9" s="6">
        <v>53850</v>
      </c>
      <c r="D9" s="7">
        <v>23050</v>
      </c>
      <c r="E9" s="8"/>
      <c r="F9" s="8">
        <v>15800</v>
      </c>
      <c r="G9" s="8"/>
      <c r="H9" s="8">
        <v>21500</v>
      </c>
      <c r="I9" s="8"/>
      <c r="J9" s="8"/>
      <c r="K9" s="8"/>
      <c r="L9" s="8"/>
      <c r="M9" s="8"/>
      <c r="N9" s="8">
        <f t="shared" si="0"/>
        <v>114200</v>
      </c>
      <c r="O9" s="8"/>
      <c r="P9" s="8">
        <f t="shared" si="1"/>
        <v>114200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ht="15.75" customHeight="1">
      <c r="A10" s="10">
        <v>7</v>
      </c>
      <c r="B10" s="11" t="s">
        <v>23</v>
      </c>
      <c r="C10" s="12">
        <v>54000</v>
      </c>
      <c r="D10" s="18"/>
      <c r="E10" s="14"/>
      <c r="F10" s="14"/>
      <c r="G10" s="14"/>
      <c r="H10" s="14"/>
      <c r="I10" s="14"/>
      <c r="J10" s="14"/>
      <c r="K10" s="14"/>
      <c r="L10" s="14"/>
      <c r="M10" s="14"/>
      <c r="N10" s="14">
        <f t="shared" si="0"/>
        <v>54000</v>
      </c>
      <c r="O10" s="14"/>
      <c r="P10" s="14">
        <f t="shared" si="1"/>
        <v>54000</v>
      </c>
      <c r="R10" s="19"/>
    </row>
    <row r="11" spans="1:33" ht="15.75" customHeight="1">
      <c r="A11" s="10">
        <v>8</v>
      </c>
      <c r="B11" s="11" t="s">
        <v>24</v>
      </c>
      <c r="C11" s="20" t="s">
        <v>25</v>
      </c>
      <c r="D11" s="18"/>
      <c r="E11" s="14"/>
      <c r="F11" s="14"/>
      <c r="G11" s="14"/>
      <c r="H11" s="14"/>
      <c r="I11" s="14"/>
      <c r="J11" s="14"/>
      <c r="K11" s="14"/>
      <c r="L11" s="14"/>
      <c r="M11" s="14"/>
      <c r="N11" s="14">
        <f t="shared" si="0"/>
        <v>0</v>
      </c>
      <c r="O11" s="14"/>
      <c r="P11" s="14">
        <f t="shared" si="1"/>
        <v>0</v>
      </c>
      <c r="R11" s="19"/>
    </row>
    <row r="12" spans="1:33" ht="15.75" customHeight="1">
      <c r="A12" s="10">
        <v>9</v>
      </c>
      <c r="B12" s="21" t="s">
        <v>26</v>
      </c>
      <c r="C12" s="15">
        <v>27650</v>
      </c>
      <c r="D12" s="18"/>
      <c r="E12" s="14"/>
      <c r="F12" s="14"/>
      <c r="G12" s="14"/>
      <c r="H12" s="14"/>
      <c r="I12" s="14"/>
      <c r="J12" s="14"/>
      <c r="K12" s="14"/>
      <c r="L12" s="14"/>
      <c r="M12" s="14"/>
      <c r="N12" s="14">
        <f t="shared" si="0"/>
        <v>27650</v>
      </c>
      <c r="O12" s="14"/>
      <c r="P12" s="14">
        <f t="shared" si="1"/>
        <v>27650</v>
      </c>
      <c r="R12" s="19"/>
    </row>
    <row r="13" spans="1:33" ht="15.75" customHeight="1">
      <c r="A13" s="10">
        <v>10</v>
      </c>
      <c r="B13" s="21" t="s">
        <v>27</v>
      </c>
      <c r="C13" s="15">
        <v>93900</v>
      </c>
      <c r="D13" s="18">
        <v>2250</v>
      </c>
      <c r="E13" s="14">
        <v>2150</v>
      </c>
      <c r="F13" s="14">
        <v>8325</v>
      </c>
      <c r="G13" s="14">
        <v>1575</v>
      </c>
      <c r="H13" s="14">
        <v>3900</v>
      </c>
      <c r="I13" s="14"/>
      <c r="J13" s="14"/>
      <c r="K13" s="14"/>
      <c r="L13" s="14"/>
      <c r="M13" s="14"/>
      <c r="N13" s="14">
        <f t="shared" si="0"/>
        <v>112100</v>
      </c>
      <c r="O13" s="14"/>
      <c r="P13" s="14">
        <f t="shared" si="1"/>
        <v>112100</v>
      </c>
      <c r="R13" s="19"/>
    </row>
    <row r="14" spans="1:33" ht="15.75" customHeight="1">
      <c r="A14" s="10">
        <v>11</v>
      </c>
      <c r="B14" s="21" t="s">
        <v>28</v>
      </c>
      <c r="C14" s="15">
        <v>431225</v>
      </c>
      <c r="D14" s="18">
        <v>12200</v>
      </c>
      <c r="E14" s="14">
        <v>25700</v>
      </c>
      <c r="F14" s="14">
        <v>36700</v>
      </c>
      <c r="G14" s="14">
        <v>5250</v>
      </c>
      <c r="H14" s="14">
        <v>13200</v>
      </c>
      <c r="I14" s="14"/>
      <c r="J14" s="14"/>
      <c r="K14" s="14"/>
      <c r="L14" s="14"/>
      <c r="M14" s="14"/>
      <c r="N14" s="14">
        <f t="shared" si="0"/>
        <v>524275</v>
      </c>
      <c r="O14" s="14">
        <v>469125</v>
      </c>
      <c r="P14" s="14">
        <f t="shared" si="1"/>
        <v>55150</v>
      </c>
      <c r="Q14" s="17" t="s">
        <v>29</v>
      </c>
      <c r="R14" s="19"/>
    </row>
    <row r="15" spans="1:33" ht="15.75" customHeight="1">
      <c r="A15" s="10">
        <v>12</v>
      </c>
      <c r="B15" s="21" t="s">
        <v>30</v>
      </c>
      <c r="C15" s="15">
        <v>85050</v>
      </c>
      <c r="D15" s="18"/>
      <c r="E15" s="14"/>
      <c r="F15" s="14">
        <v>800</v>
      </c>
      <c r="G15" s="14"/>
      <c r="H15" s="14">
        <v>8950</v>
      </c>
      <c r="I15" s="14"/>
      <c r="J15" s="14"/>
      <c r="K15" s="14"/>
      <c r="L15" s="14"/>
      <c r="M15" s="14"/>
      <c r="N15" s="14">
        <f t="shared" si="0"/>
        <v>94800</v>
      </c>
      <c r="O15" s="14">
        <v>85050</v>
      </c>
      <c r="P15" s="14">
        <f t="shared" si="1"/>
        <v>9750</v>
      </c>
      <c r="Q15" s="17" t="s">
        <v>31</v>
      </c>
      <c r="R15" s="19"/>
    </row>
    <row r="16" spans="1:33" ht="15.75" customHeight="1">
      <c r="A16" s="10">
        <v>13</v>
      </c>
      <c r="B16" s="21" t="s">
        <v>32</v>
      </c>
      <c r="C16" s="15">
        <v>5100</v>
      </c>
      <c r="D16" s="18"/>
      <c r="E16" s="14"/>
      <c r="F16" s="14"/>
      <c r="G16" s="14"/>
      <c r="H16" s="14"/>
      <c r="I16" s="14"/>
      <c r="J16" s="14"/>
      <c r="K16" s="14"/>
      <c r="L16" s="14"/>
      <c r="M16" s="14"/>
      <c r="N16" s="14">
        <f t="shared" si="0"/>
        <v>5100</v>
      </c>
      <c r="O16" s="14"/>
      <c r="P16" s="14">
        <f t="shared" si="1"/>
        <v>5100</v>
      </c>
      <c r="R16" s="19"/>
    </row>
    <row r="17" spans="1:33" ht="15.75" customHeight="1">
      <c r="A17" s="10">
        <v>14</v>
      </c>
      <c r="B17" s="21" t="s">
        <v>33</v>
      </c>
      <c r="C17" s="15">
        <v>91500</v>
      </c>
      <c r="D17" s="18"/>
      <c r="E17" s="14"/>
      <c r="F17" s="14"/>
      <c r="G17" s="14"/>
      <c r="H17" s="14"/>
      <c r="I17" s="14"/>
      <c r="J17" s="14"/>
      <c r="K17" s="14"/>
      <c r="L17" s="14"/>
      <c r="M17" s="14"/>
      <c r="N17" s="14">
        <f t="shared" si="0"/>
        <v>91500</v>
      </c>
      <c r="O17" s="14"/>
      <c r="P17" s="14">
        <f t="shared" si="1"/>
        <v>91500</v>
      </c>
      <c r="R17" s="19"/>
    </row>
    <row r="18" spans="1:33" ht="15.75" customHeight="1">
      <c r="A18" s="10">
        <v>15</v>
      </c>
      <c r="B18" s="21" t="s">
        <v>34</v>
      </c>
      <c r="C18" s="12">
        <v>15000</v>
      </c>
      <c r="D18" s="18"/>
      <c r="E18" s="14"/>
      <c r="F18" s="14"/>
      <c r="G18" s="14"/>
      <c r="H18" s="14"/>
      <c r="I18" s="14"/>
      <c r="J18" s="14"/>
      <c r="K18" s="14"/>
      <c r="L18" s="14"/>
      <c r="M18" s="14"/>
      <c r="N18" s="14">
        <f t="shared" si="0"/>
        <v>15000</v>
      </c>
      <c r="O18" s="14"/>
      <c r="P18" s="14">
        <f t="shared" si="1"/>
        <v>15000</v>
      </c>
      <c r="R18" s="19"/>
    </row>
    <row r="19" spans="1:33" ht="15.75" customHeight="1">
      <c r="A19" s="10">
        <v>16</v>
      </c>
      <c r="B19" s="21" t="s">
        <v>35</v>
      </c>
      <c r="C19" s="12">
        <v>17500</v>
      </c>
      <c r="D19" s="18"/>
      <c r="E19" s="14"/>
      <c r="F19" s="14"/>
      <c r="G19" s="14"/>
      <c r="H19" s="14"/>
      <c r="I19" s="14"/>
      <c r="J19" s="14"/>
      <c r="K19" s="14"/>
      <c r="L19" s="14"/>
      <c r="M19" s="14"/>
      <c r="N19" s="14">
        <f t="shared" si="0"/>
        <v>17500</v>
      </c>
      <c r="O19" s="14"/>
      <c r="P19" s="14">
        <f t="shared" si="1"/>
        <v>17500</v>
      </c>
      <c r="R19" s="19"/>
    </row>
    <row r="20" spans="1:33" ht="15.75" customHeight="1">
      <c r="A20" s="10">
        <v>17</v>
      </c>
      <c r="B20" s="22" t="s">
        <v>36</v>
      </c>
      <c r="C20" s="12">
        <v>19500</v>
      </c>
      <c r="D20" s="18"/>
      <c r="E20" s="14">
        <v>5300</v>
      </c>
      <c r="F20" s="14"/>
      <c r="G20" s="14"/>
      <c r="H20" s="14"/>
      <c r="I20" s="14"/>
      <c r="J20" s="14"/>
      <c r="K20" s="14"/>
      <c r="L20" s="14"/>
      <c r="M20" s="14"/>
      <c r="N20" s="14">
        <f t="shared" si="0"/>
        <v>24800</v>
      </c>
      <c r="O20" s="14"/>
      <c r="P20" s="14">
        <f t="shared" si="1"/>
        <v>24800</v>
      </c>
      <c r="R20" s="19"/>
    </row>
    <row r="21" spans="1:33" ht="15.75" customHeight="1">
      <c r="A21" s="10">
        <v>18</v>
      </c>
      <c r="B21" s="22" t="s">
        <v>37</v>
      </c>
      <c r="C21" s="12">
        <v>68900</v>
      </c>
      <c r="D21" s="18"/>
      <c r="E21" s="14"/>
      <c r="F21" s="14"/>
      <c r="G21" s="14"/>
      <c r="H21" s="14"/>
      <c r="I21" s="14"/>
      <c r="J21" s="14"/>
      <c r="K21" s="14"/>
      <c r="L21" s="14"/>
      <c r="M21" s="14"/>
      <c r="N21" s="14">
        <f t="shared" si="0"/>
        <v>68900</v>
      </c>
      <c r="O21" s="14"/>
      <c r="P21" s="14">
        <f t="shared" si="1"/>
        <v>68900</v>
      </c>
      <c r="R21" s="19"/>
    </row>
    <row r="22" spans="1:33" ht="15.75" customHeight="1">
      <c r="A22" s="4">
        <v>19</v>
      </c>
      <c r="B22" s="23" t="s">
        <v>38</v>
      </c>
      <c r="C22" s="24">
        <v>33250</v>
      </c>
      <c r="D22" s="25"/>
      <c r="E22" s="8"/>
      <c r="F22" s="8"/>
      <c r="G22" s="8"/>
      <c r="H22" s="8"/>
      <c r="I22" s="8"/>
      <c r="J22" s="8"/>
      <c r="K22" s="8"/>
      <c r="L22" s="8"/>
      <c r="M22" s="8"/>
      <c r="N22" s="8">
        <f t="shared" si="0"/>
        <v>33250</v>
      </c>
      <c r="O22" s="8"/>
      <c r="P22" s="8">
        <f t="shared" si="1"/>
        <v>33250</v>
      </c>
      <c r="Q22" s="9"/>
      <c r="R22" s="26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pans="1:33" ht="15.75" customHeight="1">
      <c r="A23" s="10">
        <v>20</v>
      </c>
      <c r="B23" s="21" t="s">
        <v>39</v>
      </c>
      <c r="C23" s="12">
        <v>10000</v>
      </c>
      <c r="D23" s="18"/>
      <c r="E23" s="14"/>
      <c r="F23" s="14"/>
      <c r="G23" s="14"/>
      <c r="H23" s="14"/>
      <c r="I23" s="14"/>
      <c r="J23" s="14"/>
      <c r="K23" s="14"/>
      <c r="L23" s="14"/>
      <c r="M23" s="14"/>
      <c r="N23" s="14">
        <f t="shared" si="0"/>
        <v>10000</v>
      </c>
      <c r="O23" s="14"/>
      <c r="P23" s="14">
        <f t="shared" si="1"/>
        <v>10000</v>
      </c>
      <c r="R23" s="19"/>
    </row>
    <row r="24" spans="1:33" ht="15.75" customHeight="1">
      <c r="A24" s="10">
        <v>21</v>
      </c>
      <c r="B24" s="21" t="s">
        <v>40</v>
      </c>
      <c r="C24" s="15">
        <v>344250</v>
      </c>
      <c r="D24" s="18">
        <v>40500</v>
      </c>
      <c r="E24" s="14">
        <v>30000</v>
      </c>
      <c r="F24" s="27"/>
      <c r="G24" s="14">
        <v>67300</v>
      </c>
      <c r="H24" s="14"/>
      <c r="I24" s="14"/>
      <c r="J24" s="14"/>
      <c r="K24" s="14"/>
      <c r="L24" s="14"/>
      <c r="M24" s="14"/>
      <c r="N24" s="14">
        <f t="shared" si="0"/>
        <v>482050</v>
      </c>
      <c r="O24" s="14"/>
      <c r="P24" s="14">
        <f t="shared" si="1"/>
        <v>482050</v>
      </c>
    </row>
    <row r="25" spans="1:33" ht="15.75" customHeight="1">
      <c r="A25" s="10">
        <v>22</v>
      </c>
      <c r="B25" s="21" t="s">
        <v>41</v>
      </c>
      <c r="C25" s="15">
        <v>45000</v>
      </c>
      <c r="D25" s="18"/>
      <c r="E25" s="14"/>
      <c r="F25" s="14"/>
      <c r="G25" s="14"/>
      <c r="H25" s="14"/>
      <c r="I25" s="14"/>
      <c r="J25" s="14"/>
      <c r="K25" s="14"/>
      <c r="L25" s="14"/>
      <c r="M25" s="14"/>
      <c r="N25" s="14">
        <f t="shared" si="0"/>
        <v>45000</v>
      </c>
      <c r="O25" s="14"/>
      <c r="P25" s="14">
        <f t="shared" si="1"/>
        <v>45000</v>
      </c>
    </row>
    <row r="26" spans="1:33" ht="15.75" customHeight="1">
      <c r="A26" s="10">
        <v>23</v>
      </c>
      <c r="B26" s="21" t="s">
        <v>42</v>
      </c>
      <c r="C26" s="12">
        <v>7150</v>
      </c>
      <c r="D26" s="18"/>
      <c r="E26" s="14"/>
      <c r="F26" s="14"/>
      <c r="G26" s="14"/>
      <c r="H26" s="14"/>
      <c r="I26" s="14"/>
      <c r="J26" s="14"/>
      <c r="K26" s="14"/>
      <c r="L26" s="14"/>
      <c r="M26" s="14"/>
      <c r="N26" s="14">
        <f t="shared" si="0"/>
        <v>7150</v>
      </c>
      <c r="O26" s="28"/>
      <c r="P26" s="14">
        <f t="shared" si="1"/>
        <v>7150</v>
      </c>
    </row>
    <row r="27" spans="1:33">
      <c r="A27" s="10">
        <v>24</v>
      </c>
      <c r="B27" s="21" t="s">
        <v>43</v>
      </c>
      <c r="C27" s="12">
        <v>2400</v>
      </c>
      <c r="D27" s="18"/>
      <c r="E27" s="14"/>
      <c r="F27" s="14"/>
      <c r="G27" s="14"/>
      <c r="H27" s="14"/>
      <c r="I27" s="14"/>
      <c r="J27" s="14"/>
      <c r="K27" s="14"/>
      <c r="L27" s="14"/>
      <c r="M27" s="14"/>
      <c r="N27" s="14">
        <f t="shared" si="0"/>
        <v>2400</v>
      </c>
      <c r="O27" s="29"/>
      <c r="P27" s="14">
        <f t="shared" si="1"/>
        <v>2400</v>
      </c>
    </row>
    <row r="28" spans="1:33">
      <c r="A28" s="10">
        <v>25</v>
      </c>
      <c r="B28" s="21" t="s">
        <v>44</v>
      </c>
      <c r="C28" s="12">
        <v>12000</v>
      </c>
      <c r="D28" s="18"/>
      <c r="E28" s="14"/>
      <c r="F28" s="14"/>
      <c r="G28" s="14"/>
      <c r="H28" s="14"/>
      <c r="I28" s="14"/>
      <c r="J28" s="14"/>
      <c r="K28" s="14"/>
      <c r="L28" s="14"/>
      <c r="M28" s="14"/>
      <c r="N28" s="14">
        <f t="shared" si="0"/>
        <v>12000</v>
      </c>
      <c r="O28" s="29"/>
      <c r="P28" s="14">
        <f t="shared" si="1"/>
        <v>12000</v>
      </c>
    </row>
    <row r="29" spans="1:33">
      <c r="A29" s="10">
        <v>26</v>
      </c>
      <c r="B29" s="21" t="s">
        <v>45</v>
      </c>
      <c r="C29" s="20" t="s">
        <v>25</v>
      </c>
      <c r="D29" s="18"/>
      <c r="E29" s="14"/>
      <c r="F29" s="14"/>
      <c r="G29" s="14"/>
      <c r="H29" s="14"/>
      <c r="I29" s="14"/>
      <c r="J29" s="14"/>
      <c r="K29" s="14"/>
      <c r="L29" s="14"/>
      <c r="M29" s="14"/>
      <c r="N29" s="14">
        <f t="shared" si="0"/>
        <v>0</v>
      </c>
      <c r="O29" s="29"/>
      <c r="P29" s="14">
        <f t="shared" si="1"/>
        <v>0</v>
      </c>
    </row>
    <row r="30" spans="1:33">
      <c r="A30" s="10">
        <v>27</v>
      </c>
      <c r="B30" s="30" t="s">
        <v>46</v>
      </c>
      <c r="C30" s="15">
        <v>24200</v>
      </c>
      <c r="D30" s="18">
        <v>1200</v>
      </c>
      <c r="E30" s="14"/>
      <c r="F30" s="14"/>
      <c r="G30" s="14"/>
      <c r="H30" s="14"/>
      <c r="I30" s="14"/>
      <c r="J30" s="14"/>
      <c r="K30" s="14"/>
      <c r="L30" s="14"/>
      <c r="M30" s="14"/>
      <c r="N30" s="14">
        <f t="shared" si="0"/>
        <v>25400</v>
      </c>
      <c r="O30" s="28">
        <v>25000</v>
      </c>
      <c r="P30" s="14">
        <f t="shared" si="1"/>
        <v>400</v>
      </c>
    </row>
    <row r="31" spans="1:33">
      <c r="A31" s="4">
        <v>28</v>
      </c>
      <c r="B31" s="31" t="s">
        <v>47</v>
      </c>
      <c r="C31" s="6">
        <v>74550</v>
      </c>
      <c r="D31" s="25"/>
      <c r="E31" s="8"/>
      <c r="F31" s="8"/>
      <c r="G31" s="8"/>
      <c r="H31" s="8">
        <v>2100</v>
      </c>
      <c r="I31" s="8"/>
      <c r="J31" s="8"/>
      <c r="K31" s="8"/>
      <c r="L31" s="8"/>
      <c r="M31" s="8"/>
      <c r="N31" s="8">
        <f t="shared" si="0"/>
        <v>76650</v>
      </c>
      <c r="O31" s="32"/>
      <c r="P31" s="8">
        <f t="shared" si="1"/>
        <v>76650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>
      <c r="A32" s="10">
        <v>29</v>
      </c>
      <c r="B32" s="30" t="s">
        <v>48</v>
      </c>
      <c r="C32" s="15">
        <f>'KENAGA 2023'!N32</f>
        <v>104900</v>
      </c>
      <c r="D32" s="18"/>
      <c r="E32" s="14"/>
      <c r="F32" s="14"/>
      <c r="G32" s="14"/>
      <c r="H32" s="14"/>
      <c r="I32" s="14"/>
      <c r="J32" s="14"/>
      <c r="K32" s="14"/>
      <c r="L32" s="14"/>
      <c r="M32" s="14"/>
      <c r="N32" s="14">
        <f t="shared" si="0"/>
        <v>104900</v>
      </c>
      <c r="O32" s="29"/>
      <c r="P32" s="14">
        <f t="shared" si="1"/>
        <v>104900</v>
      </c>
    </row>
    <row r="33" spans="1:16">
      <c r="A33" s="10">
        <v>31</v>
      </c>
      <c r="B33" s="21" t="s">
        <v>49</v>
      </c>
      <c r="C33" s="33">
        <v>6750</v>
      </c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>
        <f t="shared" si="0"/>
        <v>6750</v>
      </c>
      <c r="O33" s="29"/>
      <c r="P33" s="14">
        <f t="shared" si="1"/>
        <v>6750</v>
      </c>
    </row>
    <row r="35" spans="1:16" ht="15">
      <c r="B35" s="34" t="s">
        <v>50</v>
      </c>
      <c r="C35" s="35"/>
      <c r="D35" s="35">
        <v>7</v>
      </c>
      <c r="E35" s="36">
        <v>6</v>
      </c>
      <c r="F35" s="37"/>
      <c r="G35" s="37"/>
      <c r="H35" s="37"/>
      <c r="I35" s="37"/>
      <c r="J35" s="37"/>
      <c r="K35" s="37"/>
      <c r="L35" s="37"/>
      <c r="M35" s="37"/>
    </row>
    <row r="36" spans="1:16" ht="15">
      <c r="B36" s="34" t="s">
        <v>51</v>
      </c>
      <c r="C36" s="38">
        <f t="shared" ref="C36:O36" si="2">SUM(C4:C33)</f>
        <v>2565025</v>
      </c>
      <c r="D36" s="38">
        <f t="shared" si="2"/>
        <v>355200</v>
      </c>
      <c r="E36" s="38">
        <f t="shared" si="2"/>
        <v>105900</v>
      </c>
      <c r="F36" s="38">
        <f t="shared" si="2"/>
        <v>68375</v>
      </c>
      <c r="G36" s="38">
        <f t="shared" si="2"/>
        <v>125475</v>
      </c>
      <c r="H36" s="38">
        <f t="shared" si="2"/>
        <v>49650</v>
      </c>
      <c r="I36" s="38">
        <f t="shared" si="2"/>
        <v>0</v>
      </c>
      <c r="J36" s="38">
        <f t="shared" si="2"/>
        <v>0</v>
      </c>
      <c r="K36" s="38">
        <f t="shared" si="2"/>
        <v>0</v>
      </c>
      <c r="L36" s="38">
        <f t="shared" si="2"/>
        <v>0</v>
      </c>
      <c r="M36" s="38">
        <f t="shared" si="2"/>
        <v>0</v>
      </c>
      <c r="N36" s="39">
        <f t="shared" si="2"/>
        <v>3269625</v>
      </c>
      <c r="O36" s="40">
        <f t="shared" si="2"/>
        <v>1670175</v>
      </c>
      <c r="P36" s="41">
        <f>SUM(P2:P33)</f>
        <v>1599450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7" sqref="L7"/>
    </sheetView>
  </sheetViews>
  <sheetFormatPr defaultColWidth="12.5703125" defaultRowHeight="15.75" customHeight="1"/>
  <cols>
    <col min="1" max="1" width="4.28515625" customWidth="1"/>
    <col min="2" max="2" width="21" customWidth="1"/>
    <col min="8" max="8" width="7.28515625" customWidth="1"/>
    <col min="12" max="12" width="14.28515625" customWidth="1"/>
    <col min="13" max="13" width="14.7109375" customWidth="1"/>
    <col min="14" max="14" width="15.85546875" customWidth="1"/>
    <col min="15" max="15" width="14.85546875" customWidth="1"/>
  </cols>
  <sheetData>
    <row r="1" spans="1:16" ht="15.75" customHeight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6" ht="15.75" customHeight="1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52</v>
      </c>
      <c r="G3" s="3" t="s">
        <v>6</v>
      </c>
      <c r="H3" s="3" t="s">
        <v>7</v>
      </c>
      <c r="I3" s="3" t="s">
        <v>9</v>
      </c>
      <c r="J3" s="3" t="s">
        <v>53</v>
      </c>
      <c r="K3" s="3" t="s">
        <v>54</v>
      </c>
      <c r="L3" s="2" t="s">
        <v>14</v>
      </c>
      <c r="M3" s="2" t="s">
        <v>15</v>
      </c>
      <c r="N3" s="2" t="s">
        <v>3</v>
      </c>
    </row>
    <row r="4" spans="1:16" ht="15.75" customHeight="1">
      <c r="A4" s="10">
        <v>1</v>
      </c>
      <c r="B4" s="11" t="s">
        <v>16</v>
      </c>
      <c r="C4" s="12">
        <v>59950</v>
      </c>
      <c r="D4" s="13">
        <v>4200</v>
      </c>
      <c r="E4" s="14">
        <v>4000</v>
      </c>
      <c r="F4" s="14">
        <v>2000</v>
      </c>
      <c r="G4" s="14">
        <v>7000</v>
      </c>
      <c r="H4" s="14"/>
      <c r="I4" s="14">
        <v>3000</v>
      </c>
      <c r="J4" s="14"/>
      <c r="K4" s="14">
        <v>5600</v>
      </c>
      <c r="L4" s="14">
        <f t="shared" ref="L4:L33" si="0">SUM(C4:K4)</f>
        <v>85750</v>
      </c>
      <c r="M4" s="14"/>
      <c r="N4" s="14">
        <f t="shared" ref="N4:N33" si="1">L4-M4</f>
        <v>85750</v>
      </c>
    </row>
    <row r="5" spans="1:16" ht="15.75" customHeight="1">
      <c r="A5" s="10">
        <v>2</v>
      </c>
      <c r="B5" s="11" t="s">
        <v>17</v>
      </c>
      <c r="C5" s="12">
        <v>27000</v>
      </c>
      <c r="D5" s="13"/>
      <c r="E5" s="14"/>
      <c r="F5" s="14"/>
      <c r="G5" s="14"/>
      <c r="H5" s="14"/>
      <c r="I5" s="14"/>
      <c r="J5" s="14"/>
      <c r="K5" s="14"/>
      <c r="L5" s="14">
        <f t="shared" si="0"/>
        <v>27000</v>
      </c>
      <c r="M5" s="14"/>
      <c r="N5" s="14">
        <f t="shared" si="1"/>
        <v>27000</v>
      </c>
    </row>
    <row r="6" spans="1:16" ht="15.75" customHeight="1">
      <c r="A6" s="10">
        <v>3</v>
      </c>
      <c r="B6" s="11" t="s">
        <v>18</v>
      </c>
      <c r="C6" s="12">
        <v>900</v>
      </c>
      <c r="D6" s="13"/>
      <c r="E6" s="14"/>
      <c r="F6" s="14"/>
      <c r="G6" s="14"/>
      <c r="H6" s="14"/>
      <c r="I6" s="14"/>
      <c r="J6" s="14"/>
      <c r="K6" s="14"/>
      <c r="L6" s="14">
        <f t="shared" si="0"/>
        <v>900</v>
      </c>
      <c r="M6" s="14"/>
      <c r="N6" s="14">
        <f t="shared" si="1"/>
        <v>900</v>
      </c>
    </row>
    <row r="7" spans="1:16" ht="15.75" customHeight="1">
      <c r="A7" s="10">
        <v>4</v>
      </c>
      <c r="B7" s="11" t="s">
        <v>19</v>
      </c>
      <c r="C7" s="12">
        <v>397250</v>
      </c>
      <c r="D7" s="13">
        <v>61175</v>
      </c>
      <c r="E7" s="14">
        <v>34500</v>
      </c>
      <c r="F7" s="14">
        <v>38900</v>
      </c>
      <c r="G7" s="14">
        <v>97050</v>
      </c>
      <c r="H7" s="14"/>
      <c r="I7" s="16"/>
      <c r="J7" s="14"/>
      <c r="K7" s="14">
        <v>130500</v>
      </c>
      <c r="L7" s="14">
        <f t="shared" si="0"/>
        <v>759375</v>
      </c>
      <c r="M7" s="14"/>
      <c r="N7" s="14">
        <f t="shared" si="1"/>
        <v>759375</v>
      </c>
    </row>
    <row r="8" spans="1:16" ht="15.75" customHeight="1">
      <c r="A8" s="10">
        <v>5</v>
      </c>
      <c r="B8" s="11" t="s">
        <v>21</v>
      </c>
      <c r="C8" s="12">
        <v>180150</v>
      </c>
      <c r="D8" s="13">
        <v>24800</v>
      </c>
      <c r="E8" s="14"/>
      <c r="F8" s="14">
        <v>22500</v>
      </c>
      <c r="G8" s="14"/>
      <c r="H8" s="14"/>
      <c r="I8" s="14"/>
      <c r="J8" s="14">
        <v>36925</v>
      </c>
      <c r="K8" s="14"/>
      <c r="L8" s="14">
        <f t="shared" si="0"/>
        <v>264375</v>
      </c>
      <c r="M8" s="14">
        <v>200000</v>
      </c>
      <c r="N8" s="14">
        <f t="shared" si="1"/>
        <v>64375</v>
      </c>
      <c r="O8" s="17" t="s">
        <v>55</v>
      </c>
    </row>
    <row r="9" spans="1:16" ht="15.75" customHeight="1">
      <c r="A9" s="10">
        <v>6</v>
      </c>
      <c r="B9" s="11" t="s">
        <v>22</v>
      </c>
      <c r="C9" s="12">
        <v>147300</v>
      </c>
      <c r="D9" s="13">
        <v>24550</v>
      </c>
      <c r="E9" s="14">
        <v>27000</v>
      </c>
      <c r="F9" s="14">
        <v>19800</v>
      </c>
      <c r="G9" s="14">
        <v>26000</v>
      </c>
      <c r="H9" s="14"/>
      <c r="I9" s="14">
        <v>28250</v>
      </c>
      <c r="J9" s="14"/>
      <c r="K9" s="14">
        <v>30950</v>
      </c>
      <c r="L9" s="14">
        <f t="shared" si="0"/>
        <v>303850</v>
      </c>
      <c r="M9" s="14">
        <f>150000+100000</f>
        <v>250000</v>
      </c>
      <c r="N9" s="14">
        <f t="shared" si="1"/>
        <v>53850</v>
      </c>
      <c r="O9" s="17" t="s">
        <v>56</v>
      </c>
      <c r="P9" s="17" t="s">
        <v>57</v>
      </c>
    </row>
    <row r="10" spans="1:16" ht="15.75" customHeight="1">
      <c r="A10" s="10">
        <v>7</v>
      </c>
      <c r="B10" s="11" t="s">
        <v>23</v>
      </c>
      <c r="C10" s="12">
        <v>54000</v>
      </c>
      <c r="D10" s="18"/>
      <c r="E10" s="14"/>
      <c r="F10" s="14"/>
      <c r="G10" s="14"/>
      <c r="H10" s="14"/>
      <c r="I10" s="14"/>
      <c r="J10" s="14"/>
      <c r="K10" s="14"/>
      <c r="L10" s="14">
        <f t="shared" si="0"/>
        <v>54000</v>
      </c>
      <c r="M10" s="14"/>
      <c r="N10" s="14">
        <f t="shared" si="1"/>
        <v>54000</v>
      </c>
    </row>
    <row r="11" spans="1:16" ht="15.75" customHeight="1">
      <c r="A11" s="10">
        <v>8</v>
      </c>
      <c r="B11" s="11" t="s">
        <v>24</v>
      </c>
      <c r="C11" s="20" t="s">
        <v>25</v>
      </c>
      <c r="D11" s="18"/>
      <c r="E11" s="14"/>
      <c r="F11" s="14"/>
      <c r="G11" s="14"/>
      <c r="H11" s="14"/>
      <c r="I11" s="14"/>
      <c r="J11" s="14"/>
      <c r="K11" s="14"/>
      <c r="L11" s="14">
        <f t="shared" si="0"/>
        <v>0</v>
      </c>
      <c r="M11" s="14"/>
      <c r="N11" s="14">
        <f t="shared" si="1"/>
        <v>0</v>
      </c>
    </row>
    <row r="12" spans="1:16" ht="15.75" customHeight="1">
      <c r="A12" s="10">
        <v>9</v>
      </c>
      <c r="B12" s="21" t="s">
        <v>26</v>
      </c>
      <c r="C12" s="12">
        <v>77650</v>
      </c>
      <c r="D12" s="18"/>
      <c r="E12" s="14"/>
      <c r="F12" s="14"/>
      <c r="G12" s="14"/>
      <c r="H12" s="14"/>
      <c r="I12" s="14"/>
      <c r="J12" s="14"/>
      <c r="K12" s="14"/>
      <c r="L12" s="14">
        <f t="shared" si="0"/>
        <v>77650</v>
      </c>
      <c r="M12" s="14">
        <v>50000</v>
      </c>
      <c r="N12" s="14">
        <f t="shared" si="1"/>
        <v>27650</v>
      </c>
      <c r="O12" s="17" t="s">
        <v>58</v>
      </c>
    </row>
    <row r="13" spans="1:16" ht="15.75" customHeight="1">
      <c r="A13" s="10">
        <v>10</v>
      </c>
      <c r="B13" s="21" t="s">
        <v>27</v>
      </c>
      <c r="C13" s="15">
        <v>198200</v>
      </c>
      <c r="D13" s="18">
        <v>5250</v>
      </c>
      <c r="E13" s="14"/>
      <c r="F13" s="14">
        <v>2600</v>
      </c>
      <c r="G13" s="14">
        <v>7450</v>
      </c>
      <c r="H13" s="14"/>
      <c r="I13" s="14">
        <v>6700</v>
      </c>
      <c r="J13" s="14">
        <v>15200</v>
      </c>
      <c r="K13" s="14">
        <v>8500</v>
      </c>
      <c r="L13" s="14">
        <f t="shared" si="0"/>
        <v>243900</v>
      </c>
      <c r="M13" s="14">
        <v>150000</v>
      </c>
      <c r="N13" s="14">
        <f t="shared" si="1"/>
        <v>93900</v>
      </c>
      <c r="O13" s="17" t="s">
        <v>56</v>
      </c>
    </row>
    <row r="14" spans="1:16" ht="15.75" customHeight="1">
      <c r="A14" s="10">
        <v>11</v>
      </c>
      <c r="B14" s="21" t="s">
        <v>28</v>
      </c>
      <c r="C14" s="12">
        <v>247225</v>
      </c>
      <c r="D14" s="18">
        <v>24950</v>
      </c>
      <c r="E14" s="14"/>
      <c r="F14" s="14">
        <v>11850</v>
      </c>
      <c r="G14" s="14">
        <v>38100</v>
      </c>
      <c r="H14" s="14"/>
      <c r="I14" s="14">
        <v>75650</v>
      </c>
      <c r="J14" s="14">
        <v>26400</v>
      </c>
      <c r="K14" s="14">
        <v>7050</v>
      </c>
      <c r="L14" s="14">
        <f t="shared" si="0"/>
        <v>431225</v>
      </c>
      <c r="M14" s="14"/>
      <c r="N14" s="14">
        <f t="shared" si="1"/>
        <v>431225</v>
      </c>
    </row>
    <row r="15" spans="1:16" ht="15.75" customHeight="1">
      <c r="A15" s="10">
        <v>12</v>
      </c>
      <c r="B15" s="21" t="s">
        <v>30</v>
      </c>
      <c r="C15" s="15">
        <v>59500</v>
      </c>
      <c r="D15" s="18">
        <v>1500</v>
      </c>
      <c r="E15" s="14"/>
      <c r="F15" s="14">
        <v>22250</v>
      </c>
      <c r="G15" s="14"/>
      <c r="H15" s="14"/>
      <c r="I15" s="14"/>
      <c r="J15" s="14">
        <v>1800</v>
      </c>
      <c r="K15" s="14"/>
      <c r="L15" s="14">
        <f t="shared" si="0"/>
        <v>85050</v>
      </c>
      <c r="M15" s="14"/>
      <c r="N15" s="14">
        <f t="shared" si="1"/>
        <v>85050</v>
      </c>
    </row>
    <row r="16" spans="1:16" ht="15.75" customHeight="1">
      <c r="A16" s="10">
        <v>13</v>
      </c>
      <c r="B16" s="21" t="s">
        <v>32</v>
      </c>
      <c r="C16" s="12">
        <v>41100</v>
      </c>
      <c r="D16" s="18"/>
      <c r="E16" s="14"/>
      <c r="F16" s="14"/>
      <c r="G16" s="14">
        <v>8000</v>
      </c>
      <c r="H16" s="14"/>
      <c r="I16" s="14">
        <v>6000</v>
      </c>
      <c r="J16" s="14"/>
      <c r="K16" s="14"/>
      <c r="L16" s="14">
        <f t="shared" si="0"/>
        <v>55100</v>
      </c>
      <c r="M16" s="14">
        <v>50000</v>
      </c>
      <c r="N16" s="14">
        <f t="shared" si="1"/>
        <v>5100</v>
      </c>
      <c r="O16" s="17" t="s">
        <v>59</v>
      </c>
    </row>
    <row r="17" spans="1:15" ht="15.75" customHeight="1">
      <c r="A17" s="10">
        <v>14</v>
      </c>
      <c r="B17" s="21" t="s">
        <v>33</v>
      </c>
      <c r="C17" s="12">
        <v>82600</v>
      </c>
      <c r="D17" s="18">
        <v>2400</v>
      </c>
      <c r="E17" s="14"/>
      <c r="F17" s="14">
        <v>6500</v>
      </c>
      <c r="G17" s="14"/>
      <c r="H17" s="14"/>
      <c r="I17" s="14"/>
      <c r="J17" s="14"/>
      <c r="K17" s="14"/>
      <c r="L17" s="14">
        <f t="shared" si="0"/>
        <v>91500</v>
      </c>
      <c r="M17" s="14"/>
      <c r="N17" s="14">
        <f t="shared" si="1"/>
        <v>91500</v>
      </c>
    </row>
    <row r="18" spans="1:15" ht="15.75" customHeight="1">
      <c r="A18" s="10">
        <v>15</v>
      </c>
      <c r="B18" s="21" t="s">
        <v>34</v>
      </c>
      <c r="C18" s="12">
        <v>15000</v>
      </c>
      <c r="D18" s="18"/>
      <c r="E18" s="14"/>
      <c r="F18" s="14"/>
      <c r="G18" s="14"/>
      <c r="H18" s="14"/>
      <c r="I18" s="14"/>
      <c r="J18" s="14"/>
      <c r="K18" s="14"/>
      <c r="L18" s="14">
        <f t="shared" si="0"/>
        <v>15000</v>
      </c>
      <c r="M18" s="14"/>
      <c r="N18" s="14">
        <f t="shared" si="1"/>
        <v>15000</v>
      </c>
    </row>
    <row r="19" spans="1:15" ht="15.75" customHeight="1">
      <c r="A19" s="10">
        <v>16</v>
      </c>
      <c r="B19" s="21" t="s">
        <v>35</v>
      </c>
      <c r="C19" s="12">
        <v>17500</v>
      </c>
      <c r="D19" s="18"/>
      <c r="E19" s="14"/>
      <c r="F19" s="14"/>
      <c r="G19" s="14"/>
      <c r="H19" s="14"/>
      <c r="I19" s="14"/>
      <c r="J19" s="14"/>
      <c r="K19" s="14"/>
      <c r="L19" s="14">
        <f t="shared" si="0"/>
        <v>17500</v>
      </c>
      <c r="M19" s="14"/>
      <c r="N19" s="14">
        <f t="shared" si="1"/>
        <v>17500</v>
      </c>
    </row>
    <row r="20" spans="1:15" ht="15.75" customHeight="1">
      <c r="A20" s="10">
        <v>17</v>
      </c>
      <c r="B20" s="22" t="s">
        <v>36</v>
      </c>
      <c r="C20" s="12">
        <v>19500</v>
      </c>
      <c r="D20" s="18"/>
      <c r="E20" s="14"/>
      <c r="F20" s="14"/>
      <c r="G20" s="14"/>
      <c r="H20" s="14"/>
      <c r="I20" s="14"/>
      <c r="J20" s="14"/>
      <c r="K20" s="14"/>
      <c r="L20" s="14">
        <f t="shared" si="0"/>
        <v>19500</v>
      </c>
      <c r="M20" s="14"/>
      <c r="N20" s="14">
        <f t="shared" si="1"/>
        <v>19500</v>
      </c>
    </row>
    <row r="21" spans="1:15" ht="15.75" customHeight="1">
      <c r="A21" s="10">
        <v>18</v>
      </c>
      <c r="B21" s="22" t="s">
        <v>37</v>
      </c>
      <c r="C21" s="12">
        <v>68900</v>
      </c>
      <c r="D21" s="18"/>
      <c r="E21" s="14"/>
      <c r="F21" s="14"/>
      <c r="G21" s="14"/>
      <c r="H21" s="14"/>
      <c r="I21" s="14"/>
      <c r="J21" s="14"/>
      <c r="K21" s="14"/>
      <c r="L21" s="14">
        <f t="shared" si="0"/>
        <v>68900</v>
      </c>
      <c r="M21" s="14"/>
      <c r="N21" s="14">
        <f t="shared" si="1"/>
        <v>68900</v>
      </c>
    </row>
    <row r="22" spans="1:15" ht="15.75" customHeight="1">
      <c r="A22" s="10">
        <v>19</v>
      </c>
      <c r="B22" s="22" t="s">
        <v>38</v>
      </c>
      <c r="C22" s="12">
        <v>33250</v>
      </c>
      <c r="D22" s="18"/>
      <c r="E22" s="14"/>
      <c r="F22" s="14"/>
      <c r="G22" s="14"/>
      <c r="H22" s="14"/>
      <c r="I22" s="14"/>
      <c r="J22" s="14"/>
      <c r="K22" s="14"/>
      <c r="L22" s="14">
        <f t="shared" si="0"/>
        <v>33250</v>
      </c>
      <c r="M22" s="14"/>
      <c r="N22" s="14">
        <f t="shared" si="1"/>
        <v>33250</v>
      </c>
    </row>
    <row r="23" spans="1:15" ht="15.75" customHeight="1">
      <c r="A23" s="10">
        <v>20</v>
      </c>
      <c r="B23" s="21" t="s">
        <v>39</v>
      </c>
      <c r="C23" s="12">
        <v>10000</v>
      </c>
      <c r="D23" s="18"/>
      <c r="E23" s="14"/>
      <c r="F23" s="14"/>
      <c r="G23" s="14"/>
      <c r="H23" s="14"/>
      <c r="I23" s="14"/>
      <c r="J23" s="14"/>
      <c r="K23" s="14"/>
      <c r="L23" s="14">
        <f t="shared" si="0"/>
        <v>10000</v>
      </c>
      <c r="M23" s="14"/>
      <c r="N23" s="14">
        <f t="shared" si="1"/>
        <v>10000</v>
      </c>
    </row>
    <row r="24" spans="1:15" ht="15.75" customHeight="1">
      <c r="A24" s="10">
        <v>21</v>
      </c>
      <c r="B24" s="21" t="s">
        <v>40</v>
      </c>
      <c r="C24" s="12">
        <v>160750</v>
      </c>
      <c r="D24" s="18">
        <v>99500</v>
      </c>
      <c r="E24" s="14"/>
      <c r="F24" s="14">
        <v>57000</v>
      </c>
      <c r="G24" s="27"/>
      <c r="H24" s="14"/>
      <c r="I24" s="14"/>
      <c r="J24" s="14"/>
      <c r="K24" s="14">
        <v>27000</v>
      </c>
      <c r="L24" s="14">
        <f t="shared" si="0"/>
        <v>344250</v>
      </c>
      <c r="M24" s="14"/>
      <c r="N24" s="14">
        <f t="shared" si="1"/>
        <v>344250</v>
      </c>
    </row>
    <row r="25" spans="1:15" ht="15.75" customHeight="1">
      <c r="A25" s="10">
        <v>22</v>
      </c>
      <c r="B25" s="21" t="s">
        <v>41</v>
      </c>
      <c r="C25" s="12">
        <v>113800</v>
      </c>
      <c r="D25" s="18">
        <v>3250</v>
      </c>
      <c r="E25" s="14"/>
      <c r="F25" s="14">
        <v>12000</v>
      </c>
      <c r="G25" s="14">
        <v>9550</v>
      </c>
      <c r="H25" s="14"/>
      <c r="I25" s="14"/>
      <c r="J25" s="14"/>
      <c r="K25" s="14">
        <v>6400</v>
      </c>
      <c r="L25" s="14">
        <f t="shared" si="0"/>
        <v>145000</v>
      </c>
      <c r="M25" s="14">
        <v>100000</v>
      </c>
      <c r="N25" s="14">
        <f t="shared" si="1"/>
        <v>45000</v>
      </c>
      <c r="O25" s="17" t="s">
        <v>60</v>
      </c>
    </row>
    <row r="26" spans="1:15" ht="15.75" customHeight="1">
      <c r="A26" s="10">
        <v>23</v>
      </c>
      <c r="B26" s="21" t="s">
        <v>42</v>
      </c>
      <c r="C26" s="12">
        <v>7150</v>
      </c>
      <c r="D26" s="18"/>
      <c r="E26" s="14"/>
      <c r="F26" s="14"/>
      <c r="G26" s="14"/>
      <c r="H26" s="14"/>
      <c r="I26" s="14"/>
      <c r="J26" s="14"/>
      <c r="K26" s="14"/>
      <c r="L26" s="14">
        <f t="shared" si="0"/>
        <v>7150</v>
      </c>
      <c r="M26" s="28"/>
      <c r="N26" s="14">
        <f t="shared" si="1"/>
        <v>7150</v>
      </c>
    </row>
    <row r="27" spans="1:15">
      <c r="A27" s="10">
        <v>24</v>
      </c>
      <c r="B27" s="21" t="s">
        <v>43</v>
      </c>
      <c r="C27" s="12">
        <v>2400</v>
      </c>
      <c r="D27" s="18"/>
      <c r="E27" s="14"/>
      <c r="F27" s="14"/>
      <c r="G27" s="14"/>
      <c r="H27" s="14"/>
      <c r="I27" s="14"/>
      <c r="J27" s="14"/>
      <c r="K27" s="14"/>
      <c r="L27" s="14">
        <f t="shared" si="0"/>
        <v>2400</v>
      </c>
      <c r="M27" s="29"/>
      <c r="N27" s="14">
        <f t="shared" si="1"/>
        <v>2400</v>
      </c>
    </row>
    <row r="28" spans="1:15">
      <c r="A28" s="10">
        <v>25</v>
      </c>
      <c r="B28" s="21" t="s">
        <v>44</v>
      </c>
      <c r="C28" s="12">
        <v>12000</v>
      </c>
      <c r="D28" s="18"/>
      <c r="E28" s="14"/>
      <c r="F28" s="14"/>
      <c r="G28" s="14"/>
      <c r="H28" s="14"/>
      <c r="I28" s="14"/>
      <c r="J28" s="14"/>
      <c r="K28" s="14"/>
      <c r="L28" s="14">
        <f t="shared" si="0"/>
        <v>12000</v>
      </c>
      <c r="M28" s="29"/>
      <c r="N28" s="14">
        <f t="shared" si="1"/>
        <v>12000</v>
      </c>
    </row>
    <row r="29" spans="1:15">
      <c r="A29" s="10">
        <v>26</v>
      </c>
      <c r="B29" s="21" t="s">
        <v>45</v>
      </c>
      <c r="C29" s="20" t="s">
        <v>25</v>
      </c>
      <c r="D29" s="18"/>
      <c r="E29" s="14"/>
      <c r="F29" s="14"/>
      <c r="G29" s="14"/>
      <c r="H29" s="14"/>
      <c r="I29" s="14"/>
      <c r="J29" s="14"/>
      <c r="K29" s="14"/>
      <c r="L29" s="14">
        <f t="shared" si="0"/>
        <v>0</v>
      </c>
      <c r="M29" s="29"/>
      <c r="N29" s="14">
        <f t="shared" si="1"/>
        <v>0</v>
      </c>
    </row>
    <row r="30" spans="1:15">
      <c r="A30" s="10">
        <v>27</v>
      </c>
      <c r="B30" s="30" t="s">
        <v>46</v>
      </c>
      <c r="C30" s="12">
        <v>20200</v>
      </c>
      <c r="D30" s="18"/>
      <c r="E30" s="14"/>
      <c r="F30" s="14"/>
      <c r="G30" s="14">
        <v>4000</v>
      </c>
      <c r="H30" s="14"/>
      <c r="I30" s="14"/>
      <c r="J30" s="14"/>
      <c r="K30" s="14"/>
      <c r="L30" s="14">
        <f t="shared" si="0"/>
        <v>24200</v>
      </c>
      <c r="M30" s="29"/>
      <c r="N30" s="14">
        <f t="shared" si="1"/>
        <v>24200</v>
      </c>
    </row>
    <row r="31" spans="1:15">
      <c r="A31" s="10">
        <v>28</v>
      </c>
      <c r="B31" s="30" t="s">
        <v>47</v>
      </c>
      <c r="C31" s="12">
        <v>50250</v>
      </c>
      <c r="D31" s="18">
        <v>5350</v>
      </c>
      <c r="E31" s="14">
        <v>1100</v>
      </c>
      <c r="F31" s="14"/>
      <c r="G31" s="14">
        <v>17850</v>
      </c>
      <c r="H31" s="14"/>
      <c r="I31" s="14"/>
      <c r="J31" s="14"/>
      <c r="K31" s="14"/>
      <c r="L31" s="14">
        <f t="shared" si="0"/>
        <v>74550</v>
      </c>
      <c r="M31" s="29"/>
      <c r="N31" s="14">
        <f t="shared" si="1"/>
        <v>74550</v>
      </c>
    </row>
    <row r="32" spans="1:15">
      <c r="A32" s="10">
        <v>29</v>
      </c>
      <c r="B32" s="30" t="s">
        <v>48</v>
      </c>
      <c r="C32" s="12">
        <f>'GANG KENANGA'!T32</f>
        <v>100900</v>
      </c>
      <c r="D32" s="18"/>
      <c r="E32" s="14"/>
      <c r="F32" s="14">
        <v>4000</v>
      </c>
      <c r="G32" s="14"/>
      <c r="H32" s="14"/>
      <c r="I32" s="14"/>
      <c r="J32" s="14"/>
      <c r="K32" s="14"/>
      <c r="L32" s="14">
        <f t="shared" si="0"/>
        <v>104900</v>
      </c>
      <c r="M32" s="29"/>
      <c r="N32" s="14">
        <f t="shared" si="1"/>
        <v>104900</v>
      </c>
    </row>
    <row r="33" spans="1:14">
      <c r="A33" s="10">
        <v>31</v>
      </c>
      <c r="B33" s="21" t="s">
        <v>49</v>
      </c>
      <c r="C33" s="20" t="s">
        <v>25</v>
      </c>
      <c r="D33" s="18"/>
      <c r="E33" s="14">
        <v>6750</v>
      </c>
      <c r="F33" s="14"/>
      <c r="G33" s="14"/>
      <c r="H33" s="14"/>
      <c r="I33" s="14"/>
      <c r="J33" s="14"/>
      <c r="K33" s="14"/>
      <c r="L33" s="14">
        <f t="shared" si="0"/>
        <v>6750</v>
      </c>
      <c r="M33" s="29"/>
      <c r="N33" s="14">
        <f t="shared" si="1"/>
        <v>6750</v>
      </c>
    </row>
    <row r="35" spans="1:14" ht="15">
      <c r="B35" s="34" t="s">
        <v>50</v>
      </c>
      <c r="C35" s="35"/>
      <c r="D35" s="35">
        <v>13</v>
      </c>
      <c r="E35" s="36"/>
      <c r="F35" s="36"/>
      <c r="G35" s="37"/>
      <c r="H35" s="37"/>
      <c r="I35" s="37"/>
      <c r="J35" s="37"/>
      <c r="K35" s="37"/>
    </row>
    <row r="36" spans="1:14" ht="15">
      <c r="B36" s="34" t="s">
        <v>51</v>
      </c>
      <c r="C36" s="38">
        <f t="shared" ref="C36:I36" si="2">SUM(C4:C33)</f>
        <v>2204425</v>
      </c>
      <c r="D36" s="38">
        <f t="shared" si="2"/>
        <v>256925</v>
      </c>
      <c r="E36" s="38">
        <f t="shared" si="2"/>
        <v>73350</v>
      </c>
      <c r="F36" s="38">
        <f t="shared" si="2"/>
        <v>199400</v>
      </c>
      <c r="G36" s="38">
        <f t="shared" si="2"/>
        <v>215000</v>
      </c>
      <c r="H36" s="38">
        <f t="shared" si="2"/>
        <v>0</v>
      </c>
      <c r="I36" s="38">
        <f t="shared" si="2"/>
        <v>119600</v>
      </c>
      <c r="J36" s="38"/>
      <c r="K36" s="38">
        <f t="shared" ref="K36:M36" si="3">SUM(K4:K33)</f>
        <v>216000</v>
      </c>
      <c r="L36" s="39">
        <f t="shared" si="3"/>
        <v>3365025</v>
      </c>
      <c r="M36" s="40">
        <f t="shared" si="3"/>
        <v>800000</v>
      </c>
      <c r="N36" s="41">
        <f>SUM(N2:N33)</f>
        <v>2565025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36"/>
  <sheetViews>
    <sheetView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703125" defaultRowHeight="15.75" customHeight="1"/>
  <cols>
    <col min="1" max="1" width="4.28515625" customWidth="1"/>
    <col min="2" max="2" width="21" customWidth="1"/>
    <col min="19" max="19" width="14.7109375" customWidth="1"/>
    <col min="20" max="20" width="15.85546875" customWidth="1"/>
    <col min="21" max="21" width="14.85546875" customWidth="1"/>
  </cols>
  <sheetData>
    <row r="1" spans="1:22" ht="15.75" customHeight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2" ht="15.75" customHeight="1">
      <c r="A3" s="2" t="s">
        <v>1</v>
      </c>
      <c r="B3" s="2" t="s">
        <v>2</v>
      </c>
      <c r="C3" s="3" t="s">
        <v>53</v>
      </c>
      <c r="D3" s="3" t="s">
        <v>54</v>
      </c>
      <c r="E3" s="3" t="s">
        <v>61</v>
      </c>
      <c r="F3" s="3" t="s">
        <v>62</v>
      </c>
      <c r="G3" s="3" t="s">
        <v>63</v>
      </c>
      <c r="H3" s="3" t="s">
        <v>64</v>
      </c>
      <c r="I3" s="3" t="s">
        <v>65</v>
      </c>
      <c r="J3" s="3" t="s">
        <v>66</v>
      </c>
      <c r="K3" s="3" t="s">
        <v>6</v>
      </c>
      <c r="L3" s="3" t="s">
        <v>67</v>
      </c>
      <c r="M3" s="3" t="s">
        <v>68</v>
      </c>
      <c r="N3" s="3" t="s">
        <v>9</v>
      </c>
      <c r="O3" s="3" t="s">
        <v>53</v>
      </c>
      <c r="P3" s="3" t="s">
        <v>54</v>
      </c>
      <c r="Q3" s="3" t="s">
        <v>61</v>
      </c>
      <c r="R3" s="2" t="s">
        <v>14</v>
      </c>
      <c r="S3" s="2" t="s">
        <v>15</v>
      </c>
      <c r="T3" s="2" t="s">
        <v>3</v>
      </c>
    </row>
    <row r="4" spans="1:22" ht="15.75" customHeight="1">
      <c r="A4" s="10">
        <v>1</v>
      </c>
      <c r="B4" s="11" t="s">
        <v>16</v>
      </c>
      <c r="C4" s="14">
        <v>17400</v>
      </c>
      <c r="D4" s="14">
        <v>33500</v>
      </c>
      <c r="E4" s="14">
        <v>2500</v>
      </c>
      <c r="F4" s="14">
        <v>12500</v>
      </c>
      <c r="G4" s="14">
        <v>3000</v>
      </c>
      <c r="H4" s="14"/>
      <c r="I4" s="14"/>
      <c r="J4" s="14">
        <v>4700</v>
      </c>
      <c r="K4" s="14">
        <v>5000</v>
      </c>
      <c r="L4" s="14">
        <v>3000</v>
      </c>
      <c r="M4" s="14">
        <v>5500</v>
      </c>
      <c r="N4" s="14"/>
      <c r="O4" s="14">
        <v>7100</v>
      </c>
      <c r="P4" s="14">
        <v>1500</v>
      </c>
      <c r="Q4" s="14">
        <v>14250</v>
      </c>
      <c r="R4" s="14">
        <f>SUM(C4:Q4)</f>
        <v>109950</v>
      </c>
      <c r="S4" s="14">
        <v>50000</v>
      </c>
      <c r="T4" s="14">
        <f t="shared" ref="T4:T33" si="0">R4-S4</f>
        <v>59950</v>
      </c>
    </row>
    <row r="5" spans="1:22" ht="15.75" customHeight="1">
      <c r="A5" s="10">
        <v>2</v>
      </c>
      <c r="B5" s="11" t="s">
        <v>17</v>
      </c>
      <c r="C5" s="14"/>
      <c r="D5" s="14"/>
      <c r="E5" s="14">
        <v>4000</v>
      </c>
      <c r="F5" s="14">
        <v>2000</v>
      </c>
      <c r="G5" s="14">
        <v>3000</v>
      </c>
      <c r="H5" s="14">
        <v>4000</v>
      </c>
      <c r="I5" s="14"/>
      <c r="J5" s="14"/>
      <c r="K5" s="14"/>
      <c r="L5" s="14">
        <v>3000</v>
      </c>
      <c r="M5" s="14">
        <v>9000</v>
      </c>
      <c r="N5" s="14">
        <v>2000</v>
      </c>
      <c r="O5" s="14"/>
      <c r="P5" s="14"/>
      <c r="Q5" s="14"/>
      <c r="R5" s="14">
        <f t="shared" ref="R5:R6" si="1">SUM(C5:P5)</f>
        <v>27000</v>
      </c>
      <c r="S5" s="14"/>
      <c r="T5" s="14">
        <f t="shared" si="0"/>
        <v>27000</v>
      </c>
    </row>
    <row r="6" spans="1:22" ht="15.75" customHeight="1">
      <c r="A6" s="10">
        <v>3</v>
      </c>
      <c r="B6" s="11" t="s">
        <v>18</v>
      </c>
      <c r="C6" s="14"/>
      <c r="D6" s="14"/>
      <c r="E6" s="14"/>
      <c r="F6" s="14">
        <v>900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>
        <f t="shared" si="1"/>
        <v>900</v>
      </c>
      <c r="S6" s="14"/>
      <c r="T6" s="14">
        <f t="shared" si="0"/>
        <v>900</v>
      </c>
    </row>
    <row r="7" spans="1:22" ht="15.75" customHeight="1">
      <c r="A7" s="10">
        <v>4</v>
      </c>
      <c r="B7" s="11" t="s">
        <v>19</v>
      </c>
      <c r="C7" s="14">
        <v>49450</v>
      </c>
      <c r="D7" s="14">
        <v>143900</v>
      </c>
      <c r="E7" s="14">
        <v>301350</v>
      </c>
      <c r="F7" s="14">
        <v>73400</v>
      </c>
      <c r="G7" s="14">
        <v>27200</v>
      </c>
      <c r="H7" s="14">
        <v>28150</v>
      </c>
      <c r="I7" s="16">
        <v>14500</v>
      </c>
      <c r="J7" s="14">
        <v>55100</v>
      </c>
      <c r="K7" s="14">
        <v>86500</v>
      </c>
      <c r="L7" s="14">
        <v>54050</v>
      </c>
      <c r="M7" s="14">
        <v>24050</v>
      </c>
      <c r="N7" s="14">
        <v>32500</v>
      </c>
      <c r="O7" s="14">
        <v>28700</v>
      </c>
      <c r="P7" s="14">
        <v>40500</v>
      </c>
      <c r="Q7" s="14">
        <v>37900</v>
      </c>
      <c r="R7" s="14">
        <f t="shared" ref="R7:R9" si="2">SUM(C7:Q7)</f>
        <v>997250</v>
      </c>
      <c r="S7" s="14">
        <v>600000</v>
      </c>
      <c r="T7" s="14">
        <f t="shared" si="0"/>
        <v>397250</v>
      </c>
      <c r="U7" s="17" t="s">
        <v>69</v>
      </c>
    </row>
    <row r="8" spans="1:22" ht="15.75" customHeight="1">
      <c r="A8" s="10">
        <v>5</v>
      </c>
      <c r="B8" s="11" t="s">
        <v>21</v>
      </c>
      <c r="C8" s="14">
        <v>12150</v>
      </c>
      <c r="D8" s="14">
        <v>3000</v>
      </c>
      <c r="E8" s="14">
        <v>18000</v>
      </c>
      <c r="F8" s="14">
        <v>7850</v>
      </c>
      <c r="G8" s="14"/>
      <c r="H8" s="14">
        <v>33500</v>
      </c>
      <c r="I8" s="14">
        <v>11750</v>
      </c>
      <c r="J8" s="14">
        <v>6000</v>
      </c>
      <c r="K8" s="14">
        <v>14000</v>
      </c>
      <c r="L8" s="14">
        <v>5800</v>
      </c>
      <c r="M8" s="14">
        <v>11150</v>
      </c>
      <c r="N8" s="14">
        <v>9000</v>
      </c>
      <c r="O8" s="14">
        <v>2500</v>
      </c>
      <c r="P8" s="14">
        <v>17450</v>
      </c>
      <c r="Q8" s="14">
        <v>28000</v>
      </c>
      <c r="R8" s="14">
        <f t="shared" si="2"/>
        <v>180150</v>
      </c>
      <c r="S8" s="14"/>
      <c r="T8" s="14">
        <f t="shared" si="0"/>
        <v>180150</v>
      </c>
    </row>
    <row r="9" spans="1:22" ht="15.75" customHeight="1">
      <c r="A9" s="10">
        <v>6</v>
      </c>
      <c r="B9" s="11" t="s">
        <v>22</v>
      </c>
      <c r="C9" s="29"/>
      <c r="D9" s="14">
        <v>41600</v>
      </c>
      <c r="E9" s="14">
        <v>51400</v>
      </c>
      <c r="F9" s="14">
        <v>45475</v>
      </c>
      <c r="G9" s="14">
        <v>48175</v>
      </c>
      <c r="H9" s="14">
        <v>25800</v>
      </c>
      <c r="I9" s="14">
        <v>33150</v>
      </c>
      <c r="J9" s="14">
        <v>17000</v>
      </c>
      <c r="K9" s="14">
        <v>44750</v>
      </c>
      <c r="L9" s="14">
        <v>22450</v>
      </c>
      <c r="M9" s="14">
        <v>25650</v>
      </c>
      <c r="N9" s="14">
        <v>18400</v>
      </c>
      <c r="O9" s="14">
        <v>19900</v>
      </c>
      <c r="P9" s="14">
        <v>13000</v>
      </c>
      <c r="Q9" s="14">
        <v>40550</v>
      </c>
      <c r="R9" s="14">
        <f t="shared" si="2"/>
        <v>447300</v>
      </c>
      <c r="S9" s="14">
        <f>200000+100000</f>
        <v>300000</v>
      </c>
      <c r="T9" s="14">
        <f t="shared" si="0"/>
        <v>147300</v>
      </c>
      <c r="U9" s="17" t="s">
        <v>70</v>
      </c>
      <c r="V9" s="17" t="s">
        <v>71</v>
      </c>
    </row>
    <row r="10" spans="1:22" ht="15.75" customHeight="1">
      <c r="A10" s="10">
        <v>7</v>
      </c>
      <c r="B10" s="11" t="s">
        <v>23</v>
      </c>
      <c r="C10" s="29"/>
      <c r="D10" s="28"/>
      <c r="E10" s="14">
        <v>44500</v>
      </c>
      <c r="F10" s="14">
        <v>9500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>
        <f t="shared" ref="R10:R12" si="3">SUM(C10:P10)</f>
        <v>54000</v>
      </c>
      <c r="S10" s="14"/>
      <c r="T10" s="14">
        <f t="shared" si="0"/>
        <v>54000</v>
      </c>
    </row>
    <row r="11" spans="1:22" ht="15.75" customHeight="1">
      <c r="A11" s="10">
        <v>8</v>
      </c>
      <c r="B11" s="11" t="s">
        <v>24</v>
      </c>
      <c r="C11" s="29"/>
      <c r="D11" s="28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>
        <f t="shared" si="3"/>
        <v>0</v>
      </c>
      <c r="S11" s="14"/>
      <c r="T11" s="14">
        <f t="shared" si="0"/>
        <v>0</v>
      </c>
    </row>
    <row r="12" spans="1:22" ht="15.75" customHeight="1">
      <c r="A12" s="10">
        <v>9</v>
      </c>
      <c r="B12" s="21" t="s">
        <v>26</v>
      </c>
      <c r="C12" s="29"/>
      <c r="D12" s="28"/>
      <c r="E12" s="14">
        <v>23250</v>
      </c>
      <c r="F12" s="14">
        <v>17900</v>
      </c>
      <c r="G12" s="14">
        <v>500</v>
      </c>
      <c r="H12" s="14"/>
      <c r="I12" s="14"/>
      <c r="J12" s="14">
        <v>6000</v>
      </c>
      <c r="K12" s="14">
        <v>28500</v>
      </c>
      <c r="L12" s="14">
        <v>1500</v>
      </c>
      <c r="M12" s="14"/>
      <c r="N12" s="14"/>
      <c r="O12" s="14"/>
      <c r="P12" s="14"/>
      <c r="Q12" s="14"/>
      <c r="R12" s="14">
        <f t="shared" si="3"/>
        <v>77650</v>
      </c>
      <c r="S12" s="14"/>
      <c r="T12" s="14">
        <f t="shared" si="0"/>
        <v>77650</v>
      </c>
    </row>
    <row r="13" spans="1:22" ht="15.75" customHeight="1">
      <c r="A13" s="10">
        <v>10</v>
      </c>
      <c r="B13" s="21" t="s">
        <v>27</v>
      </c>
      <c r="C13" s="29"/>
      <c r="D13" s="28"/>
      <c r="E13" s="14">
        <v>147450</v>
      </c>
      <c r="F13" s="14">
        <v>558550</v>
      </c>
      <c r="G13" s="14">
        <v>88300</v>
      </c>
      <c r="H13" s="14">
        <v>24400</v>
      </c>
      <c r="I13" s="14">
        <v>17100</v>
      </c>
      <c r="J13" s="14">
        <v>23200</v>
      </c>
      <c r="K13" s="14">
        <v>66300</v>
      </c>
      <c r="L13" s="14">
        <v>47600</v>
      </c>
      <c r="M13" s="14">
        <v>3900</v>
      </c>
      <c r="N13" s="14"/>
      <c r="O13" s="14">
        <v>6800</v>
      </c>
      <c r="P13" s="14">
        <v>6350</v>
      </c>
      <c r="Q13" s="14">
        <v>8250</v>
      </c>
      <c r="R13" s="14">
        <f t="shared" ref="R13:R17" si="4">SUM(C13:Q13)</f>
        <v>998200</v>
      </c>
      <c r="S13" s="14">
        <f>400000+400000</f>
        <v>800000</v>
      </c>
      <c r="T13" s="14">
        <f t="shared" si="0"/>
        <v>198200</v>
      </c>
      <c r="U13" s="17" t="s">
        <v>72</v>
      </c>
    </row>
    <row r="14" spans="1:22" ht="15.75" customHeight="1">
      <c r="A14" s="10">
        <v>11</v>
      </c>
      <c r="B14" s="21" t="s">
        <v>28</v>
      </c>
      <c r="C14" s="29"/>
      <c r="D14" s="28"/>
      <c r="E14" s="14">
        <v>13100</v>
      </c>
      <c r="F14" s="14">
        <v>9100</v>
      </c>
      <c r="G14" s="14">
        <v>12575</v>
      </c>
      <c r="H14" s="14">
        <v>13400</v>
      </c>
      <c r="I14" s="14">
        <v>27500</v>
      </c>
      <c r="J14" s="14">
        <v>17700</v>
      </c>
      <c r="K14" s="14">
        <v>25800</v>
      </c>
      <c r="L14" s="14">
        <v>20200</v>
      </c>
      <c r="M14" s="14">
        <v>43000</v>
      </c>
      <c r="N14" s="14">
        <v>24200</v>
      </c>
      <c r="O14" s="14">
        <v>1900</v>
      </c>
      <c r="P14" s="14">
        <v>15250</v>
      </c>
      <c r="Q14" s="14">
        <v>23500</v>
      </c>
      <c r="R14" s="14">
        <f t="shared" si="4"/>
        <v>247225</v>
      </c>
      <c r="S14" s="14"/>
      <c r="T14" s="14">
        <f t="shared" si="0"/>
        <v>247225</v>
      </c>
    </row>
    <row r="15" spans="1:22" ht="15.75" customHeight="1">
      <c r="A15" s="10">
        <v>12</v>
      </c>
      <c r="B15" s="21" t="s">
        <v>30</v>
      </c>
      <c r="C15" s="29"/>
      <c r="D15" s="28"/>
      <c r="E15" s="14">
        <v>16000</v>
      </c>
      <c r="F15" s="14">
        <v>6500</v>
      </c>
      <c r="G15" s="14"/>
      <c r="H15" s="14">
        <v>10000</v>
      </c>
      <c r="I15" s="14"/>
      <c r="J15" s="14"/>
      <c r="K15" s="14">
        <v>2000</v>
      </c>
      <c r="L15" s="14">
        <v>7000</v>
      </c>
      <c r="M15" s="14"/>
      <c r="N15" s="14"/>
      <c r="O15" s="14">
        <v>6000</v>
      </c>
      <c r="P15" s="14">
        <v>8000</v>
      </c>
      <c r="Q15" s="14">
        <v>4000</v>
      </c>
      <c r="R15" s="14">
        <f t="shared" si="4"/>
        <v>59500</v>
      </c>
      <c r="S15" s="14"/>
      <c r="T15" s="14">
        <f t="shared" si="0"/>
        <v>59500</v>
      </c>
    </row>
    <row r="16" spans="1:22" ht="15.75" customHeight="1">
      <c r="A16" s="10">
        <v>13</v>
      </c>
      <c r="B16" s="21" t="s">
        <v>32</v>
      </c>
      <c r="C16" s="29"/>
      <c r="D16" s="28"/>
      <c r="E16" s="14">
        <v>4000</v>
      </c>
      <c r="F16" s="14"/>
      <c r="G16" s="14">
        <v>9100</v>
      </c>
      <c r="H16" s="14">
        <v>500</v>
      </c>
      <c r="I16" s="14"/>
      <c r="J16" s="14">
        <v>8500</v>
      </c>
      <c r="K16" s="14"/>
      <c r="L16" s="14">
        <v>5000</v>
      </c>
      <c r="M16" s="14">
        <v>3000</v>
      </c>
      <c r="N16" s="14">
        <v>6000</v>
      </c>
      <c r="O16" s="14">
        <v>3000</v>
      </c>
      <c r="P16" s="14"/>
      <c r="Q16" s="14">
        <v>2000</v>
      </c>
      <c r="R16" s="14">
        <f t="shared" si="4"/>
        <v>41100</v>
      </c>
      <c r="S16" s="14"/>
      <c r="T16" s="14">
        <f t="shared" si="0"/>
        <v>41100</v>
      </c>
    </row>
    <row r="17" spans="1:22" ht="15.75" customHeight="1">
      <c r="A17" s="10">
        <v>14</v>
      </c>
      <c r="B17" s="21" t="s">
        <v>33</v>
      </c>
      <c r="C17" s="29"/>
      <c r="D17" s="28"/>
      <c r="E17" s="14">
        <v>11500</v>
      </c>
      <c r="F17" s="14"/>
      <c r="G17" s="14"/>
      <c r="H17" s="14"/>
      <c r="I17" s="14">
        <v>16500</v>
      </c>
      <c r="J17" s="14">
        <v>5000</v>
      </c>
      <c r="K17" s="14">
        <v>3000</v>
      </c>
      <c r="L17" s="14"/>
      <c r="M17" s="14">
        <v>3600</v>
      </c>
      <c r="N17" s="14"/>
      <c r="O17" s="14">
        <v>15500</v>
      </c>
      <c r="P17" s="14">
        <v>17500</v>
      </c>
      <c r="Q17" s="14">
        <v>10000</v>
      </c>
      <c r="R17" s="14">
        <f t="shared" si="4"/>
        <v>82600</v>
      </c>
      <c r="S17" s="14"/>
      <c r="T17" s="14">
        <f t="shared" si="0"/>
        <v>82600</v>
      </c>
    </row>
    <row r="18" spans="1:22" ht="15.75" customHeight="1">
      <c r="A18" s="10">
        <v>15</v>
      </c>
      <c r="B18" s="21" t="s">
        <v>34</v>
      </c>
      <c r="C18" s="29"/>
      <c r="D18" s="28"/>
      <c r="E18" s="14"/>
      <c r="F18" s="14">
        <v>2800</v>
      </c>
      <c r="G18" s="14"/>
      <c r="H18" s="14">
        <v>12200</v>
      </c>
      <c r="I18" s="14"/>
      <c r="J18" s="14"/>
      <c r="K18" s="14"/>
      <c r="L18" s="14"/>
      <c r="M18" s="14"/>
      <c r="N18" s="14"/>
      <c r="O18" s="14"/>
      <c r="P18" s="14"/>
      <c r="Q18" s="14"/>
      <c r="R18" s="14">
        <f t="shared" ref="R18:R24" si="5">SUM(C18:P18)</f>
        <v>15000</v>
      </c>
      <c r="S18" s="14"/>
      <c r="T18" s="14">
        <f t="shared" si="0"/>
        <v>15000</v>
      </c>
    </row>
    <row r="19" spans="1:22" ht="15.75" customHeight="1">
      <c r="A19" s="10">
        <v>16</v>
      </c>
      <c r="B19" s="21" t="s">
        <v>35</v>
      </c>
      <c r="C19" s="29"/>
      <c r="D19" s="28"/>
      <c r="E19" s="14"/>
      <c r="F19" s="14">
        <v>7500</v>
      </c>
      <c r="G19" s="14">
        <v>60000</v>
      </c>
      <c r="H19" s="14">
        <v>25000</v>
      </c>
      <c r="I19" s="14">
        <v>3000</v>
      </c>
      <c r="J19" s="14">
        <v>16000</v>
      </c>
      <c r="K19" s="14"/>
      <c r="L19" s="14"/>
      <c r="M19" s="14">
        <v>6000</v>
      </c>
      <c r="N19" s="14"/>
      <c r="O19" s="14"/>
      <c r="P19" s="14"/>
      <c r="Q19" s="14"/>
      <c r="R19" s="14">
        <f t="shared" si="5"/>
        <v>117500</v>
      </c>
      <c r="S19" s="14">
        <v>100000</v>
      </c>
      <c r="T19" s="14">
        <f t="shared" si="0"/>
        <v>17500</v>
      </c>
      <c r="U19" s="17" t="s">
        <v>73</v>
      </c>
      <c r="V19" s="17" t="s">
        <v>74</v>
      </c>
    </row>
    <row r="20" spans="1:22" ht="15.75" customHeight="1">
      <c r="A20" s="10">
        <v>17</v>
      </c>
      <c r="B20" s="22" t="s">
        <v>36</v>
      </c>
      <c r="C20" s="29"/>
      <c r="D20" s="28"/>
      <c r="E20" s="14"/>
      <c r="F20" s="14">
        <v>3500</v>
      </c>
      <c r="G20" s="14">
        <v>4000</v>
      </c>
      <c r="H20" s="14">
        <v>5000</v>
      </c>
      <c r="I20" s="14"/>
      <c r="J20" s="14">
        <v>7000</v>
      </c>
      <c r="K20" s="14"/>
      <c r="L20" s="14"/>
      <c r="M20" s="14"/>
      <c r="N20" s="14"/>
      <c r="O20" s="14"/>
      <c r="P20" s="14"/>
      <c r="Q20" s="14"/>
      <c r="R20" s="14">
        <f t="shared" si="5"/>
        <v>19500</v>
      </c>
      <c r="S20" s="14"/>
      <c r="T20" s="14">
        <f t="shared" si="0"/>
        <v>19500</v>
      </c>
    </row>
    <row r="21" spans="1:22" ht="15.75" customHeight="1">
      <c r="A21" s="10">
        <v>18</v>
      </c>
      <c r="B21" s="22" t="s">
        <v>37</v>
      </c>
      <c r="C21" s="29"/>
      <c r="D21" s="28"/>
      <c r="E21" s="14"/>
      <c r="F21" s="14">
        <v>17050</v>
      </c>
      <c r="G21" s="14">
        <v>10650</v>
      </c>
      <c r="H21" s="14">
        <v>11900</v>
      </c>
      <c r="I21" s="14">
        <v>4400</v>
      </c>
      <c r="J21" s="14">
        <v>3700</v>
      </c>
      <c r="K21" s="14">
        <v>3000</v>
      </c>
      <c r="L21" s="14">
        <v>2000</v>
      </c>
      <c r="M21" s="14">
        <v>8200</v>
      </c>
      <c r="N21" s="14">
        <v>4000</v>
      </c>
      <c r="O21" s="14"/>
      <c r="P21" s="14">
        <v>4000</v>
      </c>
      <c r="Q21" s="14"/>
      <c r="R21" s="14">
        <f t="shared" si="5"/>
        <v>68900</v>
      </c>
      <c r="S21" s="14"/>
      <c r="T21" s="14">
        <f t="shared" si="0"/>
        <v>68900</v>
      </c>
    </row>
    <row r="22" spans="1:22" ht="15.75" customHeight="1">
      <c r="A22" s="10">
        <v>19</v>
      </c>
      <c r="B22" s="22" t="s">
        <v>38</v>
      </c>
      <c r="C22" s="29"/>
      <c r="D22" s="28"/>
      <c r="E22" s="14"/>
      <c r="F22" s="14">
        <v>23000</v>
      </c>
      <c r="G22" s="14">
        <v>4000</v>
      </c>
      <c r="H22" s="14">
        <v>3000</v>
      </c>
      <c r="I22" s="14"/>
      <c r="J22" s="14"/>
      <c r="K22" s="14">
        <v>3250</v>
      </c>
      <c r="L22" s="14"/>
      <c r="M22" s="14"/>
      <c r="N22" s="14"/>
      <c r="O22" s="14"/>
      <c r="P22" s="14"/>
      <c r="Q22" s="14"/>
      <c r="R22" s="14">
        <f t="shared" si="5"/>
        <v>33250</v>
      </c>
      <c r="S22" s="14"/>
      <c r="T22" s="14">
        <f t="shared" si="0"/>
        <v>33250</v>
      </c>
    </row>
    <row r="23" spans="1:22" ht="15.75" customHeight="1">
      <c r="A23" s="10">
        <v>20</v>
      </c>
      <c r="B23" s="21" t="s">
        <v>39</v>
      </c>
      <c r="C23" s="29"/>
      <c r="D23" s="28"/>
      <c r="E23" s="14"/>
      <c r="F23" s="14">
        <v>10000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>
        <f t="shared" si="5"/>
        <v>10000</v>
      </c>
      <c r="S23" s="14"/>
      <c r="T23" s="14">
        <f t="shared" si="0"/>
        <v>10000</v>
      </c>
    </row>
    <row r="24" spans="1:22" ht="15.75" customHeight="1">
      <c r="A24" s="10">
        <v>21</v>
      </c>
      <c r="B24" s="21" t="s">
        <v>40</v>
      </c>
      <c r="C24" s="29"/>
      <c r="D24" s="28"/>
      <c r="E24" s="14"/>
      <c r="F24" s="14">
        <v>34750</v>
      </c>
      <c r="G24" s="27">
        <v>27500</v>
      </c>
      <c r="H24" s="14"/>
      <c r="I24" s="14"/>
      <c r="J24" s="14">
        <v>32000</v>
      </c>
      <c r="K24" s="14">
        <v>3000</v>
      </c>
      <c r="L24" s="14"/>
      <c r="M24" s="14"/>
      <c r="N24" s="14">
        <v>45000</v>
      </c>
      <c r="O24" s="14">
        <v>3500</v>
      </c>
      <c r="P24" s="14">
        <v>35000</v>
      </c>
      <c r="Q24" s="14"/>
      <c r="R24" s="14">
        <f t="shared" si="5"/>
        <v>180750</v>
      </c>
      <c r="S24" s="14">
        <v>20000</v>
      </c>
      <c r="T24" s="14">
        <f t="shared" si="0"/>
        <v>160750</v>
      </c>
    </row>
    <row r="25" spans="1:22" ht="15.75" customHeight="1">
      <c r="A25" s="10">
        <v>22</v>
      </c>
      <c r="B25" s="21" t="s">
        <v>41</v>
      </c>
      <c r="C25" s="29"/>
      <c r="D25" s="28"/>
      <c r="E25" s="14"/>
      <c r="F25" s="14"/>
      <c r="G25" s="14">
        <v>5700</v>
      </c>
      <c r="H25" s="14"/>
      <c r="I25" s="14">
        <v>1000</v>
      </c>
      <c r="J25" s="14">
        <v>25600</v>
      </c>
      <c r="K25" s="14">
        <v>14200</v>
      </c>
      <c r="L25" s="14">
        <v>33000</v>
      </c>
      <c r="M25" s="14"/>
      <c r="N25" s="14">
        <v>11000</v>
      </c>
      <c r="O25" s="14">
        <v>12600</v>
      </c>
      <c r="P25" s="14">
        <v>5700</v>
      </c>
      <c r="Q25" s="14">
        <v>5000</v>
      </c>
      <c r="R25" s="14">
        <f>SUM(C25:Q25)</f>
        <v>113800</v>
      </c>
      <c r="S25" s="14"/>
      <c r="T25" s="14">
        <f t="shared" si="0"/>
        <v>113800</v>
      </c>
    </row>
    <row r="26" spans="1:22" ht="15.75" customHeight="1">
      <c r="A26" s="10">
        <v>23</v>
      </c>
      <c r="B26" s="21" t="s">
        <v>42</v>
      </c>
      <c r="C26" s="29"/>
      <c r="D26" s="28"/>
      <c r="E26" s="14"/>
      <c r="F26" s="14"/>
      <c r="G26" s="14">
        <v>6000</v>
      </c>
      <c r="H26" s="14">
        <v>18150</v>
      </c>
      <c r="I26" s="14">
        <v>13850</v>
      </c>
      <c r="J26" s="14">
        <v>1500</v>
      </c>
      <c r="K26" s="14">
        <v>10300</v>
      </c>
      <c r="L26" s="14">
        <v>2400</v>
      </c>
      <c r="M26" s="14">
        <v>3000</v>
      </c>
      <c r="N26" s="14"/>
      <c r="O26" s="14"/>
      <c r="P26" s="14">
        <v>1950</v>
      </c>
      <c r="Q26" s="14"/>
      <c r="R26" s="14">
        <f t="shared" ref="R26:R31" si="6">SUM(C26:P26)</f>
        <v>57150</v>
      </c>
      <c r="S26" s="28">
        <v>50000</v>
      </c>
      <c r="T26" s="14">
        <f t="shared" si="0"/>
        <v>7150</v>
      </c>
    </row>
    <row r="27" spans="1:22">
      <c r="A27" s="10">
        <v>24</v>
      </c>
      <c r="B27" s="21" t="s">
        <v>43</v>
      </c>
      <c r="C27" s="29"/>
      <c r="D27" s="28"/>
      <c r="E27" s="14"/>
      <c r="F27" s="14"/>
      <c r="G27" s="14"/>
      <c r="H27" s="14">
        <v>2400</v>
      </c>
      <c r="I27" s="14"/>
      <c r="J27" s="14"/>
      <c r="K27" s="14"/>
      <c r="L27" s="14"/>
      <c r="M27" s="14"/>
      <c r="N27" s="14"/>
      <c r="O27" s="14"/>
      <c r="P27" s="14"/>
      <c r="Q27" s="14"/>
      <c r="R27" s="14">
        <f t="shared" si="6"/>
        <v>2400</v>
      </c>
      <c r="S27" s="29"/>
      <c r="T27" s="14">
        <f t="shared" si="0"/>
        <v>2400</v>
      </c>
    </row>
    <row r="28" spans="1:22">
      <c r="A28" s="10">
        <v>25</v>
      </c>
      <c r="B28" s="21" t="s">
        <v>44</v>
      </c>
      <c r="C28" s="29"/>
      <c r="D28" s="28"/>
      <c r="E28" s="14"/>
      <c r="F28" s="14"/>
      <c r="G28" s="14"/>
      <c r="H28" s="14">
        <v>12000</v>
      </c>
      <c r="I28" s="14"/>
      <c r="J28" s="14"/>
      <c r="K28" s="14"/>
      <c r="L28" s="14"/>
      <c r="M28" s="14"/>
      <c r="N28" s="14"/>
      <c r="O28" s="14"/>
      <c r="P28" s="14"/>
      <c r="Q28" s="14"/>
      <c r="R28" s="14">
        <f t="shared" si="6"/>
        <v>12000</v>
      </c>
      <c r="S28" s="29"/>
      <c r="T28" s="14">
        <f t="shared" si="0"/>
        <v>12000</v>
      </c>
    </row>
    <row r="29" spans="1:22">
      <c r="A29" s="10">
        <v>26</v>
      </c>
      <c r="B29" s="21" t="s">
        <v>45</v>
      </c>
      <c r="C29" s="29"/>
      <c r="D29" s="28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>
        <f t="shared" si="6"/>
        <v>0</v>
      </c>
      <c r="S29" s="29"/>
      <c r="T29" s="14">
        <f t="shared" si="0"/>
        <v>0</v>
      </c>
    </row>
    <row r="30" spans="1:22">
      <c r="A30" s="10">
        <v>27</v>
      </c>
      <c r="B30" s="30" t="s">
        <v>46</v>
      </c>
      <c r="C30" s="29"/>
      <c r="D30" s="28"/>
      <c r="E30" s="14"/>
      <c r="F30" s="14"/>
      <c r="G30" s="14"/>
      <c r="H30" s="14"/>
      <c r="I30" s="14"/>
      <c r="J30" s="14">
        <v>2500</v>
      </c>
      <c r="K30" s="14">
        <v>14200</v>
      </c>
      <c r="L30" s="14">
        <v>3500</v>
      </c>
      <c r="M30" s="14"/>
      <c r="N30" s="14"/>
      <c r="O30" s="14"/>
      <c r="P30" s="14"/>
      <c r="Q30" s="14"/>
      <c r="R30" s="14">
        <f t="shared" si="6"/>
        <v>20200</v>
      </c>
      <c r="S30" s="29"/>
      <c r="T30" s="14">
        <f t="shared" si="0"/>
        <v>20200</v>
      </c>
    </row>
    <row r="31" spans="1:22">
      <c r="A31" s="10">
        <v>28</v>
      </c>
      <c r="B31" s="30" t="s">
        <v>47</v>
      </c>
      <c r="C31" s="29"/>
      <c r="D31" s="28"/>
      <c r="E31" s="14"/>
      <c r="F31" s="14"/>
      <c r="G31" s="14"/>
      <c r="H31" s="14"/>
      <c r="I31" s="14"/>
      <c r="J31" s="14">
        <v>3200</v>
      </c>
      <c r="K31" s="14">
        <v>800</v>
      </c>
      <c r="L31" s="14">
        <v>7350</v>
      </c>
      <c r="M31" s="14">
        <v>14200</v>
      </c>
      <c r="N31" s="14">
        <v>3000</v>
      </c>
      <c r="O31" s="14">
        <v>3000</v>
      </c>
      <c r="P31" s="14">
        <v>18700</v>
      </c>
      <c r="Q31" s="14"/>
      <c r="R31" s="14">
        <f t="shared" si="6"/>
        <v>50250</v>
      </c>
      <c r="S31" s="29"/>
      <c r="T31" s="14">
        <f t="shared" si="0"/>
        <v>50250</v>
      </c>
    </row>
    <row r="32" spans="1:22">
      <c r="A32" s="10">
        <v>29</v>
      </c>
      <c r="B32" s="30" t="s">
        <v>48</v>
      </c>
      <c r="C32" s="29"/>
      <c r="D32" s="28"/>
      <c r="E32" s="14"/>
      <c r="F32" s="14"/>
      <c r="G32" s="14"/>
      <c r="H32" s="14"/>
      <c r="I32" s="14"/>
      <c r="J32" s="14">
        <v>10000</v>
      </c>
      <c r="K32" s="14">
        <v>52050</v>
      </c>
      <c r="L32" s="14"/>
      <c r="M32" s="14">
        <v>21600</v>
      </c>
      <c r="N32" s="14"/>
      <c r="O32" s="14"/>
      <c r="P32" s="14"/>
      <c r="Q32" s="42">
        <v>17250</v>
      </c>
      <c r="R32" s="14">
        <f>SUM(C32:Q32)</f>
        <v>100900</v>
      </c>
      <c r="S32" s="29"/>
      <c r="T32" s="14">
        <f t="shared" si="0"/>
        <v>100900</v>
      </c>
    </row>
    <row r="33" spans="1:20">
      <c r="A33" s="10">
        <v>31</v>
      </c>
      <c r="B33" s="21"/>
      <c r="C33" s="29"/>
      <c r="D33" s="2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>
        <f>SUM(C33:P33)</f>
        <v>0</v>
      </c>
      <c r="S33" s="29"/>
      <c r="T33" s="14">
        <f t="shared" si="0"/>
        <v>0</v>
      </c>
    </row>
    <row r="35" spans="1:20" ht="15">
      <c r="B35" s="34" t="s">
        <v>50</v>
      </c>
      <c r="C35" s="35">
        <v>4</v>
      </c>
      <c r="D35" s="35">
        <v>6</v>
      </c>
      <c r="E35" s="36">
        <v>14</v>
      </c>
      <c r="F35" s="36">
        <v>19</v>
      </c>
      <c r="G35" s="37">
        <v>17</v>
      </c>
      <c r="H35" s="37">
        <v>16</v>
      </c>
      <c r="I35" s="37">
        <v>12</v>
      </c>
      <c r="J35" s="37">
        <v>18</v>
      </c>
      <c r="K35" s="37">
        <v>17</v>
      </c>
      <c r="L35" s="37">
        <v>16</v>
      </c>
      <c r="M35" s="37">
        <v>14</v>
      </c>
      <c r="N35" s="37">
        <v>10</v>
      </c>
      <c r="O35" s="37">
        <v>9</v>
      </c>
      <c r="P35" s="37">
        <v>13</v>
      </c>
      <c r="Q35" s="37">
        <v>11</v>
      </c>
    </row>
    <row r="36" spans="1:20" ht="15">
      <c r="B36" s="34" t="s">
        <v>51</v>
      </c>
      <c r="C36" s="38">
        <f t="shared" ref="C36:D36" si="7">SUM(C4:C12)</f>
        <v>79000</v>
      </c>
      <c r="D36" s="38">
        <f t="shared" si="7"/>
        <v>222000</v>
      </c>
      <c r="E36" s="38">
        <f t="shared" ref="E36:F36" si="8">SUM(E4:E24)</f>
        <v>637050</v>
      </c>
      <c r="F36" s="38">
        <f t="shared" si="8"/>
        <v>842275</v>
      </c>
      <c r="G36" s="38">
        <f t="shared" ref="G36:R36" si="9">SUM(G4:G33)</f>
        <v>309700</v>
      </c>
      <c r="H36" s="38">
        <f t="shared" si="9"/>
        <v>229400</v>
      </c>
      <c r="I36" s="38">
        <f t="shared" si="9"/>
        <v>142750</v>
      </c>
      <c r="J36" s="38">
        <f t="shared" si="9"/>
        <v>244700</v>
      </c>
      <c r="K36" s="38">
        <f t="shared" si="9"/>
        <v>376650</v>
      </c>
      <c r="L36" s="38">
        <f t="shared" si="9"/>
        <v>217850</v>
      </c>
      <c r="M36" s="38">
        <f t="shared" si="9"/>
        <v>181850</v>
      </c>
      <c r="N36" s="38">
        <f t="shared" si="9"/>
        <v>155100</v>
      </c>
      <c r="O36" s="38">
        <f t="shared" si="9"/>
        <v>110500</v>
      </c>
      <c r="P36" s="38">
        <f t="shared" si="9"/>
        <v>184900</v>
      </c>
      <c r="Q36" s="38">
        <f t="shared" si="9"/>
        <v>190700</v>
      </c>
      <c r="R36" s="39">
        <f t="shared" si="9"/>
        <v>4124425</v>
      </c>
      <c r="S36" s="40">
        <f>SUM(S4:S24)</f>
        <v>1870000</v>
      </c>
      <c r="T36" s="41">
        <f>SUM(T2:T33)</f>
        <v>2204425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1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Z34" sqref="Z34"/>
    </sheetView>
  </sheetViews>
  <sheetFormatPr defaultColWidth="12.5703125" defaultRowHeight="15.75" customHeight="1"/>
  <cols>
    <col min="1" max="1" width="4.28515625" customWidth="1"/>
    <col min="2" max="2" width="21" customWidth="1"/>
    <col min="3" max="4" width="5.7109375" customWidth="1"/>
    <col min="5" max="5" width="7" customWidth="1"/>
    <col min="6" max="6" width="6.42578125" customWidth="1"/>
    <col min="7" max="7" width="6.7109375" customWidth="1"/>
    <col min="8" max="8" width="6.42578125" customWidth="1"/>
    <col min="9" max="9" width="7.42578125" customWidth="1"/>
    <col min="10" max="10" width="8" customWidth="1"/>
    <col min="11" max="11" width="7.7109375" customWidth="1"/>
    <col min="12" max="12" width="8.42578125" customWidth="1"/>
    <col min="13" max="13" width="8.5703125" customWidth="1"/>
    <col min="14" max="14" width="8.140625" customWidth="1"/>
    <col min="15" max="15" width="7.42578125" hidden="1" customWidth="1"/>
    <col min="16" max="16" width="7.85546875" hidden="1" customWidth="1"/>
    <col min="17" max="17" width="8.5703125" hidden="1" customWidth="1"/>
    <col min="18" max="18" width="8" hidden="1" customWidth="1"/>
    <col min="19" max="19" width="10.42578125" hidden="1" customWidth="1"/>
    <col min="20" max="23" width="12.5703125" hidden="1"/>
    <col min="27" max="27" width="14.85546875" customWidth="1"/>
  </cols>
  <sheetData>
    <row r="1" spans="1:26" ht="15.75" customHeight="1">
      <c r="A1" s="1"/>
      <c r="B1" s="1"/>
      <c r="C1" s="43"/>
      <c r="D1" s="44" t="s">
        <v>0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1"/>
      <c r="U1" s="1"/>
      <c r="V1" s="1"/>
      <c r="W1" s="1"/>
      <c r="X1" s="1"/>
      <c r="Y1" s="1"/>
      <c r="Z1" s="1"/>
    </row>
    <row r="2" spans="1:26" ht="15.75" customHeight="1">
      <c r="A2" s="2" t="s">
        <v>1</v>
      </c>
      <c r="B2" s="2" t="s">
        <v>2</v>
      </c>
      <c r="C2" s="45" t="s">
        <v>75</v>
      </c>
      <c r="D2" s="46" t="s">
        <v>76</v>
      </c>
      <c r="E2" s="45" t="s">
        <v>12</v>
      </c>
      <c r="F2" s="45" t="s">
        <v>13</v>
      </c>
      <c r="G2" s="47" t="s">
        <v>4</v>
      </c>
      <c r="H2" s="47" t="s">
        <v>5</v>
      </c>
      <c r="I2" s="47" t="s">
        <v>52</v>
      </c>
      <c r="J2" s="47" t="s">
        <v>66</v>
      </c>
      <c r="K2" s="47" t="s">
        <v>6</v>
      </c>
      <c r="L2" s="47" t="s">
        <v>7</v>
      </c>
      <c r="M2" s="47" t="s">
        <v>8</v>
      </c>
      <c r="N2" s="47" t="s">
        <v>77</v>
      </c>
      <c r="O2" s="47" t="s">
        <v>10</v>
      </c>
      <c r="P2" s="47" t="s">
        <v>76</v>
      </c>
      <c r="Q2" s="47" t="s">
        <v>12</v>
      </c>
      <c r="R2" s="48" t="s">
        <v>4</v>
      </c>
      <c r="S2" s="48" t="s">
        <v>5</v>
      </c>
      <c r="T2" s="49" t="s">
        <v>52</v>
      </c>
      <c r="U2" s="49" t="s">
        <v>6</v>
      </c>
      <c r="V2" s="49" t="s">
        <v>78</v>
      </c>
      <c r="W2" s="49" t="s">
        <v>79</v>
      </c>
      <c r="X2" s="3" t="s">
        <v>80</v>
      </c>
      <c r="Y2" s="3"/>
      <c r="Z2" s="2" t="s">
        <v>14</v>
      </c>
    </row>
    <row r="3" spans="1:26" ht="15.75" customHeight="1">
      <c r="A3" s="10">
        <v>1</v>
      </c>
      <c r="B3" s="11" t="s">
        <v>16</v>
      </c>
      <c r="C3" s="50"/>
      <c r="D3" s="51"/>
      <c r="E3" s="52"/>
      <c r="F3" s="52"/>
      <c r="G3" s="53"/>
      <c r="H3" s="53"/>
      <c r="I3" s="53"/>
      <c r="J3" s="53"/>
      <c r="K3" s="53"/>
      <c r="L3" s="53"/>
      <c r="M3" s="53"/>
      <c r="N3" s="53"/>
      <c r="O3" s="53"/>
      <c r="P3" s="53"/>
      <c r="Q3" s="54">
        <v>9</v>
      </c>
      <c r="R3" s="55"/>
      <c r="S3" s="55"/>
      <c r="T3" s="56"/>
      <c r="U3" s="56"/>
      <c r="V3" s="56"/>
      <c r="W3" s="56"/>
      <c r="X3" s="57"/>
      <c r="Y3" s="57"/>
      <c r="Z3" s="57">
        <f t="shared" ref="Z3:Z6" si="0">SUM(C3:S3)</f>
        <v>9</v>
      </c>
    </row>
    <row r="4" spans="1:26" ht="15.75" customHeight="1">
      <c r="A4" s="10">
        <v>2</v>
      </c>
      <c r="B4" s="11" t="s">
        <v>17</v>
      </c>
      <c r="C4" s="50"/>
      <c r="D4" s="51"/>
      <c r="E4" s="52"/>
      <c r="F4" s="52"/>
      <c r="G4" s="53"/>
      <c r="H4" s="53"/>
      <c r="I4" s="53"/>
      <c r="J4" s="53"/>
      <c r="K4" s="53"/>
      <c r="L4" s="53"/>
      <c r="M4" s="54"/>
      <c r="N4" s="54"/>
      <c r="O4" s="54">
        <v>2</v>
      </c>
      <c r="P4" s="53"/>
      <c r="Q4" s="54"/>
      <c r="R4" s="55"/>
      <c r="S4" s="55"/>
      <c r="T4" s="56"/>
      <c r="U4" s="56"/>
      <c r="V4" s="56"/>
      <c r="W4" s="56"/>
      <c r="X4" s="57"/>
      <c r="Y4" s="57"/>
      <c r="Z4" s="57">
        <f t="shared" si="0"/>
        <v>2</v>
      </c>
    </row>
    <row r="5" spans="1:26" ht="15.75" customHeight="1">
      <c r="A5" s="10">
        <v>3</v>
      </c>
      <c r="B5" s="11" t="s">
        <v>18</v>
      </c>
      <c r="C5" s="50"/>
      <c r="D5" s="51"/>
      <c r="E5" s="52"/>
      <c r="F5" s="51">
        <v>1</v>
      </c>
      <c r="G5" s="53"/>
      <c r="H5" s="53"/>
      <c r="I5" s="53"/>
      <c r="J5" s="53"/>
      <c r="K5" s="53"/>
      <c r="L5" s="53"/>
      <c r="M5" s="54"/>
      <c r="N5" s="54"/>
      <c r="O5" s="53"/>
      <c r="P5" s="53"/>
      <c r="Q5" s="54"/>
      <c r="R5" s="55"/>
      <c r="S5" s="55"/>
      <c r="T5" s="56"/>
      <c r="U5" s="56"/>
      <c r="V5" s="56"/>
      <c r="W5" s="56"/>
      <c r="X5" s="57"/>
      <c r="Y5" s="57"/>
      <c r="Z5" s="57">
        <f t="shared" si="0"/>
        <v>1</v>
      </c>
    </row>
    <row r="6" spans="1:26" ht="15.75" customHeight="1">
      <c r="A6" s="10">
        <v>4</v>
      </c>
      <c r="B6" s="11" t="s">
        <v>19</v>
      </c>
      <c r="C6" s="50"/>
      <c r="D6" s="51">
        <v>14</v>
      </c>
      <c r="E6" s="51">
        <v>4</v>
      </c>
      <c r="F6" s="52"/>
      <c r="G6" s="53"/>
      <c r="H6" s="54">
        <v>3</v>
      </c>
      <c r="I6" s="54">
        <v>2</v>
      </c>
      <c r="J6" s="54">
        <v>2</v>
      </c>
      <c r="K6" s="54">
        <v>5</v>
      </c>
      <c r="L6" s="53"/>
      <c r="M6" s="54">
        <v>1</v>
      </c>
      <c r="N6" s="54">
        <v>2</v>
      </c>
      <c r="O6" s="53">
        <v>0.5</v>
      </c>
      <c r="P6" s="53">
        <v>1.5</v>
      </c>
      <c r="Q6" s="54">
        <v>16</v>
      </c>
      <c r="R6" s="58">
        <v>4</v>
      </c>
      <c r="S6" s="58">
        <v>2</v>
      </c>
      <c r="T6" s="56">
        <v>3</v>
      </c>
      <c r="U6" s="56"/>
      <c r="V6" s="56"/>
      <c r="W6" s="56"/>
      <c r="X6" s="57">
        <v>16</v>
      </c>
      <c r="Y6" s="57"/>
      <c r="Z6" s="57">
        <f t="shared" si="0"/>
        <v>57</v>
      </c>
    </row>
    <row r="7" spans="1:26" ht="15.75" customHeight="1">
      <c r="A7" s="10">
        <v>5</v>
      </c>
      <c r="B7" s="11" t="s">
        <v>21</v>
      </c>
      <c r="C7" s="59">
        <v>1</v>
      </c>
      <c r="D7" s="51">
        <v>4</v>
      </c>
      <c r="E7" s="51">
        <v>3</v>
      </c>
      <c r="F7" s="52"/>
      <c r="G7" s="53"/>
      <c r="H7" s="54">
        <v>2</v>
      </c>
      <c r="I7" s="54">
        <v>1</v>
      </c>
      <c r="J7" s="54">
        <v>1</v>
      </c>
      <c r="K7" s="53">
        <v>0.5</v>
      </c>
      <c r="L7" s="53"/>
      <c r="M7" s="54">
        <v>1</v>
      </c>
      <c r="N7" s="54"/>
      <c r="O7" s="53"/>
      <c r="P7" s="53"/>
      <c r="Q7" s="54">
        <v>1</v>
      </c>
      <c r="R7" s="58">
        <v>4</v>
      </c>
      <c r="S7" s="55"/>
      <c r="T7" s="56"/>
      <c r="U7" s="56">
        <v>4</v>
      </c>
      <c r="V7" s="56"/>
      <c r="W7" s="56">
        <v>6.5</v>
      </c>
      <c r="X7" s="57"/>
      <c r="Y7" s="57"/>
      <c r="Z7" s="57">
        <f>SUM(C7:T7)</f>
        <v>18.5</v>
      </c>
    </row>
    <row r="8" spans="1:26" ht="15.75" customHeight="1">
      <c r="A8" s="10">
        <v>6</v>
      </c>
      <c r="B8" s="11" t="s">
        <v>22</v>
      </c>
      <c r="C8" s="50"/>
      <c r="D8" s="51">
        <v>1</v>
      </c>
      <c r="E8" s="52">
        <v>0.5</v>
      </c>
      <c r="F8" s="51">
        <v>1</v>
      </c>
      <c r="G8" s="53"/>
      <c r="H8" s="53"/>
      <c r="I8" s="54">
        <v>1</v>
      </c>
      <c r="J8" s="54"/>
      <c r="K8" s="53"/>
      <c r="L8" s="53"/>
      <c r="M8" s="53"/>
      <c r="N8" s="53"/>
      <c r="O8" s="53"/>
      <c r="P8" s="53"/>
      <c r="Q8" s="53"/>
      <c r="R8" s="55"/>
      <c r="S8" s="55"/>
      <c r="T8" s="56"/>
      <c r="U8" s="56"/>
      <c r="V8" s="56"/>
      <c r="W8" s="56"/>
      <c r="X8" s="57"/>
      <c r="Y8" s="57"/>
      <c r="Z8" s="57">
        <f t="shared" ref="Z8:Z11" si="1">SUM(C8:S8)</f>
        <v>3.5</v>
      </c>
    </row>
    <row r="9" spans="1:26" ht="15.75" customHeight="1">
      <c r="A9" s="10">
        <v>7</v>
      </c>
      <c r="B9" s="11" t="s">
        <v>23</v>
      </c>
      <c r="C9" s="50"/>
      <c r="D9" s="60"/>
      <c r="E9" s="52"/>
      <c r="F9" s="52"/>
      <c r="G9" s="53"/>
      <c r="H9" s="53"/>
      <c r="I9" s="54"/>
      <c r="J9" s="54"/>
      <c r="K9" s="53"/>
      <c r="L9" s="53"/>
      <c r="M9" s="53"/>
      <c r="N9" s="53"/>
      <c r="O9" s="53"/>
      <c r="P9" s="53"/>
      <c r="Q9" s="53"/>
      <c r="R9" s="55"/>
      <c r="S9" s="55"/>
      <c r="T9" s="56"/>
      <c r="U9" s="56"/>
      <c r="V9" s="56"/>
      <c r="W9" s="56"/>
      <c r="X9" s="57"/>
      <c r="Y9" s="57"/>
      <c r="Z9" s="57">
        <f t="shared" si="1"/>
        <v>0</v>
      </c>
    </row>
    <row r="10" spans="1:26" ht="15.75" customHeight="1">
      <c r="A10" s="10">
        <v>8</v>
      </c>
      <c r="B10" s="11" t="s">
        <v>24</v>
      </c>
      <c r="C10" s="61"/>
      <c r="D10" s="60"/>
      <c r="E10" s="52"/>
      <c r="F10" s="52"/>
      <c r="G10" s="53"/>
      <c r="H10" s="53"/>
      <c r="I10" s="54"/>
      <c r="J10" s="54"/>
      <c r="K10" s="53"/>
      <c r="L10" s="53"/>
      <c r="M10" s="53"/>
      <c r="N10" s="53"/>
      <c r="O10" s="53"/>
      <c r="P10" s="53"/>
      <c r="Q10" s="53"/>
      <c r="R10" s="55"/>
      <c r="S10" s="55"/>
      <c r="T10" s="56"/>
      <c r="U10" s="56"/>
      <c r="V10" s="56"/>
      <c r="W10" s="56"/>
      <c r="X10" s="57"/>
      <c r="Y10" s="57"/>
      <c r="Z10" s="57">
        <f t="shared" si="1"/>
        <v>0</v>
      </c>
    </row>
    <row r="11" spans="1:26" ht="15.75" customHeight="1">
      <c r="A11" s="10">
        <v>9</v>
      </c>
      <c r="B11" s="21" t="s">
        <v>26</v>
      </c>
      <c r="C11" s="61"/>
      <c r="D11" s="60"/>
      <c r="E11" s="52"/>
      <c r="F11" s="51">
        <v>3</v>
      </c>
      <c r="G11" s="53">
        <v>1.5</v>
      </c>
      <c r="H11" s="53"/>
      <c r="I11" s="54"/>
      <c r="J11" s="54"/>
      <c r="K11" s="53"/>
      <c r="L11" s="53"/>
      <c r="M11" s="53"/>
      <c r="N11" s="53"/>
      <c r="O11" s="53"/>
      <c r="P11" s="53"/>
      <c r="Q11" s="53"/>
      <c r="R11" s="55"/>
      <c r="S11" s="55"/>
      <c r="T11" s="56"/>
      <c r="U11" s="56"/>
      <c r="V11" s="56"/>
      <c r="W11" s="56"/>
      <c r="X11" s="57"/>
      <c r="Y11" s="57"/>
      <c r="Z11" s="57">
        <f t="shared" si="1"/>
        <v>4.5</v>
      </c>
    </row>
    <row r="12" spans="1:26" ht="15.75" customHeight="1">
      <c r="A12" s="10">
        <v>10</v>
      </c>
      <c r="B12" s="21" t="s">
        <v>27</v>
      </c>
      <c r="C12" s="61"/>
      <c r="D12" s="60"/>
      <c r="E12" s="51">
        <v>7</v>
      </c>
      <c r="F12" s="51">
        <v>10</v>
      </c>
      <c r="G12" s="53">
        <v>6.5</v>
      </c>
      <c r="H12" s="54">
        <v>2</v>
      </c>
      <c r="I12" s="54">
        <v>2</v>
      </c>
      <c r="J12" s="54">
        <v>3</v>
      </c>
      <c r="K12" s="53">
        <v>2.5</v>
      </c>
      <c r="L12" s="54">
        <v>2</v>
      </c>
      <c r="M12" s="53">
        <v>1.5</v>
      </c>
      <c r="N12" s="54"/>
      <c r="O12" s="54">
        <v>3</v>
      </c>
      <c r="P12" s="53">
        <v>0.5</v>
      </c>
      <c r="Q12" s="54">
        <v>1</v>
      </c>
      <c r="R12" s="58">
        <v>1</v>
      </c>
      <c r="S12" s="55"/>
      <c r="T12" s="56">
        <v>1</v>
      </c>
      <c r="U12" s="56">
        <v>1</v>
      </c>
      <c r="V12" s="56">
        <v>2</v>
      </c>
      <c r="W12" s="56">
        <v>1.5</v>
      </c>
      <c r="X12" s="57">
        <v>3</v>
      </c>
      <c r="Y12" s="57"/>
      <c r="Z12" s="57">
        <f t="shared" ref="Z12:Z13" si="2">SUM(C12:T12)</f>
        <v>43</v>
      </c>
    </row>
    <row r="13" spans="1:26" ht="15.75" customHeight="1">
      <c r="A13" s="10">
        <v>11</v>
      </c>
      <c r="B13" s="21" t="s">
        <v>28</v>
      </c>
      <c r="C13" s="61"/>
      <c r="D13" s="60"/>
      <c r="E13" s="52">
        <v>3.5</v>
      </c>
      <c r="F13" s="52">
        <v>3.5</v>
      </c>
      <c r="G13" s="54">
        <v>3</v>
      </c>
      <c r="H13" s="54">
        <v>10</v>
      </c>
      <c r="I13" s="54">
        <v>11</v>
      </c>
      <c r="J13" s="53">
        <v>4.5</v>
      </c>
      <c r="K13" s="54">
        <v>5</v>
      </c>
      <c r="L13" s="54">
        <v>5</v>
      </c>
      <c r="M13" s="53"/>
      <c r="N13" s="54">
        <v>3</v>
      </c>
      <c r="O13" s="54">
        <v>4</v>
      </c>
      <c r="P13" s="54">
        <v>3</v>
      </c>
      <c r="Q13" s="54">
        <v>6</v>
      </c>
      <c r="R13" s="55">
        <v>7.5</v>
      </c>
      <c r="S13" s="55"/>
      <c r="T13" s="56">
        <v>12</v>
      </c>
      <c r="U13" s="56">
        <v>5</v>
      </c>
      <c r="V13" s="56" t="s">
        <v>81</v>
      </c>
      <c r="W13" s="56">
        <v>7.5</v>
      </c>
      <c r="X13" s="57">
        <v>7</v>
      </c>
      <c r="Y13" s="57"/>
      <c r="Z13" s="57">
        <f t="shared" si="2"/>
        <v>81</v>
      </c>
    </row>
    <row r="14" spans="1:26" ht="15.75" customHeight="1">
      <c r="A14" s="10">
        <v>12</v>
      </c>
      <c r="B14" s="21" t="s">
        <v>30</v>
      </c>
      <c r="C14" s="61"/>
      <c r="D14" s="60"/>
      <c r="E14" s="51">
        <v>2</v>
      </c>
      <c r="F14" s="51"/>
      <c r="G14" s="53"/>
      <c r="H14" s="54">
        <v>2</v>
      </c>
      <c r="I14" s="53"/>
      <c r="J14" s="53"/>
      <c r="K14" s="54">
        <v>3</v>
      </c>
      <c r="L14" s="54">
        <v>3</v>
      </c>
      <c r="M14" s="53"/>
      <c r="N14" s="53"/>
      <c r="O14" s="53">
        <v>4.5</v>
      </c>
      <c r="P14" s="53">
        <v>1.5</v>
      </c>
      <c r="Q14" s="53">
        <v>3.5</v>
      </c>
      <c r="R14" s="55"/>
      <c r="S14" s="55"/>
      <c r="T14" s="56"/>
      <c r="U14" s="56"/>
      <c r="V14" s="56"/>
      <c r="W14" s="56">
        <v>0.5</v>
      </c>
      <c r="X14" s="57"/>
      <c r="Y14" s="57"/>
      <c r="Z14" s="57">
        <f t="shared" ref="Z14:Z32" si="3">SUM(C14:S14)</f>
        <v>19.5</v>
      </c>
    </row>
    <row r="15" spans="1:26" ht="15.75" customHeight="1">
      <c r="A15" s="10">
        <v>13</v>
      </c>
      <c r="B15" s="21" t="s">
        <v>32</v>
      </c>
      <c r="C15" s="61"/>
      <c r="D15" s="60"/>
      <c r="E15" s="51"/>
      <c r="F15" s="51"/>
      <c r="G15" s="53">
        <v>7.5</v>
      </c>
      <c r="H15" s="53"/>
      <c r="I15" s="53"/>
      <c r="J15" s="53"/>
      <c r="K15" s="54"/>
      <c r="L15" s="54"/>
      <c r="M15" s="53"/>
      <c r="N15" s="53"/>
      <c r="O15" s="53">
        <v>1.5</v>
      </c>
      <c r="P15" s="53"/>
      <c r="Q15" s="54">
        <v>1</v>
      </c>
      <c r="R15" s="58"/>
      <c r="S15" s="55"/>
      <c r="T15" s="56"/>
      <c r="U15" s="56"/>
      <c r="V15" s="56"/>
      <c r="W15" s="56"/>
      <c r="X15" s="57"/>
      <c r="Y15" s="57"/>
      <c r="Z15" s="57">
        <f t="shared" si="3"/>
        <v>10</v>
      </c>
    </row>
    <row r="16" spans="1:26" ht="15.75" customHeight="1">
      <c r="A16" s="10">
        <v>14</v>
      </c>
      <c r="B16" s="21" t="s">
        <v>33</v>
      </c>
      <c r="C16" s="61"/>
      <c r="D16" s="60"/>
      <c r="E16" s="51">
        <v>1</v>
      </c>
      <c r="F16" s="51"/>
      <c r="G16" s="53">
        <v>3.5</v>
      </c>
      <c r="H16" s="53"/>
      <c r="I16" s="53">
        <v>1.5</v>
      </c>
      <c r="J16" s="53"/>
      <c r="K16" s="54"/>
      <c r="L16" s="54"/>
      <c r="M16" s="53">
        <v>1</v>
      </c>
      <c r="N16" s="53"/>
      <c r="O16" s="53"/>
      <c r="P16" s="53"/>
      <c r="Q16" s="54">
        <v>1</v>
      </c>
      <c r="R16" s="58"/>
      <c r="S16" s="55"/>
      <c r="T16" s="56"/>
      <c r="U16" s="56"/>
      <c r="V16" s="56"/>
      <c r="W16" s="56"/>
      <c r="X16" s="57"/>
      <c r="Y16" s="57"/>
      <c r="Z16" s="57">
        <f t="shared" si="3"/>
        <v>8</v>
      </c>
    </row>
    <row r="17" spans="1:26" ht="15.75" customHeight="1">
      <c r="A17" s="10">
        <v>15</v>
      </c>
      <c r="B17" s="21" t="s">
        <v>34</v>
      </c>
      <c r="C17" s="61"/>
      <c r="D17" s="60"/>
      <c r="E17" s="51"/>
      <c r="F17" s="51">
        <v>6</v>
      </c>
      <c r="G17" s="53"/>
      <c r="H17" s="54">
        <v>2</v>
      </c>
      <c r="I17" s="53"/>
      <c r="J17" s="53"/>
      <c r="K17" s="54"/>
      <c r="L17" s="54"/>
      <c r="M17" s="53"/>
      <c r="N17" s="53"/>
      <c r="O17" s="53"/>
      <c r="P17" s="53"/>
      <c r="Q17" s="54"/>
      <c r="R17" s="58"/>
      <c r="S17" s="55"/>
      <c r="T17" s="56"/>
      <c r="U17" s="56"/>
      <c r="V17" s="56"/>
      <c r="W17" s="56"/>
      <c r="X17" s="57"/>
      <c r="Y17" s="57"/>
      <c r="Z17" s="57">
        <f t="shared" si="3"/>
        <v>8</v>
      </c>
    </row>
    <row r="18" spans="1:26" ht="15.75" customHeight="1">
      <c r="A18" s="10">
        <v>16</v>
      </c>
      <c r="B18" s="21" t="s">
        <v>35</v>
      </c>
      <c r="C18" s="61"/>
      <c r="D18" s="60"/>
      <c r="E18" s="51"/>
      <c r="F18" s="51"/>
      <c r="G18" s="53"/>
      <c r="H18" s="54">
        <v>6</v>
      </c>
      <c r="I18" s="54">
        <v>2</v>
      </c>
      <c r="J18" s="54">
        <v>1</v>
      </c>
      <c r="K18" s="54"/>
      <c r="L18" s="54"/>
      <c r="M18" s="53"/>
      <c r="N18" s="53"/>
      <c r="O18" s="53"/>
      <c r="P18" s="53"/>
      <c r="Q18" s="54"/>
      <c r="R18" s="58"/>
      <c r="S18" s="55"/>
      <c r="T18" s="56"/>
      <c r="U18" s="56"/>
      <c r="V18" s="56"/>
      <c r="W18" s="56"/>
      <c r="X18" s="57"/>
      <c r="Y18" s="57"/>
      <c r="Z18" s="57">
        <f t="shared" si="3"/>
        <v>9</v>
      </c>
    </row>
    <row r="19" spans="1:26" ht="15.75" customHeight="1">
      <c r="A19" s="10">
        <v>17</v>
      </c>
      <c r="B19" s="22" t="s">
        <v>36</v>
      </c>
      <c r="C19" s="61"/>
      <c r="D19" s="60"/>
      <c r="E19" s="51"/>
      <c r="F19" s="51"/>
      <c r="G19" s="53"/>
      <c r="H19" s="53"/>
      <c r="I19" s="54"/>
      <c r="J19" s="54"/>
      <c r="K19" s="54"/>
      <c r="L19" s="54"/>
      <c r="M19" s="53"/>
      <c r="N19" s="53"/>
      <c r="O19" s="53"/>
      <c r="P19" s="53"/>
      <c r="Q19" s="54"/>
      <c r="R19" s="58"/>
      <c r="S19" s="55"/>
      <c r="T19" s="56"/>
      <c r="U19" s="56"/>
      <c r="V19" s="56"/>
      <c r="W19" s="56"/>
      <c r="X19" s="57"/>
      <c r="Y19" s="57"/>
      <c r="Z19" s="57">
        <f t="shared" si="3"/>
        <v>0</v>
      </c>
    </row>
    <row r="20" spans="1:26" ht="15.75" customHeight="1">
      <c r="A20" s="10">
        <v>18</v>
      </c>
      <c r="B20" s="22" t="s">
        <v>37</v>
      </c>
      <c r="C20" s="61"/>
      <c r="D20" s="60"/>
      <c r="E20" s="51"/>
      <c r="F20" s="51"/>
      <c r="G20" s="53">
        <v>1.5</v>
      </c>
      <c r="H20" s="53"/>
      <c r="I20" s="54">
        <v>2</v>
      </c>
      <c r="J20" s="54">
        <v>2</v>
      </c>
      <c r="K20" s="54">
        <v>3</v>
      </c>
      <c r="L20" s="54">
        <v>1</v>
      </c>
      <c r="M20" s="54">
        <v>2</v>
      </c>
      <c r="N20" s="54">
        <v>2</v>
      </c>
      <c r="O20" s="53"/>
      <c r="P20" s="53">
        <v>6.5</v>
      </c>
      <c r="Q20" s="54"/>
      <c r="R20" s="58"/>
      <c r="S20" s="55"/>
      <c r="T20" s="56"/>
      <c r="U20" s="56"/>
      <c r="V20" s="56"/>
      <c r="W20" s="56"/>
      <c r="X20" s="57"/>
      <c r="Y20" s="57"/>
      <c r="Z20" s="57">
        <f t="shared" si="3"/>
        <v>20</v>
      </c>
    </row>
    <row r="21" spans="1:26" ht="15.75" customHeight="1">
      <c r="A21" s="10">
        <v>19</v>
      </c>
      <c r="B21" s="22" t="s">
        <v>38</v>
      </c>
      <c r="C21" s="61"/>
      <c r="D21" s="60"/>
      <c r="E21" s="51"/>
      <c r="F21" s="51">
        <v>1</v>
      </c>
      <c r="G21" s="53"/>
      <c r="H21" s="54">
        <v>1</v>
      </c>
      <c r="I21" s="54">
        <v>2</v>
      </c>
      <c r="J21" s="54"/>
      <c r="K21" s="54">
        <v>1</v>
      </c>
      <c r="L21" s="54"/>
      <c r="M21" s="53"/>
      <c r="N21" s="53"/>
      <c r="O21" s="53"/>
      <c r="P21" s="53"/>
      <c r="Q21" s="54"/>
      <c r="R21" s="58">
        <v>1</v>
      </c>
      <c r="S21" s="55"/>
      <c r="T21" s="56"/>
      <c r="U21" s="56"/>
      <c r="V21" s="56"/>
      <c r="W21" s="56"/>
      <c r="X21" s="57"/>
      <c r="Y21" s="57"/>
      <c r="Z21" s="57">
        <f t="shared" si="3"/>
        <v>6</v>
      </c>
    </row>
    <row r="22" spans="1:26" ht="15.75" customHeight="1">
      <c r="A22" s="10">
        <v>20</v>
      </c>
      <c r="B22" s="21" t="s">
        <v>39</v>
      </c>
      <c r="C22" s="61"/>
      <c r="D22" s="60"/>
      <c r="E22" s="52"/>
      <c r="F22" s="52"/>
      <c r="G22" s="53"/>
      <c r="H22" s="53"/>
      <c r="I22" s="54"/>
      <c r="J22" s="54"/>
      <c r="K22" s="53"/>
      <c r="L22" s="54"/>
      <c r="M22" s="53"/>
      <c r="N22" s="53"/>
      <c r="O22" s="53"/>
      <c r="P22" s="53"/>
      <c r="Q22" s="54"/>
      <c r="R22" s="58"/>
      <c r="S22" s="55"/>
      <c r="T22" s="56"/>
      <c r="U22" s="56"/>
      <c r="V22" s="56"/>
      <c r="W22" s="56"/>
      <c r="X22" s="57"/>
      <c r="Y22" s="57"/>
      <c r="Z22" s="57">
        <f t="shared" si="3"/>
        <v>0</v>
      </c>
    </row>
    <row r="23" spans="1:26" ht="15.75" customHeight="1">
      <c r="A23" s="10">
        <v>21</v>
      </c>
      <c r="B23" s="21" t="s">
        <v>40</v>
      </c>
      <c r="C23" s="61"/>
      <c r="D23" s="60"/>
      <c r="E23" s="52"/>
      <c r="F23" s="52">
        <v>0.5</v>
      </c>
      <c r="G23" s="53"/>
      <c r="H23" s="53"/>
      <c r="I23" s="54"/>
      <c r="J23" s="54">
        <v>4</v>
      </c>
      <c r="K23" s="53">
        <v>1.5</v>
      </c>
      <c r="L23" s="54">
        <v>1</v>
      </c>
      <c r="M23" s="53"/>
      <c r="N23" s="53"/>
      <c r="O23" s="53"/>
      <c r="P23" s="53"/>
      <c r="Q23" s="54"/>
      <c r="R23" s="58"/>
      <c r="S23" s="55"/>
      <c r="T23" s="56"/>
      <c r="U23" s="56"/>
      <c r="V23" s="56"/>
      <c r="W23" s="56"/>
      <c r="X23" s="57">
        <v>9</v>
      </c>
      <c r="Y23" s="57"/>
      <c r="Z23" s="57">
        <f t="shared" si="3"/>
        <v>7</v>
      </c>
    </row>
    <row r="24" spans="1:26" ht="15.75" customHeight="1">
      <c r="A24" s="10">
        <v>22</v>
      </c>
      <c r="B24" s="21" t="s">
        <v>41</v>
      </c>
      <c r="C24" s="61"/>
      <c r="D24" s="60"/>
      <c r="E24" s="52"/>
      <c r="F24" s="52"/>
      <c r="G24" s="54">
        <v>2</v>
      </c>
      <c r="H24" s="53"/>
      <c r="I24" s="54">
        <v>1</v>
      </c>
      <c r="J24" s="54">
        <v>3</v>
      </c>
      <c r="K24" s="54">
        <v>3</v>
      </c>
      <c r="L24" s="53"/>
      <c r="M24" s="53"/>
      <c r="N24" s="53"/>
      <c r="O24" s="53"/>
      <c r="P24" s="53"/>
      <c r="Q24" s="54">
        <v>1</v>
      </c>
      <c r="R24" s="58"/>
      <c r="S24" s="55"/>
      <c r="T24" s="56"/>
      <c r="U24" s="56"/>
      <c r="V24" s="56"/>
      <c r="W24" s="56"/>
      <c r="X24" s="57"/>
      <c r="Y24" s="57"/>
      <c r="Z24" s="57">
        <f t="shared" si="3"/>
        <v>10</v>
      </c>
    </row>
    <row r="25" spans="1:26" ht="15.75" customHeight="1">
      <c r="A25" s="10">
        <v>23</v>
      </c>
      <c r="B25" s="21" t="s">
        <v>42</v>
      </c>
      <c r="C25" s="61"/>
      <c r="D25" s="60"/>
      <c r="E25" s="52"/>
      <c r="F25" s="52"/>
      <c r="G25" s="54">
        <v>10</v>
      </c>
      <c r="H25" s="54">
        <v>6</v>
      </c>
      <c r="I25" s="53">
        <v>4.5</v>
      </c>
      <c r="J25" s="54"/>
      <c r="K25" s="54">
        <v>1</v>
      </c>
      <c r="L25" s="53">
        <v>2.5</v>
      </c>
      <c r="M25" s="53">
        <v>0.5</v>
      </c>
      <c r="N25" s="53"/>
      <c r="O25" s="53"/>
      <c r="P25" s="53">
        <v>3.5</v>
      </c>
      <c r="Q25" s="54"/>
      <c r="R25" s="58"/>
      <c r="S25" s="55"/>
      <c r="T25" s="56"/>
      <c r="U25" s="56"/>
      <c r="V25" s="56"/>
      <c r="W25" s="56"/>
      <c r="X25" s="57"/>
      <c r="Y25" s="57"/>
      <c r="Z25" s="57">
        <f t="shared" si="3"/>
        <v>28</v>
      </c>
    </row>
    <row r="26" spans="1:26">
      <c r="A26" s="10">
        <v>24</v>
      </c>
      <c r="B26" s="21" t="s">
        <v>43</v>
      </c>
      <c r="C26" s="61"/>
      <c r="D26" s="60"/>
      <c r="E26" s="52"/>
      <c r="F26" s="52"/>
      <c r="G26" s="53"/>
      <c r="H26" s="54">
        <v>3</v>
      </c>
      <c r="I26" s="53"/>
      <c r="J26" s="54"/>
      <c r="K26" s="53"/>
      <c r="L26" s="53"/>
      <c r="M26" s="53"/>
      <c r="N26" s="53"/>
      <c r="O26" s="53"/>
      <c r="P26" s="53"/>
      <c r="Q26" s="54"/>
      <c r="R26" s="58"/>
      <c r="S26" s="55"/>
      <c r="T26" s="56"/>
      <c r="U26" s="56"/>
      <c r="V26" s="56"/>
      <c r="W26" s="56"/>
      <c r="X26" s="57"/>
      <c r="Y26" s="57"/>
      <c r="Z26" s="57">
        <f t="shared" si="3"/>
        <v>3</v>
      </c>
    </row>
    <row r="27" spans="1:26">
      <c r="A27" s="10">
        <v>25</v>
      </c>
      <c r="B27" s="21" t="s">
        <v>44</v>
      </c>
      <c r="C27" s="61"/>
      <c r="D27" s="60"/>
      <c r="E27" s="52"/>
      <c r="F27" s="52"/>
      <c r="G27" s="54">
        <v>2</v>
      </c>
      <c r="H27" s="54">
        <v>4</v>
      </c>
      <c r="I27" s="53"/>
      <c r="J27" s="54"/>
      <c r="K27" s="53"/>
      <c r="L27" s="53"/>
      <c r="M27" s="53"/>
      <c r="N27" s="53"/>
      <c r="O27" s="53"/>
      <c r="P27" s="53"/>
      <c r="Q27" s="54"/>
      <c r="R27" s="58"/>
      <c r="S27" s="55"/>
      <c r="T27" s="56"/>
      <c r="U27" s="56"/>
      <c r="V27" s="56"/>
      <c r="W27" s="56"/>
      <c r="X27" s="57"/>
      <c r="Y27" s="57"/>
      <c r="Z27" s="57">
        <f t="shared" si="3"/>
        <v>6</v>
      </c>
    </row>
    <row r="28" spans="1:26">
      <c r="A28" s="10">
        <v>26</v>
      </c>
      <c r="B28" s="21" t="s">
        <v>45</v>
      </c>
      <c r="C28" s="61"/>
      <c r="D28" s="60"/>
      <c r="E28" s="52"/>
      <c r="F28" s="52"/>
      <c r="G28" s="53"/>
      <c r="H28" s="53"/>
      <c r="I28" s="54">
        <v>6</v>
      </c>
      <c r="J28" s="54"/>
      <c r="K28" s="53"/>
      <c r="L28" s="53"/>
      <c r="M28" s="53"/>
      <c r="N28" s="53"/>
      <c r="O28" s="53"/>
      <c r="P28" s="53"/>
      <c r="Q28" s="54"/>
      <c r="R28" s="58"/>
      <c r="S28" s="55"/>
      <c r="T28" s="56"/>
      <c r="U28" s="56"/>
      <c r="V28" s="56"/>
      <c r="W28" s="56"/>
      <c r="X28" s="57"/>
      <c r="Y28" s="57"/>
      <c r="Z28" s="57">
        <f t="shared" si="3"/>
        <v>6</v>
      </c>
    </row>
    <row r="29" spans="1:26">
      <c r="A29" s="10">
        <v>27</v>
      </c>
      <c r="B29" s="30" t="s">
        <v>46</v>
      </c>
      <c r="C29" s="61"/>
      <c r="D29" s="60"/>
      <c r="E29" s="52"/>
      <c r="F29" s="52"/>
      <c r="G29" s="53"/>
      <c r="H29" s="53"/>
      <c r="I29" s="53"/>
      <c r="J29" s="54">
        <v>3</v>
      </c>
      <c r="K29" s="53">
        <v>3.5</v>
      </c>
      <c r="L29" s="54">
        <v>3</v>
      </c>
      <c r="M29" s="53"/>
      <c r="N29" s="53"/>
      <c r="O29" s="53"/>
      <c r="P29" s="53"/>
      <c r="Q29" s="54"/>
      <c r="R29" s="58">
        <v>2</v>
      </c>
      <c r="S29" s="55"/>
      <c r="T29" s="56"/>
      <c r="U29" s="56"/>
      <c r="V29" s="56"/>
      <c r="W29" s="56"/>
      <c r="X29" s="57"/>
      <c r="Y29" s="57"/>
      <c r="Z29" s="57">
        <f t="shared" si="3"/>
        <v>11.5</v>
      </c>
    </row>
    <row r="30" spans="1:26">
      <c r="A30" s="10">
        <v>28</v>
      </c>
      <c r="B30" s="30" t="s">
        <v>47</v>
      </c>
      <c r="C30" s="61"/>
      <c r="D30" s="60"/>
      <c r="E30" s="52"/>
      <c r="F30" s="52"/>
      <c r="G30" s="53"/>
      <c r="H30" s="53"/>
      <c r="I30" s="53"/>
      <c r="J30" s="54">
        <v>1</v>
      </c>
      <c r="K30" s="54">
        <v>2</v>
      </c>
      <c r="L30" s="54">
        <v>1</v>
      </c>
      <c r="M30" s="54">
        <v>1</v>
      </c>
      <c r="N30" s="54"/>
      <c r="O30" s="54">
        <v>1</v>
      </c>
      <c r="P30" s="54">
        <v>1</v>
      </c>
      <c r="Q30" s="62"/>
      <c r="R30" s="63">
        <v>1.5</v>
      </c>
      <c r="S30" s="58">
        <v>1</v>
      </c>
      <c r="T30" s="56">
        <v>1</v>
      </c>
      <c r="U30" s="56"/>
      <c r="V30" s="56"/>
      <c r="W30" s="56"/>
      <c r="X30" s="57"/>
      <c r="Y30" s="57"/>
      <c r="Z30" s="57">
        <f t="shared" si="3"/>
        <v>9.5</v>
      </c>
    </row>
    <row r="31" spans="1:26">
      <c r="A31" s="10">
        <v>29</v>
      </c>
      <c r="B31" s="30" t="s">
        <v>48</v>
      </c>
      <c r="C31" s="61"/>
      <c r="D31" s="60"/>
      <c r="E31" s="52"/>
      <c r="F31" s="52"/>
      <c r="G31" s="53"/>
      <c r="H31" s="53"/>
      <c r="I31" s="53"/>
      <c r="J31" s="54">
        <v>6</v>
      </c>
      <c r="K31" s="54">
        <v>6</v>
      </c>
      <c r="L31" s="53"/>
      <c r="M31" s="54">
        <v>1</v>
      </c>
      <c r="N31" s="54"/>
      <c r="O31" s="54"/>
      <c r="P31" s="53"/>
      <c r="Q31" s="53"/>
      <c r="R31" s="55"/>
      <c r="S31" s="58"/>
      <c r="T31" s="56"/>
      <c r="U31" s="56"/>
      <c r="V31" s="56"/>
      <c r="W31" s="56"/>
      <c r="X31" s="57"/>
      <c r="Y31" s="57"/>
      <c r="Z31" s="57">
        <f t="shared" si="3"/>
        <v>13</v>
      </c>
    </row>
    <row r="32" spans="1:26">
      <c r="A32" s="10">
        <v>31</v>
      </c>
      <c r="B32" s="21" t="s">
        <v>49</v>
      </c>
      <c r="C32" s="61"/>
      <c r="D32" s="60"/>
      <c r="E32" s="52"/>
      <c r="F32" s="52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5"/>
      <c r="S32" s="58">
        <v>4</v>
      </c>
      <c r="T32" s="56"/>
      <c r="U32" s="56"/>
      <c r="V32" s="56"/>
      <c r="W32" s="56"/>
      <c r="X32" s="57"/>
      <c r="Y32" s="57"/>
      <c r="Z32" s="57">
        <f t="shared" si="3"/>
        <v>4</v>
      </c>
    </row>
    <row r="33" spans="3:26" ht="12.75">
      <c r="C33" s="64"/>
      <c r="D33" s="65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6"/>
      <c r="U33" s="66"/>
      <c r="V33" s="66"/>
      <c r="W33" s="66"/>
      <c r="X33" s="66"/>
      <c r="Y33" s="66"/>
      <c r="Z33" s="66"/>
    </row>
    <row r="34" spans="3:26" ht="15">
      <c r="C34" s="64"/>
      <c r="D34" s="65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7" t="s">
        <v>82</v>
      </c>
      <c r="T34" s="68"/>
      <c r="U34" s="68"/>
      <c r="V34" s="68"/>
      <c r="W34" s="68"/>
      <c r="X34" s="68"/>
      <c r="Y34" s="68"/>
      <c r="Z34" s="69">
        <f>SUM(Z3:Z32)</f>
        <v>398</v>
      </c>
    </row>
    <row r="35" spans="3:26" ht="12.75">
      <c r="C35" s="64"/>
      <c r="D35" s="65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6"/>
      <c r="U35" s="66"/>
      <c r="V35" s="66"/>
      <c r="W35" s="66"/>
      <c r="X35" s="66"/>
      <c r="Y35" s="66"/>
      <c r="Z35" s="66"/>
    </row>
    <row r="36" spans="3:26" ht="12.75">
      <c r="C36" s="64"/>
      <c r="D36" s="65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6"/>
      <c r="U36" s="66"/>
      <c r="V36" s="66"/>
      <c r="W36" s="66"/>
      <c r="X36" s="66"/>
      <c r="Y36" s="66"/>
      <c r="Z36" s="66"/>
    </row>
    <row r="37" spans="3:26" ht="12.75">
      <c r="C37" s="64"/>
      <c r="D37" s="65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6"/>
      <c r="U37" s="66"/>
      <c r="V37" s="66"/>
      <c r="W37" s="66"/>
      <c r="X37" s="66"/>
      <c r="Y37" s="66"/>
      <c r="Z37" s="66"/>
    </row>
    <row r="38" spans="3:26" ht="12.75">
      <c r="C38" s="64"/>
      <c r="D38" s="65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6"/>
      <c r="U38" s="66"/>
      <c r="V38" s="66"/>
      <c r="W38" s="66"/>
      <c r="X38" s="66"/>
      <c r="Y38" s="66"/>
      <c r="Z38" s="66"/>
    </row>
    <row r="39" spans="3:26" ht="12.75">
      <c r="C39" s="64"/>
      <c r="D39" s="65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6"/>
      <c r="U39" s="66"/>
      <c r="V39" s="66"/>
      <c r="W39" s="66"/>
      <c r="X39" s="66"/>
      <c r="Y39" s="66"/>
      <c r="Z39" s="66"/>
    </row>
    <row r="40" spans="3:26" ht="12.75">
      <c r="C40" s="64"/>
      <c r="D40" s="65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6"/>
      <c r="U40" s="66"/>
      <c r="V40" s="66"/>
      <c r="W40" s="66"/>
      <c r="X40" s="66"/>
      <c r="Y40" s="66"/>
      <c r="Z40" s="66"/>
    </row>
    <row r="41" spans="3:26" ht="12.75">
      <c r="C41" s="64"/>
      <c r="D41" s="65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6"/>
      <c r="U41" s="66"/>
      <c r="V41" s="66"/>
      <c r="W41" s="66"/>
      <c r="X41" s="66"/>
      <c r="Y41" s="66"/>
      <c r="Z41" s="66"/>
    </row>
    <row r="42" spans="3:26" ht="12.75">
      <c r="C42" s="64"/>
      <c r="D42" s="65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6"/>
      <c r="U42" s="66"/>
      <c r="V42" s="66"/>
      <c r="W42" s="66"/>
      <c r="X42" s="66"/>
      <c r="Y42" s="66"/>
      <c r="Z42" s="66"/>
    </row>
    <row r="43" spans="3:26" ht="12.75">
      <c r="C43" s="64"/>
      <c r="D43" s="65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6"/>
      <c r="U43" s="66"/>
      <c r="V43" s="66"/>
      <c r="W43" s="66"/>
      <c r="X43" s="66"/>
      <c r="Y43" s="66"/>
      <c r="Z43" s="66"/>
    </row>
    <row r="44" spans="3:26" ht="12.75">
      <c r="C44" s="64"/>
      <c r="D44" s="65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6"/>
      <c r="U44" s="66"/>
      <c r="V44" s="66"/>
      <c r="W44" s="66"/>
      <c r="X44" s="66"/>
      <c r="Y44" s="66"/>
      <c r="Z44" s="66"/>
    </row>
    <row r="45" spans="3:26" ht="12.75">
      <c r="C45" s="64"/>
      <c r="D45" s="65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6"/>
      <c r="U45" s="66"/>
      <c r="V45" s="66"/>
      <c r="W45" s="66"/>
      <c r="X45" s="66"/>
      <c r="Y45" s="66"/>
      <c r="Z45" s="66"/>
    </row>
    <row r="46" spans="3:26" ht="12.75">
      <c r="C46" s="64"/>
      <c r="D46" s="65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6"/>
      <c r="U46" s="66"/>
      <c r="V46" s="66"/>
      <c r="W46" s="66"/>
      <c r="X46" s="66"/>
      <c r="Y46" s="66"/>
      <c r="Z46" s="66"/>
    </row>
    <row r="47" spans="3:26" ht="12.75">
      <c r="C47" s="64"/>
      <c r="D47" s="65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6"/>
      <c r="U47" s="66"/>
      <c r="V47" s="66"/>
      <c r="W47" s="66"/>
      <c r="X47" s="66"/>
      <c r="Y47" s="66"/>
      <c r="Z47" s="66"/>
    </row>
    <row r="48" spans="3:26" ht="12.75">
      <c r="C48" s="64"/>
      <c r="D48" s="65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6"/>
      <c r="U48" s="66"/>
      <c r="V48" s="66"/>
      <c r="W48" s="66"/>
      <c r="X48" s="66"/>
      <c r="Y48" s="66"/>
      <c r="Z48" s="66"/>
    </row>
    <row r="49" spans="3:26" ht="12.75">
      <c r="C49" s="64"/>
      <c r="D49" s="65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6"/>
      <c r="U49" s="66"/>
      <c r="V49" s="66"/>
      <c r="W49" s="66"/>
      <c r="X49" s="66"/>
      <c r="Y49" s="66"/>
      <c r="Z49" s="66"/>
    </row>
    <row r="50" spans="3:26" ht="12.75">
      <c r="C50" s="64"/>
      <c r="D50" s="65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6"/>
      <c r="U50" s="66"/>
      <c r="V50" s="66"/>
      <c r="W50" s="66"/>
      <c r="X50" s="66"/>
      <c r="Y50" s="66"/>
      <c r="Z50" s="66"/>
    </row>
    <row r="51" spans="3:26" ht="12.75">
      <c r="C51" s="64"/>
      <c r="D51" s="65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6"/>
      <c r="U51" s="66"/>
      <c r="V51" s="66"/>
      <c r="W51" s="66"/>
      <c r="X51" s="66"/>
      <c r="Y51" s="66"/>
      <c r="Z51" s="66"/>
    </row>
    <row r="52" spans="3:26" ht="12.75">
      <c r="C52" s="64"/>
      <c r="D52" s="65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6"/>
      <c r="U52" s="66"/>
      <c r="V52" s="66"/>
      <c r="W52" s="66"/>
      <c r="X52" s="66"/>
      <c r="Y52" s="66"/>
      <c r="Z52" s="66"/>
    </row>
    <row r="53" spans="3:26" ht="12.75">
      <c r="C53" s="64"/>
      <c r="D53" s="65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6"/>
      <c r="U53" s="66"/>
      <c r="V53" s="66"/>
      <c r="W53" s="66"/>
      <c r="X53" s="66"/>
      <c r="Y53" s="66"/>
      <c r="Z53" s="66"/>
    </row>
    <row r="54" spans="3:26" ht="12.75">
      <c r="C54" s="64"/>
      <c r="D54" s="65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6"/>
      <c r="U54" s="66"/>
      <c r="V54" s="66"/>
      <c r="W54" s="66"/>
      <c r="X54" s="66"/>
      <c r="Y54" s="66"/>
      <c r="Z54" s="66"/>
    </row>
    <row r="55" spans="3:26" ht="12.75">
      <c r="C55" s="64"/>
      <c r="D55" s="65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6"/>
      <c r="U55" s="66"/>
      <c r="V55" s="66"/>
      <c r="W55" s="66"/>
      <c r="X55" s="66"/>
      <c r="Y55" s="66"/>
      <c r="Z55" s="66"/>
    </row>
    <row r="56" spans="3:26" ht="12.75">
      <c r="C56" s="64"/>
      <c r="D56" s="65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6"/>
      <c r="U56" s="66"/>
      <c r="V56" s="66"/>
      <c r="W56" s="66"/>
      <c r="X56" s="66"/>
      <c r="Y56" s="66"/>
      <c r="Z56" s="66"/>
    </row>
    <row r="57" spans="3:26" ht="12.75">
      <c r="C57" s="64"/>
      <c r="D57" s="65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6"/>
      <c r="U57" s="66"/>
      <c r="V57" s="66"/>
      <c r="W57" s="66"/>
      <c r="X57" s="66"/>
      <c r="Y57" s="66"/>
      <c r="Z57" s="66"/>
    </row>
    <row r="58" spans="3:26" ht="12.75">
      <c r="C58" s="64"/>
      <c r="D58" s="65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6"/>
      <c r="U58" s="66"/>
      <c r="V58" s="66"/>
      <c r="W58" s="66"/>
      <c r="X58" s="66"/>
      <c r="Y58" s="66"/>
      <c r="Z58" s="66"/>
    </row>
    <row r="59" spans="3:26" ht="12.75">
      <c r="C59" s="64"/>
      <c r="D59" s="65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6"/>
      <c r="U59" s="66"/>
      <c r="V59" s="66"/>
      <c r="W59" s="66"/>
      <c r="X59" s="66"/>
      <c r="Y59" s="66"/>
      <c r="Z59" s="66"/>
    </row>
    <row r="60" spans="3:26" ht="12.75">
      <c r="C60" s="64"/>
      <c r="D60" s="65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6"/>
      <c r="U60" s="66"/>
      <c r="V60" s="66"/>
      <c r="W60" s="66"/>
      <c r="X60" s="66"/>
      <c r="Y60" s="66"/>
      <c r="Z60" s="66"/>
    </row>
    <row r="61" spans="3:26" ht="12.75">
      <c r="C61" s="64"/>
      <c r="D61" s="65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6"/>
      <c r="U61" s="66"/>
      <c r="V61" s="66"/>
      <c r="W61" s="66"/>
      <c r="X61" s="66"/>
      <c r="Y61" s="66"/>
      <c r="Z61" s="66"/>
    </row>
    <row r="62" spans="3:26" ht="12.75">
      <c r="C62" s="64"/>
      <c r="D62" s="65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6"/>
      <c r="U62" s="66"/>
      <c r="V62" s="66"/>
      <c r="W62" s="66"/>
      <c r="X62" s="66"/>
      <c r="Y62" s="66"/>
      <c r="Z62" s="66"/>
    </row>
    <row r="63" spans="3:26" ht="12.75">
      <c r="C63" s="64"/>
      <c r="D63" s="65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6"/>
      <c r="U63" s="66"/>
      <c r="V63" s="66"/>
      <c r="W63" s="66"/>
      <c r="X63" s="66"/>
      <c r="Y63" s="66"/>
      <c r="Z63" s="66"/>
    </row>
    <row r="64" spans="3:26" ht="12.75">
      <c r="C64" s="64"/>
      <c r="D64" s="65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6"/>
      <c r="U64" s="66"/>
      <c r="V64" s="66"/>
      <c r="W64" s="66"/>
      <c r="X64" s="66"/>
      <c r="Y64" s="66"/>
      <c r="Z64" s="66"/>
    </row>
    <row r="65" spans="3:26" ht="12.75">
      <c r="C65" s="64"/>
      <c r="D65" s="65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6"/>
      <c r="U65" s="66"/>
      <c r="V65" s="66"/>
      <c r="W65" s="66"/>
      <c r="X65" s="66"/>
      <c r="Y65" s="66"/>
      <c r="Z65" s="66"/>
    </row>
    <row r="66" spans="3:26" ht="12.75">
      <c r="C66" s="64"/>
      <c r="D66" s="65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6"/>
      <c r="U66" s="66"/>
      <c r="V66" s="66"/>
      <c r="W66" s="66"/>
      <c r="X66" s="66"/>
      <c r="Y66" s="66"/>
      <c r="Z66" s="66"/>
    </row>
    <row r="67" spans="3:26" ht="12.75">
      <c r="C67" s="64"/>
      <c r="D67" s="65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6"/>
      <c r="U67" s="66"/>
      <c r="V67" s="66"/>
      <c r="W67" s="66"/>
      <c r="X67" s="66"/>
      <c r="Y67" s="66"/>
      <c r="Z67" s="66"/>
    </row>
    <row r="68" spans="3:26" ht="12.75">
      <c r="C68" s="64"/>
      <c r="D68" s="65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6"/>
      <c r="U68" s="66"/>
      <c r="V68" s="66"/>
      <c r="W68" s="66"/>
      <c r="X68" s="66"/>
      <c r="Y68" s="66"/>
      <c r="Z68" s="66"/>
    </row>
    <row r="69" spans="3:26" ht="12.75">
      <c r="C69" s="64"/>
      <c r="D69" s="65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6"/>
      <c r="U69" s="66"/>
      <c r="V69" s="66"/>
      <c r="W69" s="66"/>
      <c r="X69" s="66"/>
      <c r="Y69" s="66"/>
      <c r="Z69" s="66"/>
    </row>
    <row r="70" spans="3:26" ht="12.75">
      <c r="C70" s="64"/>
      <c r="D70" s="65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6"/>
      <c r="U70" s="66"/>
      <c r="V70" s="66"/>
      <c r="W70" s="66"/>
      <c r="X70" s="66"/>
      <c r="Y70" s="66"/>
      <c r="Z70" s="66"/>
    </row>
    <row r="71" spans="3:26" ht="12.75">
      <c r="C71" s="64"/>
      <c r="D71" s="65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6"/>
      <c r="U71" s="66"/>
      <c r="V71" s="66"/>
      <c r="W71" s="66"/>
      <c r="X71" s="66"/>
      <c r="Y71" s="66"/>
      <c r="Z71" s="66"/>
    </row>
    <row r="72" spans="3:26" ht="12.75">
      <c r="C72" s="64"/>
      <c r="D72" s="65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6"/>
      <c r="U72" s="66"/>
      <c r="V72" s="66"/>
      <c r="W72" s="66"/>
      <c r="X72" s="66"/>
      <c r="Y72" s="66"/>
      <c r="Z72" s="66"/>
    </row>
    <row r="73" spans="3:26" ht="12.75">
      <c r="C73" s="64"/>
      <c r="D73" s="65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6"/>
      <c r="U73" s="66"/>
      <c r="V73" s="66"/>
      <c r="W73" s="66"/>
      <c r="X73" s="66"/>
      <c r="Y73" s="66"/>
      <c r="Z73" s="66"/>
    </row>
    <row r="74" spans="3:26" ht="12.75">
      <c r="C74" s="64"/>
      <c r="D74" s="65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6"/>
      <c r="U74" s="66"/>
      <c r="V74" s="66"/>
      <c r="W74" s="66"/>
      <c r="X74" s="66"/>
      <c r="Y74" s="66"/>
      <c r="Z74" s="66"/>
    </row>
    <row r="75" spans="3:26" ht="12.75">
      <c r="C75" s="64"/>
      <c r="D75" s="65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6"/>
      <c r="U75" s="66"/>
      <c r="V75" s="66"/>
      <c r="W75" s="66"/>
      <c r="X75" s="66"/>
      <c r="Y75" s="66"/>
      <c r="Z75" s="66"/>
    </row>
    <row r="76" spans="3:26" ht="12.75">
      <c r="C76" s="64"/>
      <c r="D76" s="65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6"/>
      <c r="U76" s="66"/>
      <c r="V76" s="66"/>
      <c r="W76" s="66"/>
      <c r="X76" s="66"/>
      <c r="Y76" s="66"/>
      <c r="Z76" s="66"/>
    </row>
    <row r="77" spans="3:26" ht="12.75">
      <c r="C77" s="64"/>
      <c r="D77" s="65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6"/>
      <c r="U77" s="66"/>
      <c r="V77" s="66"/>
      <c r="W77" s="66"/>
      <c r="X77" s="66"/>
      <c r="Y77" s="66"/>
      <c r="Z77" s="66"/>
    </row>
    <row r="78" spans="3:26" ht="12.75">
      <c r="C78" s="64"/>
      <c r="D78" s="65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6"/>
      <c r="U78" s="66"/>
      <c r="V78" s="66"/>
      <c r="W78" s="66"/>
      <c r="X78" s="66"/>
      <c r="Y78" s="66"/>
      <c r="Z78" s="66"/>
    </row>
    <row r="79" spans="3:26" ht="12.75">
      <c r="C79" s="64"/>
      <c r="D79" s="65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6"/>
      <c r="U79" s="66"/>
      <c r="V79" s="66"/>
      <c r="W79" s="66"/>
      <c r="X79" s="66"/>
      <c r="Y79" s="66"/>
      <c r="Z79" s="66"/>
    </row>
    <row r="80" spans="3:26" ht="12.75">
      <c r="C80" s="64"/>
      <c r="D80" s="65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6"/>
      <c r="U80" s="66"/>
      <c r="V80" s="66"/>
      <c r="W80" s="66"/>
      <c r="X80" s="66"/>
      <c r="Y80" s="66"/>
      <c r="Z80" s="66"/>
    </row>
    <row r="81" spans="3:26" ht="12.75">
      <c r="C81" s="64"/>
      <c r="D81" s="65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6"/>
      <c r="U81" s="66"/>
      <c r="V81" s="66"/>
      <c r="W81" s="66"/>
      <c r="X81" s="66"/>
      <c r="Y81" s="66"/>
      <c r="Z81" s="66"/>
    </row>
    <row r="82" spans="3:26" ht="12.75">
      <c r="C82" s="64"/>
      <c r="D82" s="65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6"/>
      <c r="U82" s="66"/>
      <c r="V82" s="66"/>
      <c r="W82" s="66"/>
      <c r="X82" s="66"/>
      <c r="Y82" s="66"/>
      <c r="Z82" s="66"/>
    </row>
    <row r="83" spans="3:26" ht="12.75">
      <c r="C83" s="64"/>
      <c r="D83" s="65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6"/>
      <c r="U83" s="66"/>
      <c r="V83" s="66"/>
      <c r="W83" s="66"/>
      <c r="X83" s="66"/>
      <c r="Y83" s="66"/>
      <c r="Z83" s="66"/>
    </row>
    <row r="84" spans="3:26" ht="12.75">
      <c r="C84" s="64"/>
      <c r="D84" s="65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6"/>
      <c r="U84" s="66"/>
      <c r="V84" s="66"/>
      <c r="W84" s="66"/>
      <c r="X84" s="66"/>
      <c r="Y84" s="66"/>
      <c r="Z84" s="66"/>
    </row>
    <row r="85" spans="3:26" ht="12.75">
      <c r="C85" s="64"/>
      <c r="D85" s="65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6"/>
      <c r="U85" s="66"/>
      <c r="V85" s="66"/>
      <c r="W85" s="66"/>
      <c r="X85" s="66"/>
      <c r="Y85" s="66"/>
      <c r="Z85" s="66"/>
    </row>
    <row r="86" spans="3:26" ht="12.75">
      <c r="C86" s="64"/>
      <c r="D86" s="65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6"/>
      <c r="U86" s="66"/>
      <c r="V86" s="66"/>
      <c r="W86" s="66"/>
      <c r="X86" s="66"/>
      <c r="Y86" s="66"/>
      <c r="Z86" s="66"/>
    </row>
    <row r="87" spans="3:26" ht="12.75">
      <c r="C87" s="64"/>
      <c r="D87" s="65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6"/>
      <c r="U87" s="66"/>
      <c r="V87" s="66"/>
      <c r="W87" s="66"/>
      <c r="X87" s="66"/>
      <c r="Y87" s="66"/>
      <c r="Z87" s="66"/>
    </row>
    <row r="88" spans="3:26" ht="12.75">
      <c r="C88" s="64"/>
      <c r="D88" s="65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6"/>
      <c r="U88" s="66"/>
      <c r="V88" s="66"/>
      <c r="W88" s="66"/>
      <c r="X88" s="66"/>
      <c r="Y88" s="66"/>
      <c r="Z88" s="66"/>
    </row>
    <row r="89" spans="3:26" ht="12.75">
      <c r="C89" s="64"/>
      <c r="D89" s="65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6"/>
      <c r="U89" s="66"/>
      <c r="V89" s="66"/>
      <c r="W89" s="66"/>
      <c r="X89" s="66"/>
      <c r="Y89" s="66"/>
      <c r="Z89" s="66"/>
    </row>
    <row r="90" spans="3:26" ht="12.75">
      <c r="C90" s="64"/>
      <c r="D90" s="65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6"/>
      <c r="U90" s="66"/>
      <c r="V90" s="66"/>
      <c r="W90" s="66"/>
      <c r="X90" s="66"/>
      <c r="Y90" s="66"/>
      <c r="Z90" s="66"/>
    </row>
    <row r="91" spans="3:26" ht="12.75">
      <c r="C91" s="64"/>
      <c r="D91" s="65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6"/>
      <c r="U91" s="66"/>
      <c r="V91" s="66"/>
      <c r="W91" s="66"/>
      <c r="X91" s="66"/>
      <c r="Y91" s="66"/>
      <c r="Z91" s="66"/>
    </row>
    <row r="92" spans="3:26" ht="12.75">
      <c r="C92" s="64"/>
      <c r="D92" s="65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6"/>
      <c r="U92" s="66"/>
      <c r="V92" s="66"/>
      <c r="W92" s="66"/>
      <c r="X92" s="66"/>
      <c r="Y92" s="66"/>
      <c r="Z92" s="66"/>
    </row>
    <row r="93" spans="3:26" ht="12.75">
      <c r="C93" s="64"/>
      <c r="D93" s="65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6"/>
      <c r="U93" s="66"/>
      <c r="V93" s="66"/>
      <c r="W93" s="66"/>
      <c r="X93" s="66"/>
      <c r="Y93" s="66"/>
      <c r="Z93" s="66"/>
    </row>
    <row r="94" spans="3:26" ht="12.75">
      <c r="C94" s="64"/>
      <c r="D94" s="65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6"/>
      <c r="U94" s="66"/>
      <c r="V94" s="66"/>
      <c r="W94" s="66"/>
      <c r="X94" s="66"/>
      <c r="Y94" s="66"/>
      <c r="Z94" s="66"/>
    </row>
    <row r="95" spans="3:26" ht="12.75">
      <c r="C95" s="64"/>
      <c r="D95" s="65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6"/>
      <c r="U95" s="66"/>
      <c r="V95" s="66"/>
      <c r="W95" s="66"/>
      <c r="X95" s="66"/>
      <c r="Y95" s="66"/>
      <c r="Z95" s="66"/>
    </row>
    <row r="96" spans="3:26" ht="12.75">
      <c r="C96" s="64"/>
      <c r="D96" s="65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6"/>
      <c r="U96" s="66"/>
      <c r="V96" s="66"/>
      <c r="W96" s="66"/>
      <c r="X96" s="66"/>
      <c r="Y96" s="66"/>
      <c r="Z96" s="66"/>
    </row>
    <row r="97" spans="3:26" ht="12.75">
      <c r="C97" s="64"/>
      <c r="D97" s="65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6"/>
      <c r="U97" s="66"/>
      <c r="V97" s="66"/>
      <c r="W97" s="66"/>
      <c r="X97" s="66"/>
      <c r="Y97" s="66"/>
      <c r="Z97" s="66"/>
    </row>
    <row r="98" spans="3:26" ht="12.75">
      <c r="C98" s="64"/>
      <c r="D98" s="65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6"/>
      <c r="U98" s="66"/>
      <c r="V98" s="66"/>
      <c r="W98" s="66"/>
      <c r="X98" s="66"/>
      <c r="Y98" s="66"/>
      <c r="Z98" s="66"/>
    </row>
    <row r="99" spans="3:26" ht="12.75">
      <c r="C99" s="64"/>
      <c r="D99" s="65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6"/>
      <c r="U99" s="66"/>
      <c r="V99" s="66"/>
      <c r="W99" s="66"/>
      <c r="X99" s="66"/>
      <c r="Y99" s="66"/>
      <c r="Z99" s="66"/>
    </row>
    <row r="100" spans="3:26" ht="12.75">
      <c r="C100" s="64"/>
      <c r="D100" s="65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6"/>
      <c r="U100" s="66"/>
      <c r="V100" s="66"/>
      <c r="W100" s="66"/>
      <c r="X100" s="66"/>
      <c r="Y100" s="66"/>
      <c r="Z100" s="66"/>
    </row>
    <row r="101" spans="3:26" ht="12.75">
      <c r="C101" s="64"/>
      <c r="D101" s="65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6"/>
      <c r="U101" s="66"/>
      <c r="V101" s="66"/>
      <c r="W101" s="66"/>
      <c r="X101" s="66"/>
      <c r="Y101" s="66"/>
      <c r="Z101" s="66"/>
    </row>
    <row r="102" spans="3:26" ht="12.75">
      <c r="C102" s="64"/>
      <c r="D102" s="65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6"/>
      <c r="U102" s="66"/>
      <c r="V102" s="66"/>
      <c r="W102" s="66"/>
      <c r="X102" s="66"/>
      <c r="Y102" s="66"/>
      <c r="Z102" s="66"/>
    </row>
    <row r="103" spans="3:26" ht="12.75">
      <c r="C103" s="64"/>
      <c r="D103" s="65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6"/>
      <c r="U103" s="66"/>
      <c r="V103" s="66"/>
      <c r="W103" s="66"/>
      <c r="X103" s="66"/>
      <c r="Y103" s="66"/>
      <c r="Z103" s="66"/>
    </row>
    <row r="104" spans="3:26" ht="12.75">
      <c r="C104" s="64"/>
      <c r="D104" s="65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6"/>
      <c r="U104" s="66"/>
      <c r="V104" s="66"/>
      <c r="W104" s="66"/>
      <c r="X104" s="66"/>
      <c r="Y104" s="66"/>
      <c r="Z104" s="66"/>
    </row>
    <row r="105" spans="3:26" ht="12.75">
      <c r="C105" s="64"/>
      <c r="D105" s="65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6"/>
      <c r="U105" s="66"/>
      <c r="V105" s="66"/>
      <c r="W105" s="66"/>
      <c r="X105" s="66"/>
      <c r="Y105" s="66"/>
      <c r="Z105" s="66"/>
    </row>
    <row r="106" spans="3:26" ht="12.75">
      <c r="C106" s="64"/>
      <c r="D106" s="65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6"/>
      <c r="U106" s="66"/>
      <c r="V106" s="66"/>
      <c r="W106" s="66"/>
      <c r="X106" s="66"/>
      <c r="Y106" s="66"/>
      <c r="Z106" s="66"/>
    </row>
    <row r="107" spans="3:26" ht="12.75">
      <c r="C107" s="64"/>
      <c r="D107" s="65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6"/>
      <c r="U107" s="66"/>
      <c r="V107" s="66"/>
      <c r="W107" s="66"/>
      <c r="X107" s="66"/>
      <c r="Y107" s="66"/>
      <c r="Z107" s="66"/>
    </row>
    <row r="108" spans="3:26" ht="12.75">
      <c r="C108" s="64"/>
      <c r="D108" s="65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6"/>
      <c r="U108" s="66"/>
      <c r="V108" s="66"/>
      <c r="W108" s="66"/>
      <c r="X108" s="66"/>
      <c r="Y108" s="66"/>
      <c r="Z108" s="66"/>
    </row>
    <row r="109" spans="3:26" ht="12.75">
      <c r="C109" s="64"/>
      <c r="D109" s="65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6"/>
      <c r="U109" s="66"/>
      <c r="V109" s="66"/>
      <c r="W109" s="66"/>
      <c r="X109" s="66"/>
      <c r="Y109" s="66"/>
      <c r="Z109" s="66"/>
    </row>
    <row r="110" spans="3:26" ht="12.75">
      <c r="C110" s="64"/>
      <c r="D110" s="65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6"/>
      <c r="U110" s="66"/>
      <c r="V110" s="66"/>
      <c r="W110" s="66"/>
      <c r="X110" s="66"/>
      <c r="Y110" s="66"/>
      <c r="Z110" s="66"/>
    </row>
    <row r="111" spans="3:26" ht="12.75">
      <c r="C111" s="64"/>
      <c r="D111" s="65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6"/>
      <c r="U111" s="66"/>
      <c r="V111" s="66"/>
      <c r="W111" s="66"/>
      <c r="X111" s="66"/>
      <c r="Y111" s="66"/>
      <c r="Z111" s="66"/>
    </row>
    <row r="112" spans="3:26" ht="12.75">
      <c r="C112" s="64"/>
      <c r="D112" s="65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6"/>
      <c r="U112" s="66"/>
      <c r="V112" s="66"/>
      <c r="W112" s="66"/>
      <c r="X112" s="66"/>
      <c r="Y112" s="66"/>
      <c r="Z112" s="66"/>
    </row>
    <row r="113" spans="3:26" ht="12.75">
      <c r="C113" s="64"/>
      <c r="D113" s="65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6"/>
      <c r="U113" s="66"/>
      <c r="V113" s="66"/>
      <c r="W113" s="66"/>
      <c r="X113" s="66"/>
      <c r="Y113" s="66"/>
      <c r="Z113" s="66"/>
    </row>
    <row r="114" spans="3:26" ht="12.75">
      <c r="C114" s="64"/>
      <c r="D114" s="65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6"/>
      <c r="U114" s="66"/>
      <c r="V114" s="66"/>
      <c r="W114" s="66"/>
      <c r="X114" s="66"/>
      <c r="Y114" s="66"/>
      <c r="Z114" s="66"/>
    </row>
    <row r="115" spans="3:26" ht="12.75">
      <c r="C115" s="64"/>
      <c r="D115" s="65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6"/>
      <c r="U115" s="66"/>
      <c r="V115" s="66"/>
      <c r="W115" s="66"/>
      <c r="X115" s="66"/>
      <c r="Y115" s="66"/>
      <c r="Z115" s="66"/>
    </row>
    <row r="116" spans="3:26" ht="12.75">
      <c r="C116" s="64"/>
      <c r="D116" s="65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6"/>
      <c r="U116" s="66"/>
      <c r="V116" s="66"/>
      <c r="W116" s="66"/>
      <c r="X116" s="66"/>
      <c r="Y116" s="66"/>
      <c r="Z116" s="66"/>
    </row>
    <row r="117" spans="3:26" ht="12.75">
      <c r="C117" s="64"/>
      <c r="D117" s="65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6"/>
      <c r="U117" s="66"/>
      <c r="V117" s="66"/>
      <c r="W117" s="66"/>
      <c r="X117" s="66"/>
      <c r="Y117" s="66"/>
      <c r="Z117" s="66"/>
    </row>
    <row r="118" spans="3:26" ht="12.75">
      <c r="C118" s="64"/>
      <c r="D118" s="65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6"/>
      <c r="U118" s="66"/>
      <c r="V118" s="66"/>
      <c r="W118" s="66"/>
      <c r="X118" s="66"/>
      <c r="Y118" s="66"/>
      <c r="Z118" s="66"/>
    </row>
    <row r="119" spans="3:26" ht="12.75">
      <c r="C119" s="64"/>
      <c r="D119" s="65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6"/>
      <c r="U119" s="66"/>
      <c r="V119" s="66"/>
      <c r="W119" s="66"/>
      <c r="X119" s="66"/>
      <c r="Y119" s="66"/>
      <c r="Z119" s="66"/>
    </row>
    <row r="120" spans="3:26" ht="12.75">
      <c r="C120" s="64"/>
      <c r="D120" s="65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6"/>
      <c r="U120" s="66"/>
      <c r="V120" s="66"/>
      <c r="W120" s="66"/>
      <c r="X120" s="66"/>
      <c r="Y120" s="66"/>
      <c r="Z120" s="66"/>
    </row>
    <row r="121" spans="3:26" ht="12.75">
      <c r="C121" s="64"/>
      <c r="D121" s="65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6"/>
      <c r="U121" s="66"/>
      <c r="V121" s="66"/>
      <c r="W121" s="66"/>
      <c r="X121" s="66"/>
      <c r="Y121" s="66"/>
      <c r="Z121" s="66"/>
    </row>
    <row r="122" spans="3:26" ht="12.75">
      <c r="C122" s="64"/>
      <c r="D122" s="65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6"/>
      <c r="U122" s="66"/>
      <c r="V122" s="66"/>
      <c r="W122" s="66"/>
      <c r="X122" s="66"/>
      <c r="Y122" s="66"/>
      <c r="Z122" s="66"/>
    </row>
    <row r="123" spans="3:26" ht="12.75">
      <c r="C123" s="64"/>
      <c r="D123" s="65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6"/>
      <c r="U123" s="66"/>
      <c r="V123" s="66"/>
      <c r="W123" s="66"/>
      <c r="X123" s="66"/>
      <c r="Y123" s="66"/>
      <c r="Z123" s="66"/>
    </row>
    <row r="124" spans="3:26" ht="12.75">
      <c r="C124" s="64"/>
      <c r="D124" s="65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6"/>
      <c r="U124" s="66"/>
      <c r="V124" s="66"/>
      <c r="W124" s="66"/>
      <c r="X124" s="66"/>
      <c r="Y124" s="66"/>
      <c r="Z124" s="66"/>
    </row>
    <row r="125" spans="3:26" ht="12.75">
      <c r="C125" s="64"/>
      <c r="D125" s="65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6"/>
      <c r="U125" s="66"/>
      <c r="V125" s="66"/>
      <c r="W125" s="66"/>
      <c r="X125" s="66"/>
      <c r="Y125" s="66"/>
      <c r="Z125" s="66"/>
    </row>
    <row r="126" spans="3:26" ht="12.75">
      <c r="C126" s="64"/>
      <c r="D126" s="65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6"/>
      <c r="U126" s="66"/>
      <c r="V126" s="66"/>
      <c r="W126" s="66"/>
      <c r="X126" s="66"/>
      <c r="Y126" s="66"/>
      <c r="Z126" s="66"/>
    </row>
    <row r="127" spans="3:26" ht="12.75">
      <c r="C127" s="64"/>
      <c r="D127" s="65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6"/>
      <c r="U127" s="66"/>
      <c r="V127" s="66"/>
      <c r="W127" s="66"/>
      <c r="X127" s="66"/>
      <c r="Y127" s="66"/>
      <c r="Z127" s="66"/>
    </row>
    <row r="128" spans="3:26" ht="12.75">
      <c r="C128" s="64"/>
      <c r="D128" s="65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6"/>
      <c r="U128" s="66"/>
      <c r="V128" s="66"/>
      <c r="W128" s="66"/>
      <c r="X128" s="66"/>
      <c r="Y128" s="66"/>
      <c r="Z128" s="66"/>
    </row>
    <row r="129" spans="3:26" ht="12.75">
      <c r="C129" s="64"/>
      <c r="D129" s="65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6"/>
      <c r="U129" s="66"/>
      <c r="V129" s="66"/>
      <c r="W129" s="66"/>
      <c r="X129" s="66"/>
      <c r="Y129" s="66"/>
      <c r="Z129" s="66"/>
    </row>
    <row r="130" spans="3:26" ht="12.75">
      <c r="C130" s="64"/>
      <c r="D130" s="65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6"/>
      <c r="U130" s="66"/>
      <c r="V130" s="66"/>
      <c r="W130" s="66"/>
      <c r="X130" s="66"/>
      <c r="Y130" s="66"/>
      <c r="Z130" s="66"/>
    </row>
    <row r="131" spans="3:26" ht="12.75">
      <c r="C131" s="64"/>
      <c r="D131" s="65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6"/>
      <c r="U131" s="66"/>
      <c r="V131" s="66"/>
      <c r="W131" s="66"/>
      <c r="X131" s="66"/>
      <c r="Y131" s="66"/>
      <c r="Z131" s="66"/>
    </row>
    <row r="132" spans="3:26" ht="12.75">
      <c r="C132" s="64"/>
      <c r="D132" s="65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6"/>
      <c r="U132" s="66"/>
      <c r="V132" s="66"/>
      <c r="W132" s="66"/>
      <c r="X132" s="66"/>
      <c r="Y132" s="66"/>
      <c r="Z132" s="66"/>
    </row>
    <row r="133" spans="3:26" ht="12.75">
      <c r="C133" s="64"/>
      <c r="D133" s="65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6"/>
      <c r="U133" s="66"/>
      <c r="V133" s="66"/>
      <c r="W133" s="66"/>
      <c r="X133" s="66"/>
      <c r="Y133" s="66"/>
      <c r="Z133" s="66"/>
    </row>
    <row r="134" spans="3:26" ht="12.75">
      <c r="C134" s="64"/>
      <c r="D134" s="65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6"/>
      <c r="U134" s="66"/>
      <c r="V134" s="66"/>
      <c r="W134" s="66"/>
      <c r="X134" s="66"/>
      <c r="Y134" s="66"/>
      <c r="Z134" s="66"/>
    </row>
    <row r="135" spans="3:26" ht="12.75">
      <c r="C135" s="64"/>
      <c r="D135" s="65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6"/>
      <c r="U135" s="66"/>
      <c r="V135" s="66"/>
      <c r="W135" s="66"/>
      <c r="X135" s="66"/>
      <c r="Y135" s="66"/>
      <c r="Z135" s="66"/>
    </row>
    <row r="136" spans="3:26" ht="12.75">
      <c r="C136" s="64"/>
      <c r="D136" s="65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6"/>
      <c r="U136" s="66"/>
      <c r="V136" s="66"/>
      <c r="W136" s="66"/>
      <c r="X136" s="66"/>
      <c r="Y136" s="66"/>
      <c r="Z136" s="66"/>
    </row>
    <row r="137" spans="3:26" ht="12.75">
      <c r="C137" s="64"/>
      <c r="D137" s="65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6"/>
      <c r="U137" s="66"/>
      <c r="V137" s="66"/>
      <c r="W137" s="66"/>
      <c r="X137" s="66"/>
      <c r="Y137" s="66"/>
      <c r="Z137" s="66"/>
    </row>
    <row r="138" spans="3:26" ht="12.75">
      <c r="C138" s="64"/>
      <c r="D138" s="65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6"/>
      <c r="U138" s="66"/>
      <c r="V138" s="66"/>
      <c r="W138" s="66"/>
      <c r="X138" s="66"/>
      <c r="Y138" s="66"/>
      <c r="Z138" s="66"/>
    </row>
    <row r="139" spans="3:26" ht="12.75">
      <c r="C139" s="64"/>
      <c r="D139" s="65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6"/>
      <c r="U139" s="66"/>
      <c r="V139" s="66"/>
      <c r="W139" s="66"/>
      <c r="X139" s="66"/>
      <c r="Y139" s="66"/>
      <c r="Z139" s="66"/>
    </row>
    <row r="140" spans="3:26" ht="12.75">
      <c r="C140" s="64"/>
      <c r="D140" s="65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6"/>
      <c r="U140" s="66"/>
      <c r="V140" s="66"/>
      <c r="W140" s="66"/>
      <c r="X140" s="66"/>
      <c r="Y140" s="66"/>
      <c r="Z140" s="66"/>
    </row>
    <row r="141" spans="3:26" ht="12.75">
      <c r="C141" s="64"/>
      <c r="D141" s="65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6"/>
      <c r="U141" s="66"/>
      <c r="V141" s="66"/>
      <c r="W141" s="66"/>
      <c r="X141" s="66"/>
      <c r="Y141" s="66"/>
      <c r="Z141" s="66"/>
    </row>
    <row r="142" spans="3:26" ht="12.75">
      <c r="C142" s="64"/>
      <c r="D142" s="65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6"/>
      <c r="U142" s="66"/>
      <c r="V142" s="66"/>
      <c r="W142" s="66"/>
      <c r="X142" s="66"/>
      <c r="Y142" s="66"/>
      <c r="Z142" s="66"/>
    </row>
    <row r="143" spans="3:26" ht="12.75">
      <c r="C143" s="64"/>
      <c r="D143" s="65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6"/>
      <c r="U143" s="66"/>
      <c r="V143" s="66"/>
      <c r="W143" s="66"/>
      <c r="X143" s="66"/>
      <c r="Y143" s="66"/>
      <c r="Z143" s="66"/>
    </row>
    <row r="144" spans="3:26" ht="12.75">
      <c r="C144" s="64"/>
      <c r="D144" s="65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6"/>
      <c r="U144" s="66"/>
      <c r="V144" s="66"/>
      <c r="W144" s="66"/>
      <c r="X144" s="66"/>
      <c r="Y144" s="66"/>
      <c r="Z144" s="66"/>
    </row>
    <row r="145" spans="3:26" ht="12.75">
      <c r="C145" s="64"/>
      <c r="D145" s="65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6"/>
      <c r="U145" s="66"/>
      <c r="V145" s="66"/>
      <c r="W145" s="66"/>
      <c r="X145" s="66"/>
      <c r="Y145" s="66"/>
      <c r="Z145" s="66"/>
    </row>
    <row r="146" spans="3:26" ht="12.75">
      <c r="C146" s="64"/>
      <c r="D146" s="65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6"/>
      <c r="U146" s="66"/>
      <c r="V146" s="66"/>
      <c r="W146" s="66"/>
      <c r="X146" s="66"/>
      <c r="Y146" s="66"/>
      <c r="Z146" s="66"/>
    </row>
    <row r="147" spans="3:26" ht="12.75">
      <c r="C147" s="64"/>
      <c r="D147" s="65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6"/>
      <c r="U147" s="66"/>
      <c r="V147" s="66"/>
      <c r="W147" s="66"/>
      <c r="X147" s="66"/>
      <c r="Y147" s="66"/>
      <c r="Z147" s="66"/>
    </row>
    <row r="148" spans="3:26" ht="12.75">
      <c r="C148" s="64"/>
      <c r="D148" s="65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6"/>
      <c r="U148" s="66"/>
      <c r="V148" s="66"/>
      <c r="W148" s="66"/>
      <c r="X148" s="66"/>
      <c r="Y148" s="66"/>
      <c r="Z148" s="66"/>
    </row>
    <row r="149" spans="3:26" ht="12.75">
      <c r="C149" s="64"/>
      <c r="D149" s="65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6"/>
      <c r="U149" s="66"/>
      <c r="V149" s="66"/>
      <c r="W149" s="66"/>
      <c r="X149" s="66"/>
      <c r="Y149" s="66"/>
      <c r="Z149" s="66"/>
    </row>
    <row r="150" spans="3:26" ht="12.75">
      <c r="C150" s="64"/>
      <c r="D150" s="65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6"/>
      <c r="U150" s="66"/>
      <c r="V150" s="66"/>
      <c r="W150" s="66"/>
      <c r="X150" s="66"/>
      <c r="Y150" s="66"/>
      <c r="Z150" s="66"/>
    </row>
    <row r="151" spans="3:26" ht="12.75">
      <c r="C151" s="64"/>
      <c r="D151" s="65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6"/>
      <c r="U151" s="66"/>
      <c r="V151" s="66"/>
      <c r="W151" s="66"/>
      <c r="X151" s="66"/>
      <c r="Y151" s="66"/>
      <c r="Z151" s="66"/>
    </row>
    <row r="152" spans="3:26" ht="12.75">
      <c r="C152" s="64"/>
      <c r="D152" s="65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6"/>
      <c r="U152" s="66"/>
      <c r="V152" s="66"/>
      <c r="W152" s="66"/>
      <c r="X152" s="66"/>
      <c r="Y152" s="66"/>
      <c r="Z152" s="66"/>
    </row>
    <row r="153" spans="3:26" ht="12.75">
      <c r="C153" s="64"/>
      <c r="D153" s="65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6"/>
      <c r="U153" s="66"/>
      <c r="V153" s="66"/>
      <c r="W153" s="66"/>
      <c r="X153" s="66"/>
      <c r="Y153" s="66"/>
      <c r="Z153" s="66"/>
    </row>
    <row r="154" spans="3:26" ht="12.75">
      <c r="C154" s="64"/>
      <c r="D154" s="65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6"/>
      <c r="U154" s="66"/>
      <c r="V154" s="66"/>
      <c r="W154" s="66"/>
      <c r="X154" s="66"/>
      <c r="Y154" s="66"/>
      <c r="Z154" s="66"/>
    </row>
    <row r="155" spans="3:26" ht="12.75">
      <c r="C155" s="64"/>
      <c r="D155" s="65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6"/>
      <c r="U155" s="66"/>
      <c r="V155" s="66"/>
      <c r="W155" s="66"/>
      <c r="X155" s="66"/>
      <c r="Y155" s="66"/>
      <c r="Z155" s="66"/>
    </row>
    <row r="156" spans="3:26" ht="12.75">
      <c r="C156" s="64"/>
      <c r="D156" s="65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6"/>
      <c r="U156" s="66"/>
      <c r="V156" s="66"/>
      <c r="W156" s="66"/>
      <c r="X156" s="66"/>
      <c r="Y156" s="66"/>
      <c r="Z156" s="66"/>
    </row>
    <row r="157" spans="3:26" ht="12.75">
      <c r="C157" s="64"/>
      <c r="D157" s="65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6"/>
      <c r="U157" s="66"/>
      <c r="V157" s="66"/>
      <c r="W157" s="66"/>
      <c r="X157" s="66"/>
      <c r="Y157" s="66"/>
      <c r="Z157" s="66"/>
    </row>
    <row r="158" spans="3:26" ht="12.75">
      <c r="C158" s="64"/>
      <c r="D158" s="65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6"/>
      <c r="U158" s="66"/>
      <c r="V158" s="66"/>
      <c r="W158" s="66"/>
      <c r="X158" s="66"/>
      <c r="Y158" s="66"/>
      <c r="Z158" s="66"/>
    </row>
    <row r="159" spans="3:26" ht="12.75">
      <c r="C159" s="64"/>
      <c r="D159" s="65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6"/>
      <c r="U159" s="66"/>
      <c r="V159" s="66"/>
      <c r="W159" s="66"/>
      <c r="X159" s="66"/>
      <c r="Y159" s="66"/>
      <c r="Z159" s="66"/>
    </row>
    <row r="160" spans="3:26" ht="12.75">
      <c r="C160" s="64"/>
      <c r="D160" s="65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6"/>
      <c r="U160" s="66"/>
      <c r="V160" s="66"/>
      <c r="W160" s="66"/>
      <c r="X160" s="66"/>
      <c r="Y160" s="66"/>
      <c r="Z160" s="66"/>
    </row>
    <row r="161" spans="3:26" ht="12.75">
      <c r="C161" s="64"/>
      <c r="D161" s="65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6"/>
      <c r="U161" s="66"/>
      <c r="V161" s="66"/>
      <c r="W161" s="66"/>
      <c r="X161" s="66"/>
      <c r="Y161" s="66"/>
      <c r="Z161" s="66"/>
    </row>
    <row r="162" spans="3:26" ht="12.75">
      <c r="C162" s="64"/>
      <c r="D162" s="65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6"/>
      <c r="U162" s="66"/>
      <c r="V162" s="66"/>
      <c r="W162" s="66"/>
      <c r="X162" s="66"/>
      <c r="Y162" s="66"/>
      <c r="Z162" s="66"/>
    </row>
    <row r="163" spans="3:26" ht="12.75">
      <c r="C163" s="64"/>
      <c r="D163" s="65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6"/>
      <c r="U163" s="66"/>
      <c r="V163" s="66"/>
      <c r="W163" s="66"/>
      <c r="X163" s="66"/>
      <c r="Y163" s="66"/>
      <c r="Z163" s="66"/>
    </row>
    <row r="164" spans="3:26" ht="12.75">
      <c r="C164" s="64"/>
      <c r="D164" s="65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6"/>
      <c r="U164" s="66"/>
      <c r="V164" s="66"/>
      <c r="W164" s="66"/>
      <c r="X164" s="66"/>
      <c r="Y164" s="66"/>
      <c r="Z164" s="66"/>
    </row>
    <row r="165" spans="3:26" ht="12.75">
      <c r="C165" s="64"/>
      <c r="D165" s="65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6"/>
      <c r="U165" s="66"/>
      <c r="V165" s="66"/>
      <c r="W165" s="66"/>
      <c r="X165" s="66"/>
      <c r="Y165" s="66"/>
      <c r="Z165" s="66"/>
    </row>
    <row r="166" spans="3:26" ht="12.75">
      <c r="C166" s="64"/>
      <c r="D166" s="65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6"/>
      <c r="U166" s="66"/>
      <c r="V166" s="66"/>
      <c r="W166" s="66"/>
      <c r="X166" s="66"/>
      <c r="Y166" s="66"/>
      <c r="Z166" s="66"/>
    </row>
    <row r="167" spans="3:26" ht="12.75">
      <c r="C167" s="64"/>
      <c r="D167" s="65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6"/>
      <c r="U167" s="66"/>
      <c r="V167" s="66"/>
      <c r="W167" s="66"/>
      <c r="X167" s="66"/>
      <c r="Y167" s="66"/>
      <c r="Z167" s="66"/>
    </row>
    <row r="168" spans="3:26" ht="12.75">
      <c r="C168" s="64"/>
      <c r="D168" s="65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6"/>
      <c r="U168" s="66"/>
      <c r="V168" s="66"/>
      <c r="W168" s="66"/>
      <c r="X168" s="66"/>
      <c r="Y168" s="66"/>
      <c r="Z168" s="66"/>
    </row>
    <row r="169" spans="3:26" ht="12.75">
      <c r="C169" s="64"/>
      <c r="D169" s="65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6"/>
      <c r="U169" s="66"/>
      <c r="V169" s="66"/>
      <c r="W169" s="66"/>
      <c r="X169" s="66"/>
      <c r="Y169" s="66"/>
      <c r="Z169" s="66"/>
    </row>
    <row r="170" spans="3:26" ht="12.75">
      <c r="C170" s="64"/>
      <c r="D170" s="65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6"/>
      <c r="U170" s="66"/>
      <c r="V170" s="66"/>
      <c r="W170" s="66"/>
      <c r="X170" s="66"/>
      <c r="Y170" s="66"/>
      <c r="Z170" s="66"/>
    </row>
    <row r="171" spans="3:26" ht="12.75">
      <c r="C171" s="64"/>
      <c r="D171" s="65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6"/>
      <c r="U171" s="66"/>
      <c r="V171" s="66"/>
      <c r="W171" s="66"/>
      <c r="X171" s="66"/>
      <c r="Y171" s="66"/>
      <c r="Z171" s="66"/>
    </row>
    <row r="172" spans="3:26" ht="12.75">
      <c r="C172" s="64"/>
      <c r="D172" s="65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6"/>
      <c r="U172" s="66"/>
      <c r="V172" s="66"/>
      <c r="W172" s="66"/>
      <c r="X172" s="66"/>
      <c r="Y172" s="66"/>
      <c r="Z172" s="66"/>
    </row>
    <row r="173" spans="3:26" ht="12.75">
      <c r="C173" s="64"/>
      <c r="D173" s="65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6"/>
      <c r="U173" s="66"/>
      <c r="V173" s="66"/>
      <c r="W173" s="66"/>
      <c r="X173" s="66"/>
      <c r="Y173" s="66"/>
      <c r="Z173" s="66"/>
    </row>
    <row r="174" spans="3:26" ht="12.75">
      <c r="C174" s="64"/>
      <c r="D174" s="65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6"/>
      <c r="U174" s="66"/>
      <c r="V174" s="66"/>
      <c r="W174" s="66"/>
      <c r="X174" s="66"/>
      <c r="Y174" s="66"/>
      <c r="Z174" s="66"/>
    </row>
    <row r="175" spans="3:26" ht="12.75">
      <c r="C175" s="64"/>
      <c r="D175" s="65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6"/>
      <c r="U175" s="66"/>
      <c r="V175" s="66"/>
      <c r="W175" s="66"/>
      <c r="X175" s="66"/>
      <c r="Y175" s="66"/>
      <c r="Z175" s="66"/>
    </row>
    <row r="176" spans="3:26" ht="12.75">
      <c r="C176" s="64"/>
      <c r="D176" s="65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6"/>
      <c r="U176" s="66"/>
      <c r="V176" s="66"/>
      <c r="W176" s="66"/>
      <c r="X176" s="66"/>
      <c r="Y176" s="66"/>
      <c r="Z176" s="66"/>
    </row>
    <row r="177" spans="3:26" ht="12.75">
      <c r="C177" s="64"/>
      <c r="D177" s="65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6"/>
      <c r="U177" s="66"/>
      <c r="V177" s="66"/>
      <c r="W177" s="66"/>
      <c r="X177" s="66"/>
      <c r="Y177" s="66"/>
      <c r="Z177" s="66"/>
    </row>
    <row r="178" spans="3:26" ht="12.75">
      <c r="C178" s="64"/>
      <c r="D178" s="65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6"/>
      <c r="U178" s="66"/>
      <c r="V178" s="66"/>
      <c r="W178" s="66"/>
      <c r="X178" s="66"/>
      <c r="Y178" s="66"/>
      <c r="Z178" s="66"/>
    </row>
    <row r="179" spans="3:26" ht="12.75">
      <c r="C179" s="64"/>
      <c r="D179" s="65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6"/>
      <c r="U179" s="66"/>
      <c r="V179" s="66"/>
      <c r="W179" s="66"/>
      <c r="X179" s="66"/>
      <c r="Y179" s="66"/>
      <c r="Z179" s="66"/>
    </row>
    <row r="180" spans="3:26" ht="12.75">
      <c r="C180" s="64"/>
      <c r="D180" s="65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6"/>
      <c r="U180" s="66"/>
      <c r="V180" s="66"/>
      <c r="W180" s="66"/>
      <c r="X180" s="66"/>
      <c r="Y180" s="66"/>
      <c r="Z180" s="66"/>
    </row>
    <row r="181" spans="3:26" ht="12.75">
      <c r="C181" s="64"/>
      <c r="D181" s="65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6"/>
      <c r="U181" s="66"/>
      <c r="V181" s="66"/>
      <c r="W181" s="66"/>
      <c r="X181" s="66"/>
      <c r="Y181" s="66"/>
      <c r="Z181" s="66"/>
    </row>
    <row r="182" spans="3:26" ht="12.75">
      <c r="C182" s="64"/>
      <c r="D182" s="65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6"/>
      <c r="U182" s="66"/>
      <c r="V182" s="66"/>
      <c r="W182" s="66"/>
      <c r="X182" s="66"/>
      <c r="Y182" s="66"/>
      <c r="Z182" s="66"/>
    </row>
    <row r="183" spans="3:26" ht="12.75">
      <c r="C183" s="64"/>
      <c r="D183" s="65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6"/>
      <c r="U183" s="66"/>
      <c r="V183" s="66"/>
      <c r="W183" s="66"/>
      <c r="X183" s="66"/>
      <c r="Y183" s="66"/>
      <c r="Z183" s="66"/>
    </row>
    <row r="184" spans="3:26" ht="12.75">
      <c r="C184" s="64"/>
      <c r="D184" s="65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6"/>
      <c r="U184" s="66"/>
      <c r="V184" s="66"/>
      <c r="W184" s="66"/>
      <c r="X184" s="66"/>
      <c r="Y184" s="66"/>
      <c r="Z184" s="66"/>
    </row>
    <row r="185" spans="3:26" ht="12.75">
      <c r="C185" s="64"/>
      <c r="D185" s="65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6"/>
      <c r="U185" s="66"/>
      <c r="V185" s="66"/>
      <c r="W185" s="66"/>
      <c r="X185" s="66"/>
      <c r="Y185" s="66"/>
      <c r="Z185" s="66"/>
    </row>
    <row r="186" spans="3:26" ht="12.75">
      <c r="C186" s="64"/>
      <c r="D186" s="65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6"/>
      <c r="U186" s="66"/>
      <c r="V186" s="66"/>
      <c r="W186" s="66"/>
      <c r="X186" s="66"/>
      <c r="Y186" s="66"/>
      <c r="Z186" s="66"/>
    </row>
    <row r="187" spans="3:26" ht="12.75">
      <c r="C187" s="64"/>
      <c r="D187" s="65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6"/>
      <c r="U187" s="66"/>
      <c r="V187" s="66"/>
      <c r="W187" s="66"/>
      <c r="X187" s="66"/>
      <c r="Y187" s="66"/>
      <c r="Z187" s="66"/>
    </row>
    <row r="188" spans="3:26" ht="12.75">
      <c r="C188" s="64"/>
      <c r="D188" s="65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6"/>
      <c r="U188" s="66"/>
      <c r="V188" s="66"/>
      <c r="W188" s="66"/>
      <c r="X188" s="66"/>
      <c r="Y188" s="66"/>
      <c r="Z188" s="66"/>
    </row>
    <row r="189" spans="3:26" ht="12.75">
      <c r="C189" s="64"/>
      <c r="D189" s="65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6"/>
      <c r="U189" s="66"/>
      <c r="V189" s="66"/>
      <c r="W189" s="66"/>
      <c r="X189" s="66"/>
      <c r="Y189" s="66"/>
      <c r="Z189" s="66"/>
    </row>
    <row r="190" spans="3:26" ht="12.75">
      <c r="C190" s="64"/>
      <c r="D190" s="65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6"/>
      <c r="U190" s="66"/>
      <c r="V190" s="66"/>
      <c r="W190" s="66"/>
      <c r="X190" s="66"/>
      <c r="Y190" s="66"/>
      <c r="Z190" s="66"/>
    </row>
    <row r="191" spans="3:26" ht="12.75">
      <c r="C191" s="64"/>
      <c r="D191" s="65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6"/>
      <c r="U191" s="66"/>
      <c r="V191" s="66"/>
      <c r="W191" s="66"/>
      <c r="X191" s="66"/>
      <c r="Y191" s="66"/>
      <c r="Z191" s="66"/>
    </row>
    <row r="192" spans="3:26" ht="12.75">
      <c r="C192" s="64"/>
      <c r="D192" s="65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6"/>
      <c r="U192" s="66"/>
      <c r="V192" s="66"/>
      <c r="W192" s="66"/>
      <c r="X192" s="66"/>
      <c r="Y192" s="66"/>
      <c r="Z192" s="66"/>
    </row>
    <row r="193" spans="3:26" ht="12.75">
      <c r="C193" s="64"/>
      <c r="D193" s="65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6"/>
      <c r="U193" s="66"/>
      <c r="V193" s="66"/>
      <c r="W193" s="66"/>
      <c r="X193" s="66"/>
      <c r="Y193" s="66"/>
      <c r="Z193" s="66"/>
    </row>
    <row r="194" spans="3:26" ht="12.75">
      <c r="C194" s="64"/>
      <c r="D194" s="65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6"/>
      <c r="U194" s="66"/>
      <c r="V194" s="66"/>
      <c r="W194" s="66"/>
      <c r="X194" s="66"/>
      <c r="Y194" s="66"/>
      <c r="Z194" s="66"/>
    </row>
    <row r="195" spans="3:26" ht="12.75">
      <c r="C195" s="64"/>
      <c r="D195" s="65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6"/>
      <c r="U195" s="66"/>
      <c r="V195" s="66"/>
      <c r="W195" s="66"/>
      <c r="X195" s="66"/>
      <c r="Y195" s="66"/>
      <c r="Z195" s="66"/>
    </row>
    <row r="196" spans="3:26" ht="12.75">
      <c r="C196" s="64"/>
      <c r="D196" s="65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6"/>
      <c r="U196" s="66"/>
      <c r="V196" s="66"/>
      <c r="W196" s="66"/>
      <c r="X196" s="66"/>
      <c r="Y196" s="66"/>
      <c r="Z196" s="66"/>
    </row>
    <row r="197" spans="3:26" ht="12.75">
      <c r="C197" s="64"/>
      <c r="D197" s="65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6"/>
      <c r="U197" s="66"/>
      <c r="V197" s="66"/>
      <c r="W197" s="66"/>
      <c r="X197" s="66"/>
      <c r="Y197" s="66"/>
      <c r="Z197" s="66"/>
    </row>
    <row r="198" spans="3:26" ht="12.75">
      <c r="C198" s="64"/>
      <c r="D198" s="65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6"/>
      <c r="U198" s="66"/>
      <c r="V198" s="66"/>
      <c r="W198" s="66"/>
      <c r="X198" s="66"/>
      <c r="Y198" s="66"/>
      <c r="Z198" s="66"/>
    </row>
    <row r="199" spans="3:26" ht="12.75">
      <c r="C199" s="64"/>
      <c r="D199" s="65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6"/>
      <c r="U199" s="66"/>
      <c r="V199" s="66"/>
      <c r="W199" s="66"/>
      <c r="X199" s="66"/>
      <c r="Y199" s="66"/>
      <c r="Z199" s="66"/>
    </row>
    <row r="200" spans="3:26" ht="12.75">
      <c r="C200" s="64"/>
      <c r="D200" s="65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6"/>
      <c r="U200" s="66"/>
      <c r="V200" s="66"/>
      <c r="W200" s="66"/>
      <c r="X200" s="66"/>
      <c r="Y200" s="66"/>
      <c r="Z200" s="66"/>
    </row>
    <row r="201" spans="3:26" ht="12.75">
      <c r="C201" s="64"/>
      <c r="D201" s="65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6"/>
      <c r="U201" s="66"/>
      <c r="V201" s="66"/>
      <c r="W201" s="66"/>
      <c r="X201" s="66"/>
      <c r="Y201" s="66"/>
      <c r="Z201" s="66"/>
    </row>
    <row r="202" spans="3:26" ht="12.75">
      <c r="C202" s="64"/>
      <c r="D202" s="65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6"/>
      <c r="U202" s="66"/>
      <c r="V202" s="66"/>
      <c r="W202" s="66"/>
      <c r="X202" s="66"/>
      <c r="Y202" s="66"/>
      <c r="Z202" s="66"/>
    </row>
    <row r="203" spans="3:26" ht="12.75">
      <c r="C203" s="64"/>
      <c r="D203" s="65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6"/>
      <c r="U203" s="66"/>
      <c r="V203" s="66"/>
      <c r="W203" s="66"/>
      <c r="X203" s="66"/>
      <c r="Y203" s="66"/>
      <c r="Z203" s="66"/>
    </row>
    <row r="204" spans="3:26" ht="12.75">
      <c r="C204" s="64"/>
      <c r="D204" s="65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6"/>
      <c r="U204" s="66"/>
      <c r="V204" s="66"/>
      <c r="W204" s="66"/>
      <c r="X204" s="66"/>
      <c r="Y204" s="66"/>
      <c r="Z204" s="66"/>
    </row>
    <row r="205" spans="3:26" ht="12.75">
      <c r="C205" s="64"/>
      <c r="D205" s="65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6"/>
      <c r="U205" s="66"/>
      <c r="V205" s="66"/>
      <c r="W205" s="66"/>
      <c r="X205" s="66"/>
      <c r="Y205" s="66"/>
      <c r="Z205" s="66"/>
    </row>
    <row r="206" spans="3:26" ht="12.75">
      <c r="C206" s="64"/>
      <c r="D206" s="65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6"/>
      <c r="U206" s="66"/>
      <c r="V206" s="66"/>
      <c r="W206" s="66"/>
      <c r="X206" s="66"/>
      <c r="Y206" s="66"/>
      <c r="Z206" s="66"/>
    </row>
    <row r="207" spans="3:26" ht="12.75">
      <c r="C207" s="64"/>
      <c r="D207" s="65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6"/>
      <c r="U207" s="66"/>
      <c r="V207" s="66"/>
      <c r="W207" s="66"/>
      <c r="X207" s="66"/>
      <c r="Y207" s="66"/>
      <c r="Z207" s="66"/>
    </row>
    <row r="208" spans="3:26" ht="12.75">
      <c r="C208" s="64"/>
      <c r="D208" s="65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6"/>
      <c r="U208" s="66"/>
      <c r="V208" s="66"/>
      <c r="W208" s="66"/>
      <c r="X208" s="66"/>
      <c r="Y208" s="66"/>
      <c r="Z208" s="66"/>
    </row>
    <row r="209" spans="3:26" ht="12.75">
      <c r="C209" s="64"/>
      <c r="D209" s="65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6"/>
      <c r="U209" s="66"/>
      <c r="V209" s="66"/>
      <c r="W209" s="66"/>
      <c r="X209" s="66"/>
      <c r="Y209" s="66"/>
      <c r="Z209" s="66"/>
    </row>
    <row r="210" spans="3:26" ht="12.75">
      <c r="C210" s="64"/>
      <c r="D210" s="65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6"/>
      <c r="U210" s="66"/>
      <c r="V210" s="66"/>
      <c r="W210" s="66"/>
      <c r="X210" s="66"/>
      <c r="Y210" s="66"/>
      <c r="Z210" s="66"/>
    </row>
    <row r="211" spans="3:26" ht="12.75">
      <c r="C211" s="64"/>
      <c r="D211" s="65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6"/>
      <c r="U211" s="66"/>
      <c r="V211" s="66"/>
      <c r="W211" s="66"/>
      <c r="X211" s="66"/>
      <c r="Y211" s="66"/>
      <c r="Z211" s="66"/>
    </row>
    <row r="212" spans="3:26" ht="12.75">
      <c r="C212" s="64"/>
      <c r="D212" s="65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6"/>
      <c r="U212" s="66"/>
      <c r="V212" s="66"/>
      <c r="W212" s="66"/>
      <c r="X212" s="66"/>
      <c r="Y212" s="66"/>
      <c r="Z212" s="66"/>
    </row>
    <row r="213" spans="3:26" ht="12.75">
      <c r="C213" s="64"/>
      <c r="D213" s="65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6"/>
      <c r="U213" s="66"/>
      <c r="V213" s="66"/>
      <c r="W213" s="66"/>
      <c r="X213" s="66"/>
      <c r="Y213" s="66"/>
      <c r="Z213" s="66"/>
    </row>
    <row r="214" spans="3:26" ht="12.75">
      <c r="C214" s="64"/>
      <c r="D214" s="65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6"/>
      <c r="U214" s="66"/>
      <c r="V214" s="66"/>
      <c r="W214" s="66"/>
      <c r="X214" s="66"/>
      <c r="Y214" s="66"/>
      <c r="Z214" s="66"/>
    </row>
    <row r="215" spans="3:26" ht="12.75">
      <c r="C215" s="64"/>
      <c r="D215" s="65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6"/>
      <c r="U215" s="66"/>
      <c r="V215" s="66"/>
      <c r="W215" s="66"/>
      <c r="X215" s="66"/>
      <c r="Y215" s="66"/>
      <c r="Z215" s="66"/>
    </row>
    <row r="216" spans="3:26" ht="12.75">
      <c r="C216" s="64"/>
      <c r="D216" s="65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6"/>
      <c r="U216" s="66"/>
      <c r="V216" s="66"/>
      <c r="W216" s="66"/>
      <c r="X216" s="66"/>
      <c r="Y216" s="66"/>
      <c r="Z216" s="66"/>
    </row>
    <row r="217" spans="3:26" ht="12.75">
      <c r="C217" s="64"/>
      <c r="D217" s="65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6"/>
      <c r="U217" s="66"/>
      <c r="V217" s="66"/>
      <c r="W217" s="66"/>
      <c r="X217" s="66"/>
      <c r="Y217" s="66"/>
      <c r="Z217" s="66"/>
    </row>
    <row r="218" spans="3:26" ht="12.75">
      <c r="C218" s="64"/>
      <c r="D218" s="65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6"/>
      <c r="U218" s="66"/>
      <c r="V218" s="66"/>
      <c r="W218" s="66"/>
      <c r="X218" s="66"/>
      <c r="Y218" s="66"/>
      <c r="Z218" s="66"/>
    </row>
    <row r="219" spans="3:26" ht="12.75">
      <c r="C219" s="64"/>
      <c r="D219" s="65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6"/>
      <c r="U219" s="66"/>
      <c r="V219" s="66"/>
      <c r="W219" s="66"/>
      <c r="X219" s="66"/>
      <c r="Y219" s="66"/>
      <c r="Z219" s="66"/>
    </row>
    <row r="220" spans="3:26" ht="12.75">
      <c r="C220" s="64"/>
      <c r="D220" s="65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6"/>
      <c r="U220" s="66"/>
      <c r="V220" s="66"/>
      <c r="W220" s="66"/>
      <c r="X220" s="66"/>
      <c r="Y220" s="66"/>
      <c r="Z220" s="66"/>
    </row>
    <row r="221" spans="3:26" ht="12.75">
      <c r="C221" s="64"/>
      <c r="D221" s="65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6"/>
      <c r="U221" s="66"/>
      <c r="V221" s="66"/>
      <c r="W221" s="66"/>
      <c r="X221" s="66"/>
      <c r="Y221" s="66"/>
      <c r="Z221" s="66"/>
    </row>
    <row r="222" spans="3:26" ht="12.75">
      <c r="C222" s="64"/>
      <c r="D222" s="65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6"/>
      <c r="U222" s="66"/>
      <c r="V222" s="66"/>
      <c r="W222" s="66"/>
      <c r="X222" s="66"/>
      <c r="Y222" s="66"/>
      <c r="Z222" s="66"/>
    </row>
    <row r="223" spans="3:26" ht="12.75">
      <c r="C223" s="64"/>
      <c r="D223" s="65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6"/>
      <c r="U223" s="66"/>
      <c r="V223" s="66"/>
      <c r="W223" s="66"/>
      <c r="X223" s="66"/>
      <c r="Y223" s="66"/>
      <c r="Z223" s="66"/>
    </row>
    <row r="224" spans="3:26" ht="12.75">
      <c r="C224" s="64"/>
      <c r="D224" s="65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6"/>
      <c r="U224" s="66"/>
      <c r="V224" s="66"/>
      <c r="W224" s="66"/>
      <c r="X224" s="66"/>
      <c r="Y224" s="66"/>
      <c r="Z224" s="66"/>
    </row>
    <row r="225" spans="3:26" ht="12.75">
      <c r="C225" s="64"/>
      <c r="D225" s="65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6"/>
      <c r="U225" s="66"/>
      <c r="V225" s="66"/>
      <c r="W225" s="66"/>
      <c r="X225" s="66"/>
      <c r="Y225" s="66"/>
      <c r="Z225" s="66"/>
    </row>
    <row r="226" spans="3:26" ht="12.75">
      <c r="C226" s="64"/>
      <c r="D226" s="65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6"/>
      <c r="U226" s="66"/>
      <c r="V226" s="66"/>
      <c r="W226" s="66"/>
      <c r="X226" s="66"/>
      <c r="Y226" s="66"/>
      <c r="Z226" s="66"/>
    </row>
    <row r="227" spans="3:26" ht="12.75">
      <c r="C227" s="64"/>
      <c r="D227" s="65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6"/>
      <c r="U227" s="66"/>
      <c r="V227" s="66"/>
      <c r="W227" s="66"/>
      <c r="X227" s="66"/>
      <c r="Y227" s="66"/>
      <c r="Z227" s="66"/>
    </row>
    <row r="228" spans="3:26" ht="12.75">
      <c r="C228" s="64"/>
      <c r="D228" s="65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6"/>
      <c r="U228" s="66"/>
      <c r="V228" s="66"/>
      <c r="W228" s="66"/>
      <c r="X228" s="66"/>
      <c r="Y228" s="66"/>
      <c r="Z228" s="66"/>
    </row>
    <row r="229" spans="3:26" ht="12.75">
      <c r="C229" s="64"/>
      <c r="D229" s="65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6"/>
      <c r="U229" s="66"/>
      <c r="V229" s="66"/>
      <c r="W229" s="66"/>
      <c r="X229" s="66"/>
      <c r="Y229" s="66"/>
      <c r="Z229" s="66"/>
    </row>
    <row r="230" spans="3:26" ht="12.75">
      <c r="C230" s="64"/>
      <c r="D230" s="65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6"/>
      <c r="U230" s="66"/>
      <c r="V230" s="66"/>
      <c r="W230" s="66"/>
      <c r="X230" s="66"/>
      <c r="Y230" s="66"/>
      <c r="Z230" s="66"/>
    </row>
    <row r="231" spans="3:26" ht="12.75">
      <c r="C231" s="64"/>
      <c r="D231" s="65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6"/>
      <c r="U231" s="66"/>
      <c r="V231" s="66"/>
      <c r="W231" s="66"/>
      <c r="X231" s="66"/>
      <c r="Y231" s="66"/>
      <c r="Z231" s="66"/>
    </row>
    <row r="232" spans="3:26" ht="12.75">
      <c r="C232" s="64"/>
      <c r="D232" s="65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6"/>
      <c r="U232" s="66"/>
      <c r="V232" s="66"/>
      <c r="W232" s="66"/>
      <c r="X232" s="66"/>
      <c r="Y232" s="66"/>
      <c r="Z232" s="66"/>
    </row>
    <row r="233" spans="3:26" ht="12.75">
      <c r="C233" s="64"/>
      <c r="D233" s="65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6"/>
      <c r="U233" s="66"/>
      <c r="V233" s="66"/>
      <c r="W233" s="66"/>
      <c r="X233" s="66"/>
      <c r="Y233" s="66"/>
      <c r="Z233" s="66"/>
    </row>
    <row r="234" spans="3:26" ht="12.75">
      <c r="C234" s="64"/>
      <c r="D234" s="65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6"/>
      <c r="U234" s="66"/>
      <c r="V234" s="66"/>
      <c r="W234" s="66"/>
      <c r="X234" s="66"/>
      <c r="Y234" s="66"/>
      <c r="Z234" s="66"/>
    </row>
    <row r="235" spans="3:26" ht="12.75">
      <c r="C235" s="64"/>
      <c r="D235" s="65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6"/>
      <c r="U235" s="66"/>
      <c r="V235" s="66"/>
      <c r="W235" s="66"/>
      <c r="X235" s="66"/>
      <c r="Y235" s="66"/>
      <c r="Z235" s="66"/>
    </row>
    <row r="236" spans="3:26" ht="12.75">
      <c r="C236" s="64"/>
      <c r="D236" s="65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6"/>
      <c r="U236" s="66"/>
      <c r="V236" s="66"/>
      <c r="W236" s="66"/>
      <c r="X236" s="66"/>
      <c r="Y236" s="66"/>
      <c r="Z236" s="66"/>
    </row>
    <row r="237" spans="3:26" ht="12.75">
      <c r="C237" s="64"/>
      <c r="D237" s="65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6"/>
      <c r="U237" s="66"/>
      <c r="V237" s="66"/>
      <c r="W237" s="66"/>
      <c r="X237" s="66"/>
      <c r="Y237" s="66"/>
      <c r="Z237" s="66"/>
    </row>
    <row r="238" spans="3:26" ht="12.75">
      <c r="C238" s="64"/>
      <c r="D238" s="65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6"/>
      <c r="U238" s="66"/>
      <c r="V238" s="66"/>
      <c r="W238" s="66"/>
      <c r="X238" s="66"/>
      <c r="Y238" s="66"/>
      <c r="Z238" s="66"/>
    </row>
    <row r="239" spans="3:26" ht="12.75">
      <c r="C239" s="64"/>
      <c r="D239" s="65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6"/>
      <c r="U239" s="66"/>
      <c r="V239" s="66"/>
      <c r="W239" s="66"/>
      <c r="X239" s="66"/>
      <c r="Y239" s="66"/>
      <c r="Z239" s="66"/>
    </row>
    <row r="240" spans="3:26" ht="12.75">
      <c r="C240" s="64"/>
      <c r="D240" s="65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6"/>
      <c r="U240" s="66"/>
      <c r="V240" s="66"/>
      <c r="W240" s="66"/>
      <c r="X240" s="66"/>
      <c r="Y240" s="66"/>
      <c r="Z240" s="66"/>
    </row>
    <row r="241" spans="3:26" ht="12.75">
      <c r="C241" s="64"/>
      <c r="D241" s="65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6"/>
      <c r="U241" s="66"/>
      <c r="V241" s="66"/>
      <c r="W241" s="66"/>
      <c r="X241" s="66"/>
      <c r="Y241" s="66"/>
      <c r="Z241" s="66"/>
    </row>
    <row r="242" spans="3:26" ht="12.75">
      <c r="C242" s="64"/>
      <c r="D242" s="65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6"/>
      <c r="U242" s="66"/>
      <c r="V242" s="66"/>
      <c r="W242" s="66"/>
      <c r="X242" s="66"/>
      <c r="Y242" s="66"/>
      <c r="Z242" s="66"/>
    </row>
    <row r="243" spans="3:26" ht="12.75">
      <c r="C243" s="64"/>
      <c r="D243" s="65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6"/>
      <c r="U243" s="66"/>
      <c r="V243" s="66"/>
      <c r="W243" s="66"/>
      <c r="X243" s="66"/>
      <c r="Y243" s="66"/>
      <c r="Z243" s="66"/>
    </row>
    <row r="244" spans="3:26" ht="12.75">
      <c r="C244" s="64"/>
      <c r="D244" s="65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6"/>
      <c r="U244" s="66"/>
      <c r="V244" s="66"/>
      <c r="W244" s="66"/>
      <c r="X244" s="66"/>
      <c r="Y244" s="66"/>
      <c r="Z244" s="66"/>
    </row>
    <row r="245" spans="3:26" ht="12.75">
      <c r="C245" s="64"/>
      <c r="D245" s="65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6"/>
      <c r="U245" s="66"/>
      <c r="V245" s="66"/>
      <c r="W245" s="66"/>
      <c r="X245" s="66"/>
      <c r="Y245" s="66"/>
      <c r="Z245" s="66"/>
    </row>
    <row r="246" spans="3:26" ht="12.75">
      <c r="C246" s="64"/>
      <c r="D246" s="65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6"/>
      <c r="U246" s="66"/>
      <c r="V246" s="66"/>
      <c r="W246" s="66"/>
      <c r="X246" s="66"/>
      <c r="Y246" s="66"/>
      <c r="Z246" s="66"/>
    </row>
    <row r="247" spans="3:26" ht="12.75">
      <c r="C247" s="64"/>
      <c r="D247" s="65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6"/>
      <c r="U247" s="66"/>
      <c r="V247" s="66"/>
      <c r="W247" s="66"/>
      <c r="X247" s="66"/>
      <c r="Y247" s="66"/>
      <c r="Z247" s="66"/>
    </row>
    <row r="248" spans="3:26" ht="12.75">
      <c r="C248" s="64"/>
      <c r="D248" s="65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6"/>
      <c r="U248" s="66"/>
      <c r="V248" s="66"/>
      <c r="W248" s="66"/>
      <c r="X248" s="66"/>
      <c r="Y248" s="66"/>
      <c r="Z248" s="66"/>
    </row>
    <row r="249" spans="3:26" ht="12.75">
      <c r="C249" s="64"/>
      <c r="D249" s="65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6"/>
      <c r="U249" s="66"/>
      <c r="V249" s="66"/>
      <c r="W249" s="66"/>
      <c r="X249" s="66"/>
      <c r="Y249" s="66"/>
      <c r="Z249" s="66"/>
    </row>
    <row r="250" spans="3:26" ht="12.75">
      <c r="C250" s="64"/>
      <c r="D250" s="65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6"/>
      <c r="U250" s="66"/>
      <c r="V250" s="66"/>
      <c r="W250" s="66"/>
      <c r="X250" s="66"/>
      <c r="Y250" s="66"/>
      <c r="Z250" s="66"/>
    </row>
    <row r="251" spans="3:26" ht="12.75">
      <c r="C251" s="64"/>
      <c r="D251" s="65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6"/>
      <c r="U251" s="66"/>
      <c r="V251" s="66"/>
      <c r="W251" s="66"/>
      <c r="X251" s="66"/>
      <c r="Y251" s="66"/>
      <c r="Z251" s="66"/>
    </row>
    <row r="252" spans="3:26" ht="12.75">
      <c r="C252" s="64"/>
      <c r="D252" s="65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6"/>
      <c r="U252" s="66"/>
      <c r="V252" s="66"/>
      <c r="W252" s="66"/>
      <c r="X252" s="66"/>
      <c r="Y252" s="66"/>
      <c r="Z252" s="66"/>
    </row>
    <row r="253" spans="3:26" ht="12.75">
      <c r="C253" s="64"/>
      <c r="D253" s="65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6"/>
      <c r="U253" s="66"/>
      <c r="V253" s="66"/>
      <c r="W253" s="66"/>
      <c r="X253" s="66"/>
      <c r="Y253" s="66"/>
      <c r="Z253" s="66"/>
    </row>
    <row r="254" spans="3:26" ht="12.75">
      <c r="C254" s="64"/>
      <c r="D254" s="65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6"/>
      <c r="U254" s="66"/>
      <c r="V254" s="66"/>
      <c r="W254" s="66"/>
      <c r="X254" s="66"/>
      <c r="Y254" s="66"/>
      <c r="Z254" s="66"/>
    </row>
    <row r="255" spans="3:26" ht="12.75">
      <c r="C255" s="64"/>
      <c r="D255" s="65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6"/>
      <c r="U255" s="66"/>
      <c r="V255" s="66"/>
      <c r="W255" s="66"/>
      <c r="X255" s="66"/>
      <c r="Y255" s="66"/>
      <c r="Z255" s="66"/>
    </row>
    <row r="256" spans="3:26" ht="12.75">
      <c r="C256" s="64"/>
      <c r="D256" s="65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6"/>
      <c r="U256" s="66"/>
      <c r="V256" s="66"/>
      <c r="W256" s="66"/>
      <c r="X256" s="66"/>
      <c r="Y256" s="66"/>
      <c r="Z256" s="66"/>
    </row>
    <row r="257" spans="3:26" ht="12.75">
      <c r="C257" s="64"/>
      <c r="D257" s="65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6"/>
      <c r="U257" s="66"/>
      <c r="V257" s="66"/>
      <c r="W257" s="66"/>
      <c r="X257" s="66"/>
      <c r="Y257" s="66"/>
      <c r="Z257" s="66"/>
    </row>
    <row r="258" spans="3:26" ht="12.75">
      <c r="C258" s="64"/>
      <c r="D258" s="65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6"/>
      <c r="U258" s="66"/>
      <c r="V258" s="66"/>
      <c r="W258" s="66"/>
      <c r="X258" s="66"/>
      <c r="Y258" s="66"/>
      <c r="Z258" s="66"/>
    </row>
    <row r="259" spans="3:26" ht="12.75">
      <c r="C259" s="64"/>
      <c r="D259" s="65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6"/>
      <c r="U259" s="66"/>
      <c r="V259" s="66"/>
      <c r="W259" s="66"/>
      <c r="X259" s="66"/>
      <c r="Y259" s="66"/>
      <c r="Z259" s="66"/>
    </row>
    <row r="260" spans="3:26" ht="12.75">
      <c r="C260" s="64"/>
      <c r="D260" s="65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6"/>
      <c r="U260" s="66"/>
      <c r="V260" s="66"/>
      <c r="W260" s="66"/>
      <c r="X260" s="66"/>
      <c r="Y260" s="66"/>
      <c r="Z260" s="66"/>
    </row>
    <row r="261" spans="3:26" ht="12.75">
      <c r="C261" s="64"/>
      <c r="D261" s="65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6"/>
      <c r="U261" s="66"/>
      <c r="V261" s="66"/>
      <c r="W261" s="66"/>
      <c r="X261" s="66"/>
      <c r="Y261" s="66"/>
      <c r="Z261" s="66"/>
    </row>
    <row r="262" spans="3:26" ht="12.75">
      <c r="C262" s="64"/>
      <c r="D262" s="65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6"/>
      <c r="U262" s="66"/>
      <c r="V262" s="66"/>
      <c r="W262" s="66"/>
      <c r="X262" s="66"/>
      <c r="Y262" s="66"/>
      <c r="Z262" s="66"/>
    </row>
    <row r="263" spans="3:26" ht="12.75">
      <c r="C263" s="64"/>
      <c r="D263" s="65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6"/>
      <c r="U263" s="66"/>
      <c r="V263" s="66"/>
      <c r="W263" s="66"/>
      <c r="X263" s="66"/>
      <c r="Y263" s="66"/>
      <c r="Z263" s="66"/>
    </row>
    <row r="264" spans="3:26" ht="12.75">
      <c r="C264" s="64"/>
      <c r="D264" s="65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6"/>
      <c r="U264" s="66"/>
      <c r="V264" s="66"/>
      <c r="W264" s="66"/>
      <c r="X264" s="66"/>
      <c r="Y264" s="66"/>
      <c r="Z264" s="66"/>
    </row>
    <row r="265" spans="3:26" ht="12.75">
      <c r="C265" s="64"/>
      <c r="D265" s="65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6"/>
      <c r="U265" s="66"/>
      <c r="V265" s="66"/>
      <c r="W265" s="66"/>
      <c r="X265" s="66"/>
      <c r="Y265" s="66"/>
      <c r="Z265" s="66"/>
    </row>
    <row r="266" spans="3:26" ht="12.75">
      <c r="C266" s="64"/>
      <c r="D266" s="65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6"/>
      <c r="U266" s="66"/>
      <c r="V266" s="66"/>
      <c r="W266" s="66"/>
      <c r="X266" s="66"/>
      <c r="Y266" s="66"/>
      <c r="Z266" s="66"/>
    </row>
    <row r="267" spans="3:26" ht="12.75">
      <c r="C267" s="64"/>
      <c r="D267" s="65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6"/>
      <c r="U267" s="66"/>
      <c r="V267" s="66"/>
      <c r="W267" s="66"/>
      <c r="X267" s="66"/>
      <c r="Y267" s="66"/>
      <c r="Z267" s="66"/>
    </row>
    <row r="268" spans="3:26" ht="12.75">
      <c r="C268" s="64"/>
      <c r="D268" s="65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6"/>
      <c r="U268" s="66"/>
      <c r="V268" s="66"/>
      <c r="W268" s="66"/>
      <c r="X268" s="66"/>
      <c r="Y268" s="66"/>
      <c r="Z268" s="66"/>
    </row>
    <row r="269" spans="3:26" ht="12.75">
      <c r="C269" s="64"/>
      <c r="D269" s="65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6"/>
      <c r="U269" s="66"/>
      <c r="V269" s="66"/>
      <c r="W269" s="66"/>
      <c r="X269" s="66"/>
      <c r="Y269" s="66"/>
      <c r="Z269" s="66"/>
    </row>
    <row r="270" spans="3:26" ht="12.75">
      <c r="C270" s="64"/>
      <c r="D270" s="65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6"/>
      <c r="U270" s="66"/>
      <c r="V270" s="66"/>
      <c r="W270" s="66"/>
      <c r="X270" s="66"/>
      <c r="Y270" s="66"/>
      <c r="Z270" s="66"/>
    </row>
    <row r="271" spans="3:26" ht="12.75">
      <c r="C271" s="64"/>
      <c r="D271" s="65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6"/>
      <c r="U271" s="66"/>
      <c r="V271" s="66"/>
      <c r="W271" s="66"/>
      <c r="X271" s="66"/>
      <c r="Y271" s="66"/>
      <c r="Z271" s="66"/>
    </row>
    <row r="272" spans="3:26" ht="12.75">
      <c r="C272" s="64"/>
      <c r="D272" s="65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6"/>
      <c r="U272" s="66"/>
      <c r="V272" s="66"/>
      <c r="W272" s="66"/>
      <c r="X272" s="66"/>
      <c r="Y272" s="66"/>
      <c r="Z272" s="66"/>
    </row>
    <row r="273" spans="3:26" ht="12.75">
      <c r="C273" s="64"/>
      <c r="D273" s="65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6"/>
      <c r="U273" s="66"/>
      <c r="V273" s="66"/>
      <c r="W273" s="66"/>
      <c r="X273" s="66"/>
      <c r="Y273" s="66"/>
      <c r="Z273" s="66"/>
    </row>
    <row r="274" spans="3:26" ht="12.75">
      <c r="C274" s="64"/>
      <c r="D274" s="65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6"/>
      <c r="U274" s="66"/>
      <c r="V274" s="66"/>
      <c r="W274" s="66"/>
      <c r="X274" s="66"/>
      <c r="Y274" s="66"/>
      <c r="Z274" s="66"/>
    </row>
    <row r="275" spans="3:26" ht="12.75">
      <c r="C275" s="64"/>
      <c r="D275" s="65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6"/>
      <c r="U275" s="66"/>
      <c r="V275" s="66"/>
      <c r="W275" s="66"/>
      <c r="X275" s="66"/>
      <c r="Y275" s="66"/>
      <c r="Z275" s="66"/>
    </row>
    <row r="276" spans="3:26" ht="12.75">
      <c r="C276" s="64"/>
      <c r="D276" s="65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6"/>
      <c r="U276" s="66"/>
      <c r="V276" s="66"/>
      <c r="W276" s="66"/>
      <c r="X276" s="66"/>
      <c r="Y276" s="66"/>
      <c r="Z276" s="66"/>
    </row>
    <row r="277" spans="3:26" ht="12.75">
      <c r="C277" s="64"/>
      <c r="D277" s="65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6"/>
      <c r="U277" s="66"/>
      <c r="V277" s="66"/>
      <c r="W277" s="66"/>
      <c r="X277" s="66"/>
      <c r="Y277" s="66"/>
      <c r="Z277" s="66"/>
    </row>
    <row r="278" spans="3:26" ht="12.75">
      <c r="C278" s="64"/>
      <c r="D278" s="65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6"/>
      <c r="U278" s="66"/>
      <c r="V278" s="66"/>
      <c r="W278" s="66"/>
      <c r="X278" s="66"/>
      <c r="Y278" s="66"/>
      <c r="Z278" s="66"/>
    </row>
    <row r="279" spans="3:26" ht="12.75">
      <c r="C279" s="64"/>
      <c r="D279" s="65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6"/>
      <c r="U279" s="66"/>
      <c r="V279" s="66"/>
      <c r="W279" s="66"/>
      <c r="X279" s="66"/>
      <c r="Y279" s="66"/>
      <c r="Z279" s="66"/>
    </row>
    <row r="280" spans="3:26" ht="12.75">
      <c r="C280" s="64"/>
      <c r="D280" s="65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6"/>
      <c r="U280" s="66"/>
      <c r="V280" s="66"/>
      <c r="W280" s="66"/>
      <c r="X280" s="66"/>
      <c r="Y280" s="66"/>
      <c r="Z280" s="66"/>
    </row>
    <row r="281" spans="3:26" ht="12.75">
      <c r="C281" s="64"/>
      <c r="D281" s="65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6"/>
      <c r="U281" s="66"/>
      <c r="V281" s="66"/>
      <c r="W281" s="66"/>
      <c r="X281" s="66"/>
      <c r="Y281" s="66"/>
      <c r="Z281" s="66"/>
    </row>
    <row r="282" spans="3:26" ht="12.75">
      <c r="C282" s="64"/>
      <c r="D282" s="65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6"/>
      <c r="U282" s="66"/>
      <c r="V282" s="66"/>
      <c r="W282" s="66"/>
      <c r="X282" s="66"/>
      <c r="Y282" s="66"/>
      <c r="Z282" s="66"/>
    </row>
    <row r="283" spans="3:26" ht="12.75">
      <c r="C283" s="64"/>
      <c r="D283" s="65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6"/>
      <c r="U283" s="66"/>
      <c r="V283" s="66"/>
      <c r="W283" s="66"/>
      <c r="X283" s="66"/>
      <c r="Y283" s="66"/>
      <c r="Z283" s="66"/>
    </row>
    <row r="284" spans="3:26" ht="12.75">
      <c r="C284" s="64"/>
      <c r="D284" s="65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6"/>
      <c r="U284" s="66"/>
      <c r="V284" s="66"/>
      <c r="W284" s="66"/>
      <c r="X284" s="66"/>
      <c r="Y284" s="66"/>
      <c r="Z284" s="66"/>
    </row>
    <row r="285" spans="3:26" ht="12.75">
      <c r="C285" s="64"/>
      <c r="D285" s="65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6"/>
      <c r="U285" s="66"/>
      <c r="V285" s="66"/>
      <c r="W285" s="66"/>
      <c r="X285" s="66"/>
      <c r="Y285" s="66"/>
      <c r="Z285" s="66"/>
    </row>
    <row r="286" spans="3:26" ht="12.75">
      <c r="C286" s="64"/>
      <c r="D286" s="65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6"/>
      <c r="U286" s="66"/>
      <c r="V286" s="66"/>
      <c r="W286" s="66"/>
      <c r="X286" s="66"/>
      <c r="Y286" s="66"/>
      <c r="Z286" s="66"/>
    </row>
    <row r="287" spans="3:26" ht="12.75">
      <c r="C287" s="64"/>
      <c r="D287" s="65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6"/>
      <c r="U287" s="66"/>
      <c r="V287" s="66"/>
      <c r="W287" s="66"/>
      <c r="X287" s="66"/>
      <c r="Y287" s="66"/>
      <c r="Z287" s="66"/>
    </row>
    <row r="288" spans="3:26" ht="12.75">
      <c r="C288" s="64"/>
      <c r="D288" s="65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6"/>
      <c r="U288" s="66"/>
      <c r="V288" s="66"/>
      <c r="W288" s="66"/>
      <c r="X288" s="66"/>
      <c r="Y288" s="66"/>
      <c r="Z288" s="66"/>
    </row>
    <row r="289" spans="3:26" ht="12.75">
      <c r="C289" s="64"/>
      <c r="D289" s="65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6"/>
      <c r="U289" s="66"/>
      <c r="V289" s="66"/>
      <c r="W289" s="66"/>
      <c r="X289" s="66"/>
      <c r="Y289" s="66"/>
      <c r="Z289" s="66"/>
    </row>
    <row r="290" spans="3:26" ht="12.75">
      <c r="C290" s="64"/>
      <c r="D290" s="65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6"/>
      <c r="U290" s="66"/>
      <c r="V290" s="66"/>
      <c r="W290" s="66"/>
      <c r="X290" s="66"/>
      <c r="Y290" s="66"/>
      <c r="Z290" s="66"/>
    </row>
    <row r="291" spans="3:26" ht="12.75">
      <c r="C291" s="64"/>
      <c r="D291" s="65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6"/>
      <c r="U291" s="66"/>
      <c r="V291" s="66"/>
      <c r="W291" s="66"/>
      <c r="X291" s="66"/>
      <c r="Y291" s="66"/>
      <c r="Z291" s="66"/>
    </row>
    <row r="292" spans="3:26" ht="12.75">
      <c r="C292" s="64"/>
      <c r="D292" s="65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6"/>
      <c r="U292" s="66"/>
      <c r="V292" s="66"/>
      <c r="W292" s="66"/>
      <c r="X292" s="66"/>
      <c r="Y292" s="66"/>
      <c r="Z292" s="66"/>
    </row>
    <row r="293" spans="3:26" ht="12.75">
      <c r="C293" s="64"/>
      <c r="D293" s="65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6"/>
      <c r="U293" s="66"/>
      <c r="V293" s="66"/>
      <c r="W293" s="66"/>
      <c r="X293" s="66"/>
      <c r="Y293" s="66"/>
      <c r="Z293" s="66"/>
    </row>
    <row r="294" spans="3:26" ht="12.75">
      <c r="C294" s="64"/>
      <c r="D294" s="65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6"/>
      <c r="U294" s="66"/>
      <c r="V294" s="66"/>
      <c r="W294" s="66"/>
      <c r="X294" s="66"/>
      <c r="Y294" s="66"/>
      <c r="Z294" s="66"/>
    </row>
    <row r="295" spans="3:26" ht="12.75">
      <c r="C295" s="64"/>
      <c r="D295" s="65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6"/>
      <c r="U295" s="66"/>
      <c r="V295" s="66"/>
      <c r="W295" s="66"/>
      <c r="X295" s="66"/>
      <c r="Y295" s="66"/>
      <c r="Z295" s="66"/>
    </row>
    <row r="296" spans="3:26" ht="12.75">
      <c r="C296" s="64"/>
      <c r="D296" s="65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6"/>
      <c r="U296" s="66"/>
      <c r="V296" s="66"/>
      <c r="W296" s="66"/>
      <c r="X296" s="66"/>
      <c r="Y296" s="66"/>
      <c r="Z296" s="66"/>
    </row>
    <row r="297" spans="3:26" ht="12.75">
      <c r="C297" s="64"/>
      <c r="D297" s="65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6"/>
      <c r="U297" s="66"/>
      <c r="V297" s="66"/>
      <c r="W297" s="66"/>
      <c r="X297" s="66"/>
      <c r="Y297" s="66"/>
      <c r="Z297" s="66"/>
    </row>
    <row r="298" spans="3:26" ht="12.75">
      <c r="C298" s="64"/>
      <c r="D298" s="65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6"/>
      <c r="U298" s="66"/>
      <c r="V298" s="66"/>
      <c r="W298" s="66"/>
      <c r="X298" s="66"/>
      <c r="Y298" s="66"/>
      <c r="Z298" s="66"/>
    </row>
    <row r="299" spans="3:26" ht="12.75">
      <c r="C299" s="64"/>
      <c r="D299" s="65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6"/>
      <c r="U299" s="66"/>
      <c r="V299" s="66"/>
      <c r="W299" s="66"/>
      <c r="X299" s="66"/>
      <c r="Y299" s="66"/>
      <c r="Z299" s="66"/>
    </row>
    <row r="300" spans="3:26" ht="12.75">
      <c r="C300" s="64"/>
      <c r="D300" s="65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6"/>
      <c r="U300" s="66"/>
      <c r="V300" s="66"/>
      <c r="W300" s="66"/>
      <c r="X300" s="66"/>
      <c r="Y300" s="66"/>
      <c r="Z300" s="66"/>
    </row>
    <row r="301" spans="3:26" ht="12.75">
      <c r="C301" s="64"/>
      <c r="D301" s="65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6"/>
      <c r="U301" s="66"/>
      <c r="V301" s="66"/>
      <c r="W301" s="66"/>
      <c r="X301" s="66"/>
      <c r="Y301" s="66"/>
      <c r="Z301" s="66"/>
    </row>
    <row r="302" spans="3:26" ht="12.75">
      <c r="C302" s="64"/>
      <c r="D302" s="65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6"/>
      <c r="U302" s="66"/>
      <c r="V302" s="66"/>
      <c r="W302" s="66"/>
      <c r="X302" s="66"/>
      <c r="Y302" s="66"/>
      <c r="Z302" s="66"/>
    </row>
    <row r="303" spans="3:26" ht="12.75">
      <c r="C303" s="64"/>
      <c r="D303" s="65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6"/>
      <c r="U303" s="66"/>
      <c r="V303" s="66"/>
      <c r="W303" s="66"/>
      <c r="X303" s="66"/>
      <c r="Y303" s="66"/>
      <c r="Z303" s="66"/>
    </row>
    <row r="304" spans="3:26" ht="12.75">
      <c r="C304" s="64"/>
      <c r="D304" s="65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6"/>
      <c r="U304" s="66"/>
      <c r="V304" s="66"/>
      <c r="W304" s="66"/>
      <c r="X304" s="66"/>
      <c r="Y304" s="66"/>
      <c r="Z304" s="66"/>
    </row>
    <row r="305" spans="3:26" ht="12.75">
      <c r="C305" s="64"/>
      <c r="D305" s="65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6"/>
      <c r="U305" s="66"/>
      <c r="V305" s="66"/>
      <c r="W305" s="66"/>
      <c r="X305" s="66"/>
      <c r="Y305" s="66"/>
      <c r="Z305" s="66"/>
    </row>
    <row r="306" spans="3:26" ht="12.75">
      <c r="C306" s="64"/>
      <c r="D306" s="65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6"/>
      <c r="U306" s="66"/>
      <c r="V306" s="66"/>
      <c r="W306" s="66"/>
      <c r="X306" s="66"/>
      <c r="Y306" s="66"/>
      <c r="Z306" s="66"/>
    </row>
    <row r="307" spans="3:26" ht="12.75">
      <c r="C307" s="64"/>
      <c r="D307" s="65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6"/>
      <c r="U307" s="66"/>
      <c r="V307" s="66"/>
      <c r="W307" s="66"/>
      <c r="X307" s="66"/>
      <c r="Y307" s="66"/>
      <c r="Z307" s="66"/>
    </row>
    <row r="308" spans="3:26" ht="12.75">
      <c r="C308" s="64"/>
      <c r="D308" s="65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6"/>
      <c r="U308" s="66"/>
      <c r="V308" s="66"/>
      <c r="W308" s="66"/>
      <c r="X308" s="66"/>
      <c r="Y308" s="66"/>
      <c r="Z308" s="66"/>
    </row>
    <row r="309" spans="3:26" ht="12.75">
      <c r="C309" s="64"/>
      <c r="D309" s="65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6"/>
      <c r="U309" s="66"/>
      <c r="V309" s="66"/>
      <c r="W309" s="66"/>
      <c r="X309" s="66"/>
      <c r="Y309" s="66"/>
      <c r="Z309" s="66"/>
    </row>
    <row r="310" spans="3:26" ht="12.75">
      <c r="C310" s="64"/>
      <c r="D310" s="65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6"/>
      <c r="U310" s="66"/>
      <c r="V310" s="66"/>
      <c r="W310" s="66"/>
      <c r="X310" s="66"/>
      <c r="Y310" s="66"/>
      <c r="Z310" s="66"/>
    </row>
    <row r="311" spans="3:26" ht="12.75">
      <c r="C311" s="64"/>
      <c r="D311" s="65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6"/>
      <c r="U311" s="66"/>
      <c r="V311" s="66"/>
      <c r="W311" s="66"/>
      <c r="X311" s="66"/>
      <c r="Y311" s="66"/>
      <c r="Z311" s="66"/>
    </row>
    <row r="312" spans="3:26" ht="12.75">
      <c r="C312" s="64"/>
      <c r="D312" s="65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6"/>
      <c r="U312" s="66"/>
      <c r="V312" s="66"/>
      <c r="W312" s="66"/>
      <c r="X312" s="66"/>
      <c r="Y312" s="66"/>
      <c r="Z312" s="66"/>
    </row>
    <row r="313" spans="3:26" ht="12.75">
      <c r="C313" s="64"/>
      <c r="D313" s="65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6"/>
      <c r="U313" s="66"/>
      <c r="V313" s="66"/>
      <c r="W313" s="66"/>
      <c r="X313" s="66"/>
      <c r="Y313" s="66"/>
      <c r="Z313" s="66"/>
    </row>
    <row r="314" spans="3:26" ht="12.75">
      <c r="C314" s="64"/>
      <c r="D314" s="65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6"/>
      <c r="U314" s="66"/>
      <c r="V314" s="66"/>
      <c r="W314" s="66"/>
      <c r="X314" s="66"/>
      <c r="Y314" s="66"/>
      <c r="Z314" s="66"/>
    </row>
    <row r="315" spans="3:26" ht="12.75">
      <c r="C315" s="64"/>
      <c r="D315" s="65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6"/>
      <c r="U315" s="66"/>
      <c r="V315" s="66"/>
      <c r="W315" s="66"/>
      <c r="X315" s="66"/>
      <c r="Y315" s="66"/>
      <c r="Z315" s="66"/>
    </row>
    <row r="316" spans="3:26" ht="12.75">
      <c r="C316" s="64"/>
      <c r="D316" s="65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6"/>
      <c r="U316" s="66"/>
      <c r="V316" s="66"/>
      <c r="W316" s="66"/>
      <c r="X316" s="66"/>
      <c r="Y316" s="66"/>
      <c r="Z316" s="66"/>
    </row>
    <row r="317" spans="3:26" ht="12.75">
      <c r="C317" s="64"/>
      <c r="D317" s="65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6"/>
      <c r="U317" s="66"/>
      <c r="V317" s="66"/>
      <c r="W317" s="66"/>
      <c r="X317" s="66"/>
      <c r="Y317" s="66"/>
      <c r="Z317" s="66"/>
    </row>
    <row r="318" spans="3:26" ht="12.75">
      <c r="C318" s="64"/>
      <c r="D318" s="65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6"/>
      <c r="U318" s="66"/>
      <c r="V318" s="66"/>
      <c r="W318" s="66"/>
      <c r="X318" s="66"/>
      <c r="Y318" s="66"/>
      <c r="Z318" s="66"/>
    </row>
    <row r="319" spans="3:26" ht="12.75">
      <c r="C319" s="64"/>
      <c r="D319" s="65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6"/>
      <c r="U319" s="66"/>
      <c r="V319" s="66"/>
      <c r="W319" s="66"/>
      <c r="X319" s="66"/>
      <c r="Y319" s="66"/>
      <c r="Z319" s="66"/>
    </row>
    <row r="320" spans="3:26" ht="12.75">
      <c r="C320" s="64"/>
      <c r="D320" s="65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6"/>
      <c r="U320" s="66"/>
      <c r="V320" s="66"/>
      <c r="W320" s="66"/>
      <c r="X320" s="66"/>
      <c r="Y320" s="66"/>
      <c r="Z320" s="66"/>
    </row>
    <row r="321" spans="3:26" ht="12.75">
      <c r="C321" s="64"/>
      <c r="D321" s="65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6"/>
      <c r="U321" s="66"/>
      <c r="V321" s="66"/>
      <c r="W321" s="66"/>
      <c r="X321" s="66"/>
      <c r="Y321" s="66"/>
      <c r="Z321" s="66"/>
    </row>
    <row r="322" spans="3:26" ht="12.75">
      <c r="C322" s="64"/>
      <c r="D322" s="65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6"/>
      <c r="U322" s="66"/>
      <c r="V322" s="66"/>
      <c r="W322" s="66"/>
      <c r="X322" s="66"/>
      <c r="Y322" s="66"/>
      <c r="Z322" s="66"/>
    </row>
    <row r="323" spans="3:26" ht="12.75">
      <c r="C323" s="64"/>
      <c r="D323" s="65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6"/>
      <c r="U323" s="66"/>
      <c r="V323" s="66"/>
      <c r="W323" s="66"/>
      <c r="X323" s="66"/>
      <c r="Y323" s="66"/>
      <c r="Z323" s="66"/>
    </row>
    <row r="324" spans="3:26" ht="12.75">
      <c r="C324" s="64"/>
      <c r="D324" s="65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6"/>
      <c r="U324" s="66"/>
      <c r="V324" s="66"/>
      <c r="W324" s="66"/>
      <c r="X324" s="66"/>
      <c r="Y324" s="66"/>
      <c r="Z324" s="66"/>
    </row>
    <row r="325" spans="3:26" ht="12.75">
      <c r="C325" s="64"/>
      <c r="D325" s="65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6"/>
      <c r="U325" s="66"/>
      <c r="V325" s="66"/>
      <c r="W325" s="66"/>
      <c r="X325" s="66"/>
      <c r="Y325" s="66"/>
      <c r="Z325" s="66"/>
    </row>
    <row r="326" spans="3:26" ht="12.75">
      <c r="C326" s="64"/>
      <c r="D326" s="65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6"/>
      <c r="U326" s="66"/>
      <c r="V326" s="66"/>
      <c r="W326" s="66"/>
      <c r="X326" s="66"/>
      <c r="Y326" s="66"/>
      <c r="Z326" s="66"/>
    </row>
    <row r="327" spans="3:26" ht="12.75">
      <c r="C327" s="64"/>
      <c r="D327" s="65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6"/>
      <c r="U327" s="66"/>
      <c r="V327" s="66"/>
      <c r="W327" s="66"/>
      <c r="X327" s="66"/>
      <c r="Y327" s="66"/>
      <c r="Z327" s="66"/>
    </row>
    <row r="328" spans="3:26" ht="12.75">
      <c r="C328" s="64"/>
      <c r="D328" s="65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6"/>
      <c r="U328" s="66"/>
      <c r="V328" s="66"/>
      <c r="W328" s="66"/>
      <c r="X328" s="66"/>
      <c r="Y328" s="66"/>
      <c r="Z328" s="66"/>
    </row>
    <row r="329" spans="3:26" ht="12.75">
      <c r="C329" s="64"/>
      <c r="D329" s="65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6"/>
      <c r="U329" s="66"/>
      <c r="V329" s="66"/>
      <c r="W329" s="66"/>
      <c r="X329" s="66"/>
      <c r="Y329" s="66"/>
      <c r="Z329" s="66"/>
    </row>
    <row r="330" spans="3:26" ht="12.75">
      <c r="C330" s="64"/>
      <c r="D330" s="65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6"/>
      <c r="U330" s="66"/>
      <c r="V330" s="66"/>
      <c r="W330" s="66"/>
      <c r="X330" s="66"/>
      <c r="Y330" s="66"/>
      <c r="Z330" s="66"/>
    </row>
    <row r="331" spans="3:26" ht="12.75">
      <c r="C331" s="64"/>
      <c r="D331" s="65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6"/>
      <c r="U331" s="66"/>
      <c r="V331" s="66"/>
      <c r="W331" s="66"/>
      <c r="X331" s="66"/>
      <c r="Y331" s="66"/>
      <c r="Z331" s="66"/>
    </row>
    <row r="332" spans="3:26" ht="12.75">
      <c r="C332" s="64"/>
      <c r="D332" s="65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6"/>
      <c r="U332" s="66"/>
      <c r="V332" s="66"/>
      <c r="W332" s="66"/>
      <c r="X332" s="66"/>
      <c r="Y332" s="66"/>
      <c r="Z332" s="66"/>
    </row>
    <row r="333" spans="3:26" ht="12.75">
      <c r="C333" s="64"/>
      <c r="D333" s="65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6"/>
      <c r="U333" s="66"/>
      <c r="V333" s="66"/>
      <c r="W333" s="66"/>
      <c r="X333" s="66"/>
      <c r="Y333" s="66"/>
      <c r="Z333" s="66"/>
    </row>
    <row r="334" spans="3:26" ht="12.75">
      <c r="C334" s="64"/>
      <c r="D334" s="65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6"/>
      <c r="U334" s="66"/>
      <c r="V334" s="66"/>
      <c r="W334" s="66"/>
      <c r="X334" s="66"/>
      <c r="Y334" s="66"/>
      <c r="Z334" s="66"/>
    </row>
    <row r="335" spans="3:26" ht="12.75">
      <c r="C335" s="64"/>
      <c r="D335" s="65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6"/>
      <c r="U335" s="66"/>
      <c r="V335" s="66"/>
      <c r="W335" s="66"/>
      <c r="X335" s="66"/>
      <c r="Y335" s="66"/>
      <c r="Z335" s="66"/>
    </row>
    <row r="336" spans="3:26" ht="12.75">
      <c r="C336" s="64"/>
      <c r="D336" s="65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6"/>
      <c r="U336" s="66"/>
      <c r="V336" s="66"/>
      <c r="W336" s="66"/>
      <c r="X336" s="66"/>
      <c r="Y336" s="66"/>
      <c r="Z336" s="66"/>
    </row>
    <row r="337" spans="3:26" ht="12.75">
      <c r="C337" s="64"/>
      <c r="D337" s="65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6"/>
      <c r="U337" s="66"/>
      <c r="V337" s="66"/>
      <c r="W337" s="66"/>
      <c r="X337" s="66"/>
      <c r="Y337" s="66"/>
      <c r="Z337" s="66"/>
    </row>
    <row r="338" spans="3:26" ht="12.75">
      <c r="C338" s="64"/>
      <c r="D338" s="65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6"/>
      <c r="U338" s="66"/>
      <c r="V338" s="66"/>
      <c r="W338" s="66"/>
      <c r="X338" s="66"/>
      <c r="Y338" s="66"/>
      <c r="Z338" s="66"/>
    </row>
    <row r="339" spans="3:26" ht="12.75">
      <c r="C339" s="64"/>
      <c r="D339" s="65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6"/>
      <c r="U339" s="66"/>
      <c r="V339" s="66"/>
      <c r="W339" s="66"/>
      <c r="X339" s="66"/>
      <c r="Y339" s="66"/>
      <c r="Z339" s="66"/>
    </row>
    <row r="340" spans="3:26" ht="12.75">
      <c r="C340" s="64"/>
      <c r="D340" s="65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6"/>
      <c r="U340" s="66"/>
      <c r="V340" s="66"/>
      <c r="W340" s="66"/>
      <c r="X340" s="66"/>
      <c r="Y340" s="66"/>
      <c r="Z340" s="66"/>
    </row>
    <row r="341" spans="3:26" ht="12.75">
      <c r="C341" s="64"/>
      <c r="D341" s="65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6"/>
      <c r="U341" s="66"/>
      <c r="V341" s="66"/>
      <c r="W341" s="66"/>
      <c r="X341" s="66"/>
      <c r="Y341" s="66"/>
      <c r="Z341" s="66"/>
    </row>
    <row r="342" spans="3:26" ht="12.75">
      <c r="C342" s="64"/>
      <c r="D342" s="65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6"/>
      <c r="U342" s="66"/>
      <c r="V342" s="66"/>
      <c r="W342" s="66"/>
      <c r="X342" s="66"/>
      <c r="Y342" s="66"/>
      <c r="Z342" s="66"/>
    </row>
    <row r="343" spans="3:26" ht="12.75">
      <c r="C343" s="64"/>
      <c r="D343" s="65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6"/>
      <c r="U343" s="66"/>
      <c r="V343" s="66"/>
      <c r="W343" s="66"/>
      <c r="X343" s="66"/>
      <c r="Y343" s="66"/>
      <c r="Z343" s="66"/>
    </row>
    <row r="344" spans="3:26" ht="12.75">
      <c r="C344" s="64"/>
      <c r="D344" s="65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6"/>
      <c r="U344" s="66"/>
      <c r="V344" s="66"/>
      <c r="W344" s="66"/>
      <c r="X344" s="66"/>
      <c r="Y344" s="66"/>
      <c r="Z344" s="66"/>
    </row>
    <row r="345" spans="3:26" ht="12.75">
      <c r="C345" s="64"/>
      <c r="D345" s="65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6"/>
      <c r="U345" s="66"/>
      <c r="V345" s="66"/>
      <c r="W345" s="66"/>
      <c r="X345" s="66"/>
      <c r="Y345" s="66"/>
      <c r="Z345" s="66"/>
    </row>
    <row r="346" spans="3:26" ht="12.75">
      <c r="C346" s="64"/>
      <c r="D346" s="65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6"/>
      <c r="U346" s="66"/>
      <c r="V346" s="66"/>
      <c r="W346" s="66"/>
      <c r="X346" s="66"/>
      <c r="Y346" s="66"/>
      <c r="Z346" s="66"/>
    </row>
    <row r="347" spans="3:26" ht="12.75">
      <c r="C347" s="64"/>
      <c r="D347" s="65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6"/>
      <c r="U347" s="66"/>
      <c r="V347" s="66"/>
      <c r="W347" s="66"/>
      <c r="X347" s="66"/>
      <c r="Y347" s="66"/>
      <c r="Z347" s="66"/>
    </row>
    <row r="348" spans="3:26" ht="12.75">
      <c r="C348" s="64"/>
      <c r="D348" s="65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6"/>
      <c r="U348" s="66"/>
      <c r="V348" s="66"/>
      <c r="W348" s="66"/>
      <c r="X348" s="66"/>
      <c r="Y348" s="66"/>
      <c r="Z348" s="66"/>
    </row>
    <row r="349" spans="3:26" ht="12.75">
      <c r="C349" s="64"/>
      <c r="D349" s="65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6"/>
      <c r="U349" s="66"/>
      <c r="V349" s="66"/>
      <c r="W349" s="66"/>
      <c r="X349" s="66"/>
      <c r="Y349" s="66"/>
      <c r="Z349" s="66"/>
    </row>
    <row r="350" spans="3:26" ht="12.75">
      <c r="C350" s="64"/>
      <c r="D350" s="65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6"/>
      <c r="U350" s="66"/>
      <c r="V350" s="66"/>
      <c r="W350" s="66"/>
      <c r="X350" s="66"/>
      <c r="Y350" s="66"/>
      <c r="Z350" s="66"/>
    </row>
    <row r="351" spans="3:26" ht="12.75">
      <c r="C351" s="64"/>
      <c r="D351" s="65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6"/>
      <c r="U351" s="66"/>
      <c r="V351" s="66"/>
      <c r="W351" s="66"/>
      <c r="X351" s="66"/>
      <c r="Y351" s="66"/>
      <c r="Z351" s="66"/>
    </row>
    <row r="352" spans="3:26" ht="12.75">
      <c r="C352" s="64"/>
      <c r="D352" s="65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6"/>
      <c r="U352" s="66"/>
      <c r="V352" s="66"/>
      <c r="W352" s="66"/>
      <c r="X352" s="66"/>
      <c r="Y352" s="66"/>
      <c r="Z352" s="66"/>
    </row>
    <row r="353" spans="3:26" ht="12.75">
      <c r="C353" s="64"/>
      <c r="D353" s="65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6"/>
      <c r="U353" s="66"/>
      <c r="V353" s="66"/>
      <c r="W353" s="66"/>
      <c r="X353" s="66"/>
      <c r="Y353" s="66"/>
      <c r="Z353" s="66"/>
    </row>
    <row r="354" spans="3:26" ht="12.75">
      <c r="C354" s="64"/>
      <c r="D354" s="65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6"/>
      <c r="U354" s="66"/>
      <c r="V354" s="66"/>
      <c r="W354" s="66"/>
      <c r="X354" s="66"/>
      <c r="Y354" s="66"/>
      <c r="Z354" s="66"/>
    </row>
    <row r="355" spans="3:26" ht="12.75">
      <c r="C355" s="64"/>
      <c r="D355" s="65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6"/>
      <c r="U355" s="66"/>
      <c r="V355" s="66"/>
      <c r="W355" s="66"/>
      <c r="X355" s="66"/>
      <c r="Y355" s="66"/>
      <c r="Z355" s="66"/>
    </row>
    <row r="356" spans="3:26" ht="12.75">
      <c r="C356" s="64"/>
      <c r="D356" s="65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6"/>
      <c r="U356" s="66"/>
      <c r="V356" s="66"/>
      <c r="W356" s="66"/>
      <c r="X356" s="66"/>
      <c r="Y356" s="66"/>
      <c r="Z356" s="66"/>
    </row>
    <row r="357" spans="3:26" ht="12.75">
      <c r="C357" s="64"/>
      <c r="D357" s="65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6"/>
      <c r="U357" s="66"/>
      <c r="V357" s="66"/>
      <c r="W357" s="66"/>
      <c r="X357" s="66"/>
      <c r="Y357" s="66"/>
      <c r="Z357" s="66"/>
    </row>
    <row r="358" spans="3:26" ht="12.75">
      <c r="C358" s="64"/>
      <c r="D358" s="65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6"/>
      <c r="U358" s="66"/>
      <c r="V358" s="66"/>
      <c r="W358" s="66"/>
      <c r="X358" s="66"/>
      <c r="Y358" s="66"/>
      <c r="Z358" s="66"/>
    </row>
    <row r="359" spans="3:26" ht="12.75">
      <c r="C359" s="64"/>
      <c r="D359" s="65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6"/>
      <c r="U359" s="66"/>
      <c r="V359" s="66"/>
      <c r="W359" s="66"/>
      <c r="X359" s="66"/>
      <c r="Y359" s="66"/>
      <c r="Z359" s="66"/>
    </row>
    <row r="360" spans="3:26" ht="12.75">
      <c r="C360" s="64"/>
      <c r="D360" s="65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6"/>
      <c r="U360" s="66"/>
      <c r="V360" s="66"/>
      <c r="W360" s="66"/>
      <c r="X360" s="66"/>
      <c r="Y360" s="66"/>
      <c r="Z360" s="66"/>
    </row>
    <row r="361" spans="3:26" ht="12.75">
      <c r="C361" s="64"/>
      <c r="D361" s="65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6"/>
      <c r="U361" s="66"/>
      <c r="V361" s="66"/>
      <c r="W361" s="66"/>
      <c r="X361" s="66"/>
      <c r="Y361" s="66"/>
      <c r="Z361" s="66"/>
    </row>
    <row r="362" spans="3:26" ht="12.75">
      <c r="C362" s="64"/>
      <c r="D362" s="65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6"/>
      <c r="U362" s="66"/>
      <c r="V362" s="66"/>
      <c r="W362" s="66"/>
      <c r="X362" s="66"/>
      <c r="Y362" s="66"/>
      <c r="Z362" s="66"/>
    </row>
    <row r="363" spans="3:26" ht="12.75">
      <c r="C363" s="64"/>
      <c r="D363" s="65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6"/>
      <c r="U363" s="66"/>
      <c r="V363" s="66"/>
      <c r="W363" s="66"/>
      <c r="X363" s="66"/>
      <c r="Y363" s="66"/>
      <c r="Z363" s="66"/>
    </row>
    <row r="364" spans="3:26" ht="12.75">
      <c r="C364" s="64"/>
      <c r="D364" s="65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6"/>
      <c r="U364" s="66"/>
      <c r="V364" s="66"/>
      <c r="W364" s="66"/>
      <c r="X364" s="66"/>
      <c r="Y364" s="66"/>
      <c r="Z364" s="66"/>
    </row>
    <row r="365" spans="3:26" ht="12.75">
      <c r="C365" s="64"/>
      <c r="D365" s="65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6"/>
      <c r="U365" s="66"/>
      <c r="V365" s="66"/>
      <c r="W365" s="66"/>
      <c r="X365" s="66"/>
      <c r="Y365" s="66"/>
      <c r="Z365" s="66"/>
    </row>
    <row r="366" spans="3:26" ht="12.75">
      <c r="C366" s="64"/>
      <c r="D366" s="65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6"/>
      <c r="U366" s="66"/>
      <c r="V366" s="66"/>
      <c r="W366" s="66"/>
      <c r="X366" s="66"/>
      <c r="Y366" s="66"/>
      <c r="Z366" s="66"/>
    </row>
    <row r="367" spans="3:26" ht="12.75">
      <c r="C367" s="64"/>
      <c r="D367" s="65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6"/>
      <c r="U367" s="66"/>
      <c r="V367" s="66"/>
      <c r="W367" s="66"/>
      <c r="X367" s="66"/>
      <c r="Y367" s="66"/>
      <c r="Z367" s="66"/>
    </row>
    <row r="368" spans="3:26" ht="12.75">
      <c r="C368" s="64"/>
      <c r="D368" s="65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6"/>
      <c r="U368" s="66"/>
      <c r="V368" s="66"/>
      <c r="W368" s="66"/>
      <c r="X368" s="66"/>
      <c r="Y368" s="66"/>
      <c r="Z368" s="66"/>
    </row>
    <row r="369" spans="3:26" ht="12.75">
      <c r="C369" s="64"/>
      <c r="D369" s="65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6"/>
      <c r="U369" s="66"/>
      <c r="V369" s="66"/>
      <c r="W369" s="66"/>
      <c r="X369" s="66"/>
      <c r="Y369" s="66"/>
      <c r="Z369" s="66"/>
    </row>
    <row r="370" spans="3:26" ht="12.75">
      <c r="C370" s="64"/>
      <c r="D370" s="65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6"/>
      <c r="U370" s="66"/>
      <c r="V370" s="66"/>
      <c r="W370" s="66"/>
      <c r="X370" s="66"/>
      <c r="Y370" s="66"/>
      <c r="Z370" s="66"/>
    </row>
    <row r="371" spans="3:26" ht="12.75">
      <c r="C371" s="64"/>
      <c r="D371" s="65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6"/>
      <c r="U371" s="66"/>
      <c r="V371" s="66"/>
      <c r="W371" s="66"/>
      <c r="X371" s="66"/>
      <c r="Y371" s="66"/>
      <c r="Z371" s="66"/>
    </row>
    <row r="372" spans="3:26" ht="12.75">
      <c r="C372" s="64"/>
      <c r="D372" s="65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6"/>
      <c r="U372" s="66"/>
      <c r="V372" s="66"/>
      <c r="W372" s="66"/>
      <c r="X372" s="66"/>
      <c r="Y372" s="66"/>
      <c r="Z372" s="66"/>
    </row>
    <row r="373" spans="3:26" ht="12.75">
      <c r="C373" s="64"/>
      <c r="D373" s="65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6"/>
      <c r="U373" s="66"/>
      <c r="V373" s="66"/>
      <c r="W373" s="66"/>
      <c r="X373" s="66"/>
      <c r="Y373" s="66"/>
      <c r="Z373" s="66"/>
    </row>
    <row r="374" spans="3:26" ht="12.75">
      <c r="C374" s="64"/>
      <c r="D374" s="65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6"/>
      <c r="U374" s="66"/>
      <c r="V374" s="66"/>
      <c r="W374" s="66"/>
      <c r="X374" s="66"/>
      <c r="Y374" s="66"/>
      <c r="Z374" s="66"/>
    </row>
    <row r="375" spans="3:26" ht="12.75">
      <c r="C375" s="64"/>
      <c r="D375" s="65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6"/>
      <c r="U375" s="66"/>
      <c r="V375" s="66"/>
      <c r="W375" s="66"/>
      <c r="X375" s="66"/>
      <c r="Y375" s="66"/>
      <c r="Z375" s="66"/>
    </row>
    <row r="376" spans="3:26" ht="12.75">
      <c r="C376" s="64"/>
      <c r="D376" s="65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6"/>
      <c r="U376" s="66"/>
      <c r="V376" s="66"/>
      <c r="W376" s="66"/>
      <c r="X376" s="66"/>
      <c r="Y376" s="66"/>
      <c r="Z376" s="66"/>
    </row>
    <row r="377" spans="3:26" ht="12.75">
      <c r="C377" s="64"/>
      <c r="D377" s="65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6"/>
      <c r="U377" s="66"/>
      <c r="V377" s="66"/>
      <c r="W377" s="66"/>
      <c r="X377" s="66"/>
      <c r="Y377" s="66"/>
      <c r="Z377" s="66"/>
    </row>
    <row r="378" spans="3:26" ht="12.75">
      <c r="C378" s="64"/>
      <c r="D378" s="65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6"/>
      <c r="U378" s="66"/>
      <c r="V378" s="66"/>
      <c r="W378" s="66"/>
      <c r="X378" s="66"/>
      <c r="Y378" s="66"/>
      <c r="Z378" s="66"/>
    </row>
    <row r="379" spans="3:26" ht="12.75">
      <c r="C379" s="64"/>
      <c r="D379" s="65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6"/>
      <c r="U379" s="66"/>
      <c r="V379" s="66"/>
      <c r="W379" s="66"/>
      <c r="X379" s="66"/>
      <c r="Y379" s="66"/>
      <c r="Z379" s="66"/>
    </row>
    <row r="380" spans="3:26" ht="12.75">
      <c r="C380" s="64"/>
      <c r="D380" s="65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6"/>
      <c r="U380" s="66"/>
      <c r="V380" s="66"/>
      <c r="W380" s="66"/>
      <c r="X380" s="66"/>
      <c r="Y380" s="66"/>
      <c r="Z380" s="66"/>
    </row>
    <row r="381" spans="3:26" ht="12.75">
      <c r="C381" s="64"/>
      <c r="D381" s="65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6"/>
      <c r="U381" s="66"/>
      <c r="V381" s="66"/>
      <c r="W381" s="66"/>
      <c r="X381" s="66"/>
      <c r="Y381" s="66"/>
      <c r="Z381" s="66"/>
    </row>
    <row r="382" spans="3:26" ht="12.75">
      <c r="C382" s="64"/>
      <c r="D382" s="65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6"/>
      <c r="U382" s="66"/>
      <c r="V382" s="66"/>
      <c r="W382" s="66"/>
      <c r="X382" s="66"/>
      <c r="Y382" s="66"/>
      <c r="Z382" s="66"/>
    </row>
    <row r="383" spans="3:26" ht="12.75">
      <c r="C383" s="64"/>
      <c r="D383" s="65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6"/>
      <c r="U383" s="66"/>
      <c r="V383" s="66"/>
      <c r="W383" s="66"/>
      <c r="X383" s="66"/>
      <c r="Y383" s="66"/>
      <c r="Z383" s="66"/>
    </row>
    <row r="384" spans="3:26" ht="12.75">
      <c r="C384" s="64"/>
      <c r="D384" s="65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6"/>
      <c r="U384" s="66"/>
      <c r="V384" s="66"/>
      <c r="W384" s="66"/>
      <c r="X384" s="66"/>
      <c r="Y384" s="66"/>
      <c r="Z384" s="66"/>
    </row>
    <row r="385" spans="3:26" ht="12.75">
      <c r="C385" s="64"/>
      <c r="D385" s="65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6"/>
      <c r="U385" s="66"/>
      <c r="V385" s="66"/>
      <c r="W385" s="66"/>
      <c r="X385" s="66"/>
      <c r="Y385" s="66"/>
      <c r="Z385" s="66"/>
    </row>
    <row r="386" spans="3:26" ht="12.75">
      <c r="C386" s="64"/>
      <c r="D386" s="65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6"/>
      <c r="U386" s="66"/>
      <c r="V386" s="66"/>
      <c r="W386" s="66"/>
      <c r="X386" s="66"/>
      <c r="Y386" s="66"/>
      <c r="Z386" s="66"/>
    </row>
    <row r="387" spans="3:26" ht="12.75">
      <c r="C387" s="64"/>
      <c r="D387" s="65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6"/>
      <c r="U387" s="66"/>
      <c r="V387" s="66"/>
      <c r="W387" s="66"/>
      <c r="X387" s="66"/>
      <c r="Y387" s="66"/>
      <c r="Z387" s="66"/>
    </row>
    <row r="388" spans="3:26" ht="12.75">
      <c r="C388" s="64"/>
      <c r="D388" s="65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6"/>
      <c r="U388" s="66"/>
      <c r="V388" s="66"/>
      <c r="W388" s="66"/>
      <c r="X388" s="66"/>
      <c r="Y388" s="66"/>
      <c r="Z388" s="66"/>
    </row>
    <row r="389" spans="3:26" ht="12.75">
      <c r="C389" s="64"/>
      <c r="D389" s="65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6"/>
      <c r="U389" s="66"/>
      <c r="V389" s="66"/>
      <c r="W389" s="66"/>
      <c r="X389" s="66"/>
      <c r="Y389" s="66"/>
      <c r="Z389" s="66"/>
    </row>
    <row r="390" spans="3:26" ht="12.75">
      <c r="C390" s="64"/>
      <c r="D390" s="65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6"/>
      <c r="U390" s="66"/>
      <c r="V390" s="66"/>
      <c r="W390" s="66"/>
      <c r="X390" s="66"/>
      <c r="Y390" s="66"/>
      <c r="Z390" s="66"/>
    </row>
    <row r="391" spans="3:26" ht="12.75">
      <c r="C391" s="64"/>
      <c r="D391" s="65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6"/>
      <c r="U391" s="66"/>
      <c r="V391" s="66"/>
      <c r="W391" s="66"/>
      <c r="X391" s="66"/>
      <c r="Y391" s="66"/>
      <c r="Z391" s="66"/>
    </row>
    <row r="392" spans="3:26" ht="12.75">
      <c r="C392" s="64"/>
      <c r="D392" s="65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6"/>
      <c r="U392" s="66"/>
      <c r="V392" s="66"/>
      <c r="W392" s="66"/>
      <c r="X392" s="66"/>
      <c r="Y392" s="66"/>
      <c r="Z392" s="66"/>
    </row>
    <row r="393" spans="3:26" ht="12.75">
      <c r="C393" s="64"/>
      <c r="D393" s="65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6"/>
      <c r="U393" s="66"/>
      <c r="V393" s="66"/>
      <c r="W393" s="66"/>
      <c r="X393" s="66"/>
      <c r="Y393" s="66"/>
      <c r="Z393" s="66"/>
    </row>
    <row r="394" spans="3:26" ht="12.75">
      <c r="C394" s="64"/>
      <c r="D394" s="65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6"/>
      <c r="U394" s="66"/>
      <c r="V394" s="66"/>
      <c r="W394" s="66"/>
      <c r="X394" s="66"/>
      <c r="Y394" s="66"/>
      <c r="Z394" s="66"/>
    </row>
    <row r="395" spans="3:26" ht="12.75">
      <c r="C395" s="64"/>
      <c r="D395" s="65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6"/>
      <c r="U395" s="66"/>
      <c r="V395" s="66"/>
      <c r="W395" s="66"/>
      <c r="X395" s="66"/>
      <c r="Y395" s="66"/>
      <c r="Z395" s="66"/>
    </row>
    <row r="396" spans="3:26" ht="12.75">
      <c r="C396" s="64"/>
      <c r="D396" s="65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6"/>
      <c r="U396" s="66"/>
      <c r="V396" s="66"/>
      <c r="W396" s="66"/>
      <c r="X396" s="66"/>
      <c r="Y396" s="66"/>
      <c r="Z396" s="66"/>
    </row>
    <row r="397" spans="3:26" ht="12.75">
      <c r="C397" s="64"/>
      <c r="D397" s="65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6"/>
      <c r="U397" s="66"/>
      <c r="V397" s="66"/>
      <c r="W397" s="66"/>
      <c r="X397" s="66"/>
      <c r="Y397" s="66"/>
      <c r="Z397" s="66"/>
    </row>
    <row r="398" spans="3:26" ht="12.75">
      <c r="C398" s="64"/>
      <c r="D398" s="65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6"/>
      <c r="U398" s="66"/>
      <c r="V398" s="66"/>
      <c r="W398" s="66"/>
      <c r="X398" s="66"/>
      <c r="Y398" s="66"/>
      <c r="Z398" s="66"/>
    </row>
    <row r="399" spans="3:26" ht="12.75">
      <c r="C399" s="64"/>
      <c r="D399" s="65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6"/>
      <c r="U399" s="66"/>
      <c r="V399" s="66"/>
      <c r="W399" s="66"/>
      <c r="X399" s="66"/>
      <c r="Y399" s="66"/>
      <c r="Z399" s="66"/>
    </row>
    <row r="400" spans="3:26" ht="12.75">
      <c r="C400" s="64"/>
      <c r="D400" s="65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6"/>
      <c r="U400" s="66"/>
      <c r="V400" s="66"/>
      <c r="W400" s="66"/>
      <c r="X400" s="66"/>
      <c r="Y400" s="66"/>
      <c r="Z400" s="66"/>
    </row>
    <row r="401" spans="3:26" ht="12.75">
      <c r="C401" s="64"/>
      <c r="D401" s="65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6"/>
      <c r="U401" s="66"/>
      <c r="V401" s="66"/>
      <c r="W401" s="66"/>
      <c r="X401" s="66"/>
      <c r="Y401" s="66"/>
      <c r="Z401" s="66"/>
    </row>
    <row r="402" spans="3:26" ht="12.75">
      <c r="C402" s="64"/>
      <c r="D402" s="65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6"/>
      <c r="U402" s="66"/>
      <c r="V402" s="66"/>
      <c r="W402" s="66"/>
      <c r="X402" s="66"/>
      <c r="Y402" s="66"/>
      <c r="Z402" s="66"/>
    </row>
    <row r="403" spans="3:26" ht="12.75">
      <c r="C403" s="64"/>
      <c r="D403" s="65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6"/>
      <c r="U403" s="66"/>
      <c r="V403" s="66"/>
      <c r="W403" s="66"/>
      <c r="X403" s="66"/>
      <c r="Y403" s="66"/>
      <c r="Z403" s="66"/>
    </row>
    <row r="404" spans="3:26" ht="12.75">
      <c r="C404" s="64"/>
      <c r="D404" s="65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6"/>
      <c r="U404" s="66"/>
      <c r="V404" s="66"/>
      <c r="W404" s="66"/>
      <c r="X404" s="66"/>
      <c r="Y404" s="66"/>
      <c r="Z404" s="66"/>
    </row>
    <row r="405" spans="3:26" ht="12.75">
      <c r="C405" s="64"/>
      <c r="D405" s="65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6"/>
      <c r="U405" s="66"/>
      <c r="V405" s="66"/>
      <c r="W405" s="66"/>
      <c r="X405" s="66"/>
      <c r="Y405" s="66"/>
      <c r="Z405" s="66"/>
    </row>
    <row r="406" spans="3:26" ht="12.75">
      <c r="C406" s="64"/>
      <c r="D406" s="65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6"/>
      <c r="U406" s="66"/>
      <c r="V406" s="66"/>
      <c r="W406" s="66"/>
      <c r="X406" s="66"/>
      <c r="Y406" s="66"/>
      <c r="Z406" s="66"/>
    </row>
    <row r="407" spans="3:26" ht="12.75">
      <c r="C407" s="64"/>
      <c r="D407" s="65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6"/>
      <c r="U407" s="66"/>
      <c r="V407" s="66"/>
      <c r="W407" s="66"/>
      <c r="X407" s="66"/>
      <c r="Y407" s="66"/>
      <c r="Z407" s="66"/>
    </row>
    <row r="408" spans="3:26" ht="12.75">
      <c r="C408" s="64"/>
      <c r="D408" s="65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6"/>
      <c r="U408" s="66"/>
      <c r="V408" s="66"/>
      <c r="W408" s="66"/>
      <c r="X408" s="66"/>
      <c r="Y408" s="66"/>
      <c r="Z408" s="66"/>
    </row>
    <row r="409" spans="3:26" ht="12.75">
      <c r="C409" s="64"/>
      <c r="D409" s="65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6"/>
      <c r="U409" s="66"/>
      <c r="V409" s="66"/>
      <c r="W409" s="66"/>
      <c r="X409" s="66"/>
      <c r="Y409" s="66"/>
      <c r="Z409" s="66"/>
    </row>
    <row r="410" spans="3:26" ht="12.75">
      <c r="C410" s="64"/>
      <c r="D410" s="65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6"/>
      <c r="U410" s="66"/>
      <c r="V410" s="66"/>
      <c r="W410" s="66"/>
      <c r="X410" s="66"/>
      <c r="Y410" s="66"/>
      <c r="Z410" s="66"/>
    </row>
    <row r="411" spans="3:26" ht="12.75">
      <c r="C411" s="64"/>
      <c r="D411" s="65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6"/>
      <c r="U411" s="66"/>
      <c r="V411" s="66"/>
      <c r="W411" s="66"/>
      <c r="X411" s="66"/>
      <c r="Y411" s="66"/>
      <c r="Z411" s="66"/>
    </row>
    <row r="412" spans="3:26" ht="12.75">
      <c r="C412" s="64"/>
      <c r="D412" s="65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6"/>
      <c r="U412" s="66"/>
      <c r="V412" s="66"/>
      <c r="W412" s="66"/>
      <c r="X412" s="66"/>
      <c r="Y412" s="66"/>
      <c r="Z412" s="66"/>
    </row>
    <row r="413" spans="3:26" ht="12.75">
      <c r="C413" s="64"/>
      <c r="D413" s="65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6"/>
      <c r="U413" s="66"/>
      <c r="V413" s="66"/>
      <c r="W413" s="66"/>
      <c r="X413" s="66"/>
      <c r="Y413" s="66"/>
      <c r="Z413" s="66"/>
    </row>
    <row r="414" spans="3:26" ht="12.75">
      <c r="C414" s="64"/>
      <c r="D414" s="65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6"/>
      <c r="U414" s="66"/>
      <c r="V414" s="66"/>
      <c r="W414" s="66"/>
      <c r="X414" s="66"/>
      <c r="Y414" s="66"/>
      <c r="Z414" s="66"/>
    </row>
    <row r="415" spans="3:26" ht="12.75">
      <c r="C415" s="64"/>
      <c r="D415" s="65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6"/>
      <c r="U415" s="66"/>
      <c r="V415" s="66"/>
      <c r="W415" s="66"/>
      <c r="X415" s="66"/>
      <c r="Y415" s="66"/>
      <c r="Z415" s="66"/>
    </row>
    <row r="416" spans="3:26" ht="12.75">
      <c r="C416" s="64"/>
      <c r="D416" s="65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6"/>
      <c r="U416" s="66"/>
      <c r="V416" s="66"/>
      <c r="W416" s="66"/>
      <c r="X416" s="66"/>
      <c r="Y416" s="66"/>
      <c r="Z416" s="66"/>
    </row>
    <row r="417" spans="3:26" ht="12.75">
      <c r="C417" s="64"/>
      <c r="D417" s="65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6"/>
      <c r="U417" s="66"/>
      <c r="V417" s="66"/>
      <c r="W417" s="66"/>
      <c r="X417" s="66"/>
      <c r="Y417" s="66"/>
      <c r="Z417" s="66"/>
    </row>
    <row r="418" spans="3:26" ht="12.75">
      <c r="C418" s="64"/>
      <c r="D418" s="65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6"/>
      <c r="U418" s="66"/>
      <c r="V418" s="66"/>
      <c r="W418" s="66"/>
      <c r="X418" s="66"/>
      <c r="Y418" s="66"/>
      <c r="Z418" s="66"/>
    </row>
    <row r="419" spans="3:26" ht="12.75">
      <c r="C419" s="64"/>
      <c r="D419" s="65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6"/>
      <c r="U419" s="66"/>
      <c r="V419" s="66"/>
      <c r="W419" s="66"/>
      <c r="X419" s="66"/>
      <c r="Y419" s="66"/>
      <c r="Z419" s="66"/>
    </row>
    <row r="420" spans="3:26" ht="12.75">
      <c r="C420" s="64"/>
      <c r="D420" s="65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6"/>
      <c r="U420" s="66"/>
      <c r="V420" s="66"/>
      <c r="W420" s="66"/>
      <c r="X420" s="66"/>
      <c r="Y420" s="66"/>
      <c r="Z420" s="66"/>
    </row>
    <row r="421" spans="3:26" ht="12.75">
      <c r="C421" s="64"/>
      <c r="D421" s="65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6"/>
      <c r="U421" s="66"/>
      <c r="V421" s="66"/>
      <c r="W421" s="66"/>
      <c r="X421" s="66"/>
      <c r="Y421" s="66"/>
      <c r="Z421" s="66"/>
    </row>
    <row r="422" spans="3:26" ht="12.75">
      <c r="C422" s="64"/>
      <c r="D422" s="65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6"/>
      <c r="U422" s="66"/>
      <c r="V422" s="66"/>
      <c r="W422" s="66"/>
      <c r="X422" s="66"/>
      <c r="Y422" s="66"/>
      <c r="Z422" s="66"/>
    </row>
    <row r="423" spans="3:26" ht="12.75">
      <c r="C423" s="64"/>
      <c r="D423" s="65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6"/>
      <c r="U423" s="66"/>
      <c r="V423" s="66"/>
      <c r="W423" s="66"/>
      <c r="X423" s="66"/>
      <c r="Y423" s="66"/>
      <c r="Z423" s="66"/>
    </row>
    <row r="424" spans="3:26" ht="12.75">
      <c r="C424" s="64"/>
      <c r="D424" s="65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6"/>
      <c r="U424" s="66"/>
      <c r="V424" s="66"/>
      <c r="W424" s="66"/>
      <c r="X424" s="66"/>
      <c r="Y424" s="66"/>
      <c r="Z424" s="66"/>
    </row>
    <row r="425" spans="3:26" ht="12.75">
      <c r="C425" s="64"/>
      <c r="D425" s="65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6"/>
      <c r="U425" s="66"/>
      <c r="V425" s="66"/>
      <c r="W425" s="66"/>
      <c r="X425" s="66"/>
      <c r="Y425" s="66"/>
      <c r="Z425" s="66"/>
    </row>
    <row r="426" spans="3:26" ht="12.75">
      <c r="C426" s="64"/>
      <c r="D426" s="65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6"/>
      <c r="U426" s="66"/>
      <c r="V426" s="66"/>
      <c r="W426" s="66"/>
      <c r="X426" s="66"/>
      <c r="Y426" s="66"/>
      <c r="Z426" s="66"/>
    </row>
    <row r="427" spans="3:26" ht="12.75">
      <c r="C427" s="64"/>
      <c r="D427" s="65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6"/>
      <c r="U427" s="66"/>
      <c r="V427" s="66"/>
      <c r="W427" s="66"/>
      <c r="X427" s="66"/>
      <c r="Y427" s="66"/>
      <c r="Z427" s="66"/>
    </row>
    <row r="428" spans="3:26" ht="12.75">
      <c r="C428" s="64"/>
      <c r="D428" s="65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6"/>
      <c r="U428" s="66"/>
      <c r="V428" s="66"/>
      <c r="W428" s="66"/>
      <c r="X428" s="66"/>
      <c r="Y428" s="66"/>
      <c r="Z428" s="66"/>
    </row>
    <row r="429" spans="3:26" ht="12.75">
      <c r="C429" s="64"/>
      <c r="D429" s="65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6"/>
      <c r="U429" s="66"/>
      <c r="V429" s="66"/>
      <c r="W429" s="66"/>
      <c r="X429" s="66"/>
      <c r="Y429" s="66"/>
      <c r="Z429" s="66"/>
    </row>
    <row r="430" spans="3:26" ht="12.75">
      <c r="C430" s="64"/>
      <c r="D430" s="65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6"/>
      <c r="U430" s="66"/>
      <c r="V430" s="66"/>
      <c r="W430" s="66"/>
      <c r="X430" s="66"/>
      <c r="Y430" s="66"/>
      <c r="Z430" s="66"/>
    </row>
    <row r="431" spans="3:26" ht="12.75">
      <c r="C431" s="64"/>
      <c r="D431" s="65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6"/>
      <c r="U431" s="66"/>
      <c r="V431" s="66"/>
      <c r="W431" s="66"/>
      <c r="X431" s="66"/>
      <c r="Y431" s="66"/>
      <c r="Z431" s="66"/>
    </row>
    <row r="432" spans="3:26" ht="12.75">
      <c r="C432" s="64"/>
      <c r="D432" s="65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6"/>
      <c r="U432" s="66"/>
      <c r="V432" s="66"/>
      <c r="W432" s="66"/>
      <c r="X432" s="66"/>
      <c r="Y432" s="66"/>
      <c r="Z432" s="66"/>
    </row>
    <row r="433" spans="3:26" ht="12.75">
      <c r="C433" s="64"/>
      <c r="D433" s="65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6"/>
      <c r="U433" s="66"/>
      <c r="V433" s="66"/>
      <c r="W433" s="66"/>
      <c r="X433" s="66"/>
      <c r="Y433" s="66"/>
      <c r="Z433" s="66"/>
    </row>
    <row r="434" spans="3:26" ht="12.75">
      <c r="C434" s="64"/>
      <c r="D434" s="65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6"/>
      <c r="U434" s="66"/>
      <c r="V434" s="66"/>
      <c r="W434" s="66"/>
      <c r="X434" s="66"/>
      <c r="Y434" s="66"/>
      <c r="Z434" s="66"/>
    </row>
    <row r="435" spans="3:26" ht="12.75">
      <c r="C435" s="64"/>
      <c r="D435" s="65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6"/>
      <c r="U435" s="66"/>
      <c r="V435" s="66"/>
      <c r="W435" s="66"/>
      <c r="X435" s="66"/>
      <c r="Y435" s="66"/>
      <c r="Z435" s="66"/>
    </row>
    <row r="436" spans="3:26" ht="12.75">
      <c r="C436" s="64"/>
      <c r="D436" s="65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6"/>
      <c r="U436" s="66"/>
      <c r="V436" s="66"/>
      <c r="W436" s="66"/>
      <c r="X436" s="66"/>
      <c r="Y436" s="66"/>
      <c r="Z436" s="66"/>
    </row>
    <row r="437" spans="3:26" ht="12.75">
      <c r="C437" s="64"/>
      <c r="D437" s="65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6"/>
      <c r="U437" s="66"/>
      <c r="V437" s="66"/>
      <c r="W437" s="66"/>
      <c r="X437" s="66"/>
      <c r="Y437" s="66"/>
      <c r="Z437" s="66"/>
    </row>
    <row r="438" spans="3:26" ht="12.75">
      <c r="C438" s="64"/>
      <c r="D438" s="65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6"/>
      <c r="U438" s="66"/>
      <c r="V438" s="66"/>
      <c r="W438" s="66"/>
      <c r="X438" s="66"/>
      <c r="Y438" s="66"/>
      <c r="Z438" s="66"/>
    </row>
    <row r="439" spans="3:26" ht="12.75">
      <c r="C439" s="64"/>
      <c r="D439" s="65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6"/>
      <c r="U439" s="66"/>
      <c r="V439" s="66"/>
      <c r="W439" s="66"/>
      <c r="X439" s="66"/>
      <c r="Y439" s="66"/>
      <c r="Z439" s="66"/>
    </row>
    <row r="440" spans="3:26" ht="12.75">
      <c r="C440" s="64"/>
      <c r="D440" s="65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6"/>
      <c r="U440" s="66"/>
      <c r="V440" s="66"/>
      <c r="W440" s="66"/>
      <c r="X440" s="66"/>
      <c r="Y440" s="66"/>
      <c r="Z440" s="66"/>
    </row>
    <row r="441" spans="3:26" ht="12.75">
      <c r="C441" s="64"/>
      <c r="D441" s="65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6"/>
      <c r="U441" s="66"/>
      <c r="V441" s="66"/>
      <c r="W441" s="66"/>
      <c r="X441" s="66"/>
      <c r="Y441" s="66"/>
      <c r="Z441" s="66"/>
    </row>
    <row r="442" spans="3:26" ht="12.75">
      <c r="C442" s="64"/>
      <c r="D442" s="65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6"/>
      <c r="U442" s="66"/>
      <c r="V442" s="66"/>
      <c r="W442" s="66"/>
      <c r="X442" s="66"/>
      <c r="Y442" s="66"/>
      <c r="Z442" s="66"/>
    </row>
    <row r="443" spans="3:26" ht="12.75">
      <c r="C443" s="64"/>
      <c r="D443" s="65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6"/>
      <c r="U443" s="66"/>
      <c r="V443" s="66"/>
      <c r="W443" s="66"/>
      <c r="X443" s="66"/>
      <c r="Y443" s="66"/>
      <c r="Z443" s="66"/>
    </row>
    <row r="444" spans="3:26" ht="12.75">
      <c r="C444" s="64"/>
      <c r="D444" s="65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6"/>
      <c r="U444" s="66"/>
      <c r="V444" s="66"/>
      <c r="W444" s="66"/>
      <c r="X444" s="66"/>
      <c r="Y444" s="66"/>
      <c r="Z444" s="66"/>
    </row>
    <row r="445" spans="3:26" ht="12.75">
      <c r="C445" s="64"/>
      <c r="D445" s="65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6"/>
      <c r="U445" s="66"/>
      <c r="V445" s="66"/>
      <c r="W445" s="66"/>
      <c r="X445" s="66"/>
      <c r="Y445" s="66"/>
      <c r="Z445" s="66"/>
    </row>
    <row r="446" spans="3:26" ht="12.75">
      <c r="C446" s="64"/>
      <c r="D446" s="65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6"/>
      <c r="U446" s="66"/>
      <c r="V446" s="66"/>
      <c r="W446" s="66"/>
      <c r="X446" s="66"/>
      <c r="Y446" s="66"/>
      <c r="Z446" s="66"/>
    </row>
    <row r="447" spans="3:26" ht="12.75">
      <c r="C447" s="64"/>
      <c r="D447" s="65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6"/>
      <c r="U447" s="66"/>
      <c r="V447" s="66"/>
      <c r="W447" s="66"/>
      <c r="X447" s="66"/>
      <c r="Y447" s="66"/>
      <c r="Z447" s="66"/>
    </row>
    <row r="448" spans="3:26" ht="12.75">
      <c r="C448" s="64"/>
      <c r="D448" s="65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6"/>
      <c r="U448" s="66"/>
      <c r="V448" s="66"/>
      <c r="W448" s="66"/>
      <c r="X448" s="66"/>
      <c r="Y448" s="66"/>
      <c r="Z448" s="66"/>
    </row>
    <row r="449" spans="3:26" ht="12.75">
      <c r="C449" s="64"/>
      <c r="D449" s="65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6"/>
      <c r="U449" s="66"/>
      <c r="V449" s="66"/>
      <c r="W449" s="66"/>
      <c r="X449" s="66"/>
      <c r="Y449" s="66"/>
      <c r="Z449" s="66"/>
    </row>
    <row r="450" spans="3:26" ht="12.75">
      <c r="C450" s="64"/>
      <c r="D450" s="65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6"/>
      <c r="U450" s="66"/>
      <c r="V450" s="66"/>
      <c r="W450" s="66"/>
      <c r="X450" s="66"/>
      <c r="Y450" s="66"/>
      <c r="Z450" s="66"/>
    </row>
    <row r="451" spans="3:26" ht="12.75">
      <c r="C451" s="64"/>
      <c r="D451" s="65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6"/>
      <c r="U451" s="66"/>
      <c r="V451" s="66"/>
      <c r="W451" s="66"/>
      <c r="X451" s="66"/>
      <c r="Y451" s="66"/>
      <c r="Z451" s="66"/>
    </row>
    <row r="452" spans="3:26" ht="12.75">
      <c r="C452" s="64"/>
      <c r="D452" s="65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6"/>
      <c r="U452" s="66"/>
      <c r="V452" s="66"/>
      <c r="W452" s="66"/>
      <c r="X452" s="66"/>
      <c r="Y452" s="66"/>
      <c r="Z452" s="66"/>
    </row>
    <row r="453" spans="3:26" ht="12.75">
      <c r="C453" s="64"/>
      <c r="D453" s="65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6"/>
      <c r="U453" s="66"/>
      <c r="V453" s="66"/>
      <c r="W453" s="66"/>
      <c r="X453" s="66"/>
      <c r="Y453" s="66"/>
      <c r="Z453" s="66"/>
    </row>
    <row r="454" spans="3:26" ht="12.75">
      <c r="C454" s="64"/>
      <c r="D454" s="65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6"/>
      <c r="U454" s="66"/>
      <c r="V454" s="66"/>
      <c r="W454" s="66"/>
      <c r="X454" s="66"/>
      <c r="Y454" s="66"/>
      <c r="Z454" s="66"/>
    </row>
    <row r="455" spans="3:26" ht="12.75">
      <c r="C455" s="64"/>
      <c r="D455" s="65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6"/>
      <c r="U455" s="66"/>
      <c r="V455" s="66"/>
      <c r="W455" s="66"/>
      <c r="X455" s="66"/>
      <c r="Y455" s="66"/>
      <c r="Z455" s="66"/>
    </row>
    <row r="456" spans="3:26" ht="12.75">
      <c r="C456" s="64"/>
      <c r="D456" s="65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6"/>
      <c r="U456" s="66"/>
      <c r="V456" s="66"/>
      <c r="W456" s="66"/>
      <c r="X456" s="66"/>
      <c r="Y456" s="66"/>
      <c r="Z456" s="66"/>
    </row>
    <row r="457" spans="3:26" ht="12.75">
      <c r="C457" s="64"/>
      <c r="D457" s="65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6"/>
      <c r="U457" s="66"/>
      <c r="V457" s="66"/>
      <c r="W457" s="66"/>
      <c r="X457" s="66"/>
      <c r="Y457" s="66"/>
      <c r="Z457" s="66"/>
    </row>
    <row r="458" spans="3:26" ht="12.75">
      <c r="C458" s="64"/>
      <c r="D458" s="65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6"/>
      <c r="U458" s="66"/>
      <c r="V458" s="66"/>
      <c r="W458" s="66"/>
      <c r="X458" s="66"/>
      <c r="Y458" s="66"/>
      <c r="Z458" s="66"/>
    </row>
    <row r="459" spans="3:26" ht="12.75">
      <c r="C459" s="64"/>
      <c r="D459" s="65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6"/>
      <c r="U459" s="66"/>
      <c r="V459" s="66"/>
      <c r="W459" s="66"/>
      <c r="X459" s="66"/>
      <c r="Y459" s="66"/>
      <c r="Z459" s="66"/>
    </row>
    <row r="460" spans="3:26" ht="12.75">
      <c r="C460" s="64"/>
      <c r="D460" s="65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6"/>
      <c r="U460" s="66"/>
      <c r="V460" s="66"/>
      <c r="W460" s="66"/>
      <c r="X460" s="66"/>
      <c r="Y460" s="66"/>
      <c r="Z460" s="66"/>
    </row>
    <row r="461" spans="3:26" ht="12.75">
      <c r="C461" s="64"/>
      <c r="D461" s="65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6"/>
      <c r="U461" s="66"/>
      <c r="V461" s="66"/>
      <c r="W461" s="66"/>
      <c r="X461" s="66"/>
      <c r="Y461" s="66"/>
      <c r="Z461" s="66"/>
    </row>
    <row r="462" spans="3:26" ht="12.75">
      <c r="C462" s="64"/>
      <c r="D462" s="65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6"/>
      <c r="U462" s="66"/>
      <c r="V462" s="66"/>
      <c r="W462" s="66"/>
      <c r="X462" s="66"/>
      <c r="Y462" s="66"/>
      <c r="Z462" s="66"/>
    </row>
    <row r="463" spans="3:26" ht="12.75">
      <c r="C463" s="64"/>
      <c r="D463" s="65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6"/>
      <c r="U463" s="66"/>
      <c r="V463" s="66"/>
      <c r="W463" s="66"/>
      <c r="X463" s="66"/>
      <c r="Y463" s="66"/>
      <c r="Z463" s="66"/>
    </row>
    <row r="464" spans="3:26" ht="12.75">
      <c r="C464" s="64"/>
      <c r="D464" s="65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6"/>
      <c r="U464" s="66"/>
      <c r="V464" s="66"/>
      <c r="W464" s="66"/>
      <c r="X464" s="66"/>
      <c r="Y464" s="66"/>
      <c r="Z464" s="66"/>
    </row>
    <row r="465" spans="3:26" ht="12.75">
      <c r="C465" s="64"/>
      <c r="D465" s="65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6"/>
      <c r="U465" s="66"/>
      <c r="V465" s="66"/>
      <c r="W465" s="66"/>
      <c r="X465" s="66"/>
      <c r="Y465" s="66"/>
      <c r="Z465" s="66"/>
    </row>
    <row r="466" spans="3:26" ht="12.75">
      <c r="C466" s="64"/>
      <c r="D466" s="65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6"/>
      <c r="U466" s="66"/>
      <c r="V466" s="66"/>
      <c r="W466" s="66"/>
      <c r="X466" s="66"/>
      <c r="Y466" s="66"/>
      <c r="Z466" s="66"/>
    </row>
    <row r="467" spans="3:26" ht="12.75">
      <c r="C467" s="64"/>
      <c r="D467" s="65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6"/>
      <c r="U467" s="66"/>
      <c r="V467" s="66"/>
      <c r="W467" s="66"/>
      <c r="X467" s="66"/>
      <c r="Y467" s="66"/>
      <c r="Z467" s="66"/>
    </row>
    <row r="468" spans="3:26" ht="12.75">
      <c r="C468" s="64"/>
      <c r="D468" s="65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6"/>
      <c r="U468" s="66"/>
      <c r="V468" s="66"/>
      <c r="W468" s="66"/>
      <c r="X468" s="66"/>
      <c r="Y468" s="66"/>
      <c r="Z468" s="66"/>
    </row>
    <row r="469" spans="3:26" ht="12.75">
      <c r="C469" s="64"/>
      <c r="D469" s="65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6"/>
      <c r="U469" s="66"/>
      <c r="V469" s="66"/>
      <c r="W469" s="66"/>
      <c r="X469" s="66"/>
      <c r="Y469" s="66"/>
      <c r="Z469" s="66"/>
    </row>
    <row r="470" spans="3:26" ht="12.75">
      <c r="C470" s="64"/>
      <c r="D470" s="65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6"/>
      <c r="U470" s="66"/>
      <c r="V470" s="66"/>
      <c r="W470" s="66"/>
      <c r="X470" s="66"/>
      <c r="Y470" s="66"/>
      <c r="Z470" s="66"/>
    </row>
    <row r="471" spans="3:26" ht="12.75">
      <c r="C471" s="64"/>
      <c r="D471" s="65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6"/>
      <c r="U471" s="66"/>
      <c r="V471" s="66"/>
      <c r="W471" s="66"/>
      <c r="X471" s="66"/>
      <c r="Y471" s="66"/>
      <c r="Z471" s="66"/>
    </row>
    <row r="472" spans="3:26" ht="12.75">
      <c r="C472" s="64"/>
      <c r="D472" s="65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6"/>
      <c r="U472" s="66"/>
      <c r="V472" s="66"/>
      <c r="W472" s="66"/>
      <c r="X472" s="66"/>
      <c r="Y472" s="66"/>
      <c r="Z472" s="66"/>
    </row>
    <row r="473" spans="3:26" ht="12.75">
      <c r="C473" s="64"/>
      <c r="D473" s="65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6"/>
      <c r="U473" s="66"/>
      <c r="V473" s="66"/>
      <c r="W473" s="66"/>
      <c r="X473" s="66"/>
      <c r="Y473" s="66"/>
      <c r="Z473" s="66"/>
    </row>
    <row r="474" spans="3:26" ht="12.75">
      <c r="C474" s="64"/>
      <c r="D474" s="65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6"/>
      <c r="U474" s="66"/>
      <c r="V474" s="66"/>
      <c r="W474" s="66"/>
      <c r="X474" s="66"/>
      <c r="Y474" s="66"/>
      <c r="Z474" s="66"/>
    </row>
    <row r="475" spans="3:26" ht="12.75">
      <c r="C475" s="64"/>
      <c r="D475" s="65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6"/>
      <c r="U475" s="66"/>
      <c r="V475" s="66"/>
      <c r="W475" s="66"/>
      <c r="X475" s="66"/>
      <c r="Y475" s="66"/>
      <c r="Z475" s="66"/>
    </row>
    <row r="476" spans="3:26" ht="12.75">
      <c r="C476" s="64"/>
      <c r="D476" s="65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6"/>
      <c r="U476" s="66"/>
      <c r="V476" s="66"/>
      <c r="W476" s="66"/>
      <c r="X476" s="66"/>
      <c r="Y476" s="66"/>
      <c r="Z476" s="66"/>
    </row>
    <row r="477" spans="3:26" ht="12.75">
      <c r="C477" s="64"/>
      <c r="D477" s="65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6"/>
      <c r="U477" s="66"/>
      <c r="V477" s="66"/>
      <c r="W477" s="66"/>
      <c r="X477" s="66"/>
      <c r="Y477" s="66"/>
      <c r="Z477" s="66"/>
    </row>
    <row r="478" spans="3:26" ht="12.75">
      <c r="C478" s="64"/>
      <c r="D478" s="65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6"/>
      <c r="U478" s="66"/>
      <c r="V478" s="66"/>
      <c r="W478" s="66"/>
      <c r="X478" s="66"/>
      <c r="Y478" s="66"/>
      <c r="Z478" s="66"/>
    </row>
    <row r="479" spans="3:26" ht="12.75">
      <c r="C479" s="64"/>
      <c r="D479" s="65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6"/>
      <c r="U479" s="66"/>
      <c r="V479" s="66"/>
      <c r="W479" s="66"/>
      <c r="X479" s="66"/>
      <c r="Y479" s="66"/>
      <c r="Z479" s="66"/>
    </row>
    <row r="480" spans="3:26" ht="12.75">
      <c r="C480" s="64"/>
      <c r="D480" s="65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6"/>
      <c r="U480" s="66"/>
      <c r="V480" s="66"/>
      <c r="W480" s="66"/>
      <c r="X480" s="66"/>
      <c r="Y480" s="66"/>
      <c r="Z480" s="66"/>
    </row>
    <row r="481" spans="3:26" ht="12.75">
      <c r="C481" s="64"/>
      <c r="D481" s="65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6"/>
      <c r="U481" s="66"/>
      <c r="V481" s="66"/>
      <c r="W481" s="66"/>
      <c r="X481" s="66"/>
      <c r="Y481" s="66"/>
      <c r="Z481" s="66"/>
    </row>
    <row r="482" spans="3:26" ht="12.75">
      <c r="C482" s="64"/>
      <c r="D482" s="65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6"/>
      <c r="U482" s="66"/>
      <c r="V482" s="66"/>
      <c r="W482" s="66"/>
      <c r="X482" s="66"/>
      <c r="Y482" s="66"/>
      <c r="Z482" s="66"/>
    </row>
    <row r="483" spans="3:26" ht="12.75">
      <c r="C483" s="64"/>
      <c r="D483" s="65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6"/>
      <c r="U483" s="66"/>
      <c r="V483" s="66"/>
      <c r="W483" s="66"/>
      <c r="X483" s="66"/>
      <c r="Y483" s="66"/>
      <c r="Z483" s="66"/>
    </row>
    <row r="484" spans="3:26" ht="12.75">
      <c r="C484" s="64"/>
      <c r="D484" s="65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6"/>
      <c r="U484" s="66"/>
      <c r="V484" s="66"/>
      <c r="W484" s="66"/>
      <c r="X484" s="66"/>
      <c r="Y484" s="66"/>
      <c r="Z484" s="66"/>
    </row>
    <row r="485" spans="3:26" ht="12.75">
      <c r="C485" s="64"/>
      <c r="D485" s="65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6"/>
      <c r="U485" s="66"/>
      <c r="V485" s="66"/>
      <c r="W485" s="66"/>
      <c r="X485" s="66"/>
      <c r="Y485" s="66"/>
      <c r="Z485" s="66"/>
    </row>
    <row r="486" spans="3:26" ht="12.75">
      <c r="C486" s="64"/>
      <c r="D486" s="65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6"/>
      <c r="U486" s="66"/>
      <c r="V486" s="66"/>
      <c r="W486" s="66"/>
      <c r="X486" s="66"/>
      <c r="Y486" s="66"/>
      <c r="Z486" s="66"/>
    </row>
    <row r="487" spans="3:26" ht="12.75">
      <c r="C487" s="64"/>
      <c r="D487" s="65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6"/>
      <c r="U487" s="66"/>
      <c r="V487" s="66"/>
      <c r="W487" s="66"/>
      <c r="X487" s="66"/>
      <c r="Y487" s="66"/>
      <c r="Z487" s="66"/>
    </row>
    <row r="488" spans="3:26" ht="12.75">
      <c r="C488" s="64"/>
      <c r="D488" s="65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6"/>
      <c r="U488" s="66"/>
      <c r="V488" s="66"/>
      <c r="W488" s="66"/>
      <c r="X488" s="66"/>
      <c r="Y488" s="66"/>
      <c r="Z488" s="66"/>
    </row>
    <row r="489" spans="3:26" ht="12.75">
      <c r="C489" s="64"/>
      <c r="D489" s="65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6"/>
      <c r="U489" s="66"/>
      <c r="V489" s="66"/>
      <c r="W489" s="66"/>
      <c r="X489" s="66"/>
      <c r="Y489" s="66"/>
      <c r="Z489" s="66"/>
    </row>
    <row r="490" spans="3:26" ht="12.75">
      <c r="C490" s="64"/>
      <c r="D490" s="65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6"/>
      <c r="U490" s="66"/>
      <c r="V490" s="66"/>
      <c r="W490" s="66"/>
      <c r="X490" s="66"/>
      <c r="Y490" s="66"/>
      <c r="Z490" s="66"/>
    </row>
    <row r="491" spans="3:26" ht="12.75">
      <c r="C491" s="64"/>
      <c r="D491" s="65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6"/>
      <c r="U491" s="66"/>
      <c r="V491" s="66"/>
      <c r="W491" s="66"/>
      <c r="X491" s="66"/>
      <c r="Y491" s="66"/>
      <c r="Z491" s="66"/>
    </row>
    <row r="492" spans="3:26" ht="12.75">
      <c r="C492" s="64"/>
      <c r="D492" s="65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6"/>
      <c r="U492" s="66"/>
      <c r="V492" s="66"/>
      <c r="W492" s="66"/>
      <c r="X492" s="66"/>
      <c r="Y492" s="66"/>
      <c r="Z492" s="66"/>
    </row>
    <row r="493" spans="3:26" ht="12.75">
      <c r="C493" s="64"/>
      <c r="D493" s="65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6"/>
      <c r="U493" s="66"/>
      <c r="V493" s="66"/>
      <c r="W493" s="66"/>
      <c r="X493" s="66"/>
      <c r="Y493" s="66"/>
      <c r="Z493" s="66"/>
    </row>
    <row r="494" spans="3:26" ht="12.75">
      <c r="C494" s="64"/>
      <c r="D494" s="65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6"/>
      <c r="U494" s="66"/>
      <c r="V494" s="66"/>
      <c r="W494" s="66"/>
      <c r="X494" s="66"/>
      <c r="Y494" s="66"/>
      <c r="Z494" s="66"/>
    </row>
    <row r="495" spans="3:26" ht="12.75">
      <c r="C495" s="64"/>
      <c r="D495" s="65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6"/>
      <c r="U495" s="66"/>
      <c r="V495" s="66"/>
      <c r="W495" s="66"/>
      <c r="X495" s="66"/>
      <c r="Y495" s="66"/>
      <c r="Z495" s="66"/>
    </row>
    <row r="496" spans="3:26" ht="12.75">
      <c r="C496" s="64"/>
      <c r="D496" s="65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6"/>
      <c r="U496" s="66"/>
      <c r="V496" s="66"/>
      <c r="W496" s="66"/>
      <c r="X496" s="66"/>
      <c r="Y496" s="66"/>
      <c r="Z496" s="66"/>
    </row>
    <row r="497" spans="3:26" ht="12.75">
      <c r="C497" s="64"/>
      <c r="D497" s="65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6"/>
      <c r="U497" s="66"/>
      <c r="V497" s="66"/>
      <c r="W497" s="66"/>
      <c r="X497" s="66"/>
      <c r="Y497" s="66"/>
      <c r="Z497" s="66"/>
    </row>
    <row r="498" spans="3:26" ht="12.75">
      <c r="C498" s="64"/>
      <c r="D498" s="65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6"/>
      <c r="U498" s="66"/>
      <c r="V498" s="66"/>
      <c r="W498" s="66"/>
      <c r="X498" s="66"/>
      <c r="Y498" s="66"/>
      <c r="Z498" s="66"/>
    </row>
    <row r="499" spans="3:26" ht="12.75">
      <c r="C499" s="64"/>
      <c r="D499" s="65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6"/>
      <c r="U499" s="66"/>
      <c r="V499" s="66"/>
      <c r="W499" s="66"/>
      <c r="X499" s="66"/>
      <c r="Y499" s="66"/>
      <c r="Z499" s="66"/>
    </row>
    <row r="500" spans="3:26" ht="12.75">
      <c r="C500" s="64"/>
      <c r="D500" s="65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6"/>
      <c r="U500" s="66"/>
      <c r="V500" s="66"/>
      <c r="W500" s="66"/>
      <c r="X500" s="66"/>
      <c r="Y500" s="66"/>
      <c r="Z500" s="66"/>
    </row>
    <row r="501" spans="3:26" ht="12.75">
      <c r="C501" s="64"/>
      <c r="D501" s="65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6"/>
      <c r="U501" s="66"/>
      <c r="V501" s="66"/>
      <c r="W501" s="66"/>
      <c r="X501" s="66"/>
      <c r="Y501" s="66"/>
      <c r="Z501" s="66"/>
    </row>
    <row r="502" spans="3:26" ht="12.75">
      <c r="C502" s="64"/>
      <c r="D502" s="65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6"/>
      <c r="U502" s="66"/>
      <c r="V502" s="66"/>
      <c r="W502" s="66"/>
      <c r="X502" s="66"/>
      <c r="Y502" s="66"/>
      <c r="Z502" s="66"/>
    </row>
    <row r="503" spans="3:26" ht="12.75">
      <c r="C503" s="64"/>
      <c r="D503" s="65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6"/>
      <c r="U503" s="66"/>
      <c r="V503" s="66"/>
      <c r="W503" s="66"/>
      <c r="X503" s="66"/>
      <c r="Y503" s="66"/>
      <c r="Z503" s="66"/>
    </row>
    <row r="504" spans="3:26" ht="12.75">
      <c r="C504" s="64"/>
      <c r="D504" s="65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6"/>
      <c r="U504" s="66"/>
      <c r="V504" s="66"/>
      <c r="W504" s="66"/>
      <c r="X504" s="66"/>
      <c r="Y504" s="66"/>
      <c r="Z504" s="66"/>
    </row>
    <row r="505" spans="3:26" ht="12.75">
      <c r="C505" s="64"/>
      <c r="D505" s="65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6"/>
      <c r="U505" s="66"/>
      <c r="V505" s="66"/>
      <c r="W505" s="66"/>
      <c r="X505" s="66"/>
      <c r="Y505" s="66"/>
      <c r="Z505" s="66"/>
    </row>
    <row r="506" spans="3:26" ht="12.75">
      <c r="C506" s="64"/>
      <c r="D506" s="65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6"/>
      <c r="U506" s="66"/>
      <c r="V506" s="66"/>
      <c r="W506" s="66"/>
      <c r="X506" s="66"/>
      <c r="Y506" s="66"/>
      <c r="Z506" s="66"/>
    </row>
    <row r="507" spans="3:26" ht="12.75">
      <c r="C507" s="64"/>
      <c r="D507" s="65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6"/>
      <c r="U507" s="66"/>
      <c r="V507" s="66"/>
      <c r="W507" s="66"/>
      <c r="X507" s="66"/>
      <c r="Y507" s="66"/>
      <c r="Z507" s="66"/>
    </row>
    <row r="508" spans="3:26" ht="12.75">
      <c r="C508" s="64"/>
      <c r="D508" s="65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6"/>
      <c r="U508" s="66"/>
      <c r="V508" s="66"/>
      <c r="W508" s="66"/>
      <c r="X508" s="66"/>
      <c r="Y508" s="66"/>
      <c r="Z508" s="66"/>
    </row>
    <row r="509" spans="3:26" ht="12.75">
      <c r="C509" s="64"/>
      <c r="D509" s="65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6"/>
      <c r="U509" s="66"/>
      <c r="V509" s="66"/>
      <c r="W509" s="66"/>
      <c r="X509" s="66"/>
      <c r="Y509" s="66"/>
      <c r="Z509" s="66"/>
    </row>
    <row r="510" spans="3:26" ht="12.75">
      <c r="C510" s="64"/>
      <c r="D510" s="65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6"/>
      <c r="U510" s="66"/>
      <c r="V510" s="66"/>
      <c r="W510" s="66"/>
      <c r="X510" s="66"/>
      <c r="Y510" s="66"/>
      <c r="Z510" s="66"/>
    </row>
    <row r="511" spans="3:26" ht="12.75">
      <c r="C511" s="64"/>
      <c r="D511" s="65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6"/>
      <c r="U511" s="66"/>
      <c r="V511" s="66"/>
      <c r="W511" s="66"/>
      <c r="X511" s="66"/>
      <c r="Y511" s="66"/>
      <c r="Z511" s="66"/>
    </row>
    <row r="512" spans="3:26" ht="12.75">
      <c r="C512" s="64"/>
      <c r="D512" s="65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6"/>
      <c r="U512" s="66"/>
      <c r="V512" s="66"/>
      <c r="W512" s="66"/>
      <c r="X512" s="66"/>
      <c r="Y512" s="66"/>
      <c r="Z512" s="66"/>
    </row>
    <row r="513" spans="3:26" ht="12.75">
      <c r="C513" s="64"/>
      <c r="D513" s="65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6"/>
      <c r="U513" s="66"/>
      <c r="V513" s="66"/>
      <c r="W513" s="66"/>
      <c r="X513" s="66"/>
      <c r="Y513" s="66"/>
      <c r="Z513" s="66"/>
    </row>
    <row r="514" spans="3:26" ht="12.75">
      <c r="C514" s="64"/>
      <c r="D514" s="65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6"/>
      <c r="U514" s="66"/>
      <c r="V514" s="66"/>
      <c r="W514" s="66"/>
      <c r="X514" s="66"/>
      <c r="Y514" s="66"/>
      <c r="Z514" s="66"/>
    </row>
    <row r="515" spans="3:26" ht="12.75">
      <c r="C515" s="64"/>
      <c r="D515" s="65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6"/>
      <c r="U515" s="66"/>
      <c r="V515" s="66"/>
      <c r="W515" s="66"/>
      <c r="X515" s="66"/>
      <c r="Y515" s="66"/>
      <c r="Z515" s="66"/>
    </row>
    <row r="516" spans="3:26" ht="12.75">
      <c r="C516" s="64"/>
      <c r="D516" s="65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6"/>
      <c r="U516" s="66"/>
      <c r="V516" s="66"/>
      <c r="W516" s="66"/>
      <c r="X516" s="66"/>
      <c r="Y516" s="66"/>
      <c r="Z516" s="66"/>
    </row>
    <row r="517" spans="3:26" ht="12.75">
      <c r="C517" s="64"/>
      <c r="D517" s="65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6"/>
      <c r="U517" s="66"/>
      <c r="V517" s="66"/>
      <c r="W517" s="66"/>
      <c r="X517" s="66"/>
      <c r="Y517" s="66"/>
      <c r="Z517" s="66"/>
    </row>
    <row r="518" spans="3:26" ht="12.75">
      <c r="C518" s="64"/>
      <c r="D518" s="65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6"/>
      <c r="U518" s="66"/>
      <c r="V518" s="66"/>
      <c r="W518" s="66"/>
      <c r="X518" s="66"/>
      <c r="Y518" s="66"/>
      <c r="Z518" s="66"/>
    </row>
    <row r="519" spans="3:26" ht="12.75">
      <c r="C519" s="64"/>
      <c r="D519" s="65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6"/>
      <c r="U519" s="66"/>
      <c r="V519" s="66"/>
      <c r="W519" s="66"/>
      <c r="X519" s="66"/>
      <c r="Y519" s="66"/>
      <c r="Z519" s="66"/>
    </row>
    <row r="520" spans="3:26" ht="12.75">
      <c r="C520" s="64"/>
      <c r="D520" s="65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6"/>
      <c r="U520" s="66"/>
      <c r="V520" s="66"/>
      <c r="W520" s="66"/>
      <c r="X520" s="66"/>
      <c r="Y520" s="66"/>
      <c r="Z520" s="66"/>
    </row>
    <row r="521" spans="3:26" ht="12.75">
      <c r="C521" s="64"/>
      <c r="D521" s="65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6"/>
      <c r="U521" s="66"/>
      <c r="V521" s="66"/>
      <c r="W521" s="66"/>
      <c r="X521" s="66"/>
      <c r="Y521" s="66"/>
      <c r="Z521" s="66"/>
    </row>
    <row r="522" spans="3:26" ht="12.75">
      <c r="C522" s="64"/>
      <c r="D522" s="65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6"/>
      <c r="U522" s="66"/>
      <c r="V522" s="66"/>
      <c r="W522" s="66"/>
      <c r="X522" s="66"/>
      <c r="Y522" s="66"/>
      <c r="Z522" s="66"/>
    </row>
    <row r="523" spans="3:26" ht="12.75">
      <c r="C523" s="64"/>
      <c r="D523" s="65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6"/>
      <c r="U523" s="66"/>
      <c r="V523" s="66"/>
      <c r="W523" s="66"/>
      <c r="X523" s="66"/>
      <c r="Y523" s="66"/>
      <c r="Z523" s="66"/>
    </row>
    <row r="524" spans="3:26" ht="12.75">
      <c r="C524" s="64"/>
      <c r="D524" s="65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6"/>
      <c r="U524" s="66"/>
      <c r="V524" s="66"/>
      <c r="W524" s="66"/>
      <c r="X524" s="66"/>
      <c r="Y524" s="66"/>
      <c r="Z524" s="66"/>
    </row>
    <row r="525" spans="3:26" ht="12.75">
      <c r="C525" s="64"/>
      <c r="D525" s="65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6"/>
      <c r="U525" s="66"/>
      <c r="V525" s="66"/>
      <c r="W525" s="66"/>
      <c r="X525" s="66"/>
      <c r="Y525" s="66"/>
      <c r="Z525" s="66"/>
    </row>
    <row r="526" spans="3:26" ht="12.75">
      <c r="C526" s="64"/>
      <c r="D526" s="65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6"/>
      <c r="U526" s="66"/>
      <c r="V526" s="66"/>
      <c r="W526" s="66"/>
      <c r="X526" s="66"/>
      <c r="Y526" s="66"/>
      <c r="Z526" s="66"/>
    </row>
    <row r="527" spans="3:26" ht="12.75">
      <c r="C527" s="64"/>
      <c r="D527" s="65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6"/>
      <c r="U527" s="66"/>
      <c r="V527" s="66"/>
      <c r="W527" s="66"/>
      <c r="X527" s="66"/>
      <c r="Y527" s="66"/>
      <c r="Z527" s="66"/>
    </row>
    <row r="528" spans="3:26" ht="12.75">
      <c r="C528" s="64"/>
      <c r="D528" s="65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6"/>
      <c r="U528" s="66"/>
      <c r="V528" s="66"/>
      <c r="W528" s="66"/>
      <c r="X528" s="66"/>
      <c r="Y528" s="66"/>
      <c r="Z528" s="66"/>
    </row>
    <row r="529" spans="3:26" ht="12.75">
      <c r="C529" s="64"/>
      <c r="D529" s="65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6"/>
      <c r="U529" s="66"/>
      <c r="V529" s="66"/>
      <c r="W529" s="66"/>
      <c r="X529" s="66"/>
      <c r="Y529" s="66"/>
      <c r="Z529" s="66"/>
    </row>
    <row r="530" spans="3:26" ht="12.75">
      <c r="C530" s="64"/>
      <c r="D530" s="65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6"/>
      <c r="U530" s="66"/>
      <c r="V530" s="66"/>
      <c r="W530" s="66"/>
      <c r="X530" s="66"/>
      <c r="Y530" s="66"/>
      <c r="Z530" s="66"/>
    </row>
    <row r="531" spans="3:26" ht="12.75">
      <c r="C531" s="64"/>
      <c r="D531" s="65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6"/>
      <c r="U531" s="66"/>
      <c r="V531" s="66"/>
      <c r="W531" s="66"/>
      <c r="X531" s="66"/>
      <c r="Y531" s="66"/>
      <c r="Z531" s="66"/>
    </row>
    <row r="532" spans="3:26" ht="12.75">
      <c r="C532" s="64"/>
      <c r="D532" s="65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6"/>
      <c r="U532" s="66"/>
      <c r="V532" s="66"/>
      <c r="W532" s="66"/>
      <c r="X532" s="66"/>
      <c r="Y532" s="66"/>
      <c r="Z532" s="66"/>
    </row>
    <row r="533" spans="3:26" ht="12.75">
      <c r="C533" s="64"/>
      <c r="D533" s="65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6"/>
      <c r="U533" s="66"/>
      <c r="V533" s="66"/>
      <c r="W533" s="66"/>
      <c r="X533" s="66"/>
      <c r="Y533" s="66"/>
      <c r="Z533" s="66"/>
    </row>
    <row r="534" spans="3:26" ht="12.75">
      <c r="C534" s="64"/>
      <c r="D534" s="65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6"/>
      <c r="U534" s="66"/>
      <c r="V534" s="66"/>
      <c r="W534" s="66"/>
      <c r="X534" s="66"/>
      <c r="Y534" s="66"/>
      <c r="Z534" s="66"/>
    </row>
    <row r="535" spans="3:26" ht="12.75">
      <c r="C535" s="64"/>
      <c r="D535" s="65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6"/>
      <c r="U535" s="66"/>
      <c r="V535" s="66"/>
      <c r="W535" s="66"/>
      <c r="X535" s="66"/>
      <c r="Y535" s="66"/>
      <c r="Z535" s="66"/>
    </row>
    <row r="536" spans="3:26" ht="12.75">
      <c r="C536" s="64"/>
      <c r="D536" s="65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6"/>
      <c r="U536" s="66"/>
      <c r="V536" s="66"/>
      <c r="W536" s="66"/>
      <c r="X536" s="66"/>
      <c r="Y536" s="66"/>
      <c r="Z536" s="66"/>
    </row>
    <row r="537" spans="3:26" ht="12.75">
      <c r="C537" s="64"/>
      <c r="D537" s="65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6"/>
      <c r="U537" s="66"/>
      <c r="V537" s="66"/>
      <c r="W537" s="66"/>
      <c r="X537" s="66"/>
      <c r="Y537" s="66"/>
      <c r="Z537" s="66"/>
    </row>
    <row r="538" spans="3:26" ht="12.75">
      <c r="C538" s="64"/>
      <c r="D538" s="65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6"/>
      <c r="U538" s="66"/>
      <c r="V538" s="66"/>
      <c r="W538" s="66"/>
      <c r="X538" s="66"/>
      <c r="Y538" s="66"/>
      <c r="Z538" s="66"/>
    </row>
    <row r="539" spans="3:26" ht="12.75">
      <c r="C539" s="64"/>
      <c r="D539" s="65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6"/>
      <c r="U539" s="66"/>
      <c r="V539" s="66"/>
      <c r="W539" s="66"/>
      <c r="X539" s="66"/>
      <c r="Y539" s="66"/>
      <c r="Z539" s="66"/>
    </row>
    <row r="540" spans="3:26" ht="12.75">
      <c r="C540" s="64"/>
      <c r="D540" s="65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6"/>
      <c r="U540" s="66"/>
      <c r="V540" s="66"/>
      <c r="W540" s="66"/>
      <c r="X540" s="66"/>
      <c r="Y540" s="66"/>
      <c r="Z540" s="66"/>
    </row>
    <row r="541" spans="3:26" ht="12.75">
      <c r="C541" s="64"/>
      <c r="D541" s="65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6"/>
      <c r="U541" s="66"/>
      <c r="V541" s="66"/>
      <c r="W541" s="66"/>
      <c r="X541" s="66"/>
      <c r="Y541" s="66"/>
      <c r="Z541" s="66"/>
    </row>
    <row r="542" spans="3:26" ht="12.75">
      <c r="C542" s="64"/>
      <c r="D542" s="65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6"/>
      <c r="U542" s="66"/>
      <c r="V542" s="66"/>
      <c r="W542" s="66"/>
      <c r="X542" s="66"/>
      <c r="Y542" s="66"/>
      <c r="Z542" s="66"/>
    </row>
    <row r="543" spans="3:26" ht="12.75">
      <c r="C543" s="64"/>
      <c r="D543" s="65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6"/>
      <c r="U543" s="66"/>
      <c r="V543" s="66"/>
      <c r="W543" s="66"/>
      <c r="X543" s="66"/>
      <c r="Y543" s="66"/>
      <c r="Z543" s="66"/>
    </row>
    <row r="544" spans="3:26" ht="12.75">
      <c r="C544" s="64"/>
      <c r="D544" s="65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6"/>
      <c r="U544" s="66"/>
      <c r="V544" s="66"/>
      <c r="W544" s="66"/>
      <c r="X544" s="66"/>
      <c r="Y544" s="66"/>
      <c r="Z544" s="66"/>
    </row>
    <row r="545" spans="3:26" ht="12.75">
      <c r="C545" s="64"/>
      <c r="D545" s="65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6"/>
      <c r="U545" s="66"/>
      <c r="V545" s="66"/>
      <c r="W545" s="66"/>
      <c r="X545" s="66"/>
      <c r="Y545" s="66"/>
      <c r="Z545" s="66"/>
    </row>
    <row r="546" spans="3:26" ht="12.75">
      <c r="C546" s="64"/>
      <c r="D546" s="65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6"/>
      <c r="U546" s="66"/>
      <c r="V546" s="66"/>
      <c r="W546" s="66"/>
      <c r="X546" s="66"/>
      <c r="Y546" s="66"/>
      <c r="Z546" s="66"/>
    </row>
    <row r="547" spans="3:26" ht="12.75">
      <c r="C547" s="64"/>
      <c r="D547" s="65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6"/>
      <c r="U547" s="66"/>
      <c r="V547" s="66"/>
      <c r="W547" s="66"/>
      <c r="X547" s="66"/>
      <c r="Y547" s="66"/>
      <c r="Z547" s="66"/>
    </row>
    <row r="548" spans="3:26" ht="12.75">
      <c r="C548" s="64"/>
      <c r="D548" s="65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6"/>
      <c r="U548" s="66"/>
      <c r="V548" s="66"/>
      <c r="W548" s="66"/>
      <c r="X548" s="66"/>
      <c r="Y548" s="66"/>
      <c r="Z548" s="66"/>
    </row>
    <row r="549" spans="3:26" ht="12.75">
      <c r="C549" s="64"/>
      <c r="D549" s="65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6"/>
      <c r="U549" s="66"/>
      <c r="V549" s="66"/>
      <c r="W549" s="66"/>
      <c r="X549" s="66"/>
      <c r="Y549" s="66"/>
      <c r="Z549" s="66"/>
    </row>
    <row r="550" spans="3:26" ht="12.75">
      <c r="C550" s="64"/>
      <c r="D550" s="65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6"/>
      <c r="U550" s="66"/>
      <c r="V550" s="66"/>
      <c r="W550" s="66"/>
      <c r="X550" s="66"/>
      <c r="Y550" s="66"/>
      <c r="Z550" s="66"/>
    </row>
    <row r="551" spans="3:26" ht="12.75">
      <c r="C551" s="64"/>
      <c r="D551" s="65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6"/>
      <c r="U551" s="66"/>
      <c r="V551" s="66"/>
      <c r="W551" s="66"/>
      <c r="X551" s="66"/>
      <c r="Y551" s="66"/>
      <c r="Z551" s="66"/>
    </row>
    <row r="552" spans="3:26" ht="12.75">
      <c r="C552" s="64"/>
      <c r="D552" s="65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6"/>
      <c r="U552" s="66"/>
      <c r="V552" s="66"/>
      <c r="W552" s="66"/>
      <c r="X552" s="66"/>
      <c r="Y552" s="66"/>
      <c r="Z552" s="66"/>
    </row>
    <row r="553" spans="3:26" ht="12.75">
      <c r="C553" s="64"/>
      <c r="D553" s="65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6"/>
      <c r="U553" s="66"/>
      <c r="V553" s="66"/>
      <c r="W553" s="66"/>
      <c r="X553" s="66"/>
      <c r="Y553" s="66"/>
      <c r="Z553" s="66"/>
    </row>
    <row r="554" spans="3:26" ht="12.75">
      <c r="C554" s="64"/>
      <c r="D554" s="65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6"/>
      <c r="U554" s="66"/>
      <c r="V554" s="66"/>
      <c r="W554" s="66"/>
      <c r="X554" s="66"/>
      <c r="Y554" s="66"/>
      <c r="Z554" s="66"/>
    </row>
    <row r="555" spans="3:26" ht="12.75">
      <c r="C555" s="64"/>
      <c r="D555" s="65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6"/>
      <c r="U555" s="66"/>
      <c r="V555" s="66"/>
      <c r="W555" s="66"/>
      <c r="X555" s="66"/>
      <c r="Y555" s="66"/>
      <c r="Z555" s="66"/>
    </row>
    <row r="556" spans="3:26" ht="12.75">
      <c r="C556" s="64"/>
      <c r="D556" s="65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6"/>
      <c r="U556" s="66"/>
      <c r="V556" s="66"/>
      <c r="W556" s="66"/>
      <c r="X556" s="66"/>
      <c r="Y556" s="66"/>
      <c r="Z556" s="66"/>
    </row>
    <row r="557" spans="3:26" ht="12.75">
      <c r="C557" s="64"/>
      <c r="D557" s="65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6"/>
      <c r="U557" s="66"/>
      <c r="V557" s="66"/>
      <c r="W557" s="66"/>
      <c r="X557" s="66"/>
      <c r="Y557" s="66"/>
      <c r="Z557" s="66"/>
    </row>
    <row r="558" spans="3:26" ht="12.75">
      <c r="C558" s="64"/>
      <c r="D558" s="65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6"/>
      <c r="U558" s="66"/>
      <c r="V558" s="66"/>
      <c r="W558" s="66"/>
      <c r="X558" s="66"/>
      <c r="Y558" s="66"/>
      <c r="Z558" s="66"/>
    </row>
    <row r="559" spans="3:26" ht="12.75">
      <c r="C559" s="64"/>
      <c r="D559" s="65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6"/>
      <c r="U559" s="66"/>
      <c r="V559" s="66"/>
      <c r="W559" s="66"/>
      <c r="X559" s="66"/>
      <c r="Y559" s="66"/>
      <c r="Z559" s="66"/>
    </row>
    <row r="560" spans="3:26" ht="12.75">
      <c r="C560" s="64"/>
      <c r="D560" s="65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6"/>
      <c r="U560" s="66"/>
      <c r="V560" s="66"/>
      <c r="W560" s="66"/>
      <c r="X560" s="66"/>
      <c r="Y560" s="66"/>
      <c r="Z560" s="66"/>
    </row>
    <row r="561" spans="3:26" ht="12.75">
      <c r="C561" s="64"/>
      <c r="D561" s="65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6"/>
      <c r="U561" s="66"/>
      <c r="V561" s="66"/>
      <c r="W561" s="66"/>
      <c r="X561" s="66"/>
      <c r="Y561" s="66"/>
      <c r="Z561" s="66"/>
    </row>
    <row r="562" spans="3:26" ht="12.75">
      <c r="C562" s="64"/>
      <c r="D562" s="65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6"/>
      <c r="U562" s="66"/>
      <c r="V562" s="66"/>
      <c r="W562" s="66"/>
      <c r="X562" s="66"/>
      <c r="Y562" s="66"/>
      <c r="Z562" s="66"/>
    </row>
    <row r="563" spans="3:26" ht="12.75">
      <c r="C563" s="64"/>
      <c r="D563" s="65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6"/>
      <c r="U563" s="66"/>
      <c r="V563" s="66"/>
      <c r="W563" s="66"/>
      <c r="X563" s="66"/>
      <c r="Y563" s="66"/>
      <c r="Z563" s="66"/>
    </row>
    <row r="564" spans="3:26" ht="12.75">
      <c r="C564" s="64"/>
      <c r="D564" s="65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6"/>
      <c r="U564" s="66"/>
      <c r="V564" s="66"/>
      <c r="W564" s="66"/>
      <c r="X564" s="66"/>
      <c r="Y564" s="66"/>
      <c r="Z564" s="66"/>
    </row>
    <row r="565" spans="3:26" ht="12.75">
      <c r="C565" s="64"/>
      <c r="D565" s="65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6"/>
      <c r="U565" s="66"/>
      <c r="V565" s="66"/>
      <c r="W565" s="66"/>
      <c r="X565" s="66"/>
      <c r="Y565" s="66"/>
      <c r="Z565" s="66"/>
    </row>
    <row r="566" spans="3:26" ht="12.75">
      <c r="C566" s="64"/>
      <c r="D566" s="65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6"/>
      <c r="U566" s="66"/>
      <c r="V566" s="66"/>
      <c r="W566" s="66"/>
      <c r="X566" s="66"/>
      <c r="Y566" s="66"/>
      <c r="Z566" s="66"/>
    </row>
    <row r="567" spans="3:26" ht="12.75">
      <c r="C567" s="64"/>
      <c r="D567" s="65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6"/>
      <c r="U567" s="66"/>
      <c r="V567" s="66"/>
      <c r="W567" s="66"/>
      <c r="X567" s="66"/>
      <c r="Y567" s="66"/>
      <c r="Z567" s="66"/>
    </row>
    <row r="568" spans="3:26" ht="12.75">
      <c r="C568" s="64"/>
      <c r="D568" s="65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6"/>
      <c r="U568" s="66"/>
      <c r="V568" s="66"/>
      <c r="W568" s="66"/>
      <c r="X568" s="66"/>
      <c r="Y568" s="66"/>
      <c r="Z568" s="66"/>
    </row>
    <row r="569" spans="3:26" ht="12.75">
      <c r="C569" s="64"/>
      <c r="D569" s="65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6"/>
      <c r="U569" s="66"/>
      <c r="V569" s="66"/>
      <c r="W569" s="66"/>
      <c r="X569" s="66"/>
      <c r="Y569" s="66"/>
      <c r="Z569" s="66"/>
    </row>
    <row r="570" spans="3:26" ht="12.75">
      <c r="C570" s="64"/>
      <c r="D570" s="65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6"/>
      <c r="U570" s="66"/>
      <c r="V570" s="66"/>
      <c r="W570" s="66"/>
      <c r="X570" s="66"/>
      <c r="Y570" s="66"/>
      <c r="Z570" s="66"/>
    </row>
    <row r="571" spans="3:26" ht="12.75">
      <c r="C571" s="64"/>
      <c r="D571" s="65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6"/>
      <c r="U571" s="66"/>
      <c r="V571" s="66"/>
      <c r="W571" s="66"/>
      <c r="X571" s="66"/>
      <c r="Y571" s="66"/>
      <c r="Z571" s="66"/>
    </row>
    <row r="572" spans="3:26" ht="12.75">
      <c r="C572" s="64"/>
      <c r="D572" s="65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6"/>
      <c r="U572" s="66"/>
      <c r="V572" s="66"/>
      <c r="W572" s="66"/>
      <c r="X572" s="66"/>
      <c r="Y572" s="66"/>
      <c r="Z572" s="66"/>
    </row>
    <row r="573" spans="3:26" ht="12.75">
      <c r="C573" s="64"/>
      <c r="D573" s="65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6"/>
      <c r="U573" s="66"/>
      <c r="V573" s="66"/>
      <c r="W573" s="66"/>
      <c r="X573" s="66"/>
      <c r="Y573" s="66"/>
      <c r="Z573" s="66"/>
    </row>
    <row r="574" spans="3:26" ht="12.75">
      <c r="C574" s="64"/>
      <c r="D574" s="65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6"/>
      <c r="U574" s="66"/>
      <c r="V574" s="66"/>
      <c r="W574" s="66"/>
      <c r="X574" s="66"/>
      <c r="Y574" s="66"/>
      <c r="Z574" s="66"/>
    </row>
    <row r="575" spans="3:26" ht="12.75">
      <c r="C575" s="64"/>
      <c r="D575" s="65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6"/>
      <c r="U575" s="66"/>
      <c r="V575" s="66"/>
      <c r="W575" s="66"/>
      <c r="X575" s="66"/>
      <c r="Y575" s="66"/>
      <c r="Z575" s="66"/>
    </row>
    <row r="576" spans="3:26" ht="12.75">
      <c r="C576" s="64"/>
      <c r="D576" s="65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6"/>
      <c r="U576" s="66"/>
      <c r="V576" s="66"/>
      <c r="W576" s="66"/>
      <c r="X576" s="66"/>
      <c r="Y576" s="66"/>
      <c r="Z576" s="66"/>
    </row>
    <row r="577" spans="3:26" ht="12.75">
      <c r="C577" s="64"/>
      <c r="D577" s="65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6"/>
      <c r="U577" s="66"/>
      <c r="V577" s="66"/>
      <c r="W577" s="66"/>
      <c r="X577" s="66"/>
      <c r="Y577" s="66"/>
      <c r="Z577" s="66"/>
    </row>
    <row r="578" spans="3:26" ht="12.75">
      <c r="C578" s="64"/>
      <c r="D578" s="65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6"/>
      <c r="U578" s="66"/>
      <c r="V578" s="66"/>
      <c r="W578" s="66"/>
      <c r="X578" s="66"/>
      <c r="Y578" s="66"/>
      <c r="Z578" s="66"/>
    </row>
    <row r="579" spans="3:26" ht="12.75">
      <c r="C579" s="64"/>
      <c r="D579" s="65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6"/>
      <c r="U579" s="66"/>
      <c r="V579" s="66"/>
      <c r="W579" s="66"/>
      <c r="X579" s="66"/>
      <c r="Y579" s="66"/>
      <c r="Z579" s="66"/>
    </row>
    <row r="580" spans="3:26" ht="12.75">
      <c r="C580" s="64"/>
      <c r="D580" s="65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6"/>
      <c r="U580" s="66"/>
      <c r="V580" s="66"/>
      <c r="W580" s="66"/>
      <c r="X580" s="66"/>
      <c r="Y580" s="66"/>
      <c r="Z580" s="66"/>
    </row>
    <row r="581" spans="3:26" ht="12.75">
      <c r="C581" s="64"/>
      <c r="D581" s="65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6"/>
      <c r="U581" s="66"/>
      <c r="V581" s="66"/>
      <c r="W581" s="66"/>
      <c r="X581" s="66"/>
      <c r="Y581" s="66"/>
      <c r="Z581" s="66"/>
    </row>
    <row r="582" spans="3:26" ht="12.75">
      <c r="C582" s="64"/>
      <c r="D582" s="65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6"/>
      <c r="U582" s="66"/>
      <c r="V582" s="66"/>
      <c r="W582" s="66"/>
      <c r="X582" s="66"/>
      <c r="Y582" s="66"/>
      <c r="Z582" s="66"/>
    </row>
    <row r="583" spans="3:26" ht="12.75">
      <c r="C583" s="64"/>
      <c r="D583" s="65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6"/>
      <c r="U583" s="66"/>
      <c r="V583" s="66"/>
      <c r="W583" s="66"/>
      <c r="X583" s="66"/>
      <c r="Y583" s="66"/>
      <c r="Z583" s="66"/>
    </row>
    <row r="584" spans="3:26" ht="12.75">
      <c r="C584" s="64"/>
      <c r="D584" s="65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6"/>
      <c r="U584" s="66"/>
      <c r="V584" s="66"/>
      <c r="W584" s="66"/>
      <c r="X584" s="66"/>
      <c r="Y584" s="66"/>
      <c r="Z584" s="66"/>
    </row>
    <row r="585" spans="3:26" ht="12.75">
      <c r="C585" s="64"/>
      <c r="D585" s="65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6"/>
      <c r="U585" s="66"/>
      <c r="V585" s="66"/>
      <c r="W585" s="66"/>
      <c r="X585" s="66"/>
      <c r="Y585" s="66"/>
      <c r="Z585" s="66"/>
    </row>
    <row r="586" spans="3:26" ht="12.75">
      <c r="C586" s="64"/>
      <c r="D586" s="65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6"/>
      <c r="U586" s="66"/>
      <c r="V586" s="66"/>
      <c r="W586" s="66"/>
      <c r="X586" s="66"/>
      <c r="Y586" s="66"/>
      <c r="Z586" s="66"/>
    </row>
    <row r="587" spans="3:26" ht="12.75">
      <c r="C587" s="64"/>
      <c r="D587" s="65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6"/>
      <c r="U587" s="66"/>
      <c r="V587" s="66"/>
      <c r="W587" s="66"/>
      <c r="X587" s="66"/>
      <c r="Y587" s="66"/>
      <c r="Z587" s="66"/>
    </row>
    <row r="588" spans="3:26" ht="12.75">
      <c r="C588" s="64"/>
      <c r="D588" s="65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6"/>
      <c r="U588" s="66"/>
      <c r="V588" s="66"/>
      <c r="W588" s="66"/>
      <c r="X588" s="66"/>
      <c r="Y588" s="66"/>
      <c r="Z588" s="66"/>
    </row>
    <row r="589" spans="3:26" ht="12.75">
      <c r="C589" s="64"/>
      <c r="D589" s="65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6"/>
      <c r="U589" s="66"/>
      <c r="V589" s="66"/>
      <c r="W589" s="66"/>
      <c r="X589" s="66"/>
      <c r="Y589" s="66"/>
      <c r="Z589" s="66"/>
    </row>
    <row r="590" spans="3:26" ht="12.75">
      <c r="C590" s="64"/>
      <c r="D590" s="65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6"/>
      <c r="U590" s="66"/>
      <c r="V590" s="66"/>
      <c r="W590" s="66"/>
      <c r="X590" s="66"/>
      <c r="Y590" s="66"/>
      <c r="Z590" s="66"/>
    </row>
    <row r="591" spans="3:26" ht="12.75">
      <c r="C591" s="64"/>
      <c r="D591" s="65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6"/>
      <c r="U591" s="66"/>
      <c r="V591" s="66"/>
      <c r="W591" s="66"/>
      <c r="X591" s="66"/>
      <c r="Y591" s="66"/>
      <c r="Z591" s="66"/>
    </row>
    <row r="592" spans="3:26" ht="12.75">
      <c r="C592" s="64"/>
      <c r="D592" s="65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6"/>
      <c r="U592" s="66"/>
      <c r="V592" s="66"/>
      <c r="W592" s="66"/>
      <c r="X592" s="66"/>
      <c r="Y592" s="66"/>
      <c r="Z592" s="66"/>
    </row>
    <row r="593" spans="3:26" ht="12.75">
      <c r="C593" s="64"/>
      <c r="D593" s="65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6"/>
      <c r="U593" s="66"/>
      <c r="V593" s="66"/>
      <c r="W593" s="66"/>
      <c r="X593" s="66"/>
      <c r="Y593" s="66"/>
      <c r="Z593" s="66"/>
    </row>
    <row r="594" spans="3:26" ht="12.75">
      <c r="C594" s="64"/>
      <c r="D594" s="65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6"/>
      <c r="U594" s="66"/>
      <c r="V594" s="66"/>
      <c r="W594" s="66"/>
      <c r="X594" s="66"/>
      <c r="Y594" s="66"/>
      <c r="Z594" s="66"/>
    </row>
    <row r="595" spans="3:26" ht="12.75">
      <c r="C595" s="64"/>
      <c r="D595" s="65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6"/>
      <c r="U595" s="66"/>
      <c r="V595" s="66"/>
      <c r="W595" s="66"/>
      <c r="X595" s="66"/>
      <c r="Y595" s="66"/>
      <c r="Z595" s="66"/>
    </row>
    <row r="596" spans="3:26" ht="12.75">
      <c r="C596" s="64"/>
      <c r="D596" s="65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6"/>
      <c r="U596" s="66"/>
      <c r="V596" s="66"/>
      <c r="W596" s="66"/>
      <c r="X596" s="66"/>
      <c r="Y596" s="66"/>
      <c r="Z596" s="66"/>
    </row>
    <row r="597" spans="3:26" ht="12.75">
      <c r="C597" s="64"/>
      <c r="D597" s="65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6"/>
      <c r="U597" s="66"/>
      <c r="V597" s="66"/>
      <c r="W597" s="66"/>
      <c r="X597" s="66"/>
      <c r="Y597" s="66"/>
      <c r="Z597" s="66"/>
    </row>
    <row r="598" spans="3:26" ht="12.75">
      <c r="C598" s="64"/>
      <c r="D598" s="65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6"/>
      <c r="U598" s="66"/>
      <c r="V598" s="66"/>
      <c r="W598" s="66"/>
      <c r="X598" s="66"/>
      <c r="Y598" s="66"/>
      <c r="Z598" s="66"/>
    </row>
    <row r="599" spans="3:26" ht="12.75">
      <c r="C599" s="64"/>
      <c r="D599" s="65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6"/>
      <c r="U599" s="66"/>
      <c r="V599" s="66"/>
      <c r="W599" s="66"/>
      <c r="X599" s="66"/>
      <c r="Y599" s="66"/>
      <c r="Z599" s="66"/>
    </row>
    <row r="600" spans="3:26" ht="12.75">
      <c r="C600" s="64"/>
      <c r="D600" s="65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6"/>
      <c r="U600" s="66"/>
      <c r="V600" s="66"/>
      <c r="W600" s="66"/>
      <c r="X600" s="66"/>
      <c r="Y600" s="66"/>
      <c r="Z600" s="66"/>
    </row>
    <row r="601" spans="3:26" ht="12.75">
      <c r="C601" s="64"/>
      <c r="D601" s="65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6"/>
      <c r="U601" s="66"/>
      <c r="V601" s="66"/>
      <c r="W601" s="66"/>
      <c r="X601" s="66"/>
      <c r="Y601" s="66"/>
      <c r="Z601" s="66"/>
    </row>
    <row r="602" spans="3:26" ht="12.75">
      <c r="C602" s="64"/>
      <c r="D602" s="65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6"/>
      <c r="U602" s="66"/>
      <c r="V602" s="66"/>
      <c r="W602" s="66"/>
      <c r="X602" s="66"/>
      <c r="Y602" s="66"/>
      <c r="Z602" s="66"/>
    </row>
    <row r="603" spans="3:26" ht="12.75">
      <c r="C603" s="64"/>
      <c r="D603" s="65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6"/>
      <c r="U603" s="66"/>
      <c r="V603" s="66"/>
      <c r="W603" s="66"/>
      <c r="X603" s="66"/>
      <c r="Y603" s="66"/>
      <c r="Z603" s="66"/>
    </row>
    <row r="604" spans="3:26" ht="12.75">
      <c r="C604" s="64"/>
      <c r="D604" s="65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6"/>
      <c r="U604" s="66"/>
      <c r="V604" s="66"/>
      <c r="W604" s="66"/>
      <c r="X604" s="66"/>
      <c r="Y604" s="66"/>
      <c r="Z604" s="66"/>
    </row>
    <row r="605" spans="3:26" ht="12.75">
      <c r="C605" s="64"/>
      <c r="D605" s="65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6"/>
      <c r="U605" s="66"/>
      <c r="V605" s="66"/>
      <c r="W605" s="66"/>
      <c r="X605" s="66"/>
      <c r="Y605" s="66"/>
      <c r="Z605" s="66"/>
    </row>
    <row r="606" spans="3:26" ht="12.75">
      <c r="C606" s="64"/>
      <c r="D606" s="65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6"/>
      <c r="U606" s="66"/>
      <c r="V606" s="66"/>
      <c r="W606" s="66"/>
      <c r="X606" s="66"/>
      <c r="Y606" s="66"/>
      <c r="Z606" s="66"/>
    </row>
    <row r="607" spans="3:26" ht="12.75">
      <c r="C607" s="64"/>
      <c r="D607" s="65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6"/>
      <c r="U607" s="66"/>
      <c r="V607" s="66"/>
      <c r="W607" s="66"/>
      <c r="X607" s="66"/>
      <c r="Y607" s="66"/>
      <c r="Z607" s="66"/>
    </row>
    <row r="608" spans="3:26" ht="12.75">
      <c r="C608" s="64"/>
      <c r="D608" s="65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6"/>
      <c r="U608" s="66"/>
      <c r="V608" s="66"/>
      <c r="W608" s="66"/>
      <c r="X608" s="66"/>
      <c r="Y608" s="66"/>
      <c r="Z608" s="66"/>
    </row>
    <row r="609" spans="3:26" ht="12.75">
      <c r="C609" s="64"/>
      <c r="D609" s="65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6"/>
      <c r="U609" s="66"/>
      <c r="V609" s="66"/>
      <c r="W609" s="66"/>
      <c r="X609" s="66"/>
      <c r="Y609" s="66"/>
      <c r="Z609" s="66"/>
    </row>
    <row r="610" spans="3:26" ht="12.75">
      <c r="C610" s="64"/>
      <c r="D610" s="65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6"/>
      <c r="U610" s="66"/>
      <c r="V610" s="66"/>
      <c r="W610" s="66"/>
      <c r="X610" s="66"/>
      <c r="Y610" s="66"/>
      <c r="Z610" s="66"/>
    </row>
    <row r="611" spans="3:26" ht="12.75">
      <c r="C611" s="64"/>
      <c r="D611" s="65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6"/>
      <c r="U611" s="66"/>
      <c r="V611" s="66"/>
      <c r="W611" s="66"/>
      <c r="X611" s="66"/>
      <c r="Y611" s="66"/>
      <c r="Z611" s="66"/>
    </row>
    <row r="612" spans="3:26" ht="12.75">
      <c r="C612" s="64"/>
      <c r="D612" s="65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6"/>
      <c r="U612" s="66"/>
      <c r="V612" s="66"/>
      <c r="W612" s="66"/>
      <c r="X612" s="66"/>
      <c r="Y612" s="66"/>
      <c r="Z612" s="66"/>
    </row>
    <row r="613" spans="3:26" ht="12.75">
      <c r="C613" s="64"/>
      <c r="D613" s="65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6"/>
      <c r="U613" s="66"/>
      <c r="V613" s="66"/>
      <c r="W613" s="66"/>
      <c r="X613" s="66"/>
      <c r="Y613" s="66"/>
      <c r="Z613" s="66"/>
    </row>
    <row r="614" spans="3:26" ht="12.75">
      <c r="C614" s="64"/>
      <c r="D614" s="65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6"/>
      <c r="U614" s="66"/>
      <c r="V614" s="66"/>
      <c r="W614" s="66"/>
      <c r="X614" s="66"/>
      <c r="Y614" s="66"/>
      <c r="Z614" s="66"/>
    </row>
    <row r="615" spans="3:26" ht="12.75">
      <c r="C615" s="64"/>
      <c r="D615" s="65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6"/>
      <c r="U615" s="66"/>
      <c r="V615" s="66"/>
      <c r="W615" s="66"/>
      <c r="X615" s="66"/>
      <c r="Y615" s="66"/>
      <c r="Z615" s="66"/>
    </row>
    <row r="616" spans="3:26" ht="12.75">
      <c r="C616" s="64"/>
      <c r="D616" s="65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6"/>
      <c r="U616" s="66"/>
      <c r="V616" s="66"/>
      <c r="W616" s="66"/>
      <c r="X616" s="66"/>
      <c r="Y616" s="66"/>
      <c r="Z616" s="66"/>
    </row>
    <row r="617" spans="3:26" ht="12.75">
      <c r="C617" s="64"/>
      <c r="D617" s="65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6"/>
      <c r="U617" s="66"/>
      <c r="V617" s="66"/>
      <c r="W617" s="66"/>
      <c r="X617" s="66"/>
      <c r="Y617" s="66"/>
      <c r="Z617" s="66"/>
    </row>
    <row r="618" spans="3:26" ht="12.75">
      <c r="C618" s="64"/>
      <c r="D618" s="65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6"/>
      <c r="U618" s="66"/>
      <c r="V618" s="66"/>
      <c r="W618" s="66"/>
      <c r="X618" s="66"/>
      <c r="Y618" s="66"/>
      <c r="Z618" s="66"/>
    </row>
    <row r="619" spans="3:26" ht="12.75">
      <c r="C619" s="64"/>
      <c r="D619" s="65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6"/>
      <c r="U619" s="66"/>
      <c r="V619" s="66"/>
      <c r="W619" s="66"/>
      <c r="X619" s="66"/>
      <c r="Y619" s="66"/>
      <c r="Z619" s="66"/>
    </row>
    <row r="620" spans="3:26" ht="12.75">
      <c r="C620" s="64"/>
      <c r="D620" s="65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6"/>
      <c r="U620" s="66"/>
      <c r="V620" s="66"/>
      <c r="W620" s="66"/>
      <c r="X620" s="66"/>
      <c r="Y620" s="66"/>
      <c r="Z620" s="66"/>
    </row>
    <row r="621" spans="3:26" ht="12.75">
      <c r="C621" s="64"/>
      <c r="D621" s="65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6"/>
      <c r="U621" s="66"/>
      <c r="V621" s="66"/>
      <c r="W621" s="66"/>
      <c r="X621" s="66"/>
      <c r="Y621" s="66"/>
      <c r="Z621" s="66"/>
    </row>
    <row r="622" spans="3:26" ht="12.75">
      <c r="C622" s="64"/>
      <c r="D622" s="65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6"/>
      <c r="U622" s="66"/>
      <c r="V622" s="66"/>
      <c r="W622" s="66"/>
      <c r="X622" s="66"/>
      <c r="Y622" s="66"/>
      <c r="Z622" s="66"/>
    </row>
    <row r="623" spans="3:26" ht="12.75">
      <c r="C623" s="64"/>
      <c r="D623" s="65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6"/>
      <c r="U623" s="66"/>
      <c r="V623" s="66"/>
      <c r="W623" s="66"/>
      <c r="X623" s="66"/>
      <c r="Y623" s="66"/>
      <c r="Z623" s="66"/>
    </row>
    <row r="624" spans="3:26" ht="12.75">
      <c r="C624" s="64"/>
      <c r="D624" s="65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6"/>
      <c r="U624" s="66"/>
      <c r="V624" s="66"/>
      <c r="W624" s="66"/>
      <c r="X624" s="66"/>
      <c r="Y624" s="66"/>
      <c r="Z624" s="66"/>
    </row>
    <row r="625" spans="3:26" ht="12.75">
      <c r="C625" s="64"/>
      <c r="D625" s="65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6"/>
      <c r="U625" s="66"/>
      <c r="V625" s="66"/>
      <c r="W625" s="66"/>
      <c r="X625" s="66"/>
      <c r="Y625" s="66"/>
      <c r="Z625" s="66"/>
    </row>
    <row r="626" spans="3:26" ht="12.75">
      <c r="C626" s="64"/>
      <c r="D626" s="65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6"/>
      <c r="U626" s="66"/>
      <c r="V626" s="66"/>
      <c r="W626" s="66"/>
      <c r="X626" s="66"/>
      <c r="Y626" s="66"/>
      <c r="Z626" s="66"/>
    </row>
    <row r="627" spans="3:26" ht="12.75">
      <c r="C627" s="64"/>
      <c r="D627" s="65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6"/>
      <c r="U627" s="66"/>
      <c r="V627" s="66"/>
      <c r="W627" s="66"/>
      <c r="X627" s="66"/>
      <c r="Y627" s="66"/>
      <c r="Z627" s="66"/>
    </row>
    <row r="628" spans="3:26" ht="12.75">
      <c r="C628" s="64"/>
      <c r="D628" s="65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6"/>
      <c r="U628" s="66"/>
      <c r="V628" s="66"/>
      <c r="W628" s="66"/>
      <c r="X628" s="66"/>
      <c r="Y628" s="66"/>
      <c r="Z628" s="66"/>
    </row>
    <row r="629" spans="3:26" ht="12.75">
      <c r="C629" s="64"/>
      <c r="D629" s="65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6"/>
      <c r="U629" s="66"/>
      <c r="V629" s="66"/>
      <c r="W629" s="66"/>
      <c r="X629" s="66"/>
      <c r="Y629" s="66"/>
      <c r="Z629" s="66"/>
    </row>
    <row r="630" spans="3:26" ht="12.75">
      <c r="C630" s="64"/>
      <c r="D630" s="65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6"/>
      <c r="U630" s="66"/>
      <c r="V630" s="66"/>
      <c r="W630" s="66"/>
      <c r="X630" s="66"/>
      <c r="Y630" s="66"/>
      <c r="Z630" s="66"/>
    </row>
    <row r="631" spans="3:26" ht="12.75">
      <c r="C631" s="64"/>
      <c r="D631" s="65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6"/>
      <c r="U631" s="66"/>
      <c r="V631" s="66"/>
      <c r="W631" s="66"/>
      <c r="X631" s="66"/>
      <c r="Y631" s="66"/>
      <c r="Z631" s="66"/>
    </row>
    <row r="632" spans="3:26" ht="12.75">
      <c r="C632" s="64"/>
      <c r="D632" s="65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6"/>
      <c r="U632" s="66"/>
      <c r="V632" s="66"/>
      <c r="W632" s="66"/>
      <c r="X632" s="66"/>
      <c r="Y632" s="66"/>
      <c r="Z632" s="66"/>
    </row>
    <row r="633" spans="3:26" ht="12.75">
      <c r="C633" s="64"/>
      <c r="D633" s="65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6"/>
      <c r="U633" s="66"/>
      <c r="V633" s="66"/>
      <c r="W633" s="66"/>
      <c r="X633" s="66"/>
      <c r="Y633" s="66"/>
      <c r="Z633" s="66"/>
    </row>
    <row r="634" spans="3:26" ht="12.75">
      <c r="C634" s="64"/>
      <c r="D634" s="65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6"/>
      <c r="U634" s="66"/>
      <c r="V634" s="66"/>
      <c r="W634" s="66"/>
      <c r="X634" s="66"/>
      <c r="Y634" s="66"/>
      <c r="Z634" s="66"/>
    </row>
    <row r="635" spans="3:26" ht="12.75">
      <c r="C635" s="64"/>
      <c r="D635" s="65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6"/>
      <c r="U635" s="66"/>
      <c r="V635" s="66"/>
      <c r="W635" s="66"/>
      <c r="X635" s="66"/>
      <c r="Y635" s="66"/>
      <c r="Z635" s="66"/>
    </row>
    <row r="636" spans="3:26" ht="12.75">
      <c r="C636" s="64"/>
      <c r="D636" s="65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6"/>
      <c r="U636" s="66"/>
      <c r="V636" s="66"/>
      <c r="W636" s="66"/>
      <c r="X636" s="66"/>
      <c r="Y636" s="66"/>
      <c r="Z636" s="66"/>
    </row>
    <row r="637" spans="3:26" ht="12.75">
      <c r="C637" s="64"/>
      <c r="D637" s="65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6"/>
      <c r="U637" s="66"/>
      <c r="V637" s="66"/>
      <c r="W637" s="66"/>
      <c r="X637" s="66"/>
      <c r="Y637" s="66"/>
      <c r="Z637" s="66"/>
    </row>
    <row r="638" spans="3:26" ht="12.75">
      <c r="C638" s="64"/>
      <c r="D638" s="65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6"/>
      <c r="U638" s="66"/>
      <c r="V638" s="66"/>
      <c r="W638" s="66"/>
      <c r="X638" s="66"/>
      <c r="Y638" s="66"/>
      <c r="Z638" s="66"/>
    </row>
    <row r="639" spans="3:26" ht="12.75">
      <c r="C639" s="64"/>
      <c r="D639" s="65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6"/>
      <c r="U639" s="66"/>
      <c r="V639" s="66"/>
      <c r="W639" s="66"/>
      <c r="X639" s="66"/>
      <c r="Y639" s="66"/>
      <c r="Z639" s="66"/>
    </row>
    <row r="640" spans="3:26" ht="12.75">
      <c r="C640" s="64"/>
      <c r="D640" s="65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6"/>
      <c r="U640" s="66"/>
      <c r="V640" s="66"/>
      <c r="W640" s="66"/>
      <c r="X640" s="66"/>
      <c r="Y640" s="66"/>
      <c r="Z640" s="66"/>
    </row>
    <row r="641" spans="3:26" ht="12.75">
      <c r="C641" s="64"/>
      <c r="D641" s="65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6"/>
      <c r="U641" s="66"/>
      <c r="V641" s="66"/>
      <c r="W641" s="66"/>
      <c r="X641" s="66"/>
      <c r="Y641" s="66"/>
      <c r="Z641" s="66"/>
    </row>
    <row r="642" spans="3:26" ht="12.75">
      <c r="C642" s="64"/>
      <c r="D642" s="65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6"/>
      <c r="U642" s="66"/>
      <c r="V642" s="66"/>
      <c r="W642" s="66"/>
      <c r="X642" s="66"/>
      <c r="Y642" s="66"/>
      <c r="Z642" s="66"/>
    </row>
    <row r="643" spans="3:26" ht="12.75">
      <c r="C643" s="64"/>
      <c r="D643" s="65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6"/>
      <c r="U643" s="66"/>
      <c r="V643" s="66"/>
      <c r="W643" s="66"/>
      <c r="X643" s="66"/>
      <c r="Y643" s="66"/>
      <c r="Z643" s="66"/>
    </row>
    <row r="644" spans="3:26" ht="12.75">
      <c r="C644" s="64"/>
      <c r="D644" s="65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6"/>
      <c r="U644" s="66"/>
      <c r="V644" s="66"/>
      <c r="W644" s="66"/>
      <c r="X644" s="66"/>
      <c r="Y644" s="66"/>
      <c r="Z644" s="66"/>
    </row>
    <row r="645" spans="3:26" ht="12.75">
      <c r="C645" s="64"/>
      <c r="D645" s="65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6"/>
      <c r="U645" s="66"/>
      <c r="V645" s="66"/>
      <c r="W645" s="66"/>
      <c r="X645" s="66"/>
      <c r="Y645" s="66"/>
      <c r="Z645" s="66"/>
    </row>
    <row r="646" spans="3:26" ht="12.75">
      <c r="C646" s="64"/>
      <c r="D646" s="65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6"/>
      <c r="U646" s="66"/>
      <c r="V646" s="66"/>
      <c r="W646" s="66"/>
      <c r="X646" s="66"/>
      <c r="Y646" s="66"/>
      <c r="Z646" s="66"/>
    </row>
    <row r="647" spans="3:26" ht="12.75">
      <c r="C647" s="64"/>
      <c r="D647" s="65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6"/>
      <c r="U647" s="66"/>
      <c r="V647" s="66"/>
      <c r="W647" s="66"/>
      <c r="X647" s="66"/>
      <c r="Y647" s="66"/>
      <c r="Z647" s="66"/>
    </row>
    <row r="648" spans="3:26" ht="12.75">
      <c r="C648" s="64"/>
      <c r="D648" s="65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6"/>
      <c r="U648" s="66"/>
      <c r="V648" s="66"/>
      <c r="W648" s="66"/>
      <c r="X648" s="66"/>
      <c r="Y648" s="66"/>
      <c r="Z648" s="66"/>
    </row>
    <row r="649" spans="3:26" ht="12.75">
      <c r="C649" s="64"/>
      <c r="D649" s="65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6"/>
      <c r="U649" s="66"/>
      <c r="V649" s="66"/>
      <c r="W649" s="66"/>
      <c r="X649" s="66"/>
      <c r="Y649" s="66"/>
      <c r="Z649" s="66"/>
    </row>
    <row r="650" spans="3:26" ht="12.75">
      <c r="C650" s="64"/>
      <c r="D650" s="65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6"/>
      <c r="U650" s="66"/>
      <c r="V650" s="66"/>
      <c r="W650" s="66"/>
      <c r="X650" s="66"/>
      <c r="Y650" s="66"/>
      <c r="Z650" s="66"/>
    </row>
    <row r="651" spans="3:26" ht="12.75">
      <c r="C651" s="64"/>
      <c r="D651" s="65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6"/>
      <c r="U651" s="66"/>
      <c r="V651" s="66"/>
      <c r="W651" s="66"/>
      <c r="X651" s="66"/>
      <c r="Y651" s="66"/>
      <c r="Z651" s="66"/>
    </row>
    <row r="652" spans="3:26" ht="12.75">
      <c r="C652" s="64"/>
      <c r="D652" s="65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6"/>
      <c r="U652" s="66"/>
      <c r="V652" s="66"/>
      <c r="W652" s="66"/>
      <c r="X652" s="66"/>
      <c r="Y652" s="66"/>
      <c r="Z652" s="66"/>
    </row>
    <row r="653" spans="3:26" ht="12.75">
      <c r="C653" s="64"/>
      <c r="D653" s="65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6"/>
      <c r="U653" s="66"/>
      <c r="V653" s="66"/>
      <c r="W653" s="66"/>
      <c r="X653" s="66"/>
      <c r="Y653" s="66"/>
      <c r="Z653" s="66"/>
    </row>
    <row r="654" spans="3:26" ht="12.75">
      <c r="C654" s="64"/>
      <c r="D654" s="65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6"/>
      <c r="U654" s="66"/>
      <c r="V654" s="66"/>
      <c r="W654" s="66"/>
      <c r="X654" s="66"/>
      <c r="Y654" s="66"/>
      <c r="Z654" s="66"/>
    </row>
    <row r="655" spans="3:26" ht="12.75">
      <c r="C655" s="64"/>
      <c r="D655" s="65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6"/>
      <c r="U655" s="66"/>
      <c r="V655" s="66"/>
      <c r="W655" s="66"/>
      <c r="X655" s="66"/>
      <c r="Y655" s="66"/>
      <c r="Z655" s="66"/>
    </row>
    <row r="656" spans="3:26" ht="12.75">
      <c r="C656" s="64"/>
      <c r="D656" s="65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6"/>
      <c r="U656" s="66"/>
      <c r="V656" s="66"/>
      <c r="W656" s="66"/>
      <c r="X656" s="66"/>
      <c r="Y656" s="66"/>
      <c r="Z656" s="66"/>
    </row>
    <row r="657" spans="3:26" ht="12.75">
      <c r="C657" s="64"/>
      <c r="D657" s="65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6"/>
      <c r="U657" s="66"/>
      <c r="V657" s="66"/>
      <c r="W657" s="66"/>
      <c r="X657" s="66"/>
      <c r="Y657" s="66"/>
      <c r="Z657" s="66"/>
    </row>
    <row r="658" spans="3:26" ht="12.75">
      <c r="C658" s="64"/>
      <c r="D658" s="65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6"/>
      <c r="U658" s="66"/>
      <c r="V658" s="66"/>
      <c r="W658" s="66"/>
      <c r="X658" s="66"/>
      <c r="Y658" s="66"/>
      <c r="Z658" s="66"/>
    </row>
    <row r="659" spans="3:26" ht="12.75">
      <c r="C659" s="64"/>
      <c r="D659" s="65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6"/>
      <c r="U659" s="66"/>
      <c r="V659" s="66"/>
      <c r="W659" s="66"/>
      <c r="X659" s="66"/>
      <c r="Y659" s="66"/>
      <c r="Z659" s="66"/>
    </row>
    <row r="660" spans="3:26" ht="12.75">
      <c r="C660" s="64"/>
      <c r="D660" s="65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6"/>
      <c r="U660" s="66"/>
      <c r="V660" s="66"/>
      <c r="W660" s="66"/>
      <c r="X660" s="66"/>
      <c r="Y660" s="66"/>
      <c r="Z660" s="66"/>
    </row>
    <row r="661" spans="3:26" ht="12.75">
      <c r="C661" s="64"/>
      <c r="D661" s="65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6"/>
      <c r="U661" s="66"/>
      <c r="V661" s="66"/>
      <c r="W661" s="66"/>
      <c r="X661" s="66"/>
      <c r="Y661" s="66"/>
      <c r="Z661" s="66"/>
    </row>
    <row r="662" spans="3:26" ht="12.75">
      <c r="C662" s="64"/>
      <c r="D662" s="65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6"/>
      <c r="U662" s="66"/>
      <c r="V662" s="66"/>
      <c r="W662" s="66"/>
      <c r="X662" s="66"/>
      <c r="Y662" s="66"/>
      <c r="Z662" s="66"/>
    </row>
    <row r="663" spans="3:26" ht="12.75">
      <c r="C663" s="64"/>
      <c r="D663" s="65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6"/>
      <c r="U663" s="66"/>
      <c r="V663" s="66"/>
      <c r="W663" s="66"/>
      <c r="X663" s="66"/>
      <c r="Y663" s="66"/>
      <c r="Z663" s="66"/>
    </row>
    <row r="664" spans="3:26" ht="12.75">
      <c r="C664" s="64"/>
      <c r="D664" s="65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6"/>
      <c r="U664" s="66"/>
      <c r="V664" s="66"/>
      <c r="W664" s="66"/>
      <c r="X664" s="66"/>
      <c r="Y664" s="66"/>
      <c r="Z664" s="66"/>
    </row>
    <row r="665" spans="3:26" ht="12.75">
      <c r="C665" s="64"/>
      <c r="D665" s="65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6"/>
      <c r="U665" s="66"/>
      <c r="V665" s="66"/>
      <c r="W665" s="66"/>
      <c r="X665" s="66"/>
      <c r="Y665" s="66"/>
      <c r="Z665" s="66"/>
    </row>
    <row r="666" spans="3:26" ht="12.75">
      <c r="C666" s="64"/>
      <c r="D666" s="65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6"/>
      <c r="U666" s="66"/>
      <c r="V666" s="66"/>
      <c r="W666" s="66"/>
      <c r="X666" s="66"/>
      <c r="Y666" s="66"/>
      <c r="Z666" s="66"/>
    </row>
    <row r="667" spans="3:26" ht="12.75">
      <c r="C667" s="64"/>
      <c r="D667" s="65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6"/>
      <c r="U667" s="66"/>
      <c r="V667" s="66"/>
      <c r="W667" s="66"/>
      <c r="X667" s="66"/>
      <c r="Y667" s="66"/>
      <c r="Z667" s="66"/>
    </row>
    <row r="668" spans="3:26" ht="12.75">
      <c r="C668" s="64"/>
      <c r="D668" s="65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6"/>
      <c r="U668" s="66"/>
      <c r="V668" s="66"/>
      <c r="W668" s="66"/>
      <c r="X668" s="66"/>
      <c r="Y668" s="66"/>
      <c r="Z668" s="66"/>
    </row>
    <row r="669" spans="3:26" ht="12.75">
      <c r="C669" s="64"/>
      <c r="D669" s="65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6"/>
      <c r="U669" s="66"/>
      <c r="V669" s="66"/>
      <c r="W669" s="66"/>
      <c r="X669" s="66"/>
      <c r="Y669" s="66"/>
      <c r="Z669" s="66"/>
    </row>
    <row r="670" spans="3:26" ht="12.75">
      <c r="C670" s="64"/>
      <c r="D670" s="65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6"/>
      <c r="U670" s="66"/>
      <c r="V670" s="66"/>
      <c r="W670" s="66"/>
      <c r="X670" s="66"/>
      <c r="Y670" s="66"/>
      <c r="Z670" s="66"/>
    </row>
    <row r="671" spans="3:26" ht="12.75">
      <c r="C671" s="64"/>
      <c r="D671" s="65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6"/>
      <c r="U671" s="66"/>
      <c r="V671" s="66"/>
      <c r="W671" s="66"/>
      <c r="X671" s="66"/>
      <c r="Y671" s="66"/>
      <c r="Z671" s="66"/>
    </row>
    <row r="672" spans="3:26" ht="12.75">
      <c r="C672" s="64"/>
      <c r="D672" s="65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6"/>
      <c r="U672" s="66"/>
      <c r="V672" s="66"/>
      <c r="W672" s="66"/>
      <c r="X672" s="66"/>
      <c r="Y672" s="66"/>
      <c r="Z672" s="66"/>
    </row>
    <row r="673" spans="3:26" ht="12.75">
      <c r="C673" s="64"/>
      <c r="D673" s="65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6"/>
      <c r="U673" s="66"/>
      <c r="V673" s="66"/>
      <c r="W673" s="66"/>
      <c r="X673" s="66"/>
      <c r="Y673" s="66"/>
      <c r="Z673" s="66"/>
    </row>
    <row r="674" spans="3:26" ht="12.75">
      <c r="C674" s="64"/>
      <c r="D674" s="65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6"/>
      <c r="U674" s="66"/>
      <c r="V674" s="66"/>
      <c r="W674" s="66"/>
      <c r="X674" s="66"/>
      <c r="Y674" s="66"/>
      <c r="Z674" s="66"/>
    </row>
    <row r="675" spans="3:26" ht="12.75">
      <c r="C675" s="64"/>
      <c r="D675" s="65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6"/>
      <c r="U675" s="66"/>
      <c r="V675" s="66"/>
      <c r="W675" s="66"/>
      <c r="X675" s="66"/>
      <c r="Y675" s="66"/>
      <c r="Z675" s="66"/>
    </row>
    <row r="676" spans="3:26" ht="12.75">
      <c r="C676" s="64"/>
      <c r="D676" s="65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6"/>
      <c r="U676" s="66"/>
      <c r="V676" s="66"/>
      <c r="W676" s="66"/>
      <c r="X676" s="66"/>
      <c r="Y676" s="66"/>
      <c r="Z676" s="66"/>
    </row>
    <row r="677" spans="3:26" ht="12.75">
      <c r="C677" s="64"/>
      <c r="D677" s="65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6"/>
      <c r="U677" s="66"/>
      <c r="V677" s="66"/>
      <c r="W677" s="66"/>
      <c r="X677" s="66"/>
      <c r="Y677" s="66"/>
      <c r="Z677" s="66"/>
    </row>
    <row r="678" spans="3:26" ht="12.75">
      <c r="C678" s="64"/>
      <c r="D678" s="65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6"/>
      <c r="U678" s="66"/>
      <c r="V678" s="66"/>
      <c r="W678" s="66"/>
      <c r="X678" s="66"/>
      <c r="Y678" s="66"/>
      <c r="Z678" s="66"/>
    </row>
    <row r="679" spans="3:26" ht="12.75">
      <c r="C679" s="64"/>
      <c r="D679" s="65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6"/>
      <c r="U679" s="66"/>
      <c r="V679" s="66"/>
      <c r="W679" s="66"/>
      <c r="X679" s="66"/>
      <c r="Y679" s="66"/>
      <c r="Z679" s="66"/>
    </row>
    <row r="680" spans="3:26" ht="12.75">
      <c r="C680" s="64"/>
      <c r="D680" s="65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6"/>
      <c r="U680" s="66"/>
      <c r="V680" s="66"/>
      <c r="W680" s="66"/>
      <c r="X680" s="66"/>
      <c r="Y680" s="66"/>
      <c r="Z680" s="66"/>
    </row>
    <row r="681" spans="3:26" ht="12.75">
      <c r="C681" s="64"/>
      <c r="D681" s="65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6"/>
      <c r="U681" s="66"/>
      <c r="V681" s="66"/>
      <c r="W681" s="66"/>
      <c r="X681" s="66"/>
      <c r="Y681" s="66"/>
      <c r="Z681" s="66"/>
    </row>
    <row r="682" spans="3:26" ht="12.75">
      <c r="C682" s="64"/>
      <c r="D682" s="65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6"/>
      <c r="U682" s="66"/>
      <c r="V682" s="66"/>
      <c r="W682" s="66"/>
      <c r="X682" s="66"/>
      <c r="Y682" s="66"/>
      <c r="Z682" s="66"/>
    </row>
    <row r="683" spans="3:26" ht="12.75">
      <c r="C683" s="64"/>
      <c r="D683" s="65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6"/>
      <c r="U683" s="66"/>
      <c r="V683" s="66"/>
      <c r="W683" s="66"/>
      <c r="X683" s="66"/>
      <c r="Y683" s="66"/>
      <c r="Z683" s="66"/>
    </row>
    <row r="684" spans="3:26" ht="12.75">
      <c r="C684" s="64"/>
      <c r="D684" s="65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6"/>
      <c r="U684" s="66"/>
      <c r="V684" s="66"/>
      <c r="W684" s="66"/>
      <c r="X684" s="66"/>
      <c r="Y684" s="66"/>
      <c r="Z684" s="66"/>
    </row>
    <row r="685" spans="3:26" ht="12.75">
      <c r="C685" s="64"/>
      <c r="D685" s="65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6"/>
      <c r="U685" s="66"/>
      <c r="V685" s="66"/>
      <c r="W685" s="66"/>
      <c r="X685" s="66"/>
      <c r="Y685" s="66"/>
      <c r="Z685" s="66"/>
    </row>
    <row r="686" spans="3:26" ht="12.75">
      <c r="C686" s="64"/>
      <c r="D686" s="65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6"/>
      <c r="U686" s="66"/>
      <c r="V686" s="66"/>
      <c r="W686" s="66"/>
      <c r="X686" s="66"/>
      <c r="Y686" s="66"/>
      <c r="Z686" s="66"/>
    </row>
    <row r="687" spans="3:26" ht="12.75">
      <c r="C687" s="64"/>
      <c r="D687" s="65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6"/>
      <c r="U687" s="66"/>
      <c r="V687" s="66"/>
      <c r="W687" s="66"/>
      <c r="X687" s="66"/>
      <c r="Y687" s="66"/>
      <c r="Z687" s="66"/>
    </row>
    <row r="688" spans="3:26" ht="12.75">
      <c r="C688" s="64"/>
      <c r="D688" s="65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6"/>
      <c r="U688" s="66"/>
      <c r="V688" s="66"/>
      <c r="W688" s="66"/>
      <c r="X688" s="66"/>
      <c r="Y688" s="66"/>
      <c r="Z688" s="66"/>
    </row>
    <row r="689" spans="3:26" ht="12.75">
      <c r="C689" s="64"/>
      <c r="D689" s="65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6"/>
      <c r="U689" s="66"/>
      <c r="V689" s="66"/>
      <c r="W689" s="66"/>
      <c r="X689" s="66"/>
      <c r="Y689" s="66"/>
      <c r="Z689" s="66"/>
    </row>
    <row r="690" spans="3:26" ht="12.75">
      <c r="C690" s="64"/>
      <c r="D690" s="65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6"/>
      <c r="U690" s="66"/>
      <c r="V690" s="66"/>
      <c r="W690" s="66"/>
      <c r="X690" s="66"/>
      <c r="Y690" s="66"/>
      <c r="Z690" s="66"/>
    </row>
    <row r="691" spans="3:26" ht="12.75">
      <c r="C691" s="64"/>
      <c r="D691" s="65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6"/>
      <c r="U691" s="66"/>
      <c r="V691" s="66"/>
      <c r="W691" s="66"/>
      <c r="X691" s="66"/>
      <c r="Y691" s="66"/>
      <c r="Z691" s="66"/>
    </row>
    <row r="692" spans="3:26" ht="12.75">
      <c r="C692" s="64"/>
      <c r="D692" s="65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6"/>
      <c r="U692" s="66"/>
      <c r="V692" s="66"/>
      <c r="W692" s="66"/>
      <c r="X692" s="66"/>
      <c r="Y692" s="66"/>
      <c r="Z692" s="66"/>
    </row>
    <row r="693" spans="3:26" ht="12.75">
      <c r="C693" s="64"/>
      <c r="D693" s="65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6"/>
      <c r="U693" s="66"/>
      <c r="V693" s="66"/>
      <c r="W693" s="66"/>
      <c r="X693" s="66"/>
      <c r="Y693" s="66"/>
      <c r="Z693" s="66"/>
    </row>
    <row r="694" spans="3:26" ht="12.75">
      <c r="C694" s="64"/>
      <c r="D694" s="65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6"/>
      <c r="U694" s="66"/>
      <c r="V694" s="66"/>
      <c r="W694" s="66"/>
      <c r="X694" s="66"/>
      <c r="Y694" s="66"/>
      <c r="Z694" s="66"/>
    </row>
    <row r="695" spans="3:26" ht="12.75">
      <c r="C695" s="64"/>
      <c r="D695" s="65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6"/>
      <c r="U695" s="66"/>
      <c r="V695" s="66"/>
      <c r="W695" s="66"/>
      <c r="X695" s="66"/>
      <c r="Y695" s="66"/>
      <c r="Z695" s="66"/>
    </row>
    <row r="696" spans="3:26" ht="12.75">
      <c r="C696" s="64"/>
      <c r="D696" s="65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6"/>
      <c r="U696" s="66"/>
      <c r="V696" s="66"/>
      <c r="W696" s="66"/>
      <c r="X696" s="66"/>
      <c r="Y696" s="66"/>
      <c r="Z696" s="66"/>
    </row>
    <row r="697" spans="3:26" ht="12.75">
      <c r="C697" s="64"/>
      <c r="D697" s="65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6"/>
      <c r="U697" s="66"/>
      <c r="V697" s="66"/>
      <c r="W697" s="66"/>
      <c r="X697" s="66"/>
      <c r="Y697" s="66"/>
      <c r="Z697" s="66"/>
    </row>
    <row r="698" spans="3:26" ht="12.75">
      <c r="C698" s="64"/>
      <c r="D698" s="65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6"/>
      <c r="U698" s="66"/>
      <c r="V698" s="66"/>
      <c r="W698" s="66"/>
      <c r="X698" s="66"/>
      <c r="Y698" s="66"/>
      <c r="Z698" s="66"/>
    </row>
    <row r="699" spans="3:26" ht="12.75">
      <c r="C699" s="64"/>
      <c r="D699" s="65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6"/>
      <c r="U699" s="66"/>
      <c r="V699" s="66"/>
      <c r="W699" s="66"/>
      <c r="X699" s="66"/>
      <c r="Y699" s="66"/>
      <c r="Z699" s="66"/>
    </row>
    <row r="700" spans="3:26" ht="12.75">
      <c r="C700" s="64"/>
      <c r="D700" s="65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6"/>
      <c r="U700" s="66"/>
      <c r="V700" s="66"/>
      <c r="W700" s="66"/>
      <c r="X700" s="66"/>
      <c r="Y700" s="66"/>
      <c r="Z700" s="66"/>
    </row>
    <row r="701" spans="3:26" ht="12.75">
      <c r="C701" s="64"/>
      <c r="D701" s="65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6"/>
      <c r="U701" s="66"/>
      <c r="V701" s="66"/>
      <c r="W701" s="66"/>
      <c r="X701" s="66"/>
      <c r="Y701" s="66"/>
      <c r="Z701" s="66"/>
    </row>
    <row r="702" spans="3:26" ht="12.75">
      <c r="C702" s="64"/>
      <c r="D702" s="65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6"/>
      <c r="U702" s="66"/>
      <c r="V702" s="66"/>
      <c r="W702" s="66"/>
      <c r="X702" s="66"/>
      <c r="Y702" s="66"/>
      <c r="Z702" s="66"/>
    </row>
    <row r="703" spans="3:26" ht="12.75">
      <c r="C703" s="64"/>
      <c r="D703" s="65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6"/>
      <c r="U703" s="66"/>
      <c r="V703" s="66"/>
      <c r="W703" s="66"/>
      <c r="X703" s="66"/>
      <c r="Y703" s="66"/>
      <c r="Z703" s="66"/>
    </row>
    <row r="704" spans="3:26" ht="12.75">
      <c r="C704" s="64"/>
      <c r="D704" s="65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6"/>
      <c r="U704" s="66"/>
      <c r="V704" s="66"/>
      <c r="W704" s="66"/>
      <c r="X704" s="66"/>
      <c r="Y704" s="66"/>
      <c r="Z704" s="66"/>
    </row>
    <row r="705" spans="3:26" ht="12.75">
      <c r="C705" s="64"/>
      <c r="D705" s="65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6"/>
      <c r="U705" s="66"/>
      <c r="V705" s="66"/>
      <c r="W705" s="66"/>
      <c r="X705" s="66"/>
      <c r="Y705" s="66"/>
      <c r="Z705" s="66"/>
    </row>
    <row r="706" spans="3:26" ht="12.75">
      <c r="C706" s="64"/>
      <c r="D706" s="65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6"/>
      <c r="U706" s="66"/>
      <c r="V706" s="66"/>
      <c r="W706" s="66"/>
      <c r="X706" s="66"/>
      <c r="Y706" s="66"/>
      <c r="Z706" s="66"/>
    </row>
    <row r="707" spans="3:26" ht="12.75">
      <c r="C707" s="64"/>
      <c r="D707" s="65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6"/>
      <c r="U707" s="66"/>
      <c r="V707" s="66"/>
      <c r="W707" s="66"/>
      <c r="X707" s="66"/>
      <c r="Y707" s="66"/>
      <c r="Z707" s="66"/>
    </row>
    <row r="708" spans="3:26" ht="12.75">
      <c r="C708" s="64"/>
      <c r="D708" s="65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6"/>
      <c r="U708" s="66"/>
      <c r="V708" s="66"/>
      <c r="W708" s="66"/>
      <c r="X708" s="66"/>
      <c r="Y708" s="66"/>
      <c r="Z708" s="66"/>
    </row>
    <row r="709" spans="3:26" ht="12.75">
      <c r="C709" s="64"/>
      <c r="D709" s="65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6"/>
      <c r="U709" s="66"/>
      <c r="V709" s="66"/>
      <c r="W709" s="66"/>
      <c r="X709" s="66"/>
      <c r="Y709" s="66"/>
      <c r="Z709" s="66"/>
    </row>
    <row r="710" spans="3:26" ht="12.75">
      <c r="C710" s="64"/>
      <c r="D710" s="65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6"/>
      <c r="U710" s="66"/>
      <c r="V710" s="66"/>
      <c r="W710" s="66"/>
      <c r="X710" s="66"/>
      <c r="Y710" s="66"/>
      <c r="Z710" s="66"/>
    </row>
    <row r="711" spans="3:26" ht="12.75">
      <c r="C711" s="64"/>
      <c r="D711" s="65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6"/>
      <c r="U711" s="66"/>
      <c r="V711" s="66"/>
      <c r="W711" s="66"/>
      <c r="X711" s="66"/>
      <c r="Y711" s="66"/>
      <c r="Z711" s="66"/>
    </row>
    <row r="712" spans="3:26" ht="12.75">
      <c r="C712" s="64"/>
      <c r="D712" s="65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6"/>
      <c r="U712" s="66"/>
      <c r="V712" s="66"/>
      <c r="W712" s="66"/>
      <c r="X712" s="66"/>
      <c r="Y712" s="66"/>
      <c r="Z712" s="66"/>
    </row>
    <row r="713" spans="3:26" ht="12.75">
      <c r="C713" s="64"/>
      <c r="D713" s="65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6"/>
      <c r="U713" s="66"/>
      <c r="V713" s="66"/>
      <c r="W713" s="66"/>
      <c r="X713" s="66"/>
      <c r="Y713" s="66"/>
      <c r="Z713" s="66"/>
    </row>
    <row r="714" spans="3:26" ht="12.75">
      <c r="C714" s="64"/>
      <c r="D714" s="65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6"/>
      <c r="U714" s="66"/>
      <c r="V714" s="66"/>
      <c r="W714" s="66"/>
      <c r="X714" s="66"/>
      <c r="Y714" s="66"/>
      <c r="Z714" s="66"/>
    </row>
    <row r="715" spans="3:26" ht="12.75">
      <c r="C715" s="64"/>
      <c r="D715" s="65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6"/>
      <c r="U715" s="66"/>
      <c r="V715" s="66"/>
      <c r="W715" s="66"/>
      <c r="X715" s="66"/>
      <c r="Y715" s="66"/>
      <c r="Z715" s="66"/>
    </row>
    <row r="716" spans="3:26" ht="12.75">
      <c r="C716" s="64"/>
      <c r="D716" s="65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6"/>
      <c r="U716" s="66"/>
      <c r="V716" s="66"/>
      <c r="W716" s="66"/>
      <c r="X716" s="66"/>
      <c r="Y716" s="66"/>
      <c r="Z716" s="66"/>
    </row>
    <row r="717" spans="3:26" ht="12.75">
      <c r="C717" s="64"/>
      <c r="D717" s="65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6"/>
      <c r="U717" s="66"/>
      <c r="V717" s="66"/>
      <c r="W717" s="66"/>
      <c r="X717" s="66"/>
      <c r="Y717" s="66"/>
      <c r="Z717" s="66"/>
    </row>
    <row r="718" spans="3:26" ht="12.75">
      <c r="C718" s="64"/>
      <c r="D718" s="65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6"/>
      <c r="U718" s="66"/>
      <c r="V718" s="66"/>
      <c r="W718" s="66"/>
      <c r="X718" s="66"/>
      <c r="Y718" s="66"/>
      <c r="Z718" s="66"/>
    </row>
    <row r="719" spans="3:26" ht="12.75">
      <c r="C719" s="64"/>
      <c r="D719" s="65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6"/>
      <c r="U719" s="66"/>
      <c r="V719" s="66"/>
      <c r="W719" s="66"/>
      <c r="X719" s="66"/>
      <c r="Y719" s="66"/>
      <c r="Z719" s="66"/>
    </row>
    <row r="720" spans="3:26" ht="12.75">
      <c r="C720" s="64"/>
      <c r="D720" s="65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6"/>
      <c r="U720" s="66"/>
      <c r="V720" s="66"/>
      <c r="W720" s="66"/>
      <c r="X720" s="66"/>
      <c r="Y720" s="66"/>
      <c r="Z720" s="66"/>
    </row>
    <row r="721" spans="3:26" ht="12.75">
      <c r="C721" s="64"/>
      <c r="D721" s="65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6"/>
      <c r="U721" s="66"/>
      <c r="V721" s="66"/>
      <c r="W721" s="66"/>
      <c r="X721" s="66"/>
      <c r="Y721" s="66"/>
      <c r="Z721" s="66"/>
    </row>
    <row r="722" spans="3:26" ht="12.75">
      <c r="C722" s="64"/>
      <c r="D722" s="65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6"/>
      <c r="U722" s="66"/>
      <c r="V722" s="66"/>
      <c r="W722" s="66"/>
      <c r="X722" s="66"/>
      <c r="Y722" s="66"/>
      <c r="Z722" s="66"/>
    </row>
    <row r="723" spans="3:26" ht="12.75">
      <c r="C723" s="64"/>
      <c r="D723" s="65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6"/>
      <c r="U723" s="66"/>
      <c r="V723" s="66"/>
      <c r="W723" s="66"/>
      <c r="X723" s="66"/>
      <c r="Y723" s="66"/>
      <c r="Z723" s="66"/>
    </row>
    <row r="724" spans="3:26" ht="12.75">
      <c r="C724" s="64"/>
      <c r="D724" s="65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6"/>
      <c r="U724" s="66"/>
      <c r="V724" s="66"/>
      <c r="W724" s="66"/>
      <c r="X724" s="66"/>
      <c r="Y724" s="66"/>
      <c r="Z724" s="66"/>
    </row>
    <row r="725" spans="3:26" ht="12.75">
      <c r="C725" s="64"/>
      <c r="D725" s="65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6"/>
      <c r="U725" s="66"/>
      <c r="V725" s="66"/>
      <c r="W725" s="66"/>
      <c r="X725" s="66"/>
      <c r="Y725" s="66"/>
      <c r="Z725" s="66"/>
    </row>
    <row r="726" spans="3:26" ht="12.75">
      <c r="C726" s="64"/>
      <c r="D726" s="65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6"/>
      <c r="U726" s="66"/>
      <c r="V726" s="66"/>
      <c r="W726" s="66"/>
      <c r="X726" s="66"/>
      <c r="Y726" s="66"/>
      <c r="Z726" s="66"/>
    </row>
    <row r="727" spans="3:26" ht="12.75">
      <c r="C727" s="64"/>
      <c r="D727" s="65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6"/>
      <c r="U727" s="66"/>
      <c r="V727" s="66"/>
      <c r="W727" s="66"/>
      <c r="X727" s="66"/>
      <c r="Y727" s="66"/>
      <c r="Z727" s="66"/>
    </row>
    <row r="728" spans="3:26" ht="12.75">
      <c r="C728" s="64"/>
      <c r="D728" s="65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6"/>
      <c r="U728" s="66"/>
      <c r="V728" s="66"/>
      <c r="W728" s="66"/>
      <c r="X728" s="66"/>
      <c r="Y728" s="66"/>
      <c r="Z728" s="66"/>
    </row>
    <row r="729" spans="3:26" ht="12.75">
      <c r="C729" s="64"/>
      <c r="D729" s="65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6"/>
      <c r="U729" s="66"/>
      <c r="V729" s="66"/>
      <c r="W729" s="66"/>
      <c r="X729" s="66"/>
      <c r="Y729" s="66"/>
      <c r="Z729" s="66"/>
    </row>
    <row r="730" spans="3:26" ht="12.75">
      <c r="C730" s="64"/>
      <c r="D730" s="65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6"/>
      <c r="U730" s="66"/>
      <c r="V730" s="66"/>
      <c r="W730" s="66"/>
      <c r="X730" s="66"/>
      <c r="Y730" s="66"/>
      <c r="Z730" s="66"/>
    </row>
    <row r="731" spans="3:26" ht="12.75">
      <c r="C731" s="64"/>
      <c r="D731" s="65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6"/>
      <c r="U731" s="66"/>
      <c r="V731" s="66"/>
      <c r="W731" s="66"/>
      <c r="X731" s="66"/>
      <c r="Y731" s="66"/>
      <c r="Z731" s="66"/>
    </row>
    <row r="732" spans="3:26" ht="12.75">
      <c r="C732" s="64"/>
      <c r="D732" s="65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6"/>
      <c r="U732" s="66"/>
      <c r="V732" s="66"/>
      <c r="W732" s="66"/>
      <c r="X732" s="66"/>
      <c r="Y732" s="66"/>
      <c r="Z732" s="66"/>
    </row>
    <row r="733" spans="3:26" ht="12.75">
      <c r="C733" s="64"/>
      <c r="D733" s="65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6"/>
      <c r="U733" s="66"/>
      <c r="V733" s="66"/>
      <c r="W733" s="66"/>
      <c r="X733" s="66"/>
      <c r="Y733" s="66"/>
      <c r="Z733" s="66"/>
    </row>
    <row r="734" spans="3:26" ht="12.75">
      <c r="C734" s="64"/>
      <c r="D734" s="65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6"/>
      <c r="U734" s="66"/>
      <c r="V734" s="66"/>
      <c r="W734" s="66"/>
      <c r="X734" s="66"/>
      <c r="Y734" s="66"/>
      <c r="Z734" s="66"/>
    </row>
    <row r="735" spans="3:26" ht="12.75">
      <c r="C735" s="64"/>
      <c r="D735" s="65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6"/>
      <c r="U735" s="66"/>
      <c r="V735" s="66"/>
      <c r="W735" s="66"/>
      <c r="X735" s="66"/>
      <c r="Y735" s="66"/>
      <c r="Z735" s="66"/>
    </row>
    <row r="736" spans="3:26" ht="12.75">
      <c r="C736" s="64"/>
      <c r="D736" s="65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6"/>
      <c r="U736" s="66"/>
      <c r="V736" s="66"/>
      <c r="W736" s="66"/>
      <c r="X736" s="66"/>
      <c r="Y736" s="66"/>
      <c r="Z736" s="66"/>
    </row>
    <row r="737" spans="3:26" ht="12.75">
      <c r="C737" s="64"/>
      <c r="D737" s="65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6"/>
      <c r="U737" s="66"/>
      <c r="V737" s="66"/>
      <c r="W737" s="66"/>
      <c r="X737" s="66"/>
      <c r="Y737" s="66"/>
      <c r="Z737" s="66"/>
    </row>
    <row r="738" spans="3:26" ht="12.75">
      <c r="C738" s="64"/>
      <c r="D738" s="65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6"/>
      <c r="U738" s="66"/>
      <c r="V738" s="66"/>
      <c r="W738" s="66"/>
      <c r="X738" s="66"/>
      <c r="Y738" s="66"/>
      <c r="Z738" s="66"/>
    </row>
    <row r="739" spans="3:26" ht="12.75">
      <c r="C739" s="64"/>
      <c r="D739" s="65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6"/>
      <c r="U739" s="66"/>
      <c r="V739" s="66"/>
      <c r="W739" s="66"/>
      <c r="X739" s="66"/>
      <c r="Y739" s="66"/>
      <c r="Z739" s="66"/>
    </row>
    <row r="740" spans="3:26" ht="12.75">
      <c r="C740" s="64"/>
      <c r="D740" s="65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6"/>
      <c r="U740" s="66"/>
      <c r="V740" s="66"/>
      <c r="W740" s="66"/>
      <c r="X740" s="66"/>
      <c r="Y740" s="66"/>
      <c r="Z740" s="66"/>
    </row>
    <row r="741" spans="3:26" ht="12.75">
      <c r="C741" s="64"/>
      <c r="D741" s="65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6"/>
      <c r="U741" s="66"/>
      <c r="V741" s="66"/>
      <c r="W741" s="66"/>
      <c r="X741" s="66"/>
      <c r="Y741" s="66"/>
      <c r="Z741" s="66"/>
    </row>
    <row r="742" spans="3:26" ht="12.75">
      <c r="C742" s="64"/>
      <c r="D742" s="65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6"/>
      <c r="U742" s="66"/>
      <c r="V742" s="66"/>
      <c r="W742" s="66"/>
      <c r="X742" s="66"/>
      <c r="Y742" s="66"/>
      <c r="Z742" s="66"/>
    </row>
    <row r="743" spans="3:26" ht="12.75">
      <c r="C743" s="64"/>
      <c r="D743" s="65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6"/>
      <c r="U743" s="66"/>
      <c r="V743" s="66"/>
      <c r="W743" s="66"/>
      <c r="X743" s="66"/>
      <c r="Y743" s="66"/>
      <c r="Z743" s="66"/>
    </row>
    <row r="744" spans="3:26" ht="12.75">
      <c r="C744" s="64"/>
      <c r="D744" s="65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6"/>
      <c r="U744" s="66"/>
      <c r="V744" s="66"/>
      <c r="W744" s="66"/>
      <c r="X744" s="66"/>
      <c r="Y744" s="66"/>
      <c r="Z744" s="66"/>
    </row>
    <row r="745" spans="3:26" ht="12.75">
      <c r="C745" s="64"/>
      <c r="D745" s="65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6"/>
      <c r="U745" s="66"/>
      <c r="V745" s="66"/>
      <c r="W745" s="66"/>
      <c r="X745" s="66"/>
      <c r="Y745" s="66"/>
      <c r="Z745" s="66"/>
    </row>
    <row r="746" spans="3:26" ht="12.75">
      <c r="C746" s="64"/>
      <c r="D746" s="65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6"/>
      <c r="U746" s="66"/>
      <c r="V746" s="66"/>
      <c r="W746" s="66"/>
      <c r="X746" s="66"/>
      <c r="Y746" s="66"/>
      <c r="Z746" s="66"/>
    </row>
    <row r="747" spans="3:26" ht="12.75">
      <c r="C747" s="64"/>
      <c r="D747" s="65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6"/>
      <c r="U747" s="66"/>
      <c r="V747" s="66"/>
      <c r="W747" s="66"/>
      <c r="X747" s="66"/>
      <c r="Y747" s="66"/>
      <c r="Z747" s="66"/>
    </row>
    <row r="748" spans="3:26" ht="12.75">
      <c r="C748" s="64"/>
      <c r="D748" s="65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6"/>
      <c r="U748" s="66"/>
      <c r="V748" s="66"/>
      <c r="W748" s="66"/>
      <c r="X748" s="66"/>
      <c r="Y748" s="66"/>
      <c r="Z748" s="66"/>
    </row>
    <row r="749" spans="3:26" ht="12.75">
      <c r="C749" s="64"/>
      <c r="D749" s="65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6"/>
      <c r="U749" s="66"/>
      <c r="V749" s="66"/>
      <c r="W749" s="66"/>
      <c r="X749" s="66"/>
      <c r="Y749" s="66"/>
      <c r="Z749" s="66"/>
    </row>
    <row r="750" spans="3:26" ht="12.75">
      <c r="C750" s="64"/>
      <c r="D750" s="65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6"/>
      <c r="U750" s="66"/>
      <c r="V750" s="66"/>
      <c r="W750" s="66"/>
      <c r="X750" s="66"/>
      <c r="Y750" s="66"/>
      <c r="Z750" s="66"/>
    </row>
    <row r="751" spans="3:26" ht="12.75">
      <c r="C751" s="64"/>
      <c r="D751" s="65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6"/>
      <c r="U751" s="66"/>
      <c r="V751" s="66"/>
      <c r="W751" s="66"/>
      <c r="X751" s="66"/>
      <c r="Y751" s="66"/>
      <c r="Z751" s="66"/>
    </row>
    <row r="752" spans="3:26" ht="12.75">
      <c r="C752" s="64"/>
      <c r="D752" s="65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6"/>
      <c r="U752" s="66"/>
      <c r="V752" s="66"/>
      <c r="W752" s="66"/>
      <c r="X752" s="66"/>
      <c r="Y752" s="66"/>
      <c r="Z752" s="66"/>
    </row>
    <row r="753" spans="3:26" ht="12.75">
      <c r="C753" s="64"/>
      <c r="D753" s="65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6"/>
      <c r="U753" s="66"/>
      <c r="V753" s="66"/>
      <c r="W753" s="66"/>
      <c r="X753" s="66"/>
      <c r="Y753" s="66"/>
      <c r="Z753" s="66"/>
    </row>
    <row r="754" spans="3:26" ht="12.75">
      <c r="C754" s="64"/>
      <c r="D754" s="65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6"/>
      <c r="U754" s="66"/>
      <c r="V754" s="66"/>
      <c r="W754" s="66"/>
      <c r="X754" s="66"/>
      <c r="Y754" s="66"/>
      <c r="Z754" s="66"/>
    </row>
    <row r="755" spans="3:26" ht="12.75">
      <c r="C755" s="64"/>
      <c r="D755" s="65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6"/>
      <c r="U755" s="66"/>
      <c r="V755" s="66"/>
      <c r="W755" s="66"/>
      <c r="X755" s="66"/>
      <c r="Y755" s="66"/>
      <c r="Z755" s="66"/>
    </row>
    <row r="756" spans="3:26" ht="12.75">
      <c r="C756" s="64"/>
      <c r="D756" s="65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6"/>
      <c r="U756" s="66"/>
      <c r="V756" s="66"/>
      <c r="W756" s="66"/>
      <c r="X756" s="66"/>
      <c r="Y756" s="66"/>
      <c r="Z756" s="66"/>
    </row>
    <row r="757" spans="3:26" ht="12.75">
      <c r="C757" s="64"/>
      <c r="D757" s="65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6"/>
      <c r="U757" s="66"/>
      <c r="V757" s="66"/>
      <c r="W757" s="66"/>
      <c r="X757" s="66"/>
      <c r="Y757" s="66"/>
      <c r="Z757" s="66"/>
    </row>
    <row r="758" spans="3:26" ht="12.75">
      <c r="C758" s="64"/>
      <c r="D758" s="65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6"/>
      <c r="U758" s="66"/>
      <c r="V758" s="66"/>
      <c r="W758" s="66"/>
      <c r="X758" s="66"/>
      <c r="Y758" s="66"/>
      <c r="Z758" s="66"/>
    </row>
    <row r="759" spans="3:26" ht="12.75">
      <c r="C759" s="64"/>
      <c r="D759" s="65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6"/>
      <c r="U759" s="66"/>
      <c r="V759" s="66"/>
      <c r="W759" s="66"/>
      <c r="X759" s="66"/>
      <c r="Y759" s="66"/>
      <c r="Z759" s="66"/>
    </row>
    <row r="760" spans="3:26" ht="12.75">
      <c r="C760" s="64"/>
      <c r="D760" s="65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6"/>
      <c r="U760" s="66"/>
      <c r="V760" s="66"/>
      <c r="W760" s="66"/>
      <c r="X760" s="66"/>
      <c r="Y760" s="66"/>
      <c r="Z760" s="66"/>
    </row>
    <row r="761" spans="3:26" ht="12.75">
      <c r="C761" s="64"/>
      <c r="D761" s="65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6"/>
      <c r="U761" s="66"/>
      <c r="V761" s="66"/>
      <c r="W761" s="66"/>
      <c r="X761" s="66"/>
      <c r="Y761" s="66"/>
      <c r="Z761" s="66"/>
    </row>
    <row r="762" spans="3:26" ht="12.75">
      <c r="C762" s="64"/>
      <c r="D762" s="65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6"/>
      <c r="U762" s="66"/>
      <c r="V762" s="66"/>
      <c r="W762" s="66"/>
      <c r="X762" s="66"/>
      <c r="Y762" s="66"/>
      <c r="Z762" s="66"/>
    </row>
    <row r="763" spans="3:26" ht="12.75">
      <c r="C763" s="64"/>
      <c r="D763" s="65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6"/>
      <c r="U763" s="66"/>
      <c r="V763" s="66"/>
      <c r="W763" s="66"/>
      <c r="X763" s="66"/>
      <c r="Y763" s="66"/>
      <c r="Z763" s="66"/>
    </row>
    <row r="764" spans="3:26" ht="12.75">
      <c r="C764" s="64"/>
      <c r="D764" s="65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6"/>
      <c r="U764" s="66"/>
      <c r="V764" s="66"/>
      <c r="W764" s="66"/>
      <c r="X764" s="66"/>
      <c r="Y764" s="66"/>
      <c r="Z764" s="66"/>
    </row>
    <row r="765" spans="3:26" ht="12.75">
      <c r="C765" s="64"/>
      <c r="D765" s="65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6"/>
      <c r="U765" s="66"/>
      <c r="V765" s="66"/>
      <c r="W765" s="66"/>
      <c r="X765" s="66"/>
      <c r="Y765" s="66"/>
      <c r="Z765" s="66"/>
    </row>
    <row r="766" spans="3:26" ht="12.75">
      <c r="C766" s="64"/>
      <c r="D766" s="65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6"/>
      <c r="U766" s="66"/>
      <c r="V766" s="66"/>
      <c r="W766" s="66"/>
      <c r="X766" s="66"/>
      <c r="Y766" s="66"/>
      <c r="Z766" s="66"/>
    </row>
    <row r="767" spans="3:26" ht="12.75">
      <c r="C767" s="64"/>
      <c r="D767" s="65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6"/>
      <c r="U767" s="66"/>
      <c r="V767" s="66"/>
      <c r="W767" s="66"/>
      <c r="X767" s="66"/>
      <c r="Y767" s="66"/>
      <c r="Z767" s="66"/>
    </row>
    <row r="768" spans="3:26" ht="12.75">
      <c r="C768" s="64"/>
      <c r="D768" s="65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6"/>
      <c r="U768" s="66"/>
      <c r="V768" s="66"/>
      <c r="W768" s="66"/>
      <c r="X768" s="66"/>
      <c r="Y768" s="66"/>
      <c r="Z768" s="66"/>
    </row>
    <row r="769" spans="3:26" ht="12.75">
      <c r="C769" s="64"/>
      <c r="D769" s="65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6"/>
      <c r="U769" s="66"/>
      <c r="V769" s="66"/>
      <c r="W769" s="66"/>
      <c r="X769" s="66"/>
      <c r="Y769" s="66"/>
      <c r="Z769" s="66"/>
    </row>
    <row r="770" spans="3:26" ht="12.75">
      <c r="C770" s="64"/>
      <c r="D770" s="65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6"/>
      <c r="U770" s="66"/>
      <c r="V770" s="66"/>
      <c r="W770" s="66"/>
      <c r="X770" s="66"/>
      <c r="Y770" s="66"/>
      <c r="Z770" s="66"/>
    </row>
    <row r="771" spans="3:26" ht="12.75">
      <c r="C771" s="64"/>
      <c r="D771" s="65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6"/>
      <c r="U771" s="66"/>
      <c r="V771" s="66"/>
      <c r="W771" s="66"/>
      <c r="X771" s="66"/>
      <c r="Y771" s="66"/>
      <c r="Z771" s="66"/>
    </row>
    <row r="772" spans="3:26" ht="12.75">
      <c r="C772" s="64"/>
      <c r="D772" s="65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6"/>
      <c r="U772" s="66"/>
      <c r="V772" s="66"/>
      <c r="W772" s="66"/>
      <c r="X772" s="66"/>
      <c r="Y772" s="66"/>
      <c r="Z772" s="66"/>
    </row>
    <row r="773" spans="3:26" ht="12.75">
      <c r="C773" s="64"/>
      <c r="D773" s="65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6"/>
      <c r="U773" s="66"/>
      <c r="V773" s="66"/>
      <c r="W773" s="66"/>
      <c r="X773" s="66"/>
      <c r="Y773" s="66"/>
      <c r="Z773" s="66"/>
    </row>
    <row r="774" spans="3:26" ht="12.75">
      <c r="C774" s="64"/>
      <c r="D774" s="65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6"/>
      <c r="U774" s="66"/>
      <c r="V774" s="66"/>
      <c r="W774" s="66"/>
      <c r="X774" s="66"/>
      <c r="Y774" s="66"/>
      <c r="Z774" s="66"/>
    </row>
    <row r="775" spans="3:26" ht="12.75">
      <c r="C775" s="64"/>
      <c r="D775" s="65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6"/>
      <c r="U775" s="66"/>
      <c r="V775" s="66"/>
      <c r="W775" s="66"/>
      <c r="X775" s="66"/>
      <c r="Y775" s="66"/>
      <c r="Z775" s="66"/>
    </row>
    <row r="776" spans="3:26" ht="12.75">
      <c r="C776" s="64"/>
      <c r="D776" s="65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6"/>
      <c r="U776" s="66"/>
      <c r="V776" s="66"/>
      <c r="W776" s="66"/>
      <c r="X776" s="66"/>
      <c r="Y776" s="66"/>
      <c r="Z776" s="66"/>
    </row>
    <row r="777" spans="3:26" ht="12.75">
      <c r="C777" s="64"/>
      <c r="D777" s="65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6"/>
      <c r="U777" s="66"/>
      <c r="V777" s="66"/>
      <c r="W777" s="66"/>
      <c r="X777" s="66"/>
      <c r="Y777" s="66"/>
      <c r="Z777" s="66"/>
    </row>
    <row r="778" spans="3:26" ht="12.75">
      <c r="C778" s="64"/>
      <c r="D778" s="65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6"/>
      <c r="U778" s="66"/>
      <c r="V778" s="66"/>
      <c r="W778" s="66"/>
      <c r="X778" s="66"/>
      <c r="Y778" s="66"/>
      <c r="Z778" s="66"/>
    </row>
    <row r="779" spans="3:26" ht="12.75">
      <c r="C779" s="64"/>
      <c r="D779" s="65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6"/>
      <c r="U779" s="66"/>
      <c r="V779" s="66"/>
      <c r="W779" s="66"/>
      <c r="X779" s="66"/>
      <c r="Y779" s="66"/>
      <c r="Z779" s="66"/>
    </row>
    <row r="780" spans="3:26" ht="12.75">
      <c r="C780" s="64"/>
      <c r="D780" s="65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6"/>
      <c r="U780" s="66"/>
      <c r="V780" s="66"/>
      <c r="W780" s="66"/>
      <c r="X780" s="66"/>
      <c r="Y780" s="66"/>
      <c r="Z780" s="66"/>
    </row>
    <row r="781" spans="3:26" ht="12.75">
      <c r="C781" s="64"/>
      <c r="D781" s="65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6"/>
      <c r="U781" s="66"/>
      <c r="V781" s="66"/>
      <c r="W781" s="66"/>
      <c r="X781" s="66"/>
      <c r="Y781" s="66"/>
      <c r="Z781" s="66"/>
    </row>
    <row r="782" spans="3:26" ht="12.75">
      <c r="C782" s="64"/>
      <c r="D782" s="65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6"/>
      <c r="U782" s="66"/>
      <c r="V782" s="66"/>
      <c r="W782" s="66"/>
      <c r="X782" s="66"/>
      <c r="Y782" s="66"/>
      <c r="Z782" s="66"/>
    </row>
    <row r="783" spans="3:26" ht="12.75">
      <c r="C783" s="64"/>
      <c r="D783" s="65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6"/>
      <c r="U783" s="66"/>
      <c r="V783" s="66"/>
      <c r="W783" s="66"/>
      <c r="X783" s="66"/>
      <c r="Y783" s="66"/>
      <c r="Z783" s="66"/>
    </row>
    <row r="784" spans="3:26" ht="12.75">
      <c r="C784" s="64"/>
      <c r="D784" s="65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6"/>
      <c r="U784" s="66"/>
      <c r="V784" s="66"/>
      <c r="W784" s="66"/>
      <c r="X784" s="66"/>
      <c r="Y784" s="66"/>
      <c r="Z784" s="66"/>
    </row>
    <row r="785" spans="3:26" ht="12.75">
      <c r="C785" s="64"/>
      <c r="D785" s="65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6"/>
      <c r="U785" s="66"/>
      <c r="V785" s="66"/>
      <c r="W785" s="66"/>
      <c r="X785" s="66"/>
      <c r="Y785" s="66"/>
      <c r="Z785" s="66"/>
    </row>
    <row r="786" spans="3:26" ht="12.75">
      <c r="C786" s="64"/>
      <c r="D786" s="65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6"/>
      <c r="U786" s="66"/>
      <c r="V786" s="66"/>
      <c r="W786" s="66"/>
      <c r="X786" s="66"/>
      <c r="Y786" s="66"/>
      <c r="Z786" s="66"/>
    </row>
    <row r="787" spans="3:26" ht="12.75">
      <c r="C787" s="64"/>
      <c r="D787" s="65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6"/>
      <c r="U787" s="66"/>
      <c r="V787" s="66"/>
      <c r="W787" s="66"/>
      <c r="X787" s="66"/>
      <c r="Y787" s="66"/>
      <c r="Z787" s="66"/>
    </row>
    <row r="788" spans="3:26" ht="12.75">
      <c r="C788" s="64"/>
      <c r="D788" s="65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6"/>
      <c r="U788" s="66"/>
      <c r="V788" s="66"/>
      <c r="W788" s="66"/>
      <c r="X788" s="66"/>
      <c r="Y788" s="66"/>
      <c r="Z788" s="66"/>
    </row>
    <row r="789" spans="3:26" ht="12.75">
      <c r="C789" s="64"/>
      <c r="D789" s="65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6"/>
      <c r="U789" s="66"/>
      <c r="V789" s="66"/>
      <c r="W789" s="66"/>
      <c r="X789" s="66"/>
      <c r="Y789" s="66"/>
      <c r="Z789" s="66"/>
    </row>
    <row r="790" spans="3:26" ht="12.75">
      <c r="C790" s="64"/>
      <c r="D790" s="65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6"/>
      <c r="U790" s="66"/>
      <c r="V790" s="66"/>
      <c r="W790" s="66"/>
      <c r="X790" s="66"/>
      <c r="Y790" s="66"/>
      <c r="Z790" s="66"/>
    </row>
    <row r="791" spans="3:26" ht="12.75">
      <c r="C791" s="64"/>
      <c r="D791" s="65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6"/>
      <c r="U791" s="66"/>
      <c r="V791" s="66"/>
      <c r="W791" s="66"/>
      <c r="X791" s="66"/>
      <c r="Y791" s="66"/>
      <c r="Z791" s="66"/>
    </row>
    <row r="792" spans="3:26" ht="12.75">
      <c r="C792" s="64"/>
      <c r="D792" s="65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6"/>
      <c r="U792" s="66"/>
      <c r="V792" s="66"/>
      <c r="W792" s="66"/>
      <c r="X792" s="66"/>
      <c r="Y792" s="66"/>
      <c r="Z792" s="66"/>
    </row>
    <row r="793" spans="3:26" ht="12.75">
      <c r="C793" s="64"/>
      <c r="D793" s="65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6"/>
      <c r="U793" s="66"/>
      <c r="V793" s="66"/>
      <c r="W793" s="66"/>
      <c r="X793" s="66"/>
      <c r="Y793" s="66"/>
      <c r="Z793" s="66"/>
    </row>
    <row r="794" spans="3:26" ht="12.75">
      <c r="C794" s="64"/>
      <c r="D794" s="65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6"/>
      <c r="U794" s="66"/>
      <c r="V794" s="66"/>
      <c r="W794" s="66"/>
      <c r="X794" s="66"/>
      <c r="Y794" s="66"/>
      <c r="Z794" s="66"/>
    </row>
    <row r="795" spans="3:26" ht="12.75">
      <c r="C795" s="64"/>
      <c r="D795" s="65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6"/>
      <c r="U795" s="66"/>
      <c r="V795" s="66"/>
      <c r="W795" s="66"/>
      <c r="X795" s="66"/>
      <c r="Y795" s="66"/>
      <c r="Z795" s="66"/>
    </row>
    <row r="796" spans="3:26" ht="12.75">
      <c r="C796" s="64"/>
      <c r="D796" s="65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6"/>
      <c r="U796" s="66"/>
      <c r="V796" s="66"/>
      <c r="W796" s="66"/>
      <c r="X796" s="66"/>
      <c r="Y796" s="66"/>
      <c r="Z796" s="66"/>
    </row>
    <row r="797" spans="3:26" ht="12.75">
      <c r="C797" s="64"/>
      <c r="D797" s="65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6"/>
      <c r="U797" s="66"/>
      <c r="V797" s="66"/>
      <c r="W797" s="66"/>
      <c r="X797" s="66"/>
      <c r="Y797" s="66"/>
      <c r="Z797" s="66"/>
    </row>
    <row r="798" spans="3:26" ht="12.75">
      <c r="C798" s="64"/>
      <c r="D798" s="65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6"/>
      <c r="U798" s="66"/>
      <c r="V798" s="66"/>
      <c r="W798" s="66"/>
      <c r="X798" s="66"/>
      <c r="Y798" s="66"/>
      <c r="Z798" s="66"/>
    </row>
    <row r="799" spans="3:26" ht="12.75">
      <c r="C799" s="64"/>
      <c r="D799" s="65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6"/>
      <c r="U799" s="66"/>
      <c r="V799" s="66"/>
      <c r="W799" s="66"/>
      <c r="X799" s="66"/>
      <c r="Y799" s="66"/>
      <c r="Z799" s="66"/>
    </row>
    <row r="800" spans="3:26" ht="12.75">
      <c r="C800" s="64"/>
      <c r="D800" s="65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6"/>
      <c r="U800" s="66"/>
      <c r="V800" s="66"/>
      <c r="W800" s="66"/>
      <c r="X800" s="66"/>
      <c r="Y800" s="66"/>
      <c r="Z800" s="66"/>
    </row>
    <row r="801" spans="3:26" ht="12.75">
      <c r="C801" s="64"/>
      <c r="D801" s="65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6"/>
      <c r="U801" s="66"/>
      <c r="V801" s="66"/>
      <c r="W801" s="66"/>
      <c r="X801" s="66"/>
      <c r="Y801" s="66"/>
      <c r="Z801" s="66"/>
    </row>
    <row r="802" spans="3:26" ht="12.75">
      <c r="C802" s="64"/>
      <c r="D802" s="65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6"/>
      <c r="U802" s="66"/>
      <c r="V802" s="66"/>
      <c r="W802" s="66"/>
      <c r="X802" s="66"/>
      <c r="Y802" s="66"/>
      <c r="Z802" s="66"/>
    </row>
    <row r="803" spans="3:26" ht="12.75">
      <c r="C803" s="64"/>
      <c r="D803" s="65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6"/>
      <c r="U803" s="66"/>
      <c r="V803" s="66"/>
      <c r="W803" s="66"/>
      <c r="X803" s="66"/>
      <c r="Y803" s="66"/>
      <c r="Z803" s="66"/>
    </row>
    <row r="804" spans="3:26" ht="12.75">
      <c r="C804" s="64"/>
      <c r="D804" s="65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6"/>
      <c r="U804" s="66"/>
      <c r="V804" s="66"/>
      <c r="W804" s="66"/>
      <c r="X804" s="66"/>
      <c r="Y804" s="66"/>
      <c r="Z804" s="66"/>
    </row>
    <row r="805" spans="3:26" ht="12.75">
      <c r="C805" s="64"/>
      <c r="D805" s="65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6"/>
      <c r="U805" s="66"/>
      <c r="V805" s="66"/>
      <c r="W805" s="66"/>
      <c r="X805" s="66"/>
      <c r="Y805" s="66"/>
      <c r="Z805" s="66"/>
    </row>
    <row r="806" spans="3:26" ht="12.75">
      <c r="C806" s="64"/>
      <c r="D806" s="65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6"/>
      <c r="U806" s="66"/>
      <c r="V806" s="66"/>
      <c r="W806" s="66"/>
      <c r="X806" s="66"/>
      <c r="Y806" s="66"/>
      <c r="Z806" s="66"/>
    </row>
    <row r="807" spans="3:26" ht="12.75">
      <c r="C807" s="64"/>
      <c r="D807" s="65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6"/>
      <c r="U807" s="66"/>
      <c r="V807" s="66"/>
      <c r="W807" s="66"/>
      <c r="X807" s="66"/>
      <c r="Y807" s="66"/>
      <c r="Z807" s="66"/>
    </row>
    <row r="808" spans="3:26" ht="12.75">
      <c r="C808" s="64"/>
      <c r="D808" s="65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6"/>
      <c r="U808" s="66"/>
      <c r="V808" s="66"/>
      <c r="W808" s="66"/>
      <c r="X808" s="66"/>
      <c r="Y808" s="66"/>
      <c r="Z808" s="66"/>
    </row>
    <row r="809" spans="3:26" ht="12.75">
      <c r="C809" s="64"/>
      <c r="D809" s="65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6"/>
      <c r="U809" s="66"/>
      <c r="V809" s="66"/>
      <c r="W809" s="66"/>
      <c r="X809" s="66"/>
      <c r="Y809" s="66"/>
      <c r="Z809" s="66"/>
    </row>
    <row r="810" spans="3:26" ht="12.75">
      <c r="C810" s="64"/>
      <c r="D810" s="65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6"/>
      <c r="U810" s="66"/>
      <c r="V810" s="66"/>
      <c r="W810" s="66"/>
      <c r="X810" s="66"/>
      <c r="Y810" s="66"/>
      <c r="Z810" s="66"/>
    </row>
    <row r="811" spans="3:26" ht="12.75">
      <c r="C811" s="64"/>
      <c r="D811" s="65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6"/>
      <c r="U811" s="66"/>
      <c r="V811" s="66"/>
      <c r="W811" s="66"/>
      <c r="X811" s="66"/>
      <c r="Y811" s="66"/>
      <c r="Z811" s="66"/>
    </row>
    <row r="812" spans="3:26" ht="12.75">
      <c r="C812" s="64"/>
      <c r="D812" s="65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6"/>
      <c r="U812" s="66"/>
      <c r="V812" s="66"/>
      <c r="W812" s="66"/>
      <c r="X812" s="66"/>
      <c r="Y812" s="66"/>
      <c r="Z812" s="66"/>
    </row>
    <row r="813" spans="3:26" ht="12.75">
      <c r="C813" s="64"/>
      <c r="D813" s="65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6"/>
      <c r="U813" s="66"/>
      <c r="V813" s="66"/>
      <c r="W813" s="66"/>
      <c r="X813" s="66"/>
      <c r="Y813" s="66"/>
      <c r="Z813" s="66"/>
    </row>
    <row r="814" spans="3:26" ht="12.75">
      <c r="C814" s="64"/>
      <c r="D814" s="65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6"/>
      <c r="U814" s="66"/>
      <c r="V814" s="66"/>
      <c r="W814" s="66"/>
      <c r="X814" s="66"/>
      <c r="Y814" s="66"/>
      <c r="Z814" s="66"/>
    </row>
    <row r="815" spans="3:26" ht="12.75">
      <c r="C815" s="64"/>
      <c r="D815" s="65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6"/>
      <c r="U815" s="66"/>
      <c r="V815" s="66"/>
      <c r="W815" s="66"/>
      <c r="X815" s="66"/>
      <c r="Y815" s="66"/>
      <c r="Z815" s="66"/>
    </row>
    <row r="816" spans="3:26" ht="12.75">
      <c r="C816" s="64"/>
      <c r="D816" s="65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6"/>
      <c r="U816" s="66"/>
      <c r="V816" s="66"/>
      <c r="W816" s="66"/>
      <c r="X816" s="66"/>
      <c r="Y816" s="66"/>
      <c r="Z816" s="66"/>
    </row>
    <row r="817" spans="3:26" ht="12.75">
      <c r="C817" s="64"/>
      <c r="D817" s="65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6"/>
      <c r="U817" s="66"/>
      <c r="V817" s="66"/>
      <c r="W817" s="66"/>
      <c r="X817" s="66"/>
      <c r="Y817" s="66"/>
      <c r="Z817" s="66"/>
    </row>
    <row r="818" spans="3:26" ht="12.75">
      <c r="C818" s="64"/>
      <c r="D818" s="65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6"/>
      <c r="U818" s="66"/>
      <c r="V818" s="66"/>
      <c r="W818" s="66"/>
      <c r="X818" s="66"/>
      <c r="Y818" s="66"/>
      <c r="Z818" s="66"/>
    </row>
    <row r="819" spans="3:26" ht="12.75">
      <c r="C819" s="64"/>
      <c r="D819" s="65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6"/>
      <c r="U819" s="66"/>
      <c r="V819" s="66"/>
      <c r="W819" s="66"/>
      <c r="X819" s="66"/>
      <c r="Y819" s="66"/>
      <c r="Z819" s="66"/>
    </row>
    <row r="820" spans="3:26" ht="12.75">
      <c r="C820" s="64"/>
      <c r="D820" s="65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6"/>
      <c r="U820" s="66"/>
      <c r="V820" s="66"/>
      <c r="W820" s="66"/>
      <c r="X820" s="66"/>
      <c r="Y820" s="66"/>
      <c r="Z820" s="66"/>
    </row>
    <row r="821" spans="3:26" ht="12.75">
      <c r="C821" s="64"/>
      <c r="D821" s="65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6"/>
      <c r="U821" s="66"/>
      <c r="V821" s="66"/>
      <c r="W821" s="66"/>
      <c r="X821" s="66"/>
      <c r="Y821" s="66"/>
      <c r="Z821" s="66"/>
    </row>
    <row r="822" spans="3:26" ht="12.75">
      <c r="C822" s="64"/>
      <c r="D822" s="65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6"/>
      <c r="U822" s="66"/>
      <c r="V822" s="66"/>
      <c r="W822" s="66"/>
      <c r="X822" s="66"/>
      <c r="Y822" s="66"/>
      <c r="Z822" s="66"/>
    </row>
    <row r="823" spans="3:26" ht="12.75">
      <c r="C823" s="64"/>
      <c r="D823" s="65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6"/>
      <c r="U823" s="66"/>
      <c r="V823" s="66"/>
      <c r="W823" s="66"/>
      <c r="X823" s="66"/>
      <c r="Y823" s="66"/>
      <c r="Z823" s="66"/>
    </row>
    <row r="824" spans="3:26" ht="12.75">
      <c r="C824" s="64"/>
      <c r="D824" s="65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6"/>
      <c r="U824" s="66"/>
      <c r="V824" s="66"/>
      <c r="W824" s="66"/>
      <c r="X824" s="66"/>
      <c r="Y824" s="66"/>
      <c r="Z824" s="66"/>
    </row>
    <row r="825" spans="3:26" ht="12.75">
      <c r="C825" s="64"/>
      <c r="D825" s="65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6"/>
      <c r="U825" s="66"/>
      <c r="V825" s="66"/>
      <c r="W825" s="66"/>
      <c r="X825" s="66"/>
      <c r="Y825" s="66"/>
      <c r="Z825" s="66"/>
    </row>
    <row r="826" spans="3:26" ht="12.75">
      <c r="C826" s="64"/>
      <c r="D826" s="65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6"/>
      <c r="U826" s="66"/>
      <c r="V826" s="66"/>
      <c r="W826" s="66"/>
      <c r="X826" s="66"/>
      <c r="Y826" s="66"/>
      <c r="Z826" s="66"/>
    </row>
    <row r="827" spans="3:26" ht="12.75">
      <c r="C827" s="64"/>
      <c r="D827" s="65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6"/>
      <c r="U827" s="66"/>
      <c r="V827" s="66"/>
      <c r="W827" s="66"/>
      <c r="X827" s="66"/>
      <c r="Y827" s="66"/>
      <c r="Z827" s="66"/>
    </row>
    <row r="828" spans="3:26" ht="12.75">
      <c r="C828" s="64"/>
      <c r="D828" s="65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6"/>
      <c r="U828" s="66"/>
      <c r="V828" s="66"/>
      <c r="W828" s="66"/>
      <c r="X828" s="66"/>
      <c r="Y828" s="66"/>
      <c r="Z828" s="66"/>
    </row>
    <row r="829" spans="3:26" ht="12.75">
      <c r="C829" s="64"/>
      <c r="D829" s="65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6"/>
      <c r="U829" s="66"/>
      <c r="V829" s="66"/>
      <c r="W829" s="66"/>
      <c r="X829" s="66"/>
      <c r="Y829" s="66"/>
      <c r="Z829" s="66"/>
    </row>
    <row r="830" spans="3:26" ht="12.75">
      <c r="C830" s="64"/>
      <c r="D830" s="65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6"/>
      <c r="U830" s="66"/>
      <c r="V830" s="66"/>
      <c r="W830" s="66"/>
      <c r="X830" s="66"/>
      <c r="Y830" s="66"/>
      <c r="Z830" s="66"/>
    </row>
    <row r="831" spans="3:26" ht="12.75">
      <c r="C831" s="64"/>
      <c r="D831" s="65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6"/>
      <c r="U831" s="66"/>
      <c r="V831" s="66"/>
      <c r="W831" s="66"/>
      <c r="X831" s="66"/>
      <c r="Y831" s="66"/>
      <c r="Z831" s="66"/>
    </row>
    <row r="832" spans="3:26" ht="12.75">
      <c r="C832" s="64"/>
      <c r="D832" s="65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6"/>
      <c r="U832" s="66"/>
      <c r="V832" s="66"/>
      <c r="W832" s="66"/>
      <c r="X832" s="66"/>
      <c r="Y832" s="66"/>
      <c r="Z832" s="66"/>
    </row>
    <row r="833" spans="3:26" ht="12.75">
      <c r="C833" s="64"/>
      <c r="D833" s="65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6"/>
      <c r="U833" s="66"/>
      <c r="V833" s="66"/>
      <c r="W833" s="66"/>
      <c r="X833" s="66"/>
      <c r="Y833" s="66"/>
      <c r="Z833" s="66"/>
    </row>
    <row r="834" spans="3:26" ht="12.75">
      <c r="C834" s="64"/>
      <c r="D834" s="65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6"/>
      <c r="U834" s="66"/>
      <c r="V834" s="66"/>
      <c r="W834" s="66"/>
      <c r="X834" s="66"/>
      <c r="Y834" s="66"/>
      <c r="Z834" s="66"/>
    </row>
    <row r="835" spans="3:26" ht="12.75">
      <c r="C835" s="64"/>
      <c r="D835" s="65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6"/>
      <c r="U835" s="66"/>
      <c r="V835" s="66"/>
      <c r="W835" s="66"/>
      <c r="X835" s="66"/>
      <c r="Y835" s="66"/>
      <c r="Z835" s="66"/>
    </row>
    <row r="836" spans="3:26" ht="12.75">
      <c r="C836" s="64"/>
      <c r="D836" s="65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6"/>
      <c r="U836" s="66"/>
      <c r="V836" s="66"/>
      <c r="W836" s="66"/>
      <c r="X836" s="66"/>
      <c r="Y836" s="66"/>
      <c r="Z836" s="66"/>
    </row>
    <row r="837" spans="3:26" ht="12.75">
      <c r="C837" s="64"/>
      <c r="D837" s="65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6"/>
      <c r="U837" s="66"/>
      <c r="V837" s="66"/>
      <c r="W837" s="66"/>
      <c r="X837" s="66"/>
      <c r="Y837" s="66"/>
      <c r="Z837" s="66"/>
    </row>
    <row r="838" spans="3:26" ht="12.75">
      <c r="C838" s="64"/>
      <c r="D838" s="65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6"/>
      <c r="U838" s="66"/>
      <c r="V838" s="66"/>
      <c r="W838" s="66"/>
      <c r="X838" s="66"/>
      <c r="Y838" s="66"/>
      <c r="Z838" s="66"/>
    </row>
    <row r="839" spans="3:26" ht="12.75">
      <c r="C839" s="64"/>
      <c r="D839" s="65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6"/>
      <c r="U839" s="66"/>
      <c r="V839" s="66"/>
      <c r="W839" s="66"/>
      <c r="X839" s="66"/>
      <c r="Y839" s="66"/>
      <c r="Z839" s="66"/>
    </row>
    <row r="840" spans="3:26" ht="12.75">
      <c r="C840" s="64"/>
      <c r="D840" s="65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6"/>
      <c r="U840" s="66"/>
      <c r="V840" s="66"/>
      <c r="W840" s="66"/>
      <c r="X840" s="66"/>
      <c r="Y840" s="66"/>
      <c r="Z840" s="66"/>
    </row>
    <row r="841" spans="3:26" ht="12.75">
      <c r="C841" s="64"/>
      <c r="D841" s="65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6"/>
      <c r="U841" s="66"/>
      <c r="V841" s="66"/>
      <c r="W841" s="66"/>
      <c r="X841" s="66"/>
      <c r="Y841" s="66"/>
      <c r="Z841" s="66"/>
    </row>
    <row r="842" spans="3:26" ht="12.75">
      <c r="C842" s="64"/>
      <c r="D842" s="65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6"/>
      <c r="U842" s="66"/>
      <c r="V842" s="66"/>
      <c r="W842" s="66"/>
      <c r="X842" s="66"/>
      <c r="Y842" s="66"/>
      <c r="Z842" s="66"/>
    </row>
    <row r="843" spans="3:26" ht="12.75">
      <c r="C843" s="64"/>
      <c r="D843" s="65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6"/>
      <c r="U843" s="66"/>
      <c r="V843" s="66"/>
      <c r="W843" s="66"/>
      <c r="X843" s="66"/>
      <c r="Y843" s="66"/>
      <c r="Z843" s="66"/>
    </row>
    <row r="844" spans="3:26" ht="12.75">
      <c r="C844" s="64"/>
      <c r="D844" s="65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6"/>
      <c r="U844" s="66"/>
      <c r="V844" s="66"/>
      <c r="W844" s="66"/>
      <c r="X844" s="66"/>
      <c r="Y844" s="66"/>
      <c r="Z844" s="66"/>
    </row>
    <row r="845" spans="3:26" ht="12.75">
      <c r="C845" s="64"/>
      <c r="D845" s="65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6"/>
      <c r="U845" s="66"/>
      <c r="V845" s="66"/>
      <c r="W845" s="66"/>
      <c r="X845" s="66"/>
      <c r="Y845" s="66"/>
      <c r="Z845" s="66"/>
    </row>
    <row r="846" spans="3:26" ht="12.75">
      <c r="C846" s="64"/>
      <c r="D846" s="65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6"/>
      <c r="U846" s="66"/>
      <c r="V846" s="66"/>
      <c r="W846" s="66"/>
      <c r="X846" s="66"/>
      <c r="Y846" s="66"/>
      <c r="Z846" s="66"/>
    </row>
    <row r="847" spans="3:26" ht="12.75">
      <c r="C847" s="64"/>
      <c r="D847" s="65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6"/>
      <c r="U847" s="66"/>
      <c r="V847" s="66"/>
      <c r="W847" s="66"/>
      <c r="X847" s="66"/>
      <c r="Y847" s="66"/>
      <c r="Z847" s="66"/>
    </row>
    <row r="848" spans="3:26" ht="12.75">
      <c r="C848" s="64"/>
      <c r="D848" s="65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6"/>
      <c r="U848" s="66"/>
      <c r="V848" s="66"/>
      <c r="W848" s="66"/>
      <c r="X848" s="66"/>
      <c r="Y848" s="66"/>
      <c r="Z848" s="66"/>
    </row>
    <row r="849" spans="3:26" ht="12.75">
      <c r="C849" s="64"/>
      <c r="D849" s="65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6"/>
      <c r="U849" s="66"/>
      <c r="V849" s="66"/>
      <c r="W849" s="66"/>
      <c r="X849" s="66"/>
      <c r="Y849" s="66"/>
      <c r="Z849" s="66"/>
    </row>
    <row r="850" spans="3:26" ht="12.75">
      <c r="C850" s="64"/>
      <c r="D850" s="65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6"/>
      <c r="U850" s="66"/>
      <c r="V850" s="66"/>
      <c r="W850" s="66"/>
      <c r="X850" s="66"/>
      <c r="Y850" s="66"/>
      <c r="Z850" s="66"/>
    </row>
    <row r="851" spans="3:26" ht="12.75">
      <c r="C851" s="64"/>
      <c r="D851" s="65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6"/>
      <c r="U851" s="66"/>
      <c r="V851" s="66"/>
      <c r="W851" s="66"/>
      <c r="X851" s="66"/>
      <c r="Y851" s="66"/>
      <c r="Z851" s="66"/>
    </row>
    <row r="852" spans="3:26" ht="12.75">
      <c r="C852" s="64"/>
      <c r="D852" s="65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6"/>
      <c r="U852" s="66"/>
      <c r="V852" s="66"/>
      <c r="W852" s="66"/>
      <c r="X852" s="66"/>
      <c r="Y852" s="66"/>
      <c r="Z852" s="66"/>
    </row>
    <row r="853" spans="3:26" ht="12.75">
      <c r="C853" s="64"/>
      <c r="D853" s="65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6"/>
      <c r="U853" s="66"/>
      <c r="V853" s="66"/>
      <c r="W853" s="66"/>
      <c r="X853" s="66"/>
      <c r="Y853" s="66"/>
      <c r="Z853" s="66"/>
    </row>
    <row r="854" spans="3:26" ht="12.75">
      <c r="C854" s="64"/>
      <c r="D854" s="65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6"/>
      <c r="U854" s="66"/>
      <c r="V854" s="66"/>
      <c r="W854" s="66"/>
      <c r="X854" s="66"/>
      <c r="Y854" s="66"/>
      <c r="Z854" s="66"/>
    </row>
    <row r="855" spans="3:26" ht="12.75">
      <c r="C855" s="64"/>
      <c r="D855" s="65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6"/>
      <c r="U855" s="66"/>
      <c r="V855" s="66"/>
      <c r="W855" s="66"/>
      <c r="X855" s="66"/>
      <c r="Y855" s="66"/>
      <c r="Z855" s="66"/>
    </row>
    <row r="856" spans="3:26" ht="12.75">
      <c r="C856" s="64"/>
      <c r="D856" s="65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6"/>
      <c r="U856" s="66"/>
      <c r="V856" s="66"/>
      <c r="W856" s="66"/>
      <c r="X856" s="66"/>
      <c r="Y856" s="66"/>
      <c r="Z856" s="66"/>
    </row>
    <row r="857" spans="3:26" ht="12.75">
      <c r="C857" s="64"/>
      <c r="D857" s="65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6"/>
      <c r="U857" s="66"/>
      <c r="V857" s="66"/>
      <c r="W857" s="66"/>
      <c r="X857" s="66"/>
      <c r="Y857" s="66"/>
      <c r="Z857" s="66"/>
    </row>
    <row r="858" spans="3:26" ht="12.75">
      <c r="C858" s="64"/>
      <c r="D858" s="65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6"/>
      <c r="U858" s="66"/>
      <c r="V858" s="66"/>
      <c r="W858" s="66"/>
      <c r="X858" s="66"/>
      <c r="Y858" s="66"/>
      <c r="Z858" s="66"/>
    </row>
    <row r="859" spans="3:26" ht="12.75">
      <c r="C859" s="64"/>
      <c r="D859" s="65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6"/>
      <c r="U859" s="66"/>
      <c r="V859" s="66"/>
      <c r="W859" s="66"/>
      <c r="X859" s="66"/>
      <c r="Y859" s="66"/>
      <c r="Z859" s="66"/>
    </row>
    <row r="860" spans="3:26" ht="12.75">
      <c r="C860" s="64"/>
      <c r="D860" s="65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6"/>
      <c r="U860" s="66"/>
      <c r="V860" s="66"/>
      <c r="W860" s="66"/>
      <c r="X860" s="66"/>
      <c r="Y860" s="66"/>
      <c r="Z860" s="66"/>
    </row>
    <row r="861" spans="3:26" ht="12.75">
      <c r="C861" s="64"/>
      <c r="D861" s="65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6"/>
      <c r="U861" s="66"/>
      <c r="V861" s="66"/>
      <c r="W861" s="66"/>
      <c r="X861" s="66"/>
      <c r="Y861" s="66"/>
      <c r="Z861" s="66"/>
    </row>
    <row r="862" spans="3:26" ht="12.75">
      <c r="C862" s="64"/>
      <c r="D862" s="65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6"/>
      <c r="U862" s="66"/>
      <c r="V862" s="66"/>
      <c r="W862" s="66"/>
      <c r="X862" s="66"/>
      <c r="Y862" s="66"/>
      <c r="Z862" s="66"/>
    </row>
    <row r="863" spans="3:26" ht="12.75">
      <c r="C863" s="64"/>
      <c r="D863" s="65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6"/>
      <c r="U863" s="66"/>
      <c r="V863" s="66"/>
      <c r="W863" s="66"/>
      <c r="X863" s="66"/>
      <c r="Y863" s="66"/>
      <c r="Z863" s="66"/>
    </row>
    <row r="864" spans="3:26" ht="12.75">
      <c r="C864" s="64"/>
      <c r="D864" s="65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6"/>
      <c r="U864" s="66"/>
      <c r="V864" s="66"/>
      <c r="W864" s="66"/>
      <c r="X864" s="66"/>
      <c r="Y864" s="66"/>
      <c r="Z864" s="66"/>
    </row>
    <row r="865" spans="3:26" ht="12.75">
      <c r="C865" s="64"/>
      <c r="D865" s="65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6"/>
      <c r="U865" s="66"/>
      <c r="V865" s="66"/>
      <c r="W865" s="66"/>
      <c r="X865" s="66"/>
      <c r="Y865" s="66"/>
      <c r="Z865" s="66"/>
    </row>
    <row r="866" spans="3:26" ht="12.75">
      <c r="C866" s="64"/>
      <c r="D866" s="65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6"/>
      <c r="U866" s="66"/>
      <c r="V866" s="66"/>
      <c r="W866" s="66"/>
      <c r="X866" s="66"/>
      <c r="Y866" s="66"/>
      <c r="Z866" s="66"/>
    </row>
    <row r="867" spans="3:26" ht="12.75">
      <c r="C867" s="64"/>
      <c r="D867" s="65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6"/>
      <c r="U867" s="66"/>
      <c r="V867" s="66"/>
      <c r="W867" s="66"/>
      <c r="X867" s="66"/>
      <c r="Y867" s="66"/>
      <c r="Z867" s="66"/>
    </row>
    <row r="868" spans="3:26" ht="12.75">
      <c r="C868" s="64"/>
      <c r="D868" s="65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6"/>
      <c r="U868" s="66"/>
      <c r="V868" s="66"/>
      <c r="W868" s="66"/>
      <c r="X868" s="66"/>
      <c r="Y868" s="66"/>
      <c r="Z868" s="66"/>
    </row>
    <row r="869" spans="3:26" ht="12.75">
      <c r="C869" s="64"/>
      <c r="D869" s="65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6"/>
      <c r="U869" s="66"/>
      <c r="V869" s="66"/>
      <c r="W869" s="66"/>
      <c r="X869" s="66"/>
      <c r="Y869" s="66"/>
      <c r="Z869" s="66"/>
    </row>
    <row r="870" spans="3:26" ht="12.75">
      <c r="C870" s="64"/>
      <c r="D870" s="65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6"/>
      <c r="U870" s="66"/>
      <c r="V870" s="66"/>
      <c r="W870" s="66"/>
      <c r="X870" s="66"/>
      <c r="Y870" s="66"/>
      <c r="Z870" s="66"/>
    </row>
    <row r="871" spans="3:26" ht="12.75">
      <c r="C871" s="64"/>
      <c r="D871" s="65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6"/>
      <c r="U871" s="66"/>
      <c r="V871" s="66"/>
      <c r="W871" s="66"/>
      <c r="X871" s="66"/>
      <c r="Y871" s="66"/>
      <c r="Z871" s="66"/>
    </row>
    <row r="872" spans="3:26" ht="12.75">
      <c r="C872" s="64"/>
      <c r="D872" s="65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6"/>
      <c r="U872" s="66"/>
      <c r="V872" s="66"/>
      <c r="W872" s="66"/>
      <c r="X872" s="66"/>
      <c r="Y872" s="66"/>
      <c r="Z872" s="66"/>
    </row>
    <row r="873" spans="3:26" ht="12.75">
      <c r="C873" s="64"/>
      <c r="D873" s="65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6"/>
      <c r="U873" s="66"/>
      <c r="V873" s="66"/>
      <c r="W873" s="66"/>
      <c r="X873" s="66"/>
      <c r="Y873" s="66"/>
      <c r="Z873" s="66"/>
    </row>
    <row r="874" spans="3:26" ht="12.75">
      <c r="C874" s="64"/>
      <c r="D874" s="65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6"/>
      <c r="U874" s="66"/>
      <c r="V874" s="66"/>
      <c r="W874" s="66"/>
      <c r="X874" s="66"/>
      <c r="Y874" s="66"/>
      <c r="Z874" s="66"/>
    </row>
    <row r="875" spans="3:26" ht="12.75">
      <c r="C875" s="64"/>
      <c r="D875" s="65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6"/>
      <c r="U875" s="66"/>
      <c r="V875" s="66"/>
      <c r="W875" s="66"/>
      <c r="X875" s="66"/>
      <c r="Y875" s="66"/>
      <c r="Z875" s="66"/>
    </row>
    <row r="876" spans="3:26" ht="12.75">
      <c r="C876" s="64"/>
      <c r="D876" s="65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6"/>
      <c r="U876" s="66"/>
      <c r="V876" s="66"/>
      <c r="W876" s="66"/>
      <c r="X876" s="66"/>
      <c r="Y876" s="66"/>
      <c r="Z876" s="66"/>
    </row>
    <row r="877" spans="3:26" ht="12.75">
      <c r="C877" s="64"/>
      <c r="D877" s="65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6"/>
      <c r="U877" s="66"/>
      <c r="V877" s="66"/>
      <c r="W877" s="66"/>
      <c r="X877" s="66"/>
      <c r="Y877" s="66"/>
      <c r="Z877" s="66"/>
    </row>
    <row r="878" spans="3:26" ht="12.75">
      <c r="C878" s="64"/>
      <c r="D878" s="65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6"/>
      <c r="U878" s="66"/>
      <c r="V878" s="66"/>
      <c r="W878" s="66"/>
      <c r="X878" s="66"/>
      <c r="Y878" s="66"/>
      <c r="Z878" s="66"/>
    </row>
    <row r="879" spans="3:26" ht="12.75">
      <c r="C879" s="64"/>
      <c r="D879" s="65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6"/>
      <c r="U879" s="66"/>
      <c r="V879" s="66"/>
      <c r="W879" s="66"/>
      <c r="X879" s="66"/>
      <c r="Y879" s="66"/>
      <c r="Z879" s="66"/>
    </row>
    <row r="880" spans="3:26" ht="12.75">
      <c r="C880" s="64"/>
      <c r="D880" s="65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6"/>
      <c r="U880" s="66"/>
      <c r="V880" s="66"/>
      <c r="W880" s="66"/>
      <c r="X880" s="66"/>
      <c r="Y880" s="66"/>
      <c r="Z880" s="66"/>
    </row>
    <row r="881" spans="3:26" ht="12.75">
      <c r="C881" s="64"/>
      <c r="D881" s="65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6"/>
      <c r="U881" s="66"/>
      <c r="V881" s="66"/>
      <c r="W881" s="66"/>
      <c r="X881" s="66"/>
      <c r="Y881" s="66"/>
      <c r="Z881" s="66"/>
    </row>
    <row r="882" spans="3:26" ht="12.75">
      <c r="C882" s="64"/>
      <c r="D882" s="65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6"/>
      <c r="U882" s="66"/>
      <c r="V882" s="66"/>
      <c r="W882" s="66"/>
      <c r="X882" s="66"/>
      <c r="Y882" s="66"/>
      <c r="Z882" s="66"/>
    </row>
    <row r="883" spans="3:26" ht="12.75">
      <c r="C883" s="64"/>
      <c r="D883" s="65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6"/>
      <c r="U883" s="66"/>
      <c r="V883" s="66"/>
      <c r="W883" s="66"/>
      <c r="X883" s="66"/>
      <c r="Y883" s="66"/>
      <c r="Z883" s="66"/>
    </row>
    <row r="884" spans="3:26" ht="12.75">
      <c r="C884" s="64"/>
      <c r="D884" s="65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6"/>
      <c r="U884" s="66"/>
      <c r="V884" s="66"/>
      <c r="W884" s="66"/>
      <c r="X884" s="66"/>
      <c r="Y884" s="66"/>
      <c r="Z884" s="66"/>
    </row>
    <row r="885" spans="3:26" ht="12.75">
      <c r="C885" s="64"/>
      <c r="D885" s="65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6"/>
      <c r="U885" s="66"/>
      <c r="V885" s="66"/>
      <c r="W885" s="66"/>
      <c r="X885" s="66"/>
      <c r="Y885" s="66"/>
      <c r="Z885" s="66"/>
    </row>
    <row r="886" spans="3:26" ht="12.75">
      <c r="C886" s="64"/>
      <c r="D886" s="65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6"/>
      <c r="U886" s="66"/>
      <c r="V886" s="66"/>
      <c r="W886" s="66"/>
      <c r="X886" s="66"/>
      <c r="Y886" s="66"/>
      <c r="Z886" s="66"/>
    </row>
    <row r="887" spans="3:26" ht="12.75">
      <c r="C887" s="64"/>
      <c r="D887" s="65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6"/>
      <c r="U887" s="66"/>
      <c r="V887" s="66"/>
      <c r="W887" s="66"/>
      <c r="X887" s="66"/>
      <c r="Y887" s="66"/>
      <c r="Z887" s="66"/>
    </row>
    <row r="888" spans="3:26" ht="12.75">
      <c r="C888" s="64"/>
      <c r="D888" s="65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6"/>
      <c r="U888" s="66"/>
      <c r="V888" s="66"/>
      <c r="W888" s="66"/>
      <c r="X888" s="66"/>
      <c r="Y888" s="66"/>
      <c r="Z888" s="66"/>
    </row>
    <row r="889" spans="3:26" ht="12.75">
      <c r="C889" s="64"/>
      <c r="D889" s="65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6"/>
      <c r="U889" s="66"/>
      <c r="V889" s="66"/>
      <c r="W889" s="66"/>
      <c r="X889" s="66"/>
      <c r="Y889" s="66"/>
      <c r="Z889" s="66"/>
    </row>
    <row r="890" spans="3:26" ht="12.75">
      <c r="C890" s="64"/>
      <c r="D890" s="65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6"/>
      <c r="U890" s="66"/>
      <c r="V890" s="66"/>
      <c r="W890" s="66"/>
      <c r="X890" s="66"/>
      <c r="Y890" s="66"/>
      <c r="Z890" s="66"/>
    </row>
    <row r="891" spans="3:26" ht="12.75">
      <c r="C891" s="64"/>
      <c r="D891" s="65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6"/>
      <c r="U891" s="66"/>
      <c r="V891" s="66"/>
      <c r="W891" s="66"/>
      <c r="X891" s="66"/>
      <c r="Y891" s="66"/>
      <c r="Z891" s="66"/>
    </row>
    <row r="892" spans="3:26" ht="12.75">
      <c r="C892" s="64"/>
      <c r="D892" s="65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6"/>
      <c r="U892" s="66"/>
      <c r="V892" s="66"/>
      <c r="W892" s="66"/>
      <c r="X892" s="66"/>
      <c r="Y892" s="66"/>
      <c r="Z892" s="66"/>
    </row>
    <row r="893" spans="3:26" ht="12.75">
      <c r="C893" s="64"/>
      <c r="D893" s="65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6"/>
      <c r="U893" s="66"/>
      <c r="V893" s="66"/>
      <c r="W893" s="66"/>
      <c r="X893" s="66"/>
      <c r="Y893" s="66"/>
      <c r="Z893" s="66"/>
    </row>
    <row r="894" spans="3:26" ht="12.75">
      <c r="C894" s="64"/>
      <c r="D894" s="65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6"/>
      <c r="U894" s="66"/>
      <c r="V894" s="66"/>
      <c r="W894" s="66"/>
      <c r="X894" s="66"/>
      <c r="Y894" s="66"/>
      <c r="Z894" s="66"/>
    </row>
    <row r="895" spans="3:26" ht="12.75">
      <c r="C895" s="64"/>
      <c r="D895" s="65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6"/>
      <c r="U895" s="66"/>
      <c r="V895" s="66"/>
      <c r="W895" s="66"/>
      <c r="X895" s="66"/>
      <c r="Y895" s="66"/>
      <c r="Z895" s="66"/>
    </row>
    <row r="896" spans="3:26" ht="12.75">
      <c r="C896" s="64"/>
      <c r="D896" s="65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6"/>
      <c r="U896" s="66"/>
      <c r="V896" s="66"/>
      <c r="W896" s="66"/>
      <c r="X896" s="66"/>
      <c r="Y896" s="66"/>
      <c r="Z896" s="66"/>
    </row>
    <row r="897" spans="3:26" ht="12.75">
      <c r="C897" s="64"/>
      <c r="D897" s="65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6"/>
      <c r="U897" s="66"/>
      <c r="V897" s="66"/>
      <c r="W897" s="66"/>
      <c r="X897" s="66"/>
      <c r="Y897" s="66"/>
      <c r="Z897" s="66"/>
    </row>
    <row r="898" spans="3:26" ht="12.75">
      <c r="C898" s="64"/>
      <c r="D898" s="65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6"/>
      <c r="U898" s="66"/>
      <c r="V898" s="66"/>
      <c r="W898" s="66"/>
      <c r="X898" s="66"/>
      <c r="Y898" s="66"/>
      <c r="Z898" s="66"/>
    </row>
    <row r="899" spans="3:26" ht="12.75">
      <c r="C899" s="64"/>
      <c r="D899" s="65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6"/>
      <c r="U899" s="66"/>
      <c r="V899" s="66"/>
      <c r="W899" s="66"/>
      <c r="X899" s="66"/>
      <c r="Y899" s="66"/>
      <c r="Z899" s="66"/>
    </row>
    <row r="900" spans="3:26" ht="12.75">
      <c r="C900" s="64"/>
      <c r="D900" s="65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6"/>
      <c r="U900" s="66"/>
      <c r="V900" s="66"/>
      <c r="W900" s="66"/>
      <c r="X900" s="66"/>
      <c r="Y900" s="66"/>
      <c r="Z900" s="66"/>
    </row>
    <row r="901" spans="3:26" ht="12.75">
      <c r="C901" s="64"/>
      <c r="D901" s="65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6"/>
      <c r="U901" s="66"/>
      <c r="V901" s="66"/>
      <c r="W901" s="66"/>
      <c r="X901" s="66"/>
      <c r="Y901" s="66"/>
      <c r="Z901" s="66"/>
    </row>
    <row r="902" spans="3:26" ht="12.75">
      <c r="C902" s="64"/>
      <c r="D902" s="65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6"/>
      <c r="U902" s="66"/>
      <c r="V902" s="66"/>
      <c r="W902" s="66"/>
      <c r="X902" s="66"/>
      <c r="Y902" s="66"/>
      <c r="Z902" s="66"/>
    </row>
    <row r="903" spans="3:26" ht="12.75">
      <c r="C903" s="64"/>
      <c r="D903" s="65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6"/>
      <c r="U903" s="66"/>
      <c r="V903" s="66"/>
      <c r="W903" s="66"/>
      <c r="X903" s="66"/>
      <c r="Y903" s="66"/>
      <c r="Z903" s="66"/>
    </row>
    <row r="904" spans="3:26" ht="12.75">
      <c r="C904" s="64"/>
      <c r="D904" s="65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6"/>
      <c r="U904" s="66"/>
      <c r="V904" s="66"/>
      <c r="W904" s="66"/>
      <c r="X904" s="66"/>
      <c r="Y904" s="66"/>
      <c r="Z904" s="66"/>
    </row>
    <row r="905" spans="3:26" ht="12.75">
      <c r="C905" s="64"/>
      <c r="D905" s="65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6"/>
      <c r="U905" s="66"/>
      <c r="V905" s="66"/>
      <c r="W905" s="66"/>
      <c r="X905" s="66"/>
      <c r="Y905" s="66"/>
      <c r="Z905" s="66"/>
    </row>
    <row r="906" spans="3:26" ht="12.75">
      <c r="C906" s="64"/>
      <c r="D906" s="65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6"/>
      <c r="U906" s="66"/>
      <c r="V906" s="66"/>
      <c r="W906" s="66"/>
      <c r="X906" s="66"/>
      <c r="Y906" s="66"/>
      <c r="Z906" s="66"/>
    </row>
    <row r="907" spans="3:26" ht="12.75">
      <c r="C907" s="64"/>
      <c r="D907" s="65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6"/>
      <c r="U907" s="66"/>
      <c r="V907" s="66"/>
      <c r="W907" s="66"/>
      <c r="X907" s="66"/>
      <c r="Y907" s="66"/>
      <c r="Z907" s="66"/>
    </row>
    <row r="908" spans="3:26" ht="12.75">
      <c r="C908" s="64"/>
      <c r="D908" s="65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6"/>
      <c r="U908" s="66"/>
      <c r="V908" s="66"/>
      <c r="W908" s="66"/>
      <c r="X908" s="66"/>
      <c r="Y908" s="66"/>
      <c r="Z908" s="66"/>
    </row>
    <row r="909" spans="3:26" ht="12.75">
      <c r="C909" s="64"/>
      <c r="D909" s="65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6"/>
      <c r="U909" s="66"/>
      <c r="V909" s="66"/>
      <c r="W909" s="66"/>
      <c r="X909" s="66"/>
      <c r="Y909" s="66"/>
      <c r="Z909" s="66"/>
    </row>
    <row r="910" spans="3:26" ht="12.75">
      <c r="C910" s="64"/>
      <c r="D910" s="65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6"/>
      <c r="U910" s="66"/>
      <c r="V910" s="66"/>
      <c r="W910" s="66"/>
      <c r="X910" s="66"/>
      <c r="Y910" s="66"/>
      <c r="Z910" s="66"/>
    </row>
    <row r="911" spans="3:26" ht="12.75">
      <c r="C911" s="64"/>
      <c r="D911" s="65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6"/>
      <c r="U911" s="66"/>
      <c r="V911" s="66"/>
      <c r="W911" s="66"/>
      <c r="X911" s="66"/>
      <c r="Y911" s="66"/>
      <c r="Z911" s="66"/>
    </row>
    <row r="912" spans="3:26" ht="12.75">
      <c r="C912" s="64"/>
      <c r="D912" s="65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6"/>
      <c r="U912" s="66"/>
      <c r="V912" s="66"/>
      <c r="W912" s="66"/>
      <c r="X912" s="66"/>
      <c r="Y912" s="66"/>
      <c r="Z912" s="66"/>
    </row>
    <row r="913" spans="3:26" ht="12.75">
      <c r="C913" s="64"/>
      <c r="D913" s="65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6"/>
      <c r="U913" s="66"/>
      <c r="V913" s="66"/>
      <c r="W913" s="66"/>
      <c r="X913" s="66"/>
      <c r="Y913" s="66"/>
      <c r="Z913" s="66"/>
    </row>
    <row r="914" spans="3:26" ht="12.75">
      <c r="C914" s="64"/>
      <c r="D914" s="65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6"/>
      <c r="U914" s="66"/>
      <c r="V914" s="66"/>
      <c r="W914" s="66"/>
      <c r="X914" s="66"/>
      <c r="Y914" s="66"/>
      <c r="Z914" s="66"/>
    </row>
    <row r="915" spans="3:26" ht="12.75">
      <c r="C915" s="64"/>
      <c r="D915" s="65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6"/>
      <c r="U915" s="66"/>
      <c r="V915" s="66"/>
      <c r="W915" s="66"/>
      <c r="X915" s="66"/>
      <c r="Y915" s="66"/>
      <c r="Z915" s="66"/>
    </row>
    <row r="916" spans="3:26" ht="12.75">
      <c r="C916" s="64"/>
      <c r="D916" s="65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6"/>
      <c r="U916" s="66"/>
      <c r="V916" s="66"/>
      <c r="W916" s="66"/>
      <c r="X916" s="66"/>
      <c r="Y916" s="66"/>
      <c r="Z916" s="66"/>
    </row>
    <row r="917" spans="3:26" ht="12.75">
      <c r="C917" s="64"/>
      <c r="D917" s="65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6"/>
      <c r="U917" s="66"/>
      <c r="V917" s="66"/>
      <c r="W917" s="66"/>
      <c r="X917" s="66"/>
      <c r="Y917" s="66"/>
      <c r="Z917" s="66"/>
    </row>
    <row r="918" spans="3:26" ht="12.75">
      <c r="C918" s="64"/>
      <c r="D918" s="65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6"/>
      <c r="U918" s="66"/>
      <c r="V918" s="66"/>
      <c r="W918" s="66"/>
      <c r="X918" s="66"/>
      <c r="Y918" s="66"/>
      <c r="Z918" s="66"/>
    </row>
    <row r="919" spans="3:26" ht="12.75">
      <c r="C919" s="64"/>
      <c r="D919" s="65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6"/>
      <c r="U919" s="66"/>
      <c r="V919" s="66"/>
      <c r="W919" s="66"/>
      <c r="X919" s="66"/>
      <c r="Y919" s="66"/>
      <c r="Z919" s="66"/>
    </row>
    <row r="920" spans="3:26" ht="12.75">
      <c r="C920" s="64"/>
      <c r="D920" s="65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6"/>
      <c r="U920" s="66"/>
      <c r="V920" s="66"/>
      <c r="W920" s="66"/>
      <c r="X920" s="66"/>
      <c r="Y920" s="66"/>
      <c r="Z920" s="66"/>
    </row>
    <row r="921" spans="3:26" ht="12.75">
      <c r="C921" s="64"/>
      <c r="D921" s="65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6"/>
      <c r="U921" s="66"/>
      <c r="V921" s="66"/>
      <c r="W921" s="66"/>
      <c r="X921" s="66"/>
      <c r="Y921" s="66"/>
      <c r="Z921" s="66"/>
    </row>
    <row r="922" spans="3:26" ht="12.75">
      <c r="C922" s="64"/>
      <c r="D922" s="65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6"/>
      <c r="U922" s="66"/>
      <c r="V922" s="66"/>
      <c r="W922" s="66"/>
      <c r="X922" s="66"/>
      <c r="Y922" s="66"/>
      <c r="Z922" s="66"/>
    </row>
    <row r="923" spans="3:26" ht="12.75">
      <c r="C923" s="64"/>
      <c r="D923" s="65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6"/>
      <c r="U923" s="66"/>
      <c r="V923" s="66"/>
      <c r="W923" s="66"/>
      <c r="X923" s="66"/>
      <c r="Y923" s="66"/>
      <c r="Z923" s="66"/>
    </row>
    <row r="924" spans="3:26" ht="12.75">
      <c r="C924" s="64"/>
      <c r="D924" s="65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6"/>
      <c r="U924" s="66"/>
      <c r="V924" s="66"/>
      <c r="W924" s="66"/>
      <c r="X924" s="66"/>
      <c r="Y924" s="66"/>
      <c r="Z924" s="66"/>
    </row>
    <row r="925" spans="3:26" ht="12.75">
      <c r="C925" s="64"/>
      <c r="D925" s="65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6"/>
      <c r="U925" s="66"/>
      <c r="V925" s="66"/>
      <c r="W925" s="66"/>
      <c r="X925" s="66"/>
      <c r="Y925" s="66"/>
      <c r="Z925" s="66"/>
    </row>
    <row r="926" spans="3:26" ht="12.75">
      <c r="C926" s="64"/>
      <c r="D926" s="65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6"/>
      <c r="U926" s="66"/>
      <c r="V926" s="66"/>
      <c r="W926" s="66"/>
      <c r="X926" s="66"/>
      <c r="Y926" s="66"/>
      <c r="Z926" s="66"/>
    </row>
    <row r="927" spans="3:26" ht="12.75">
      <c r="C927" s="64"/>
      <c r="D927" s="65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6"/>
      <c r="U927" s="66"/>
      <c r="V927" s="66"/>
      <c r="W927" s="66"/>
      <c r="X927" s="66"/>
      <c r="Y927" s="66"/>
      <c r="Z927" s="66"/>
    </row>
    <row r="928" spans="3:26" ht="12.75">
      <c r="C928" s="64"/>
      <c r="D928" s="65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6"/>
      <c r="U928" s="66"/>
      <c r="V928" s="66"/>
      <c r="W928" s="66"/>
      <c r="X928" s="66"/>
      <c r="Y928" s="66"/>
      <c r="Z928" s="66"/>
    </row>
    <row r="929" spans="3:26" ht="12.75">
      <c r="C929" s="64"/>
      <c r="D929" s="65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6"/>
      <c r="U929" s="66"/>
      <c r="V929" s="66"/>
      <c r="W929" s="66"/>
      <c r="X929" s="66"/>
      <c r="Y929" s="66"/>
      <c r="Z929" s="66"/>
    </row>
    <row r="930" spans="3:26" ht="12.75">
      <c r="C930" s="64"/>
      <c r="D930" s="65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6"/>
      <c r="U930" s="66"/>
      <c r="V930" s="66"/>
      <c r="W930" s="66"/>
      <c r="X930" s="66"/>
      <c r="Y930" s="66"/>
      <c r="Z930" s="66"/>
    </row>
    <row r="931" spans="3:26" ht="12.75">
      <c r="C931" s="64"/>
      <c r="D931" s="65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6"/>
      <c r="U931" s="66"/>
      <c r="V931" s="66"/>
      <c r="W931" s="66"/>
      <c r="X931" s="66"/>
      <c r="Y931" s="66"/>
      <c r="Z931" s="66"/>
    </row>
    <row r="932" spans="3:26" ht="12.75">
      <c r="C932" s="64"/>
      <c r="D932" s="65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6"/>
      <c r="U932" s="66"/>
      <c r="V932" s="66"/>
      <c r="W932" s="66"/>
      <c r="X932" s="66"/>
      <c r="Y932" s="66"/>
      <c r="Z932" s="66"/>
    </row>
    <row r="933" spans="3:26" ht="12.75">
      <c r="C933" s="64"/>
      <c r="D933" s="65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6"/>
      <c r="U933" s="66"/>
      <c r="V933" s="66"/>
      <c r="W933" s="66"/>
      <c r="X933" s="66"/>
      <c r="Y933" s="66"/>
      <c r="Z933" s="66"/>
    </row>
    <row r="934" spans="3:26" ht="12.75">
      <c r="C934" s="64"/>
      <c r="D934" s="65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6"/>
      <c r="U934" s="66"/>
      <c r="V934" s="66"/>
      <c r="W934" s="66"/>
      <c r="X934" s="66"/>
      <c r="Y934" s="66"/>
      <c r="Z934" s="66"/>
    </row>
    <row r="935" spans="3:26" ht="12.75">
      <c r="C935" s="64"/>
      <c r="D935" s="65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6"/>
      <c r="U935" s="66"/>
      <c r="V935" s="66"/>
      <c r="W935" s="66"/>
      <c r="X935" s="66"/>
      <c r="Y935" s="66"/>
      <c r="Z935" s="66"/>
    </row>
    <row r="936" spans="3:26" ht="12.75">
      <c r="C936" s="64"/>
      <c r="D936" s="65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6"/>
      <c r="U936" s="66"/>
      <c r="V936" s="66"/>
      <c r="W936" s="66"/>
      <c r="X936" s="66"/>
      <c r="Y936" s="66"/>
      <c r="Z936" s="66"/>
    </row>
    <row r="937" spans="3:26" ht="12.75">
      <c r="C937" s="64"/>
      <c r="D937" s="65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6"/>
      <c r="U937" s="66"/>
      <c r="V937" s="66"/>
      <c r="W937" s="66"/>
      <c r="X937" s="66"/>
      <c r="Y937" s="66"/>
      <c r="Z937" s="66"/>
    </row>
    <row r="938" spans="3:26" ht="12.75">
      <c r="C938" s="64"/>
      <c r="D938" s="65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6"/>
      <c r="U938" s="66"/>
      <c r="V938" s="66"/>
      <c r="W938" s="66"/>
      <c r="X938" s="66"/>
      <c r="Y938" s="66"/>
      <c r="Z938" s="66"/>
    </row>
    <row r="939" spans="3:26" ht="12.75">
      <c r="C939" s="64"/>
      <c r="D939" s="65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6"/>
      <c r="U939" s="66"/>
      <c r="V939" s="66"/>
      <c r="W939" s="66"/>
      <c r="X939" s="66"/>
      <c r="Y939" s="66"/>
      <c r="Z939" s="66"/>
    </row>
    <row r="940" spans="3:26" ht="12.75">
      <c r="C940" s="64"/>
      <c r="D940" s="65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6"/>
      <c r="U940" s="66"/>
      <c r="V940" s="66"/>
      <c r="W940" s="66"/>
      <c r="X940" s="66"/>
      <c r="Y940" s="66"/>
      <c r="Z940" s="66"/>
    </row>
    <row r="941" spans="3:26" ht="12.75">
      <c r="C941" s="64"/>
      <c r="D941" s="65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6"/>
      <c r="U941" s="66"/>
      <c r="V941" s="66"/>
      <c r="W941" s="66"/>
      <c r="X941" s="66"/>
      <c r="Y941" s="66"/>
      <c r="Z941" s="66"/>
    </row>
    <row r="942" spans="3:26" ht="12.75">
      <c r="C942" s="64"/>
      <c r="D942" s="65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6"/>
      <c r="U942" s="66"/>
      <c r="V942" s="66"/>
      <c r="W942" s="66"/>
      <c r="X942" s="66"/>
      <c r="Y942" s="66"/>
      <c r="Z942" s="66"/>
    </row>
    <row r="943" spans="3:26" ht="12.75">
      <c r="C943" s="64"/>
      <c r="D943" s="65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6"/>
      <c r="U943" s="66"/>
      <c r="V943" s="66"/>
      <c r="W943" s="66"/>
      <c r="X943" s="66"/>
      <c r="Y943" s="66"/>
      <c r="Z943" s="66"/>
    </row>
    <row r="944" spans="3:26" ht="12.75">
      <c r="C944" s="64"/>
      <c r="D944" s="65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6"/>
      <c r="U944" s="66"/>
      <c r="V944" s="66"/>
      <c r="W944" s="66"/>
      <c r="X944" s="66"/>
      <c r="Y944" s="66"/>
      <c r="Z944" s="66"/>
    </row>
    <row r="945" spans="3:26" ht="12.75">
      <c r="C945" s="64"/>
      <c r="D945" s="65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6"/>
      <c r="U945" s="66"/>
      <c r="V945" s="66"/>
      <c r="W945" s="66"/>
      <c r="X945" s="66"/>
      <c r="Y945" s="66"/>
      <c r="Z945" s="66"/>
    </row>
    <row r="946" spans="3:26" ht="12.75">
      <c r="C946" s="64"/>
      <c r="D946" s="65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6"/>
      <c r="U946" s="66"/>
      <c r="V946" s="66"/>
      <c r="W946" s="66"/>
      <c r="X946" s="66"/>
      <c r="Y946" s="66"/>
      <c r="Z946" s="66"/>
    </row>
    <row r="947" spans="3:26" ht="12.75">
      <c r="C947" s="64"/>
      <c r="D947" s="65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6"/>
      <c r="U947" s="66"/>
      <c r="V947" s="66"/>
      <c r="W947" s="66"/>
      <c r="X947" s="66"/>
      <c r="Y947" s="66"/>
      <c r="Z947" s="66"/>
    </row>
    <row r="948" spans="3:26" ht="12.75">
      <c r="C948" s="64"/>
      <c r="D948" s="65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6"/>
      <c r="U948" s="66"/>
      <c r="V948" s="66"/>
      <c r="W948" s="66"/>
      <c r="X948" s="66"/>
      <c r="Y948" s="66"/>
      <c r="Z948" s="66"/>
    </row>
    <row r="949" spans="3:26" ht="12.75">
      <c r="C949" s="64"/>
      <c r="D949" s="65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6"/>
      <c r="U949" s="66"/>
      <c r="V949" s="66"/>
      <c r="W949" s="66"/>
      <c r="X949" s="66"/>
      <c r="Y949" s="66"/>
      <c r="Z949" s="66"/>
    </row>
    <row r="950" spans="3:26" ht="12.75">
      <c r="C950" s="64"/>
      <c r="D950" s="65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6"/>
      <c r="U950" s="66"/>
      <c r="V950" s="66"/>
      <c r="W950" s="66"/>
      <c r="X950" s="66"/>
      <c r="Y950" s="66"/>
      <c r="Z950" s="66"/>
    </row>
    <row r="951" spans="3:26" ht="12.75">
      <c r="C951" s="64"/>
      <c r="D951" s="65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6"/>
      <c r="U951" s="66"/>
      <c r="V951" s="66"/>
      <c r="W951" s="66"/>
      <c r="X951" s="66"/>
      <c r="Y951" s="66"/>
      <c r="Z951" s="66"/>
    </row>
    <row r="952" spans="3:26" ht="12.75">
      <c r="C952" s="64"/>
      <c r="D952" s="65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6"/>
      <c r="U952" s="66"/>
      <c r="V952" s="66"/>
      <c r="W952" s="66"/>
      <c r="X952" s="66"/>
      <c r="Y952" s="66"/>
      <c r="Z952" s="66"/>
    </row>
    <row r="953" spans="3:26" ht="12.75">
      <c r="C953" s="64"/>
      <c r="D953" s="65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6"/>
      <c r="U953" s="66"/>
      <c r="V953" s="66"/>
      <c r="W953" s="66"/>
      <c r="X953" s="66"/>
      <c r="Y953" s="66"/>
      <c r="Z953" s="66"/>
    </row>
    <row r="954" spans="3:26" ht="12.75">
      <c r="C954" s="64"/>
      <c r="D954" s="65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6"/>
      <c r="U954" s="66"/>
      <c r="V954" s="66"/>
      <c r="W954" s="66"/>
      <c r="X954" s="66"/>
      <c r="Y954" s="66"/>
      <c r="Z954" s="66"/>
    </row>
    <row r="955" spans="3:26" ht="12.75">
      <c r="C955" s="64"/>
      <c r="D955" s="65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6"/>
      <c r="U955" s="66"/>
      <c r="V955" s="66"/>
      <c r="W955" s="66"/>
      <c r="X955" s="66"/>
      <c r="Y955" s="66"/>
      <c r="Z955" s="66"/>
    </row>
    <row r="956" spans="3:26" ht="12.75">
      <c r="C956" s="64"/>
      <c r="D956" s="65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6"/>
      <c r="U956" s="66"/>
      <c r="V956" s="66"/>
      <c r="W956" s="66"/>
      <c r="X956" s="66"/>
      <c r="Y956" s="66"/>
      <c r="Z956" s="66"/>
    </row>
    <row r="957" spans="3:26" ht="12.75">
      <c r="C957" s="64"/>
      <c r="D957" s="65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6"/>
      <c r="U957" s="66"/>
      <c r="V957" s="66"/>
      <c r="W957" s="66"/>
      <c r="X957" s="66"/>
      <c r="Y957" s="66"/>
      <c r="Z957" s="66"/>
    </row>
    <row r="958" spans="3:26" ht="12.75">
      <c r="C958" s="64"/>
      <c r="D958" s="65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6"/>
      <c r="U958" s="66"/>
      <c r="V958" s="66"/>
      <c r="W958" s="66"/>
      <c r="X958" s="66"/>
      <c r="Y958" s="66"/>
      <c r="Z958" s="66"/>
    </row>
    <row r="959" spans="3:26" ht="12.75">
      <c r="C959" s="64"/>
      <c r="D959" s="65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6"/>
      <c r="U959" s="66"/>
      <c r="V959" s="66"/>
      <c r="W959" s="66"/>
      <c r="X959" s="66"/>
      <c r="Y959" s="66"/>
      <c r="Z959" s="66"/>
    </row>
    <row r="960" spans="3:26" ht="12.75">
      <c r="C960" s="64"/>
      <c r="D960" s="65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6"/>
      <c r="U960" s="66"/>
      <c r="V960" s="66"/>
      <c r="W960" s="66"/>
      <c r="X960" s="66"/>
      <c r="Y960" s="66"/>
      <c r="Z960" s="66"/>
    </row>
    <row r="961" spans="3:26" ht="12.75">
      <c r="C961" s="64"/>
      <c r="D961" s="65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6"/>
      <c r="U961" s="66"/>
      <c r="V961" s="66"/>
      <c r="W961" s="66"/>
      <c r="X961" s="66"/>
      <c r="Y961" s="66"/>
      <c r="Z961" s="66"/>
    </row>
    <row r="962" spans="3:26" ht="12.75">
      <c r="C962" s="64"/>
      <c r="D962" s="65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6"/>
      <c r="U962" s="66"/>
      <c r="V962" s="66"/>
      <c r="W962" s="66"/>
      <c r="X962" s="66"/>
      <c r="Y962" s="66"/>
      <c r="Z962" s="66"/>
    </row>
    <row r="963" spans="3:26" ht="12.75">
      <c r="C963" s="64"/>
      <c r="D963" s="65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6"/>
      <c r="U963" s="66"/>
      <c r="V963" s="66"/>
      <c r="W963" s="66"/>
      <c r="X963" s="66"/>
      <c r="Y963" s="66"/>
      <c r="Z963" s="66"/>
    </row>
    <row r="964" spans="3:26" ht="12.75">
      <c r="C964" s="64"/>
      <c r="D964" s="65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6"/>
      <c r="U964" s="66"/>
      <c r="V964" s="66"/>
      <c r="W964" s="66"/>
      <c r="X964" s="66"/>
      <c r="Y964" s="66"/>
      <c r="Z964" s="66"/>
    </row>
    <row r="965" spans="3:26" ht="12.75">
      <c r="C965" s="64"/>
      <c r="D965" s="65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6"/>
      <c r="U965" s="66"/>
      <c r="V965" s="66"/>
      <c r="W965" s="66"/>
      <c r="X965" s="66"/>
      <c r="Y965" s="66"/>
      <c r="Z965" s="66"/>
    </row>
    <row r="966" spans="3:26" ht="12.75">
      <c r="C966" s="64"/>
      <c r="D966" s="65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6"/>
      <c r="U966" s="66"/>
      <c r="V966" s="66"/>
      <c r="W966" s="66"/>
      <c r="X966" s="66"/>
      <c r="Y966" s="66"/>
      <c r="Z966" s="66"/>
    </row>
    <row r="967" spans="3:26" ht="12.75">
      <c r="C967" s="64"/>
      <c r="D967" s="65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6"/>
      <c r="U967" s="66"/>
      <c r="V967" s="66"/>
      <c r="W967" s="66"/>
      <c r="X967" s="66"/>
      <c r="Y967" s="66"/>
      <c r="Z967" s="66"/>
    </row>
    <row r="968" spans="3:26" ht="12.75">
      <c r="C968" s="64"/>
      <c r="D968" s="65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6"/>
      <c r="U968" s="66"/>
      <c r="V968" s="66"/>
      <c r="W968" s="66"/>
      <c r="X968" s="66"/>
      <c r="Y968" s="66"/>
      <c r="Z968" s="66"/>
    </row>
    <row r="969" spans="3:26" ht="12.75">
      <c r="C969" s="64"/>
      <c r="D969" s="65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6"/>
      <c r="U969" s="66"/>
      <c r="V969" s="66"/>
      <c r="W969" s="66"/>
      <c r="X969" s="66"/>
      <c r="Y969" s="66"/>
      <c r="Z969" s="66"/>
    </row>
    <row r="970" spans="3:26" ht="12.75">
      <c r="C970" s="64"/>
      <c r="D970" s="65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6"/>
      <c r="U970" s="66"/>
      <c r="V970" s="66"/>
      <c r="W970" s="66"/>
      <c r="X970" s="66"/>
      <c r="Y970" s="66"/>
      <c r="Z970" s="66"/>
    </row>
    <row r="971" spans="3:26" ht="12.75">
      <c r="C971" s="64"/>
      <c r="D971" s="65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6"/>
      <c r="U971" s="66"/>
      <c r="V971" s="66"/>
      <c r="W971" s="66"/>
      <c r="X971" s="66"/>
      <c r="Y971" s="66"/>
      <c r="Z971" s="66"/>
    </row>
    <row r="972" spans="3:26" ht="12.75">
      <c r="C972" s="64"/>
      <c r="D972" s="65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6"/>
      <c r="U972" s="66"/>
      <c r="V972" s="66"/>
      <c r="W972" s="66"/>
      <c r="X972" s="66"/>
      <c r="Y972" s="66"/>
      <c r="Z972" s="66"/>
    </row>
    <row r="973" spans="3:26" ht="12.75">
      <c r="C973" s="64"/>
      <c r="D973" s="65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6"/>
      <c r="U973" s="66"/>
      <c r="V973" s="66"/>
      <c r="W973" s="66"/>
      <c r="X973" s="66"/>
      <c r="Y973" s="66"/>
      <c r="Z973" s="66"/>
    </row>
    <row r="974" spans="3:26" ht="12.75">
      <c r="C974" s="64"/>
      <c r="D974" s="65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6"/>
      <c r="U974" s="66"/>
      <c r="V974" s="66"/>
      <c r="W974" s="66"/>
      <c r="X974" s="66"/>
      <c r="Y974" s="66"/>
      <c r="Z974" s="66"/>
    </row>
    <row r="975" spans="3:26" ht="12.75">
      <c r="C975" s="64"/>
      <c r="D975" s="65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6"/>
      <c r="U975" s="66"/>
      <c r="V975" s="66"/>
      <c r="W975" s="66"/>
      <c r="X975" s="66"/>
      <c r="Y975" s="66"/>
      <c r="Z975" s="66"/>
    </row>
    <row r="976" spans="3:26" ht="12.75">
      <c r="C976" s="64"/>
      <c r="D976" s="65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6"/>
      <c r="U976" s="66"/>
      <c r="V976" s="66"/>
      <c r="W976" s="66"/>
      <c r="X976" s="66"/>
      <c r="Y976" s="66"/>
      <c r="Z976" s="66"/>
    </row>
    <row r="977" spans="3:26" ht="12.75">
      <c r="C977" s="64"/>
      <c r="D977" s="65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6"/>
      <c r="U977" s="66"/>
      <c r="V977" s="66"/>
      <c r="W977" s="66"/>
      <c r="X977" s="66"/>
      <c r="Y977" s="66"/>
      <c r="Z977" s="66"/>
    </row>
    <row r="978" spans="3:26" ht="12.75">
      <c r="C978" s="64"/>
      <c r="D978" s="65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6"/>
      <c r="U978" s="66"/>
      <c r="V978" s="66"/>
      <c r="W978" s="66"/>
      <c r="X978" s="66"/>
      <c r="Y978" s="66"/>
      <c r="Z978" s="66"/>
    </row>
    <row r="979" spans="3:26" ht="12.75">
      <c r="C979" s="64"/>
      <c r="D979" s="65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6"/>
      <c r="U979" s="66"/>
      <c r="V979" s="66"/>
      <c r="W979" s="66"/>
      <c r="X979" s="66"/>
      <c r="Y979" s="66"/>
      <c r="Z979" s="66"/>
    </row>
    <row r="980" spans="3:26" ht="12.75">
      <c r="C980" s="64"/>
      <c r="D980" s="65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6"/>
      <c r="U980" s="66"/>
      <c r="V980" s="66"/>
      <c r="W980" s="66"/>
      <c r="X980" s="66"/>
      <c r="Y980" s="66"/>
      <c r="Z980" s="66"/>
    </row>
    <row r="981" spans="3:26" ht="12.75">
      <c r="C981" s="64"/>
      <c r="D981" s="65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6"/>
      <c r="U981" s="66"/>
      <c r="V981" s="66"/>
      <c r="W981" s="66"/>
      <c r="X981" s="66"/>
      <c r="Y981" s="66"/>
      <c r="Z981" s="66"/>
    </row>
    <row r="982" spans="3:26" ht="12.75">
      <c r="C982" s="64"/>
      <c r="D982" s="65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6"/>
      <c r="U982" s="66"/>
      <c r="V982" s="66"/>
      <c r="W982" s="66"/>
      <c r="X982" s="66"/>
      <c r="Y982" s="66"/>
      <c r="Z982" s="66"/>
    </row>
    <row r="983" spans="3:26" ht="12.75">
      <c r="C983" s="64"/>
      <c r="D983" s="65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6"/>
      <c r="U983" s="66"/>
      <c r="V983" s="66"/>
      <c r="W983" s="66"/>
      <c r="X983" s="66"/>
      <c r="Y983" s="66"/>
      <c r="Z983" s="66"/>
    </row>
    <row r="984" spans="3:26" ht="12.75">
      <c r="C984" s="64"/>
      <c r="D984" s="65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6"/>
      <c r="U984" s="66"/>
      <c r="V984" s="66"/>
      <c r="W984" s="66"/>
      <c r="X984" s="66"/>
      <c r="Y984" s="66"/>
      <c r="Z984" s="66"/>
    </row>
    <row r="985" spans="3:26" ht="12.75">
      <c r="C985" s="64"/>
      <c r="D985" s="65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6"/>
      <c r="U985" s="66"/>
      <c r="V985" s="66"/>
      <c r="W985" s="66"/>
      <c r="X985" s="66"/>
      <c r="Y985" s="66"/>
      <c r="Z985" s="66"/>
    </row>
    <row r="986" spans="3:26" ht="12.75">
      <c r="C986" s="64"/>
      <c r="D986" s="65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6"/>
      <c r="U986" s="66"/>
      <c r="V986" s="66"/>
      <c r="W986" s="66"/>
      <c r="X986" s="66"/>
      <c r="Y986" s="66"/>
      <c r="Z986" s="66"/>
    </row>
    <row r="987" spans="3:26" ht="12.75">
      <c r="C987" s="64"/>
      <c r="D987" s="65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6"/>
      <c r="U987" s="66"/>
      <c r="V987" s="66"/>
      <c r="W987" s="66"/>
      <c r="X987" s="66"/>
      <c r="Y987" s="66"/>
      <c r="Z987" s="66"/>
    </row>
    <row r="988" spans="3:26" ht="12.75">
      <c r="C988" s="64"/>
      <c r="D988" s="65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6"/>
      <c r="U988" s="66"/>
      <c r="V988" s="66"/>
      <c r="W988" s="66"/>
      <c r="X988" s="66"/>
      <c r="Y988" s="66"/>
      <c r="Z988" s="66"/>
    </row>
    <row r="989" spans="3:26" ht="12.75">
      <c r="C989" s="64"/>
      <c r="D989" s="65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6"/>
      <c r="U989" s="66"/>
      <c r="V989" s="66"/>
      <c r="W989" s="66"/>
      <c r="X989" s="66"/>
      <c r="Y989" s="66"/>
      <c r="Z989" s="66"/>
    </row>
    <row r="990" spans="3:26" ht="12.75">
      <c r="C990" s="64"/>
      <c r="D990" s="65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6"/>
      <c r="U990" s="66"/>
      <c r="V990" s="66"/>
      <c r="W990" s="66"/>
      <c r="X990" s="66"/>
      <c r="Y990" s="66"/>
      <c r="Z990" s="66"/>
    </row>
    <row r="991" spans="3:26" ht="12.75">
      <c r="C991" s="64"/>
      <c r="D991" s="65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6"/>
      <c r="U991" s="66"/>
      <c r="V991" s="66"/>
      <c r="W991" s="66"/>
      <c r="X991" s="66"/>
      <c r="Y991" s="66"/>
      <c r="Z991" s="66"/>
    </row>
    <row r="992" spans="3:26" ht="12.75">
      <c r="C992" s="64"/>
      <c r="D992" s="65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6"/>
      <c r="U992" s="66"/>
      <c r="V992" s="66"/>
      <c r="W992" s="66"/>
      <c r="X992" s="66"/>
      <c r="Y992" s="66"/>
      <c r="Z992" s="66"/>
    </row>
    <row r="993" spans="3:26" ht="12.75">
      <c r="C993" s="64"/>
      <c r="D993" s="65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6"/>
      <c r="U993" s="66"/>
      <c r="V993" s="66"/>
      <c r="W993" s="66"/>
      <c r="X993" s="66"/>
      <c r="Y993" s="66"/>
      <c r="Z993" s="66"/>
    </row>
    <row r="994" spans="3:26" ht="12.75">
      <c r="C994" s="64"/>
      <c r="D994" s="65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6"/>
      <c r="U994" s="66"/>
      <c r="V994" s="66"/>
      <c r="W994" s="66"/>
      <c r="X994" s="66"/>
      <c r="Y994" s="66"/>
      <c r="Z994" s="66"/>
    </row>
    <row r="995" spans="3:26" ht="12.75">
      <c r="C995" s="64"/>
      <c r="D995" s="65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6"/>
      <c r="U995" s="66"/>
      <c r="V995" s="66"/>
      <c r="W995" s="66"/>
      <c r="X995" s="66"/>
      <c r="Y995" s="66"/>
      <c r="Z995" s="66"/>
    </row>
    <row r="996" spans="3:26" ht="12.75">
      <c r="C996" s="64"/>
      <c r="D996" s="65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6"/>
      <c r="U996" s="66"/>
      <c r="V996" s="66"/>
      <c r="W996" s="66"/>
      <c r="X996" s="66"/>
      <c r="Y996" s="66"/>
      <c r="Z996" s="66"/>
    </row>
    <row r="997" spans="3:26" ht="12.75">
      <c r="C997" s="64"/>
      <c r="D997" s="65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6"/>
      <c r="U997" s="66"/>
      <c r="V997" s="66"/>
      <c r="W997" s="66"/>
      <c r="X997" s="66"/>
      <c r="Y997" s="66"/>
      <c r="Z997" s="66"/>
    </row>
    <row r="998" spans="3:26" ht="12.75">
      <c r="C998" s="64"/>
      <c r="D998" s="65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6"/>
      <c r="U998" s="66"/>
      <c r="V998" s="66"/>
      <c r="W998" s="66"/>
      <c r="X998" s="66"/>
      <c r="Y998" s="66"/>
      <c r="Z998" s="66"/>
    </row>
    <row r="999" spans="3:26" ht="12.75">
      <c r="C999" s="64"/>
      <c r="D999" s="65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6"/>
      <c r="U999" s="66"/>
      <c r="V999" s="66"/>
      <c r="W999" s="66"/>
      <c r="X999" s="66"/>
      <c r="Y999" s="66"/>
      <c r="Z999" s="66"/>
    </row>
    <row r="1000" spans="3:26" ht="12.75">
      <c r="C1000" s="64"/>
      <c r="D1000" s="65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6"/>
      <c r="U1000" s="66"/>
      <c r="V1000" s="66"/>
      <c r="W1000" s="66"/>
      <c r="X1000" s="66"/>
      <c r="Y1000" s="66"/>
      <c r="Z1000" s="66"/>
    </row>
    <row r="1001" spans="3:26" ht="12.75">
      <c r="C1001" s="64"/>
      <c r="D1001" s="65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6"/>
      <c r="U1001" s="66"/>
      <c r="V1001" s="66"/>
      <c r="W1001" s="66"/>
      <c r="X1001" s="66"/>
      <c r="Y1001" s="66"/>
      <c r="Z1001" s="66"/>
    </row>
    <row r="1002" spans="3:26" ht="12.75">
      <c r="C1002" s="64"/>
      <c r="D1002" s="65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6"/>
      <c r="U1002" s="66"/>
      <c r="V1002" s="66"/>
      <c r="W1002" s="66"/>
      <c r="X1002" s="66"/>
      <c r="Y1002" s="66"/>
      <c r="Z1002" s="66"/>
    </row>
    <row r="1003" spans="3:26" ht="12.75">
      <c r="C1003" s="64"/>
      <c r="D1003" s="65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6"/>
      <c r="U1003" s="66"/>
      <c r="V1003" s="66"/>
      <c r="W1003" s="66"/>
      <c r="X1003" s="66"/>
      <c r="Y1003" s="66"/>
      <c r="Z1003" s="66"/>
    </row>
    <row r="1004" spans="3:26" ht="12.75">
      <c r="C1004" s="64"/>
      <c r="D1004" s="65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6"/>
      <c r="U1004" s="66"/>
      <c r="V1004" s="66"/>
      <c r="W1004" s="66"/>
      <c r="X1004" s="66"/>
      <c r="Y1004" s="66"/>
      <c r="Z1004" s="66"/>
    </row>
    <row r="1005" spans="3:26" ht="12.75">
      <c r="C1005" s="64"/>
      <c r="D1005" s="65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6"/>
      <c r="U1005" s="66"/>
      <c r="V1005" s="66"/>
      <c r="W1005" s="66"/>
      <c r="X1005" s="66"/>
      <c r="Y1005" s="66"/>
      <c r="Z1005" s="66"/>
    </row>
    <row r="1006" spans="3:26" ht="12.75">
      <c r="C1006" s="64"/>
      <c r="D1006" s="65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6"/>
      <c r="U1006" s="66"/>
      <c r="V1006" s="66"/>
      <c r="W1006" s="66"/>
      <c r="X1006" s="66"/>
      <c r="Y1006" s="66"/>
      <c r="Z1006" s="66"/>
    </row>
    <row r="1007" spans="3:26" ht="12.75">
      <c r="C1007" s="64"/>
      <c r="D1007" s="65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6"/>
      <c r="U1007" s="66"/>
      <c r="V1007" s="66"/>
      <c r="W1007" s="66"/>
      <c r="X1007" s="66"/>
      <c r="Y1007" s="66"/>
      <c r="Z1007" s="66"/>
    </row>
    <row r="1008" spans="3:26" ht="12.75">
      <c r="C1008" s="64"/>
      <c r="D1008" s="65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6"/>
      <c r="U1008" s="66"/>
      <c r="V1008" s="66"/>
      <c r="W1008" s="66"/>
      <c r="X1008" s="66"/>
      <c r="Y1008" s="66"/>
      <c r="Z1008" s="66"/>
    </row>
    <row r="1009" spans="3:26" ht="12.75">
      <c r="C1009" s="64"/>
      <c r="D1009" s="65"/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6"/>
      <c r="U1009" s="66"/>
      <c r="V1009" s="66"/>
      <c r="W1009" s="66"/>
      <c r="X1009" s="66"/>
      <c r="Y1009" s="66"/>
      <c r="Z1009" s="66"/>
    </row>
    <row r="1010" spans="3:26" ht="12.75">
      <c r="C1010" s="64"/>
      <c r="D1010" s="65"/>
      <c r="E1010" s="64"/>
      <c r="F1010" s="64"/>
      <c r="G1010" s="64"/>
      <c r="H1010" s="64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4"/>
      <c r="T1010" s="66"/>
      <c r="U1010" s="66"/>
      <c r="V1010" s="66"/>
      <c r="W1010" s="66"/>
      <c r="X1010" s="66"/>
      <c r="Y1010" s="66"/>
      <c r="Z1010" s="66"/>
    </row>
    <row r="1011" spans="3:26" ht="12.75">
      <c r="C1011" s="64"/>
      <c r="D1011" s="65"/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4"/>
      <c r="T1011" s="66"/>
      <c r="U1011" s="66"/>
      <c r="V1011" s="66"/>
      <c r="W1011" s="66"/>
      <c r="X1011" s="66"/>
      <c r="Y1011" s="66"/>
      <c r="Z1011" s="66"/>
    </row>
    <row r="1012" spans="3:26" ht="12.75">
      <c r="C1012" s="64"/>
      <c r="D1012" s="65"/>
      <c r="E1012" s="64"/>
      <c r="F1012" s="64"/>
      <c r="G1012" s="64"/>
      <c r="H1012" s="64"/>
      <c r="I1012" s="64"/>
      <c r="J1012" s="64"/>
      <c r="K1012" s="64"/>
      <c r="L1012" s="64"/>
      <c r="M1012" s="64"/>
      <c r="N1012" s="64"/>
      <c r="O1012" s="64"/>
      <c r="P1012" s="64"/>
      <c r="Q1012" s="64"/>
      <c r="R1012" s="64"/>
      <c r="S1012" s="64"/>
      <c r="T1012" s="66"/>
      <c r="U1012" s="66"/>
      <c r="V1012" s="66"/>
      <c r="W1012" s="66"/>
      <c r="X1012" s="66"/>
      <c r="Y1012" s="66"/>
      <c r="Z1012" s="66"/>
    </row>
    <row r="1013" spans="3:26" ht="12.75">
      <c r="C1013" s="64"/>
      <c r="D1013" s="65"/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64"/>
      <c r="R1013" s="64"/>
      <c r="S1013" s="64"/>
      <c r="T1013" s="66"/>
      <c r="U1013" s="66"/>
      <c r="V1013" s="66"/>
      <c r="W1013" s="66"/>
      <c r="X1013" s="66"/>
      <c r="Y1013" s="66"/>
      <c r="Z1013" s="66"/>
    </row>
    <row r="1014" spans="3:26" ht="12.75">
      <c r="C1014" s="64"/>
      <c r="D1014" s="65"/>
      <c r="E1014" s="64"/>
      <c r="F1014" s="64"/>
      <c r="G1014" s="64"/>
      <c r="H1014" s="64"/>
      <c r="I1014" s="64"/>
      <c r="J1014" s="64"/>
      <c r="K1014" s="64"/>
      <c r="L1014" s="64"/>
      <c r="M1014" s="64"/>
      <c r="N1014" s="64"/>
      <c r="O1014" s="64"/>
      <c r="P1014" s="64"/>
      <c r="Q1014" s="64"/>
      <c r="R1014" s="64"/>
      <c r="S1014" s="64"/>
      <c r="T1014" s="66"/>
      <c r="U1014" s="66"/>
      <c r="V1014" s="66"/>
      <c r="W1014" s="66"/>
      <c r="X1014" s="66"/>
      <c r="Y1014" s="66"/>
      <c r="Z1014" s="66"/>
    </row>
    <row r="1015" spans="3:26" ht="12.75">
      <c r="C1015" s="64"/>
      <c r="D1015" s="65"/>
      <c r="E1015" s="64"/>
      <c r="F1015" s="64"/>
      <c r="G1015" s="64"/>
      <c r="H1015" s="64"/>
      <c r="I1015" s="64"/>
      <c r="J1015" s="64"/>
      <c r="K1015" s="64"/>
      <c r="L1015" s="64"/>
      <c r="M1015" s="64"/>
      <c r="N1015" s="64"/>
      <c r="O1015" s="64"/>
      <c r="P1015" s="64"/>
      <c r="Q1015" s="64"/>
      <c r="R1015" s="64"/>
      <c r="S1015" s="64"/>
      <c r="T1015" s="66"/>
      <c r="U1015" s="66"/>
      <c r="V1015" s="66"/>
      <c r="W1015" s="66"/>
      <c r="X1015" s="66"/>
      <c r="Y1015" s="66"/>
      <c r="Z1015" s="66"/>
    </row>
    <row r="1016" spans="3:26" ht="12.75">
      <c r="C1016" s="64"/>
      <c r="D1016" s="65"/>
      <c r="E1016" s="64"/>
      <c r="F1016" s="64"/>
      <c r="G1016" s="64"/>
      <c r="H1016" s="64"/>
      <c r="I1016" s="64"/>
      <c r="J1016" s="64"/>
      <c r="K1016" s="64"/>
      <c r="L1016" s="64"/>
      <c r="M1016" s="64"/>
      <c r="N1016" s="64"/>
      <c r="O1016" s="64"/>
      <c r="P1016" s="64"/>
      <c r="Q1016" s="64"/>
      <c r="R1016" s="64"/>
      <c r="S1016" s="64"/>
      <c r="T1016" s="66"/>
      <c r="U1016" s="66"/>
      <c r="V1016" s="66"/>
      <c r="W1016" s="66"/>
      <c r="X1016" s="66"/>
      <c r="Y1016" s="66"/>
      <c r="Z1016" s="66"/>
    </row>
    <row r="1017" spans="3:26" ht="12.75">
      <c r="C1017" s="64"/>
      <c r="D1017" s="65"/>
      <c r="E1017" s="64"/>
      <c r="F1017" s="64"/>
      <c r="G1017" s="64"/>
      <c r="H1017" s="64"/>
      <c r="I1017" s="64"/>
      <c r="J1017" s="64"/>
      <c r="K1017" s="64"/>
      <c r="L1017" s="64"/>
      <c r="M1017" s="64"/>
      <c r="N1017" s="64"/>
      <c r="O1017" s="64"/>
      <c r="P1017" s="64"/>
      <c r="Q1017" s="64"/>
      <c r="R1017" s="64"/>
      <c r="S1017" s="64"/>
      <c r="T1017" s="66"/>
      <c r="U1017" s="66"/>
      <c r="V1017" s="66"/>
      <c r="W1017" s="66"/>
      <c r="X1017" s="66"/>
      <c r="Y1017" s="66"/>
      <c r="Z1017" s="66"/>
    </row>
    <row r="1018" spans="3:26" ht="12.75">
      <c r="C1018" s="64"/>
      <c r="D1018" s="65"/>
      <c r="E1018" s="64"/>
      <c r="F1018" s="64"/>
      <c r="G1018" s="64"/>
      <c r="H1018" s="64"/>
      <c r="I1018" s="64"/>
      <c r="J1018" s="64"/>
      <c r="K1018" s="64"/>
      <c r="L1018" s="64"/>
      <c r="M1018" s="64"/>
      <c r="N1018" s="64"/>
      <c r="O1018" s="64"/>
      <c r="P1018" s="64"/>
      <c r="Q1018" s="64"/>
      <c r="R1018" s="64"/>
      <c r="S1018" s="64"/>
      <c r="T1018" s="66"/>
      <c r="U1018" s="66"/>
      <c r="V1018" s="66"/>
      <c r="W1018" s="66"/>
      <c r="X1018" s="66"/>
      <c r="Y1018" s="66"/>
      <c r="Z1018" s="6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9"/>
  <sheetViews>
    <sheetView workbookViewId="0">
      <selection activeCell="H7" sqref="H7"/>
    </sheetView>
  </sheetViews>
  <sheetFormatPr defaultColWidth="12.5703125" defaultRowHeight="15.75" customHeight="1"/>
  <cols>
    <col min="1" max="1" width="5.42578125" customWidth="1"/>
    <col min="2" max="2" width="20.140625" customWidth="1"/>
    <col min="3" max="4" width="18.7109375" customWidth="1"/>
    <col min="5" max="5" width="17.28515625" customWidth="1"/>
    <col min="6" max="6" width="45.5703125" customWidth="1"/>
    <col min="7" max="7" width="18.7109375" customWidth="1"/>
  </cols>
  <sheetData>
    <row r="1" spans="1:7" ht="15.75" customHeight="1">
      <c r="A1" s="70"/>
      <c r="B1" s="71" t="s">
        <v>83</v>
      </c>
      <c r="C1" s="70"/>
      <c r="D1" s="70"/>
      <c r="E1" s="70"/>
      <c r="F1" s="70"/>
    </row>
    <row r="2" spans="1:7" ht="15.75" customHeight="1">
      <c r="A2" s="70"/>
      <c r="B2" s="71" t="s">
        <v>84</v>
      </c>
      <c r="C2" s="70"/>
      <c r="D2" s="70"/>
      <c r="E2" s="70"/>
      <c r="F2" s="70"/>
    </row>
    <row r="3" spans="1:7">
      <c r="A3" s="70"/>
      <c r="B3" s="70"/>
      <c r="C3" s="70"/>
      <c r="D3" s="70"/>
      <c r="E3" s="70"/>
      <c r="F3" s="70"/>
    </row>
    <row r="4" spans="1:7">
      <c r="A4" s="70"/>
      <c r="B4" s="70"/>
      <c r="C4" s="70"/>
      <c r="D4" s="70"/>
      <c r="E4" s="70"/>
      <c r="F4" s="70"/>
    </row>
    <row r="5" spans="1:7">
      <c r="A5" s="72" t="s">
        <v>85</v>
      </c>
      <c r="B5" s="72" t="s">
        <v>86</v>
      </c>
      <c r="C5" s="72" t="s">
        <v>87</v>
      </c>
      <c r="D5" s="72" t="s">
        <v>88</v>
      </c>
      <c r="E5" s="72" t="s">
        <v>89</v>
      </c>
      <c r="F5" s="72" t="s">
        <v>90</v>
      </c>
      <c r="G5" s="73" t="s">
        <v>91</v>
      </c>
    </row>
    <row r="6" spans="1:7" ht="15.75" customHeight="1">
      <c r="A6" s="10">
        <v>1</v>
      </c>
      <c r="B6" s="11" t="s">
        <v>16</v>
      </c>
      <c r="C6" s="11" t="s">
        <v>92</v>
      </c>
      <c r="D6" s="74" t="s">
        <v>93</v>
      </c>
      <c r="E6" s="11" t="s">
        <v>94</v>
      </c>
      <c r="F6" s="11" t="s">
        <v>95</v>
      </c>
      <c r="G6" s="75" t="s">
        <v>96</v>
      </c>
    </row>
    <row r="7" spans="1:7" ht="15.75" customHeight="1">
      <c r="A7" s="10">
        <v>2</v>
      </c>
      <c r="B7" s="11" t="s">
        <v>17</v>
      </c>
      <c r="C7" s="11" t="s">
        <v>97</v>
      </c>
      <c r="D7" s="74" t="s">
        <v>98</v>
      </c>
      <c r="E7" s="11" t="s">
        <v>99</v>
      </c>
      <c r="F7" s="11" t="s">
        <v>100</v>
      </c>
      <c r="G7" s="75" t="s">
        <v>96</v>
      </c>
    </row>
    <row r="8" spans="1:7" ht="15.75" customHeight="1">
      <c r="A8" s="10">
        <v>3</v>
      </c>
      <c r="B8" s="11" t="s">
        <v>18</v>
      </c>
      <c r="C8" s="11" t="s">
        <v>101</v>
      </c>
      <c r="D8" s="74" t="s">
        <v>102</v>
      </c>
      <c r="E8" s="11" t="s">
        <v>103</v>
      </c>
      <c r="F8" s="11" t="s">
        <v>100</v>
      </c>
      <c r="G8" s="75" t="s">
        <v>96</v>
      </c>
    </row>
    <row r="9" spans="1:7" ht="15.75" customHeight="1">
      <c r="A9" s="10">
        <v>4</v>
      </c>
      <c r="B9" s="11" t="s">
        <v>104</v>
      </c>
      <c r="C9" s="11" t="s">
        <v>105</v>
      </c>
      <c r="D9" s="74" t="s">
        <v>106</v>
      </c>
      <c r="E9" s="11" t="s">
        <v>107</v>
      </c>
      <c r="F9" s="11" t="s">
        <v>108</v>
      </c>
      <c r="G9" s="75" t="s">
        <v>96</v>
      </c>
    </row>
    <row r="10" spans="1:7" ht="15.75" customHeight="1">
      <c r="A10" s="10">
        <v>5</v>
      </c>
      <c r="B10" s="11" t="s">
        <v>19</v>
      </c>
      <c r="C10" s="11" t="s">
        <v>109</v>
      </c>
      <c r="D10" s="74" t="s">
        <v>110</v>
      </c>
      <c r="E10" s="11" t="s">
        <v>111</v>
      </c>
      <c r="F10" s="11" t="s">
        <v>100</v>
      </c>
      <c r="G10" s="75" t="s">
        <v>96</v>
      </c>
    </row>
    <row r="11" spans="1:7" ht="15.75" customHeight="1">
      <c r="A11" s="10">
        <v>6</v>
      </c>
      <c r="B11" s="11" t="s">
        <v>21</v>
      </c>
      <c r="C11" s="11" t="s">
        <v>112</v>
      </c>
      <c r="D11" s="74" t="s">
        <v>113</v>
      </c>
      <c r="E11" s="11" t="s">
        <v>114</v>
      </c>
      <c r="F11" s="11" t="s">
        <v>100</v>
      </c>
      <c r="G11" s="75" t="s">
        <v>96</v>
      </c>
    </row>
    <row r="12" spans="1:7" ht="15.75" customHeight="1">
      <c r="A12" s="10">
        <v>7</v>
      </c>
      <c r="B12" s="11" t="s">
        <v>22</v>
      </c>
      <c r="C12" s="11" t="s">
        <v>115</v>
      </c>
      <c r="D12" s="76"/>
      <c r="E12" s="11" t="s">
        <v>116</v>
      </c>
      <c r="F12" s="11" t="s">
        <v>100</v>
      </c>
      <c r="G12" s="75" t="s">
        <v>96</v>
      </c>
    </row>
    <row r="13" spans="1:7" ht="15.75" customHeight="1">
      <c r="A13" s="10">
        <v>8</v>
      </c>
      <c r="B13" s="11" t="s">
        <v>117</v>
      </c>
      <c r="C13" s="11" t="s">
        <v>118</v>
      </c>
      <c r="D13" s="76"/>
      <c r="E13" s="76"/>
      <c r="F13" s="11" t="s">
        <v>100</v>
      </c>
      <c r="G13" s="75" t="s">
        <v>96</v>
      </c>
    </row>
    <row r="14" spans="1:7" ht="15.75" customHeight="1">
      <c r="A14" s="10">
        <v>9</v>
      </c>
      <c r="B14" s="11" t="s">
        <v>24</v>
      </c>
      <c r="C14" s="11" t="s">
        <v>119</v>
      </c>
      <c r="D14" s="74" t="s">
        <v>120</v>
      </c>
      <c r="E14" s="11" t="s">
        <v>121</v>
      </c>
      <c r="F14" s="11" t="s">
        <v>108</v>
      </c>
      <c r="G14" s="75" t="s">
        <v>96</v>
      </c>
    </row>
    <row r="15" spans="1:7" ht="15.75" customHeight="1">
      <c r="A15" s="10">
        <v>10</v>
      </c>
      <c r="B15" s="11" t="s">
        <v>23</v>
      </c>
      <c r="C15" s="11" t="s">
        <v>122</v>
      </c>
      <c r="D15" s="76"/>
      <c r="E15" s="11" t="s">
        <v>123</v>
      </c>
      <c r="F15" s="11" t="s">
        <v>108</v>
      </c>
      <c r="G15" s="75" t="s">
        <v>96</v>
      </c>
    </row>
    <row r="16" spans="1:7" ht="15.75" customHeight="1">
      <c r="A16" s="10">
        <v>11</v>
      </c>
      <c r="B16" s="21" t="s">
        <v>26</v>
      </c>
      <c r="C16" s="11" t="s">
        <v>124</v>
      </c>
      <c r="D16" s="77"/>
      <c r="E16" s="11" t="s">
        <v>125</v>
      </c>
      <c r="F16" s="11" t="s">
        <v>108</v>
      </c>
      <c r="G16" s="75" t="s">
        <v>96</v>
      </c>
    </row>
    <row r="17" spans="1:7" ht="15.75" customHeight="1">
      <c r="A17" s="10">
        <v>12</v>
      </c>
      <c r="B17" s="21" t="s">
        <v>27</v>
      </c>
      <c r="C17" s="11" t="s">
        <v>126</v>
      </c>
      <c r="D17" s="77"/>
      <c r="E17" s="77"/>
      <c r="F17" s="11" t="s">
        <v>100</v>
      </c>
      <c r="G17" s="75" t="s">
        <v>96</v>
      </c>
    </row>
    <row r="18" spans="1:7" ht="15.75" customHeight="1">
      <c r="A18" s="10">
        <v>13</v>
      </c>
      <c r="B18" s="21" t="s">
        <v>127</v>
      </c>
      <c r="C18" s="11" t="s">
        <v>128</v>
      </c>
      <c r="D18" s="77"/>
      <c r="E18" s="11" t="s">
        <v>129</v>
      </c>
      <c r="F18" s="11" t="s">
        <v>100</v>
      </c>
      <c r="G18" s="75" t="s">
        <v>96</v>
      </c>
    </row>
    <row r="19" spans="1:7" ht="15.75" customHeight="1">
      <c r="A19" s="10">
        <v>14</v>
      </c>
      <c r="B19" s="21" t="s">
        <v>30</v>
      </c>
      <c r="C19" s="11" t="s">
        <v>130</v>
      </c>
      <c r="D19" s="78" t="s">
        <v>131</v>
      </c>
      <c r="E19" s="22" t="s">
        <v>132</v>
      </c>
      <c r="F19" s="11" t="s">
        <v>100</v>
      </c>
      <c r="G19" s="75" t="s">
        <v>96</v>
      </c>
    </row>
    <row r="20" spans="1:7" ht="15.75" customHeight="1">
      <c r="A20" s="10">
        <v>15</v>
      </c>
      <c r="B20" s="21" t="s">
        <v>32</v>
      </c>
      <c r="C20" s="11" t="s">
        <v>133</v>
      </c>
      <c r="D20" s="79"/>
      <c r="E20" s="22" t="s">
        <v>134</v>
      </c>
      <c r="F20" s="11" t="s">
        <v>100</v>
      </c>
      <c r="G20" s="75" t="s">
        <v>96</v>
      </c>
    </row>
    <row r="21" spans="1:7" ht="15.75" customHeight="1">
      <c r="A21" s="10">
        <v>16</v>
      </c>
      <c r="B21" s="21" t="s">
        <v>135</v>
      </c>
      <c r="C21" s="11" t="s">
        <v>136</v>
      </c>
      <c r="D21" s="79"/>
      <c r="E21" s="22" t="s">
        <v>137</v>
      </c>
      <c r="F21" s="11" t="s">
        <v>100</v>
      </c>
      <c r="G21" s="75" t="s">
        <v>96</v>
      </c>
    </row>
    <row r="22" spans="1:7" ht="15.75" customHeight="1">
      <c r="A22" s="10">
        <v>17</v>
      </c>
      <c r="B22" s="22" t="s">
        <v>138</v>
      </c>
      <c r="C22" s="11" t="s">
        <v>139</v>
      </c>
      <c r="D22" s="79"/>
      <c r="E22" s="22" t="s">
        <v>140</v>
      </c>
      <c r="F22" s="11" t="s">
        <v>100</v>
      </c>
      <c r="G22" s="75" t="s">
        <v>96</v>
      </c>
    </row>
    <row r="23" spans="1:7" ht="15.75" customHeight="1">
      <c r="A23" s="10">
        <v>18</v>
      </c>
      <c r="B23" s="22" t="s">
        <v>35</v>
      </c>
      <c r="C23" s="11" t="s">
        <v>141</v>
      </c>
      <c r="D23" s="79"/>
      <c r="E23" s="22" t="s">
        <v>142</v>
      </c>
      <c r="F23" s="11" t="s">
        <v>100</v>
      </c>
      <c r="G23" s="75" t="s">
        <v>96</v>
      </c>
    </row>
    <row r="24" spans="1:7" ht="15">
      <c r="A24" s="10">
        <v>19</v>
      </c>
      <c r="B24" s="22" t="s">
        <v>36</v>
      </c>
      <c r="C24" s="11" t="s">
        <v>143</v>
      </c>
      <c r="D24" s="79"/>
      <c r="E24" s="22" t="s">
        <v>144</v>
      </c>
      <c r="F24" s="11" t="s">
        <v>100</v>
      </c>
      <c r="G24" s="75" t="s">
        <v>96</v>
      </c>
    </row>
    <row r="25" spans="1:7" ht="15">
      <c r="A25" s="10">
        <v>20</v>
      </c>
      <c r="B25" s="22" t="s">
        <v>37</v>
      </c>
      <c r="C25" s="11" t="s">
        <v>145</v>
      </c>
      <c r="D25" s="79"/>
      <c r="E25" s="22" t="s">
        <v>146</v>
      </c>
      <c r="F25" s="11" t="s">
        <v>100</v>
      </c>
      <c r="G25" s="75" t="s">
        <v>96</v>
      </c>
    </row>
    <row r="26" spans="1:7" ht="15">
      <c r="A26" s="10">
        <v>21</v>
      </c>
      <c r="B26" s="22" t="s">
        <v>38</v>
      </c>
      <c r="C26" s="11" t="s">
        <v>147</v>
      </c>
      <c r="D26" s="79"/>
      <c r="E26" s="22" t="s">
        <v>148</v>
      </c>
      <c r="F26" s="11" t="s">
        <v>100</v>
      </c>
      <c r="G26" s="75" t="s">
        <v>96</v>
      </c>
    </row>
    <row r="27" spans="1:7">
      <c r="A27" s="10">
        <v>22</v>
      </c>
      <c r="B27" s="21" t="s">
        <v>39</v>
      </c>
      <c r="C27" s="11" t="s">
        <v>149</v>
      </c>
      <c r="D27" s="79"/>
      <c r="E27" s="79"/>
      <c r="F27" s="11" t="s">
        <v>100</v>
      </c>
      <c r="G27" s="75" t="s">
        <v>96</v>
      </c>
    </row>
    <row r="28" spans="1:7" ht="15">
      <c r="A28" s="10">
        <v>23</v>
      </c>
      <c r="B28" s="22" t="s">
        <v>150</v>
      </c>
      <c r="C28" s="11" t="s">
        <v>151</v>
      </c>
      <c r="D28" s="79"/>
      <c r="E28" s="79"/>
      <c r="F28" s="11" t="s">
        <v>100</v>
      </c>
      <c r="G28" s="75" t="s">
        <v>96</v>
      </c>
    </row>
    <row r="29" spans="1:7" ht="15">
      <c r="A29" s="10">
        <v>24</v>
      </c>
      <c r="B29" s="22" t="s">
        <v>45</v>
      </c>
      <c r="C29" s="11" t="s">
        <v>152</v>
      </c>
      <c r="D29" s="79"/>
      <c r="E29" s="79"/>
      <c r="F29" s="79"/>
      <c r="G29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KENAGA 2023</vt:lpstr>
      <vt:lpstr>GANG KENANGA</vt:lpstr>
      <vt:lpstr>MULTILAYER</vt:lpstr>
      <vt:lpstr>DATA NASABAH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2024-07-16T14:28:39Z</dcterms:modified>
</cp:coreProperties>
</file>