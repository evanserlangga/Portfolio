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" sheetId="1" r:id="rId4"/>
    <sheet state="visible" name="GANG MASJID 20223" sheetId="2" r:id="rId5"/>
    <sheet state="visible" name="MULTILAYER" sheetId="3" r:id="rId6"/>
    <sheet state="visible" name="GANG MASJID" sheetId="4" r:id="rId7"/>
    <sheet state="visible" name="DATA NASABAH" sheetId="5" r:id="rId8"/>
  </sheets>
  <definedNames/>
  <calcPr/>
</workbook>
</file>

<file path=xl/sharedStrings.xml><?xml version="1.0" encoding="utf-8"?>
<sst xmlns="http://schemas.openxmlformats.org/spreadsheetml/2006/main" count="342" uniqueCount="143">
  <si>
    <t>DAFTAR NASABAH BANK SAMPAH DIGITAL</t>
  </si>
  <si>
    <t>No</t>
  </si>
  <si>
    <t>Nama Lengkap</t>
  </si>
  <si>
    <t>Sisa Saldo 2023</t>
  </si>
  <si>
    <t>Jan</t>
  </si>
  <si>
    <t>Mart</t>
  </si>
  <si>
    <t>Mei</t>
  </si>
  <si>
    <t>Juni</t>
  </si>
  <si>
    <t>Jul</t>
  </si>
  <si>
    <t>Agustus</t>
  </si>
  <si>
    <t>Sep</t>
  </si>
  <si>
    <t>Okt</t>
  </si>
  <si>
    <t>Nov</t>
  </si>
  <si>
    <t>Des</t>
  </si>
  <si>
    <t>Jumlah Total</t>
  </si>
  <si>
    <t>Pencairan</t>
  </si>
  <si>
    <t>Sisa Saldo</t>
  </si>
  <si>
    <t>Jajat Sudrajat</t>
  </si>
  <si>
    <t xml:space="preserve">Hafifah </t>
  </si>
  <si>
    <t>Hamidah</t>
  </si>
  <si>
    <t xml:space="preserve">Imam Hambali </t>
  </si>
  <si>
    <t xml:space="preserve">Yesi Rahmawati </t>
  </si>
  <si>
    <t xml:space="preserve">Zainul Falah </t>
  </si>
  <si>
    <t>TB Hidayatullah</t>
  </si>
  <si>
    <t>Sutilah</t>
  </si>
  <si>
    <t>Hikmaturochman</t>
  </si>
  <si>
    <t>Hasunah</t>
  </si>
  <si>
    <t>Tuti Aisyah</t>
  </si>
  <si>
    <t>Edi Maryadi</t>
  </si>
  <si>
    <t>Hadijah</t>
  </si>
  <si>
    <t>Ulfah</t>
  </si>
  <si>
    <t>Rosilawati</t>
  </si>
  <si>
    <t>Wawan Qurroten</t>
  </si>
  <si>
    <t>Ani Meilani</t>
  </si>
  <si>
    <t>Evi Suryanti</t>
  </si>
  <si>
    <t>Nunung Sri Nurjanah</t>
  </si>
  <si>
    <t>Hasnawati</t>
  </si>
  <si>
    <t>Bayinah</t>
  </si>
  <si>
    <t>Mutmainah</t>
  </si>
  <si>
    <t>Mira Handayani</t>
  </si>
  <si>
    <t>M. Juheri</t>
  </si>
  <si>
    <t>Imanudin</t>
  </si>
  <si>
    <t>Jumlah Nasabah Menabung</t>
  </si>
  <si>
    <t>Total Transaksi</t>
  </si>
  <si>
    <t>Feb</t>
  </si>
  <si>
    <t>April</t>
  </si>
  <si>
    <t>September</t>
  </si>
  <si>
    <t>Oktober</t>
  </si>
  <si>
    <t>Ap</t>
  </si>
  <si>
    <t>Jun</t>
  </si>
  <si>
    <t>Agst</t>
  </si>
  <si>
    <t>1,5</t>
  </si>
  <si>
    <t>November</t>
  </si>
  <si>
    <t>Desember</t>
  </si>
  <si>
    <t>Januari</t>
  </si>
  <si>
    <t>Februari</t>
  </si>
  <si>
    <t>Maret</t>
  </si>
  <si>
    <t>Juli</t>
  </si>
  <si>
    <t>Total Dicairkan</t>
  </si>
  <si>
    <t>23/4/22</t>
  </si>
  <si>
    <t>23/04/22</t>
  </si>
  <si>
    <t>Nama Bank Sampah</t>
  </si>
  <si>
    <t>Pengurus</t>
  </si>
  <si>
    <t>1. Hikmaturochman</t>
  </si>
  <si>
    <t>NO</t>
  </si>
  <si>
    <t>NAMA LENGKAP</t>
  </si>
  <si>
    <t>ID Nasabah</t>
  </si>
  <si>
    <t xml:space="preserve">NO HP </t>
  </si>
  <si>
    <t xml:space="preserve">IDENTITAS </t>
  </si>
  <si>
    <t xml:space="preserve">ALAMAT </t>
  </si>
  <si>
    <t>JENIS TABUNGAN</t>
  </si>
  <si>
    <t>01-02-0021-001</t>
  </si>
  <si>
    <t>089627419836</t>
  </si>
  <si>
    <t>Gang Masjid RT 03 RW 01, Desa Anyar</t>
  </si>
  <si>
    <t>UANG</t>
  </si>
  <si>
    <t>01-02-0021-002</t>
  </si>
  <si>
    <t>085946564155</t>
  </si>
  <si>
    <t>01-02-0021-003</t>
  </si>
  <si>
    <t>089517295342</t>
  </si>
  <si>
    <t>01-02-0021-004</t>
  </si>
  <si>
    <t>087871479533</t>
  </si>
  <si>
    <t>3604301302670001</t>
  </si>
  <si>
    <t>Gang Masjid No.35 RT 03 RW 01, Desa Anyar</t>
  </si>
  <si>
    <t>01-02-0021-005</t>
  </si>
  <si>
    <t>085921796741</t>
  </si>
  <si>
    <t>3604304303820001</t>
  </si>
  <si>
    <t>01-02-0021-006</t>
  </si>
  <si>
    <t>081282233053</t>
  </si>
  <si>
    <t>Gang Kesehatan No.13 RT 02 Rw 01, Anyer</t>
  </si>
  <si>
    <t>01-02-0021-007</t>
  </si>
  <si>
    <t>087774292185</t>
  </si>
  <si>
    <t>01-02-0021-008</t>
  </si>
  <si>
    <t>087789269206</t>
  </si>
  <si>
    <t>3604305704650001</t>
  </si>
  <si>
    <t>Gang Masjid No.27 RT 03 RW 01, Anyar</t>
  </si>
  <si>
    <t>01-02-0021-009</t>
  </si>
  <si>
    <t>087886128705</t>
  </si>
  <si>
    <t>3604302912640001</t>
  </si>
  <si>
    <t>Gang Masjid No.31 RT 03 RW 01, Anyar</t>
  </si>
  <si>
    <t>01-02-0021-010</t>
  </si>
  <si>
    <t>087774098160</t>
  </si>
  <si>
    <t>3604304406610001</t>
  </si>
  <si>
    <t>Gang Masjid  RT 03 RW 01, Anyar</t>
  </si>
  <si>
    <t>01-02-0021-011</t>
  </si>
  <si>
    <t>087871483797</t>
  </si>
  <si>
    <t>3604304407700001</t>
  </si>
  <si>
    <t>01-02-0021-012</t>
  </si>
  <si>
    <t>081809593281</t>
  </si>
  <si>
    <t>3604301806750001</t>
  </si>
  <si>
    <t>01-02-0021-013</t>
  </si>
  <si>
    <t>087884141586</t>
  </si>
  <si>
    <t>3604304404760001</t>
  </si>
  <si>
    <t>01-02-0021-014</t>
  </si>
  <si>
    <t>3604304808650001</t>
  </si>
  <si>
    <t>01-02-0021-015</t>
  </si>
  <si>
    <t>085946384499</t>
  </si>
  <si>
    <t>3604304412810001</t>
  </si>
  <si>
    <t>01-02-0021-016</t>
  </si>
  <si>
    <t>0817884361</t>
  </si>
  <si>
    <t>01-02-0021-017</t>
  </si>
  <si>
    <t>085774023974</t>
  </si>
  <si>
    <t>3604306005820001</t>
  </si>
  <si>
    <t>01-02-0021-018</t>
  </si>
  <si>
    <t>083890834573</t>
  </si>
  <si>
    <t>01-02-0021-019</t>
  </si>
  <si>
    <t>087810180034</t>
  </si>
  <si>
    <t>3604304409690001</t>
  </si>
  <si>
    <t>01-02-0021-020</t>
  </si>
  <si>
    <t>085813325159</t>
  </si>
  <si>
    <t>3602095404870002</t>
  </si>
  <si>
    <t>01-02-0021-021</t>
  </si>
  <si>
    <t>087772594917</t>
  </si>
  <si>
    <t>3604305910750403</t>
  </si>
  <si>
    <t>Gang Masjid RT 03/R01 Anyer</t>
  </si>
  <si>
    <t>01-02-0021-022</t>
  </si>
  <si>
    <t>083877129182</t>
  </si>
  <si>
    <t>3604304205560001</t>
  </si>
  <si>
    <t>01-02-0021-023</t>
  </si>
  <si>
    <t>087881740236</t>
  </si>
  <si>
    <t>3604305512850001</t>
  </si>
  <si>
    <t>01-02-0021-024</t>
  </si>
  <si>
    <t>087883670024</t>
  </si>
  <si>
    <t>01-02-0021-025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</si>
</sst>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(Rp* #,##0_);_(Rp* (#,##0);_(Rp* &quot;-&quot;??_);_(@_)"/>
    <numFmt numFmtId="165" formatCode="m/d/yyyy"/>
    <numFmt numFmtId="166" formatCode="m/d/yy"/>
    <numFmt numFmtId="167" formatCode="#,##0.0"/>
  </numFmts>
  <fonts count="13">
    <font>
      <sz val="10.0"/>
      <color rgb="FF000000"/>
      <name val="Arial"/>
      <scheme val="minor"/>
    </font>
    <font>
      <b/>
      <sz val="11.0"/>
      <color theme="1"/>
      <name val="Times New Roman"/>
    </font>
    <font>
      <color theme="1"/>
      <name val="Times New Roman"/>
    </font>
    <font>
      <b/>
      <color theme="1"/>
      <name val="Times New Roman"/>
    </font>
    <font>
      <sz val="11.0"/>
      <color theme="1"/>
      <name val="Times New Roman"/>
    </font>
    <font>
      <sz val="12.0"/>
      <color theme="1"/>
      <name val="Times New Roman"/>
    </font>
    <font>
      <b/>
      <sz val="11.0"/>
      <color theme="1"/>
      <name val="&quot;Times New Roman&quot;"/>
    </font>
    <font>
      <color theme="1"/>
      <name val="Arial"/>
      <scheme val="minor"/>
    </font>
    <font>
      <sz val="11.0"/>
      <color theme="1"/>
      <name val="&quot;Times New Roman&quot;"/>
    </font>
    <font>
      <sz val="12.0"/>
      <color theme="1"/>
      <name val="Arial"/>
      <scheme val="minor"/>
    </font>
    <font>
      <b/>
      <sz val="12.0"/>
      <color theme="1"/>
      <name val="Times New Roman"/>
    </font>
    <font>
      <b/>
      <color theme="1"/>
      <name val="Arial"/>
      <scheme val="minor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164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0" fontId="2" numFmtId="0" xfId="0" applyFont="1"/>
    <xf borderId="1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readingOrder="0" vertical="bottom"/>
    </xf>
    <xf borderId="1" fillId="0" fontId="3" numFmtId="164" xfId="0" applyAlignment="1" applyBorder="1" applyFont="1" applyNumberFormat="1">
      <alignment horizontal="center" readingOrder="0"/>
    </xf>
    <xf borderId="1" fillId="0" fontId="3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 readingOrder="0"/>
    </xf>
    <xf borderId="1" fillId="0" fontId="4" numFmtId="0" xfId="0" applyAlignment="1" applyBorder="1" applyFont="1">
      <alignment readingOrder="0"/>
    </xf>
    <xf borderId="1" fillId="0" fontId="2" numFmtId="164" xfId="0" applyAlignment="1" applyBorder="1" applyFont="1" applyNumberFormat="1">
      <alignment readingOrder="0"/>
    </xf>
    <xf borderId="1" fillId="0" fontId="2" numFmtId="164" xfId="0" applyAlignment="1" applyBorder="1" applyFont="1" applyNumberFormat="1">
      <alignment horizontal="center"/>
    </xf>
    <xf borderId="1" fillId="0" fontId="2" numFmtId="164" xfId="0" applyAlignment="1" applyBorder="1" applyFont="1" applyNumberFormat="1">
      <alignment horizontal="center" readingOrder="0"/>
    </xf>
    <xf borderId="0" fillId="0" fontId="2" numFmtId="165" xfId="0" applyAlignment="1" applyFont="1" applyNumberFormat="1">
      <alignment horizontal="left" readingOrder="0"/>
    </xf>
    <xf borderId="1" fillId="0" fontId="2" numFmtId="0" xfId="0" applyAlignment="1" applyBorder="1" applyFont="1">
      <alignment readingOrder="0"/>
    </xf>
    <xf borderId="1" fillId="0" fontId="5" numFmtId="0" xfId="0" applyAlignment="1" applyBorder="1" applyFont="1">
      <alignment readingOrder="0"/>
    </xf>
    <xf borderId="0" fillId="0" fontId="2" numFmtId="166" xfId="0" applyAlignment="1" applyFont="1" applyNumberFormat="1">
      <alignment horizontal="left" readingOrder="0"/>
    </xf>
    <xf borderId="1" fillId="0" fontId="4" numFmtId="0" xfId="0" applyAlignment="1" applyBorder="1" applyFont="1">
      <alignment vertical="bottom"/>
    </xf>
    <xf borderId="1" fillId="2" fontId="4" numFmtId="0" xfId="0" applyAlignment="1" applyBorder="1" applyFill="1" applyFont="1">
      <alignment horizontal="center" readingOrder="0"/>
    </xf>
    <xf borderId="1" fillId="2" fontId="4" numFmtId="0" xfId="0" applyAlignment="1" applyBorder="1" applyFont="1">
      <alignment vertical="bottom"/>
    </xf>
    <xf borderId="1" fillId="2" fontId="2" numFmtId="164" xfId="0" applyAlignment="1" applyBorder="1" applyFont="1" applyNumberFormat="1">
      <alignment readingOrder="0"/>
    </xf>
    <xf borderId="1" fillId="2" fontId="2" numFmtId="164" xfId="0" applyAlignment="1" applyBorder="1" applyFont="1" applyNumberFormat="1">
      <alignment horizontal="center"/>
    </xf>
    <xf borderId="0" fillId="2" fontId="2" numFmtId="0" xfId="0" applyAlignment="1" applyFont="1">
      <alignment horizontal="left"/>
    </xf>
    <xf borderId="0" fillId="2" fontId="2" numFmtId="0" xfId="0" applyFont="1"/>
    <xf borderId="1" fillId="0" fontId="4" numFmtId="0" xfId="0" applyAlignment="1" applyBorder="1" applyFont="1">
      <alignment readingOrder="0" vertical="bottom"/>
    </xf>
    <xf borderId="0" fillId="0" fontId="4" numFmtId="0" xfId="0" applyAlignment="1" applyFont="1">
      <alignment vertical="bottom"/>
    </xf>
    <xf borderId="0" fillId="0" fontId="3" numFmtId="164" xfId="0" applyFont="1" applyNumberFormat="1"/>
    <xf borderId="0" fillId="0" fontId="3" numFmtId="164" xfId="0" applyAlignment="1" applyFont="1" applyNumberFormat="1">
      <alignment horizontal="center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vertical="bottom"/>
    </xf>
    <xf borderId="0" fillId="0" fontId="2" numFmtId="164" xfId="0" applyFont="1" applyNumberFormat="1"/>
    <xf borderId="0" fillId="3" fontId="2" numFmtId="164" xfId="0" applyFill="1" applyFont="1" applyNumberFormat="1"/>
    <xf borderId="1" fillId="2" fontId="4" numFmtId="0" xfId="0" applyAlignment="1" applyBorder="1" applyFont="1">
      <alignment readingOrder="0"/>
    </xf>
    <xf borderId="1" fillId="2" fontId="2" numFmtId="164" xfId="0" applyAlignment="1" applyBorder="1" applyFont="1" applyNumberFormat="1">
      <alignment horizontal="center" readingOrder="0"/>
    </xf>
    <xf borderId="0" fillId="2" fontId="2" numFmtId="165" xfId="0" applyAlignment="1" applyFont="1" applyNumberFormat="1">
      <alignment horizontal="left" readingOrder="0"/>
    </xf>
    <xf borderId="0" fillId="0" fontId="6" numFmtId="0" xfId="0" applyAlignment="1" applyFont="1">
      <alignment horizontal="center"/>
    </xf>
    <xf borderId="0" fillId="0" fontId="6" numFmtId="167" xfId="0" applyAlignment="1" applyFont="1" applyNumberFormat="1">
      <alignment horizontal="center"/>
    </xf>
    <xf borderId="0" fillId="0" fontId="6" numFmtId="167" xfId="0" applyAlignment="1" applyFont="1" applyNumberFormat="1">
      <alignment horizontal="center" vertical="center"/>
    </xf>
    <xf borderId="1" fillId="0" fontId="6" numFmtId="0" xfId="0" applyAlignment="1" applyBorder="1" applyFont="1">
      <alignment horizontal="center" vertical="bottom"/>
    </xf>
    <xf borderId="1" fillId="0" fontId="6" numFmtId="167" xfId="0" applyAlignment="1" applyBorder="1" applyFont="1" applyNumberFormat="1">
      <alignment horizontal="center" readingOrder="0" vertical="bottom"/>
    </xf>
    <xf borderId="1" fillId="0" fontId="6" numFmtId="167" xfId="0" applyAlignment="1" applyBorder="1" applyFont="1" applyNumberFormat="1">
      <alignment horizontal="center" readingOrder="0" vertical="center"/>
    </xf>
    <xf borderId="1" fillId="0" fontId="6" numFmtId="167" xfId="0" applyAlignment="1" applyBorder="1" applyFont="1" applyNumberFormat="1">
      <alignment horizontal="center" vertical="center"/>
    </xf>
    <xf borderId="1" fillId="0" fontId="7" numFmtId="3" xfId="0" applyAlignment="1" applyBorder="1" applyFont="1" applyNumberFormat="1">
      <alignment horizontal="center" readingOrder="0"/>
    </xf>
    <xf borderId="1" fillId="0" fontId="7" numFmtId="167" xfId="0" applyAlignment="1" applyBorder="1" applyFont="1" applyNumberFormat="1">
      <alignment horizontal="center" readingOrder="0"/>
    </xf>
    <xf borderId="1" fillId="0" fontId="7" numFmtId="167" xfId="0" applyAlignment="1" applyBorder="1" applyFont="1" applyNumberFormat="1">
      <alignment readingOrder="0"/>
    </xf>
    <xf borderId="1" fillId="0" fontId="7" numFmtId="3" xfId="0" applyAlignment="1" applyBorder="1" applyFont="1" applyNumberFormat="1">
      <alignment horizontal="center" readingOrder="0" vertical="center"/>
    </xf>
    <xf borderId="1" fillId="0" fontId="7" numFmtId="167" xfId="0" applyAlignment="1" applyBorder="1" applyFont="1" applyNumberFormat="1">
      <alignment horizontal="center" readingOrder="0" vertical="center"/>
    </xf>
    <xf borderId="1" fillId="0" fontId="7" numFmtId="0" xfId="0" applyAlignment="1" applyBorder="1" applyFont="1">
      <alignment readingOrder="0"/>
    </xf>
    <xf borderId="0" fillId="0" fontId="7" numFmtId="166" xfId="0" applyAlignment="1" applyFont="1" applyNumberFormat="1">
      <alignment readingOrder="0"/>
    </xf>
    <xf borderId="1" fillId="0" fontId="8" numFmtId="0" xfId="0" applyAlignment="1" applyBorder="1" applyFont="1">
      <alignment vertical="bottom"/>
    </xf>
    <xf borderId="1" fillId="0" fontId="8" numFmtId="0" xfId="0" applyAlignment="1" applyBorder="1" applyFont="1">
      <alignment readingOrder="0" vertical="bottom"/>
    </xf>
    <xf borderId="0" fillId="0" fontId="8" numFmtId="0" xfId="0" applyAlignment="1" applyFont="1">
      <alignment vertical="bottom"/>
    </xf>
    <xf borderId="0" fillId="0" fontId="7" numFmtId="167" xfId="0" applyAlignment="1" applyFont="1" applyNumberFormat="1">
      <alignment horizontal="center"/>
    </xf>
    <xf borderId="0" fillId="0" fontId="7" numFmtId="167" xfId="0" applyFont="1" applyNumberFormat="1"/>
    <xf borderId="0" fillId="0" fontId="7" numFmtId="167" xfId="0" applyAlignment="1" applyFont="1" applyNumberFormat="1">
      <alignment horizontal="center" vertical="center"/>
    </xf>
    <xf borderId="1" fillId="0" fontId="6" numFmtId="0" xfId="0" applyAlignment="1" applyBorder="1" applyFont="1">
      <alignment horizontal="center" readingOrder="0" vertical="bottom"/>
    </xf>
    <xf borderId="1" fillId="0" fontId="7" numFmtId="164" xfId="0" applyAlignment="1" applyBorder="1" applyFont="1" applyNumberFormat="1">
      <alignment readingOrder="0"/>
    </xf>
    <xf borderId="0" fillId="0" fontId="7" numFmtId="0" xfId="0" applyAlignment="1" applyFont="1">
      <alignment readingOrder="0"/>
    </xf>
    <xf borderId="0" fillId="0" fontId="6" numFmtId="0" xfId="0" applyAlignment="1" applyFont="1">
      <alignment shrinkToFit="0" vertical="bottom" wrapText="0"/>
    </xf>
    <xf borderId="0" fillId="0" fontId="7" numFmtId="0" xfId="0" applyAlignment="1" applyFont="1">
      <alignment horizontal="center" readingOrder="0"/>
    </xf>
    <xf borderId="0" fillId="0" fontId="6" numFmtId="0" xfId="0" applyAlignment="1" applyFont="1">
      <alignment vertical="bottom"/>
    </xf>
    <xf borderId="0" fillId="0" fontId="7" numFmtId="164" xfId="0" applyFont="1" applyNumberFormat="1"/>
    <xf borderId="0" fillId="3" fontId="7" numFmtId="164" xfId="0" applyFont="1" applyNumberFormat="1"/>
    <xf borderId="0" fillId="0" fontId="9" numFmtId="0" xfId="0" applyFont="1"/>
    <xf borderId="0" fillId="0" fontId="10" numFmtId="0" xfId="0" applyAlignment="1" applyFont="1">
      <alignment horizontal="center" vertical="bottom"/>
    </xf>
    <xf borderId="0" fillId="0" fontId="10" numFmtId="0" xfId="0" applyAlignment="1" applyFont="1">
      <alignment readingOrder="0"/>
    </xf>
    <xf borderId="0" fillId="0" fontId="5" numFmtId="0" xfId="0" applyFont="1"/>
    <xf borderId="1" fillId="0" fontId="1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center" vertical="bottom"/>
    </xf>
    <xf borderId="1" fillId="0" fontId="11" numFmtId="0" xfId="0" applyAlignment="1" applyBorder="1" applyFont="1">
      <alignment horizontal="center" readingOrder="0"/>
    </xf>
    <xf quotePrefix="1" borderId="1" fillId="0" fontId="4" numFmtId="0" xfId="0" applyAlignment="1" applyBorder="1" applyFont="1">
      <alignment horizontal="center" readingOrder="0"/>
    </xf>
    <xf borderId="1" fillId="0" fontId="7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center" readingOrder="0"/>
    </xf>
    <xf quotePrefix="1" borderId="1" fillId="0" fontId="7" numFmtId="0" xfId="0" applyAlignment="1" applyBorder="1" applyFont="1">
      <alignment horizontal="center" readingOrder="0"/>
    </xf>
    <xf quotePrefix="1" borderId="1" fillId="0" fontId="12" numFmtId="0" xfId="0" applyAlignment="1" applyBorder="1" applyFont="1">
      <alignment horizontal="center" readingOrder="0"/>
    </xf>
    <xf borderId="1" fillId="0" fontId="12" numFmtId="0" xfId="0" applyAlignment="1" applyBorder="1" applyFont="1">
      <alignment horizontal="center" readingOrder="0"/>
    </xf>
    <xf borderId="1" fillId="0" fontId="12" numFmtId="0" xfId="0" applyAlignment="1" applyBorder="1" applyFont="1">
      <alignment horizontal="center"/>
    </xf>
    <xf quotePrefix="1" borderId="1" fillId="0" fontId="8" numFmtId="0" xfId="0" applyAlignment="1" applyBorder="1" applyFont="1">
      <alignment horizontal="center" vertical="bottom"/>
    </xf>
    <xf borderId="1" fillId="0" fontId="8" numFmtId="0" xfId="0" applyAlignment="1" applyBorder="1" applyFont="1">
      <alignment horizontal="center" vertical="bottom"/>
    </xf>
    <xf borderId="1" fillId="0" fontId="8" numFmtId="0" xfId="0" applyAlignment="1" applyBorder="1" applyFont="1">
      <alignment horizontal="left" vertical="bottom"/>
    </xf>
    <xf borderId="1" fillId="0" fontId="1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5.38"/>
    <col customWidth="1" min="2" max="2" width="24.75"/>
    <col customWidth="1" hidden="1" min="3" max="3" width="15.0"/>
    <col customWidth="1" hidden="1" min="4" max="4" width="10.5"/>
    <col hidden="1" min="5" max="5" width="12.63"/>
    <col customWidth="1" hidden="1" min="6" max="7" width="14.25"/>
    <col customWidth="1" min="8" max="14" width="14.25"/>
  </cols>
  <sheetData>
    <row r="1">
      <c r="A1" s="1"/>
      <c r="B1" s="1"/>
      <c r="C1" s="1"/>
      <c r="D1" s="1" t="s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3"/>
      <c r="Q1" s="4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2"/>
      <c r="P2" s="3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</row>
    <row r="3">
      <c r="A3" s="6" t="s">
        <v>1</v>
      </c>
      <c r="B3" s="6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  <c r="J3" s="7" t="s">
        <v>10</v>
      </c>
      <c r="K3" s="7" t="s">
        <v>11</v>
      </c>
      <c r="L3" s="7" t="s">
        <v>12</v>
      </c>
      <c r="M3" s="7" t="s">
        <v>13</v>
      </c>
      <c r="N3" s="6" t="s">
        <v>14</v>
      </c>
      <c r="O3" s="8" t="s">
        <v>15</v>
      </c>
      <c r="P3" s="9" t="s">
        <v>16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</row>
    <row r="4">
      <c r="A4" s="10">
        <v>1.0</v>
      </c>
      <c r="B4" s="11" t="s">
        <v>17</v>
      </c>
      <c r="C4" s="12">
        <f>'GANG MASJID 20223'!O4</f>
        <v>77950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>
        <f t="shared" ref="N4:N29" si="1">SUM(C4:M4)</f>
        <v>77950</v>
      </c>
      <c r="O4" s="13"/>
      <c r="P4" s="13">
        <f t="shared" ref="P4:P30" si="2">N4-O4</f>
        <v>77950</v>
      </c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</row>
    <row r="5">
      <c r="A5" s="10">
        <v>2.0</v>
      </c>
      <c r="B5" s="11" t="s">
        <v>18</v>
      </c>
      <c r="C5" s="12">
        <f>'GANG MASJID 20223'!O5</f>
        <v>64450</v>
      </c>
      <c r="D5" s="12"/>
      <c r="E5" s="12"/>
      <c r="F5" s="12">
        <v>13900.0</v>
      </c>
      <c r="G5" s="12"/>
      <c r="H5" s="12"/>
      <c r="I5" s="12"/>
      <c r="J5" s="12"/>
      <c r="K5" s="12"/>
      <c r="L5" s="12"/>
      <c r="M5" s="12"/>
      <c r="N5" s="12">
        <f t="shared" si="1"/>
        <v>78350</v>
      </c>
      <c r="O5" s="13"/>
      <c r="P5" s="13">
        <f t="shared" si="2"/>
        <v>78350</v>
      </c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</row>
    <row r="6">
      <c r="A6" s="10">
        <v>3.0</v>
      </c>
      <c r="B6" s="11" t="s">
        <v>19</v>
      </c>
      <c r="C6" s="12">
        <f>'GANG MASJID 20223'!O6</f>
        <v>14950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>
        <f t="shared" si="1"/>
        <v>14950</v>
      </c>
      <c r="O6" s="14"/>
      <c r="P6" s="13">
        <f t="shared" si="2"/>
        <v>14950</v>
      </c>
      <c r="Q6" s="1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</row>
    <row r="7">
      <c r="A7" s="10">
        <v>4.0</v>
      </c>
      <c r="B7" s="11" t="s">
        <v>20</v>
      </c>
      <c r="C7" s="12">
        <f>'GANG MASJID 20223'!O7</f>
        <v>444100</v>
      </c>
      <c r="D7" s="12">
        <v>72400.0</v>
      </c>
      <c r="E7" s="12"/>
      <c r="F7" s="12">
        <v>55600.0</v>
      </c>
      <c r="G7" s="12"/>
      <c r="H7" s="12"/>
      <c r="I7" s="12"/>
      <c r="J7" s="12"/>
      <c r="K7" s="12"/>
      <c r="L7" s="12"/>
      <c r="M7" s="12"/>
      <c r="N7" s="12">
        <f t="shared" si="1"/>
        <v>572100</v>
      </c>
      <c r="O7" s="13"/>
      <c r="P7" s="13">
        <f t="shared" si="2"/>
        <v>572100</v>
      </c>
      <c r="Q7" s="4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</row>
    <row r="8">
      <c r="A8" s="10">
        <v>5.0</v>
      </c>
      <c r="B8" s="11" t="s">
        <v>21</v>
      </c>
      <c r="C8" s="12">
        <f>'GANG MASJID 20223'!O8</f>
        <v>27050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>
        <f t="shared" si="1"/>
        <v>27050</v>
      </c>
      <c r="O8" s="13"/>
      <c r="P8" s="13">
        <f t="shared" si="2"/>
        <v>27050</v>
      </c>
      <c r="Q8" s="4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</row>
    <row r="9">
      <c r="A9" s="10">
        <v>6.0</v>
      </c>
      <c r="B9" s="11" t="s">
        <v>22</v>
      </c>
      <c r="C9" s="12">
        <f>'GANG MASJID 20223'!O9</f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>
        <f t="shared" si="1"/>
        <v>0</v>
      </c>
      <c r="O9" s="13"/>
      <c r="P9" s="13">
        <f t="shared" si="2"/>
        <v>0</v>
      </c>
      <c r="Q9" s="4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</row>
    <row r="10">
      <c r="A10" s="10">
        <v>7.0</v>
      </c>
      <c r="B10" s="11" t="s">
        <v>23</v>
      </c>
      <c r="C10" s="12">
        <f>'GANG MASJID 20223'!O10</f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>
        <f t="shared" si="1"/>
        <v>0</v>
      </c>
      <c r="O10" s="13"/>
      <c r="P10" s="13">
        <f t="shared" si="2"/>
        <v>0</v>
      </c>
      <c r="Q10" s="4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</row>
    <row r="11">
      <c r="A11" s="10">
        <v>8.0</v>
      </c>
      <c r="B11" s="11" t="s">
        <v>24</v>
      </c>
      <c r="C11" s="12">
        <f>'GANG MASJID 20223'!O11</f>
        <v>95150</v>
      </c>
      <c r="D11" s="12"/>
      <c r="E11" s="12"/>
      <c r="F11" s="12">
        <v>5850.0</v>
      </c>
      <c r="G11" s="12"/>
      <c r="H11" s="12"/>
      <c r="I11" s="12"/>
      <c r="J11" s="12"/>
      <c r="K11" s="12"/>
      <c r="L11" s="12"/>
      <c r="M11" s="12"/>
      <c r="N11" s="12">
        <f t="shared" si="1"/>
        <v>101000</v>
      </c>
      <c r="O11" s="14"/>
      <c r="P11" s="13">
        <f t="shared" si="2"/>
        <v>101000</v>
      </c>
      <c r="Q11" s="1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</row>
    <row r="12">
      <c r="A12" s="10">
        <v>9.0</v>
      </c>
      <c r="B12" s="11" t="s">
        <v>25</v>
      </c>
      <c r="C12" s="12">
        <f>'GANG MASJID 20223'!O12</f>
        <v>108500</v>
      </c>
      <c r="D12" s="12"/>
      <c r="E12" s="12">
        <v>9900.0</v>
      </c>
      <c r="F12" s="12"/>
      <c r="G12" s="12">
        <v>25500.0</v>
      </c>
      <c r="H12" s="12"/>
      <c r="I12" s="12"/>
      <c r="J12" s="12"/>
      <c r="K12" s="12"/>
      <c r="L12" s="12"/>
      <c r="M12" s="12"/>
      <c r="N12" s="12">
        <f t="shared" si="1"/>
        <v>143900</v>
      </c>
      <c r="O12" s="13"/>
      <c r="P12" s="13">
        <f t="shared" si="2"/>
        <v>143900</v>
      </c>
      <c r="Q12" s="4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</row>
    <row r="13">
      <c r="A13" s="10">
        <v>10.0</v>
      </c>
      <c r="B13" s="11" t="s">
        <v>26</v>
      </c>
      <c r="C13" s="12">
        <f>'GANG MASJID 20223'!O13</f>
        <v>120150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>
        <f t="shared" si="1"/>
        <v>120150</v>
      </c>
      <c r="O13" s="13"/>
      <c r="P13" s="13">
        <f t="shared" si="2"/>
        <v>120150</v>
      </c>
      <c r="Q13" s="4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</row>
    <row r="14">
      <c r="A14" s="10">
        <v>11.0</v>
      </c>
      <c r="B14" s="16" t="s">
        <v>27</v>
      </c>
      <c r="C14" s="12">
        <f>'GANG MASJID 20223'!O14</f>
        <v>7700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>
        <f t="shared" si="1"/>
        <v>7700</v>
      </c>
      <c r="O14" s="13"/>
      <c r="P14" s="13">
        <f t="shared" si="2"/>
        <v>7700</v>
      </c>
      <c r="Q14" s="4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</row>
    <row r="15">
      <c r="A15" s="10">
        <v>12.0</v>
      </c>
      <c r="B15" s="17" t="s">
        <v>28</v>
      </c>
      <c r="C15" s="12">
        <f>'GANG MASJID 20223'!O15</f>
        <v>0</v>
      </c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>
        <f t="shared" si="1"/>
        <v>0</v>
      </c>
      <c r="O15" s="13"/>
      <c r="P15" s="13">
        <f t="shared" si="2"/>
        <v>0</v>
      </c>
      <c r="Q15" s="4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</row>
    <row r="16">
      <c r="A16" s="10">
        <v>13.0</v>
      </c>
      <c r="B16" s="17" t="s">
        <v>29</v>
      </c>
      <c r="C16" s="12">
        <f>'GANG MASJID 20223'!O16</f>
        <v>211000</v>
      </c>
      <c r="D16" s="12"/>
      <c r="E16" s="12">
        <v>22000.0</v>
      </c>
      <c r="F16" s="12">
        <v>20600.0</v>
      </c>
      <c r="G16" s="12"/>
      <c r="H16" s="12">
        <v>22850.0</v>
      </c>
      <c r="I16" s="12"/>
      <c r="J16" s="12"/>
      <c r="K16" s="12"/>
      <c r="L16" s="12"/>
      <c r="M16" s="12"/>
      <c r="N16" s="12">
        <f t="shared" si="1"/>
        <v>276450</v>
      </c>
      <c r="O16" s="13"/>
      <c r="P16" s="13">
        <f t="shared" si="2"/>
        <v>276450</v>
      </c>
      <c r="Q16" s="4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</row>
    <row r="17">
      <c r="A17" s="10">
        <v>14.0</v>
      </c>
      <c r="B17" s="17" t="s">
        <v>30</v>
      </c>
      <c r="C17" s="12">
        <f>'GANG MASJID 20223'!O17</f>
        <v>65300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>
        <f t="shared" si="1"/>
        <v>65300</v>
      </c>
      <c r="O17" s="13"/>
      <c r="P17" s="13">
        <f t="shared" si="2"/>
        <v>65300</v>
      </c>
      <c r="Q17" s="4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</row>
    <row r="18">
      <c r="A18" s="10">
        <v>15.0</v>
      </c>
      <c r="B18" s="17" t="s">
        <v>31</v>
      </c>
      <c r="C18" s="12">
        <f>'GANG MASJID 20223'!O18</f>
        <v>700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>
        <f t="shared" si="1"/>
        <v>700</v>
      </c>
      <c r="O18" s="14"/>
      <c r="P18" s="13">
        <f t="shared" si="2"/>
        <v>700</v>
      </c>
      <c r="Q18" s="18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</row>
    <row r="19">
      <c r="A19" s="10">
        <v>16.0</v>
      </c>
      <c r="B19" s="17" t="s">
        <v>32</v>
      </c>
      <c r="C19" s="12">
        <f>'GANG MASJID 20223'!O19</f>
        <v>16850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>
        <f t="shared" si="1"/>
        <v>16850</v>
      </c>
      <c r="O19" s="14"/>
      <c r="P19" s="13">
        <f t="shared" si="2"/>
        <v>16850</v>
      </c>
      <c r="Q19" s="1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</row>
    <row r="20">
      <c r="A20" s="10">
        <v>17.0</v>
      </c>
      <c r="B20" s="17" t="s">
        <v>33</v>
      </c>
      <c r="C20" s="12">
        <f>'GANG MASJID 20223'!O20</f>
        <v>6275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>
        <f t="shared" si="1"/>
        <v>6275</v>
      </c>
      <c r="O20" s="13"/>
      <c r="P20" s="13">
        <f t="shared" si="2"/>
        <v>6275</v>
      </c>
      <c r="Q20" s="4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</row>
    <row r="21">
      <c r="A21" s="10">
        <v>18.0</v>
      </c>
      <c r="B21" s="17" t="s">
        <v>34</v>
      </c>
      <c r="C21" s="12">
        <f>'GANG MASJID 20223'!O21</f>
        <v>2500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>
        <f t="shared" si="1"/>
        <v>2500</v>
      </c>
      <c r="O21" s="14"/>
      <c r="P21" s="13">
        <f t="shared" si="2"/>
        <v>2500</v>
      </c>
      <c r="Q21" s="4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</row>
    <row r="22">
      <c r="A22" s="10">
        <v>19.0</v>
      </c>
      <c r="B22" s="17" t="s">
        <v>35</v>
      </c>
      <c r="C22" s="12">
        <f>'GANG MASJID 20223'!O22</f>
        <v>44900</v>
      </c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>
        <f t="shared" si="1"/>
        <v>44900</v>
      </c>
      <c r="O22" s="13"/>
      <c r="P22" s="13">
        <f t="shared" si="2"/>
        <v>44900</v>
      </c>
      <c r="Q22" s="4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</row>
    <row r="23">
      <c r="A23" s="10">
        <v>20.0</v>
      </c>
      <c r="B23" s="17" t="s">
        <v>36</v>
      </c>
      <c r="C23" s="12">
        <f>'GANG MASJID 20223'!O23</f>
        <v>3750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>
        <f t="shared" si="1"/>
        <v>3750</v>
      </c>
      <c r="O23" s="14"/>
      <c r="P23" s="13">
        <f t="shared" si="2"/>
        <v>3750</v>
      </c>
      <c r="Q23" s="4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</row>
    <row r="24">
      <c r="A24" s="10">
        <v>21.0</v>
      </c>
      <c r="B24" s="19" t="s">
        <v>37</v>
      </c>
      <c r="C24" s="12">
        <f>'GANG MASJID 20223'!O24</f>
        <v>0</v>
      </c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>
        <f t="shared" si="1"/>
        <v>0</v>
      </c>
      <c r="O24" s="13"/>
      <c r="P24" s="13">
        <f t="shared" si="2"/>
        <v>0</v>
      </c>
      <c r="Q24" s="4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</row>
    <row r="25">
      <c r="A25" s="20">
        <v>22.0</v>
      </c>
      <c r="B25" s="21" t="s">
        <v>38</v>
      </c>
      <c r="C25" s="22">
        <f>'GANG MASJID 20223'!O25</f>
        <v>199300</v>
      </c>
      <c r="D25" s="22"/>
      <c r="E25" s="22"/>
      <c r="F25" s="22">
        <v>19200.0</v>
      </c>
      <c r="G25" s="22"/>
      <c r="H25" s="22">
        <v>8000.0</v>
      </c>
      <c r="I25" s="22"/>
      <c r="J25" s="22"/>
      <c r="K25" s="22"/>
      <c r="L25" s="22"/>
      <c r="M25" s="22"/>
      <c r="N25" s="22">
        <f t="shared" si="1"/>
        <v>226500</v>
      </c>
      <c r="O25" s="23"/>
      <c r="P25" s="23">
        <f t="shared" si="2"/>
        <v>226500</v>
      </c>
      <c r="Q25" s="24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</row>
    <row r="26">
      <c r="A26" s="10">
        <v>23.0</v>
      </c>
      <c r="B26" s="19" t="s">
        <v>39</v>
      </c>
      <c r="C26" s="12">
        <f>'GANG MASJID 20223'!O26</f>
        <v>0</v>
      </c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>
        <f t="shared" si="1"/>
        <v>0</v>
      </c>
      <c r="O26" s="13"/>
      <c r="P26" s="13">
        <f t="shared" si="2"/>
        <v>0</v>
      </c>
      <c r="Q26" s="4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</row>
    <row r="27">
      <c r="A27" s="10">
        <v>24.0</v>
      </c>
      <c r="B27" s="26" t="s">
        <v>40</v>
      </c>
      <c r="C27" s="12">
        <f>'GANG MASJID 20223'!O27</f>
        <v>4000</v>
      </c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>
        <f t="shared" si="1"/>
        <v>4000</v>
      </c>
      <c r="O27" s="13"/>
      <c r="P27" s="13">
        <f t="shared" si="2"/>
        <v>4000</v>
      </c>
      <c r="Q27" s="4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</row>
    <row r="28">
      <c r="A28" s="10">
        <v>25.0</v>
      </c>
      <c r="B28" s="26" t="s">
        <v>41</v>
      </c>
      <c r="C28" s="12">
        <f>'GANG MASJID 20223'!O28</f>
        <v>0</v>
      </c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>
        <f t="shared" si="1"/>
        <v>0</v>
      </c>
      <c r="O28" s="13"/>
      <c r="P28" s="13">
        <f t="shared" si="2"/>
        <v>0</v>
      </c>
      <c r="Q28" s="4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</row>
    <row r="29">
      <c r="A29" s="10"/>
      <c r="B29" s="19"/>
      <c r="C29" s="12">
        <f>'GANG MASJID 20223'!O29</f>
        <v>0</v>
      </c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>
        <f t="shared" si="1"/>
        <v>0</v>
      </c>
      <c r="O29" s="13"/>
      <c r="P29" s="13">
        <f t="shared" si="2"/>
        <v>0</v>
      </c>
      <c r="Q29" s="4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</row>
    <row r="30">
      <c r="A30" s="5"/>
      <c r="B30" s="27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28">
        <f t="shared" ref="N30:O30" si="3">sum(N4:N29)</f>
        <v>1790375</v>
      </c>
      <c r="O30" s="29">
        <f t="shared" si="3"/>
        <v>0</v>
      </c>
      <c r="P30" s="29">
        <f t="shared" si="2"/>
        <v>1790375</v>
      </c>
      <c r="Q30" s="4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</row>
    <row r="31">
      <c r="A31" s="5"/>
      <c r="B31" s="30" t="s">
        <v>42</v>
      </c>
      <c r="C31" s="31"/>
      <c r="D31" s="31"/>
      <c r="E31" s="5"/>
      <c r="F31" s="31"/>
      <c r="G31" s="31"/>
      <c r="H31" s="31"/>
      <c r="I31" s="31"/>
      <c r="J31" s="31"/>
      <c r="K31" s="31"/>
      <c r="L31" s="31"/>
      <c r="M31" s="31"/>
      <c r="N31" s="5"/>
      <c r="O31" s="2"/>
      <c r="P31" s="3"/>
      <c r="Q31" s="4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</row>
    <row r="32">
      <c r="A32" s="5"/>
      <c r="B32" s="32" t="s">
        <v>43</v>
      </c>
      <c r="C32" s="33">
        <f t="shared" ref="C32:G32" si="4">SUM(C4:C29)</f>
        <v>1514575</v>
      </c>
      <c r="D32" s="33">
        <f t="shared" si="4"/>
        <v>72400</v>
      </c>
      <c r="E32" s="33">
        <f t="shared" si="4"/>
        <v>31900</v>
      </c>
      <c r="F32" s="33">
        <f t="shared" si="4"/>
        <v>115150</v>
      </c>
      <c r="G32" s="33">
        <f t="shared" si="4"/>
        <v>25500</v>
      </c>
      <c r="H32" s="33">
        <f t="shared" ref="H32:M32" si="5">sum(H4:H29)</f>
        <v>30850</v>
      </c>
      <c r="I32" s="33">
        <f t="shared" si="5"/>
        <v>0</v>
      </c>
      <c r="J32" s="33">
        <f t="shared" si="5"/>
        <v>0</v>
      </c>
      <c r="K32" s="33">
        <f t="shared" si="5"/>
        <v>0</v>
      </c>
      <c r="L32" s="33">
        <f t="shared" si="5"/>
        <v>0</v>
      </c>
      <c r="M32" s="33">
        <f t="shared" si="5"/>
        <v>0</v>
      </c>
      <c r="N32" s="34">
        <f>SUM(N4:N29)</f>
        <v>1790375</v>
      </c>
      <c r="O32" s="2"/>
      <c r="P32" s="3"/>
      <c r="Q32" s="4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2"/>
      <c r="P33" s="3"/>
      <c r="Q33" s="4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2"/>
      <c r="P34" s="3"/>
      <c r="Q34" s="4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2"/>
      <c r="P35" s="3"/>
      <c r="Q35" s="4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2"/>
      <c r="P36" s="3"/>
      <c r="Q36" s="4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2"/>
      <c r="P37" s="3"/>
      <c r="Q37" s="4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2"/>
      <c r="P38" s="3"/>
      <c r="Q38" s="4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2"/>
      <c r="P39" s="3"/>
      <c r="Q39" s="4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2"/>
      <c r="P40" s="3"/>
      <c r="Q40" s="4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2"/>
      <c r="P41" s="3"/>
      <c r="Q41" s="4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2"/>
      <c r="P42" s="3"/>
      <c r="Q42" s="4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2"/>
      <c r="P43" s="3"/>
      <c r="Q43" s="4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2"/>
      <c r="P44" s="3"/>
      <c r="Q44" s="4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2"/>
      <c r="P45" s="3"/>
      <c r="Q45" s="4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2"/>
      <c r="P46" s="3"/>
      <c r="Q46" s="4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2"/>
      <c r="P47" s="3"/>
      <c r="Q47" s="4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2"/>
      <c r="P48" s="3"/>
      <c r="Q48" s="4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2"/>
      <c r="P49" s="3"/>
      <c r="Q49" s="4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2"/>
      <c r="P50" s="3"/>
      <c r="Q50" s="4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2"/>
      <c r="P51" s="3"/>
      <c r="Q51" s="4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2"/>
      <c r="P52" s="3"/>
      <c r="Q52" s="4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2"/>
      <c r="P53" s="3"/>
      <c r="Q53" s="4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2"/>
      <c r="P54" s="3"/>
      <c r="Q54" s="4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2"/>
      <c r="P55" s="3"/>
      <c r="Q55" s="4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2"/>
      <c r="P56" s="3"/>
      <c r="Q56" s="4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2"/>
      <c r="P57" s="3"/>
      <c r="Q57" s="4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2"/>
      <c r="P58" s="3"/>
      <c r="Q58" s="4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2"/>
      <c r="P59" s="3"/>
      <c r="Q59" s="4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2"/>
      <c r="P60" s="3"/>
      <c r="Q60" s="4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2"/>
      <c r="P61" s="3"/>
      <c r="Q61" s="4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2"/>
      <c r="P62" s="3"/>
      <c r="Q62" s="4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2"/>
      <c r="P63" s="3"/>
      <c r="Q63" s="4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2"/>
      <c r="P64" s="3"/>
      <c r="Q64" s="4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2"/>
      <c r="P65" s="3"/>
      <c r="Q65" s="4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2"/>
      <c r="P66" s="3"/>
      <c r="Q66" s="4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2"/>
      <c r="P67" s="3"/>
      <c r="Q67" s="4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2"/>
      <c r="P68" s="3"/>
      <c r="Q68" s="4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2"/>
      <c r="P69" s="3"/>
      <c r="Q69" s="4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2"/>
      <c r="P70" s="3"/>
      <c r="Q70" s="4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2"/>
      <c r="P71" s="3"/>
      <c r="Q71" s="4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2"/>
      <c r="P72" s="3"/>
      <c r="Q72" s="4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2"/>
      <c r="P73" s="3"/>
      <c r="Q73" s="4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2"/>
      <c r="P74" s="3"/>
      <c r="Q74" s="4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2"/>
      <c r="P75" s="3"/>
      <c r="Q75" s="4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2"/>
      <c r="P76" s="3"/>
      <c r="Q76" s="4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2"/>
      <c r="P77" s="3"/>
      <c r="Q77" s="4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2"/>
      <c r="P78" s="3"/>
      <c r="Q78" s="4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2"/>
      <c r="P79" s="3"/>
      <c r="Q79" s="4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2"/>
      <c r="P80" s="3"/>
      <c r="Q80" s="4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2"/>
      <c r="P81" s="3"/>
      <c r="Q81" s="4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2"/>
      <c r="P82" s="3"/>
      <c r="Q82" s="4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2"/>
      <c r="P83" s="3"/>
      <c r="Q83" s="4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2"/>
      <c r="P84" s="3"/>
      <c r="Q84" s="4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2"/>
      <c r="P85" s="3"/>
      <c r="Q85" s="4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2"/>
      <c r="P86" s="3"/>
      <c r="Q86" s="4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2"/>
      <c r="P87" s="3"/>
      <c r="Q87" s="4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2"/>
      <c r="P88" s="3"/>
      <c r="Q88" s="4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2"/>
      <c r="P89" s="3"/>
      <c r="Q89" s="4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2"/>
      <c r="P90" s="3"/>
      <c r="Q90" s="4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2"/>
      <c r="P91" s="3"/>
      <c r="Q91" s="4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2"/>
      <c r="P92" s="3"/>
      <c r="Q92" s="4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2"/>
      <c r="P93" s="3"/>
      <c r="Q93" s="4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2"/>
      <c r="P94" s="3"/>
      <c r="Q94" s="4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2"/>
      <c r="P95" s="3"/>
      <c r="Q95" s="4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2"/>
      <c r="P96" s="3"/>
      <c r="Q96" s="4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2"/>
      <c r="P97" s="3"/>
      <c r="Q97" s="4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2"/>
      <c r="P98" s="3"/>
      <c r="Q98" s="4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2"/>
      <c r="P99" s="3"/>
      <c r="Q99" s="4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2"/>
      <c r="P100" s="3"/>
      <c r="Q100" s="4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2"/>
      <c r="P101" s="3"/>
      <c r="Q101" s="4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2"/>
      <c r="P102" s="3"/>
      <c r="Q102" s="4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2"/>
      <c r="P103" s="3"/>
      <c r="Q103" s="4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2"/>
      <c r="P104" s="3"/>
      <c r="Q104" s="4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2"/>
      <c r="P105" s="3"/>
      <c r="Q105" s="4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2"/>
      <c r="P106" s="3"/>
      <c r="Q106" s="4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2"/>
      <c r="P107" s="3"/>
      <c r="Q107" s="4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2"/>
      <c r="P108" s="3"/>
      <c r="Q108" s="4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2"/>
      <c r="P109" s="3"/>
      <c r="Q109" s="4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2"/>
      <c r="P110" s="3"/>
      <c r="Q110" s="4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2"/>
      <c r="P111" s="3"/>
      <c r="Q111" s="4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2"/>
      <c r="P112" s="3"/>
      <c r="Q112" s="4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2"/>
      <c r="P113" s="3"/>
      <c r="Q113" s="4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2"/>
      <c r="P114" s="3"/>
      <c r="Q114" s="4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2"/>
      <c r="P115" s="3"/>
      <c r="Q115" s="4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2"/>
      <c r="P116" s="3"/>
      <c r="Q116" s="4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2"/>
      <c r="P117" s="3"/>
      <c r="Q117" s="4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2"/>
      <c r="P118" s="3"/>
      <c r="Q118" s="4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2"/>
      <c r="P119" s="3"/>
      <c r="Q119" s="4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2"/>
      <c r="P120" s="3"/>
      <c r="Q120" s="4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2"/>
      <c r="P121" s="3"/>
      <c r="Q121" s="4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2"/>
      <c r="P122" s="3"/>
      <c r="Q122" s="4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2"/>
      <c r="P123" s="3"/>
      <c r="Q123" s="4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2"/>
      <c r="P124" s="3"/>
      <c r="Q124" s="4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2"/>
      <c r="P125" s="3"/>
      <c r="Q125" s="4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2"/>
      <c r="P126" s="3"/>
      <c r="Q126" s="4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2"/>
      <c r="P127" s="3"/>
      <c r="Q127" s="4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2"/>
      <c r="P128" s="3"/>
      <c r="Q128" s="4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2"/>
      <c r="P129" s="3"/>
      <c r="Q129" s="4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2"/>
      <c r="P130" s="3"/>
      <c r="Q130" s="4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2"/>
      <c r="P131" s="3"/>
      <c r="Q131" s="4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2"/>
      <c r="P132" s="3"/>
      <c r="Q132" s="4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2"/>
      <c r="P133" s="3"/>
      <c r="Q133" s="4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2"/>
      <c r="P134" s="3"/>
      <c r="Q134" s="4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2"/>
      <c r="P135" s="3"/>
      <c r="Q135" s="4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2"/>
      <c r="P136" s="3"/>
      <c r="Q136" s="4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2"/>
      <c r="P137" s="3"/>
      <c r="Q137" s="4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2"/>
      <c r="P138" s="3"/>
      <c r="Q138" s="4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2"/>
      <c r="P139" s="3"/>
      <c r="Q139" s="4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2"/>
      <c r="P140" s="3"/>
      <c r="Q140" s="4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2"/>
      <c r="P141" s="3"/>
      <c r="Q141" s="4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2"/>
      <c r="P142" s="3"/>
      <c r="Q142" s="4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2"/>
      <c r="P143" s="3"/>
      <c r="Q143" s="4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2"/>
      <c r="P144" s="3"/>
      <c r="Q144" s="4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2"/>
      <c r="P145" s="3"/>
      <c r="Q145" s="4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2"/>
      <c r="P146" s="3"/>
      <c r="Q146" s="4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2"/>
      <c r="P147" s="3"/>
      <c r="Q147" s="4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2"/>
      <c r="P148" s="3"/>
      <c r="Q148" s="4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2"/>
      <c r="P149" s="3"/>
      <c r="Q149" s="4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2"/>
      <c r="P150" s="3"/>
      <c r="Q150" s="4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2"/>
      <c r="P151" s="3"/>
      <c r="Q151" s="4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2"/>
      <c r="P152" s="3"/>
      <c r="Q152" s="4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2"/>
      <c r="P153" s="3"/>
      <c r="Q153" s="4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2"/>
      <c r="P154" s="3"/>
      <c r="Q154" s="4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2"/>
      <c r="P155" s="3"/>
      <c r="Q155" s="4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2"/>
      <c r="P156" s="3"/>
      <c r="Q156" s="4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2"/>
      <c r="P157" s="3"/>
      <c r="Q157" s="4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2"/>
      <c r="P158" s="3"/>
      <c r="Q158" s="4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2"/>
      <c r="P159" s="3"/>
      <c r="Q159" s="4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2"/>
      <c r="P160" s="3"/>
      <c r="Q160" s="4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2"/>
      <c r="P161" s="3"/>
      <c r="Q161" s="4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2"/>
      <c r="P162" s="3"/>
      <c r="Q162" s="4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2"/>
      <c r="P163" s="3"/>
      <c r="Q163" s="4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2"/>
      <c r="P164" s="3"/>
      <c r="Q164" s="4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2"/>
      <c r="P165" s="3"/>
      <c r="Q165" s="4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2"/>
      <c r="P166" s="3"/>
      <c r="Q166" s="4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2"/>
      <c r="P167" s="3"/>
      <c r="Q167" s="4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2"/>
      <c r="P168" s="3"/>
      <c r="Q168" s="4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2"/>
      <c r="P169" s="3"/>
      <c r="Q169" s="4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2"/>
      <c r="P170" s="3"/>
      <c r="Q170" s="4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2"/>
      <c r="P171" s="3"/>
      <c r="Q171" s="4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2"/>
      <c r="P172" s="3"/>
      <c r="Q172" s="4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2"/>
      <c r="P173" s="3"/>
      <c r="Q173" s="4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2"/>
      <c r="P174" s="3"/>
      <c r="Q174" s="4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2"/>
      <c r="P175" s="3"/>
      <c r="Q175" s="4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2"/>
      <c r="P176" s="3"/>
      <c r="Q176" s="4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2"/>
      <c r="P177" s="3"/>
      <c r="Q177" s="4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2"/>
      <c r="P178" s="3"/>
      <c r="Q178" s="4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2"/>
      <c r="P179" s="3"/>
      <c r="Q179" s="4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2"/>
      <c r="P180" s="3"/>
      <c r="Q180" s="4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2"/>
      <c r="P181" s="3"/>
      <c r="Q181" s="4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2"/>
      <c r="P182" s="3"/>
      <c r="Q182" s="4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2"/>
      <c r="P183" s="3"/>
      <c r="Q183" s="4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2"/>
      <c r="P184" s="3"/>
      <c r="Q184" s="4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2"/>
      <c r="P185" s="3"/>
      <c r="Q185" s="4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2"/>
      <c r="P186" s="3"/>
      <c r="Q186" s="4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2"/>
      <c r="P187" s="3"/>
      <c r="Q187" s="4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2"/>
      <c r="P188" s="3"/>
      <c r="Q188" s="4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2"/>
      <c r="P189" s="3"/>
      <c r="Q189" s="4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2"/>
      <c r="P190" s="3"/>
      <c r="Q190" s="4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2"/>
      <c r="P191" s="3"/>
      <c r="Q191" s="4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2"/>
      <c r="P192" s="3"/>
      <c r="Q192" s="4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2"/>
      <c r="P193" s="3"/>
      <c r="Q193" s="4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2"/>
      <c r="P194" s="3"/>
      <c r="Q194" s="4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2"/>
      <c r="P195" s="3"/>
      <c r="Q195" s="4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2"/>
      <c r="P196" s="3"/>
      <c r="Q196" s="4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2"/>
      <c r="P197" s="3"/>
      <c r="Q197" s="4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2"/>
      <c r="P198" s="3"/>
      <c r="Q198" s="4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2"/>
      <c r="P199" s="3"/>
      <c r="Q199" s="4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2"/>
      <c r="P200" s="3"/>
      <c r="Q200" s="4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2"/>
      <c r="P201" s="3"/>
      <c r="Q201" s="4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2"/>
      <c r="P202" s="3"/>
      <c r="Q202" s="4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2"/>
      <c r="P203" s="3"/>
      <c r="Q203" s="4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2"/>
      <c r="P204" s="3"/>
      <c r="Q204" s="4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2"/>
      <c r="P205" s="3"/>
      <c r="Q205" s="4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2"/>
      <c r="P206" s="3"/>
      <c r="Q206" s="4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2"/>
      <c r="P207" s="3"/>
      <c r="Q207" s="4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2"/>
      <c r="P208" s="3"/>
      <c r="Q208" s="4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2"/>
      <c r="P209" s="3"/>
      <c r="Q209" s="4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2"/>
      <c r="P210" s="3"/>
      <c r="Q210" s="4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2"/>
      <c r="P211" s="3"/>
      <c r="Q211" s="4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2"/>
      <c r="P212" s="3"/>
      <c r="Q212" s="4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2"/>
      <c r="P213" s="3"/>
      <c r="Q213" s="4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2"/>
      <c r="P214" s="3"/>
      <c r="Q214" s="4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2"/>
      <c r="P215" s="3"/>
      <c r="Q215" s="4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2"/>
      <c r="P216" s="3"/>
      <c r="Q216" s="4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2"/>
      <c r="P217" s="3"/>
      <c r="Q217" s="4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2"/>
      <c r="P218" s="3"/>
      <c r="Q218" s="4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2"/>
      <c r="P219" s="3"/>
      <c r="Q219" s="4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2"/>
      <c r="P220" s="3"/>
      <c r="Q220" s="4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2"/>
      <c r="P221" s="3"/>
      <c r="Q221" s="4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2"/>
      <c r="P222" s="3"/>
      <c r="Q222" s="4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2"/>
      <c r="P223" s="3"/>
      <c r="Q223" s="4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2"/>
      <c r="P224" s="3"/>
      <c r="Q224" s="4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2"/>
      <c r="P225" s="3"/>
      <c r="Q225" s="4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2"/>
      <c r="P226" s="3"/>
      <c r="Q226" s="4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2"/>
      <c r="P227" s="3"/>
      <c r="Q227" s="4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2"/>
      <c r="P228" s="3"/>
      <c r="Q228" s="4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2"/>
      <c r="P229" s="3"/>
      <c r="Q229" s="4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2"/>
      <c r="P230" s="3"/>
      <c r="Q230" s="4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2"/>
      <c r="P231" s="3"/>
      <c r="Q231" s="4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2"/>
      <c r="P232" s="3"/>
      <c r="Q232" s="4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2"/>
      <c r="P233" s="3"/>
      <c r="Q233" s="4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2"/>
      <c r="P234" s="3"/>
      <c r="Q234" s="4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2"/>
      <c r="P235" s="3"/>
      <c r="Q235" s="4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2"/>
      <c r="P236" s="3"/>
      <c r="Q236" s="4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2"/>
      <c r="P237" s="3"/>
      <c r="Q237" s="4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2"/>
      <c r="P238" s="3"/>
      <c r="Q238" s="4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2"/>
      <c r="P239" s="3"/>
      <c r="Q239" s="4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2"/>
      <c r="P240" s="3"/>
      <c r="Q240" s="4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2"/>
      <c r="P241" s="3"/>
      <c r="Q241" s="4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2"/>
      <c r="P242" s="3"/>
      <c r="Q242" s="4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2"/>
      <c r="P243" s="3"/>
      <c r="Q243" s="4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2"/>
      <c r="P244" s="3"/>
      <c r="Q244" s="4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2"/>
      <c r="P245" s="3"/>
      <c r="Q245" s="4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2"/>
      <c r="P246" s="3"/>
      <c r="Q246" s="4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2"/>
      <c r="P247" s="3"/>
      <c r="Q247" s="4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2"/>
      <c r="P248" s="3"/>
      <c r="Q248" s="4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2"/>
      <c r="P249" s="3"/>
      <c r="Q249" s="4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2"/>
      <c r="P250" s="3"/>
      <c r="Q250" s="4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2"/>
      <c r="P251" s="3"/>
      <c r="Q251" s="4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2"/>
      <c r="P252" s="3"/>
      <c r="Q252" s="4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2"/>
      <c r="P253" s="3"/>
      <c r="Q253" s="4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2"/>
      <c r="P254" s="3"/>
      <c r="Q254" s="4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2"/>
      <c r="P255" s="3"/>
      <c r="Q255" s="4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2"/>
      <c r="P256" s="3"/>
      <c r="Q256" s="4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2"/>
      <c r="P257" s="3"/>
      <c r="Q257" s="4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2"/>
      <c r="P258" s="3"/>
      <c r="Q258" s="4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2"/>
      <c r="P259" s="3"/>
      <c r="Q259" s="4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2"/>
      <c r="P260" s="3"/>
      <c r="Q260" s="4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2"/>
      <c r="P261" s="3"/>
      <c r="Q261" s="4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2"/>
      <c r="P262" s="3"/>
      <c r="Q262" s="4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2"/>
      <c r="P263" s="3"/>
      <c r="Q263" s="4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2"/>
      <c r="P264" s="3"/>
      <c r="Q264" s="4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2"/>
      <c r="P265" s="3"/>
      <c r="Q265" s="4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2"/>
      <c r="P266" s="3"/>
      <c r="Q266" s="4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2"/>
      <c r="P267" s="3"/>
      <c r="Q267" s="4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2"/>
      <c r="P268" s="3"/>
      <c r="Q268" s="4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2"/>
      <c r="P269" s="3"/>
      <c r="Q269" s="4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2"/>
      <c r="P270" s="3"/>
      <c r="Q270" s="4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2"/>
      <c r="P271" s="3"/>
      <c r="Q271" s="4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2"/>
      <c r="P272" s="3"/>
      <c r="Q272" s="4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2"/>
      <c r="P273" s="3"/>
      <c r="Q273" s="4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2"/>
      <c r="P274" s="3"/>
      <c r="Q274" s="4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2"/>
      <c r="P275" s="3"/>
      <c r="Q275" s="4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2"/>
      <c r="P276" s="3"/>
      <c r="Q276" s="4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2"/>
      <c r="P277" s="3"/>
      <c r="Q277" s="4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2"/>
      <c r="P278" s="3"/>
      <c r="Q278" s="4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2"/>
      <c r="P279" s="3"/>
      <c r="Q279" s="4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2"/>
      <c r="P280" s="3"/>
      <c r="Q280" s="4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2"/>
      <c r="P281" s="3"/>
      <c r="Q281" s="4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2"/>
      <c r="P282" s="3"/>
      <c r="Q282" s="4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2"/>
      <c r="P283" s="3"/>
      <c r="Q283" s="4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2"/>
      <c r="P284" s="3"/>
      <c r="Q284" s="4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2"/>
      <c r="P285" s="3"/>
      <c r="Q285" s="4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2"/>
      <c r="P286" s="3"/>
      <c r="Q286" s="4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2"/>
      <c r="P287" s="3"/>
      <c r="Q287" s="4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2"/>
      <c r="P288" s="3"/>
      <c r="Q288" s="4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2"/>
      <c r="P289" s="3"/>
      <c r="Q289" s="4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2"/>
      <c r="P290" s="3"/>
      <c r="Q290" s="4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2"/>
      <c r="P291" s="3"/>
      <c r="Q291" s="4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2"/>
      <c r="P292" s="3"/>
      <c r="Q292" s="4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2"/>
      <c r="P293" s="3"/>
      <c r="Q293" s="4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2"/>
      <c r="P294" s="3"/>
      <c r="Q294" s="4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2"/>
      <c r="P295" s="3"/>
      <c r="Q295" s="4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2"/>
      <c r="P296" s="3"/>
      <c r="Q296" s="4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2"/>
      <c r="P297" s="3"/>
      <c r="Q297" s="4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2"/>
      <c r="P298" s="3"/>
      <c r="Q298" s="4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2"/>
      <c r="P299" s="3"/>
      <c r="Q299" s="4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2"/>
      <c r="P300" s="3"/>
      <c r="Q300" s="4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2"/>
      <c r="P301" s="3"/>
      <c r="Q301" s="4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2"/>
      <c r="P302" s="3"/>
      <c r="Q302" s="4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2"/>
      <c r="P303" s="3"/>
      <c r="Q303" s="4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2"/>
      <c r="P304" s="3"/>
      <c r="Q304" s="4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2"/>
      <c r="P305" s="3"/>
      <c r="Q305" s="4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2"/>
      <c r="P306" s="3"/>
      <c r="Q306" s="4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2"/>
      <c r="P307" s="3"/>
      <c r="Q307" s="4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2"/>
      <c r="P308" s="3"/>
      <c r="Q308" s="4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2"/>
      <c r="P309" s="3"/>
      <c r="Q309" s="4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2"/>
      <c r="P310" s="3"/>
      <c r="Q310" s="4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2"/>
      <c r="P311" s="3"/>
      <c r="Q311" s="4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2"/>
      <c r="P312" s="3"/>
      <c r="Q312" s="4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2"/>
      <c r="P313" s="3"/>
      <c r="Q313" s="4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2"/>
      <c r="P314" s="3"/>
      <c r="Q314" s="4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2"/>
      <c r="P315" s="3"/>
      <c r="Q315" s="4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2"/>
      <c r="P316" s="3"/>
      <c r="Q316" s="4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2"/>
      <c r="P317" s="3"/>
      <c r="Q317" s="4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2"/>
      <c r="P318" s="3"/>
      <c r="Q318" s="4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2"/>
      <c r="P319" s="3"/>
      <c r="Q319" s="4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2"/>
      <c r="P320" s="3"/>
      <c r="Q320" s="4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2"/>
      <c r="P321" s="3"/>
      <c r="Q321" s="4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2"/>
      <c r="P322" s="3"/>
      <c r="Q322" s="4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2"/>
      <c r="P323" s="3"/>
      <c r="Q323" s="4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2"/>
      <c r="P324" s="3"/>
      <c r="Q324" s="4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2"/>
      <c r="P325" s="3"/>
      <c r="Q325" s="4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2"/>
      <c r="P326" s="3"/>
      <c r="Q326" s="4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2"/>
      <c r="P327" s="3"/>
      <c r="Q327" s="4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2"/>
      <c r="P328" s="3"/>
      <c r="Q328" s="4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2"/>
      <c r="P329" s="3"/>
      <c r="Q329" s="4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2"/>
      <c r="P330" s="3"/>
      <c r="Q330" s="4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2"/>
      <c r="P331" s="3"/>
      <c r="Q331" s="4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2"/>
      <c r="P332" s="3"/>
      <c r="Q332" s="4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2"/>
      <c r="P333" s="3"/>
      <c r="Q333" s="4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2"/>
      <c r="P334" s="3"/>
      <c r="Q334" s="4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2"/>
      <c r="P335" s="3"/>
      <c r="Q335" s="4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2"/>
      <c r="P336" s="3"/>
      <c r="Q336" s="4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2"/>
      <c r="P337" s="3"/>
      <c r="Q337" s="4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2"/>
      <c r="P338" s="3"/>
      <c r="Q338" s="4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2"/>
      <c r="P339" s="3"/>
      <c r="Q339" s="4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2"/>
      <c r="P340" s="3"/>
      <c r="Q340" s="4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2"/>
      <c r="P341" s="3"/>
      <c r="Q341" s="4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2"/>
      <c r="P342" s="3"/>
      <c r="Q342" s="4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2"/>
      <c r="P343" s="3"/>
      <c r="Q343" s="4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2"/>
      <c r="P344" s="3"/>
      <c r="Q344" s="4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2"/>
      <c r="P345" s="3"/>
      <c r="Q345" s="4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2"/>
      <c r="P346" s="3"/>
      <c r="Q346" s="4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2"/>
      <c r="P347" s="3"/>
      <c r="Q347" s="4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2"/>
      <c r="P348" s="3"/>
      <c r="Q348" s="4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2"/>
      <c r="P349" s="3"/>
      <c r="Q349" s="4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2"/>
      <c r="P350" s="3"/>
      <c r="Q350" s="4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2"/>
      <c r="P351" s="3"/>
      <c r="Q351" s="4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2"/>
      <c r="P352" s="3"/>
      <c r="Q352" s="4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2"/>
      <c r="P353" s="3"/>
      <c r="Q353" s="4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2"/>
      <c r="P354" s="3"/>
      <c r="Q354" s="4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2"/>
      <c r="P355" s="3"/>
      <c r="Q355" s="4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2"/>
      <c r="P356" s="3"/>
      <c r="Q356" s="4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2"/>
      <c r="P357" s="3"/>
      <c r="Q357" s="4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2"/>
      <c r="P358" s="3"/>
      <c r="Q358" s="4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2"/>
      <c r="P359" s="3"/>
      <c r="Q359" s="4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2"/>
      <c r="P360" s="3"/>
      <c r="Q360" s="4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2"/>
      <c r="P361" s="3"/>
      <c r="Q361" s="4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2"/>
      <c r="P362" s="3"/>
      <c r="Q362" s="4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2"/>
      <c r="P363" s="3"/>
      <c r="Q363" s="4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2"/>
      <c r="P364" s="3"/>
      <c r="Q364" s="4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2"/>
      <c r="P365" s="3"/>
      <c r="Q365" s="4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2"/>
      <c r="P366" s="3"/>
      <c r="Q366" s="4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2"/>
      <c r="P367" s="3"/>
      <c r="Q367" s="4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2"/>
      <c r="P368" s="3"/>
      <c r="Q368" s="4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2"/>
      <c r="P369" s="3"/>
      <c r="Q369" s="4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2"/>
      <c r="P370" s="3"/>
      <c r="Q370" s="4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2"/>
      <c r="P371" s="3"/>
      <c r="Q371" s="4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2"/>
      <c r="P372" s="3"/>
      <c r="Q372" s="4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2"/>
      <c r="P373" s="3"/>
      <c r="Q373" s="4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2"/>
      <c r="P374" s="3"/>
      <c r="Q374" s="4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2"/>
      <c r="P375" s="3"/>
      <c r="Q375" s="4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2"/>
      <c r="P376" s="3"/>
      <c r="Q376" s="4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2"/>
      <c r="P377" s="3"/>
      <c r="Q377" s="4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2"/>
      <c r="P378" s="3"/>
      <c r="Q378" s="4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2"/>
      <c r="P379" s="3"/>
      <c r="Q379" s="4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2"/>
      <c r="P380" s="3"/>
      <c r="Q380" s="4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2"/>
      <c r="P381" s="3"/>
      <c r="Q381" s="4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2"/>
      <c r="P382" s="3"/>
      <c r="Q382" s="4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2"/>
      <c r="P383" s="3"/>
      <c r="Q383" s="4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2"/>
      <c r="P384" s="3"/>
      <c r="Q384" s="4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2"/>
      <c r="P385" s="3"/>
      <c r="Q385" s="4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2"/>
      <c r="P386" s="3"/>
      <c r="Q386" s="4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2"/>
      <c r="P387" s="3"/>
      <c r="Q387" s="4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2"/>
      <c r="P388" s="3"/>
      <c r="Q388" s="4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2"/>
      <c r="P389" s="3"/>
      <c r="Q389" s="4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2"/>
      <c r="P390" s="3"/>
      <c r="Q390" s="4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2"/>
      <c r="P391" s="3"/>
      <c r="Q391" s="4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2"/>
      <c r="P392" s="3"/>
      <c r="Q392" s="4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2"/>
      <c r="P393" s="3"/>
      <c r="Q393" s="4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2"/>
      <c r="P394" s="3"/>
      <c r="Q394" s="4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2"/>
      <c r="P395" s="3"/>
      <c r="Q395" s="4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2"/>
      <c r="P396" s="3"/>
      <c r="Q396" s="4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2"/>
      <c r="P397" s="3"/>
      <c r="Q397" s="4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2"/>
      <c r="P398" s="3"/>
      <c r="Q398" s="4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2"/>
      <c r="P399" s="3"/>
      <c r="Q399" s="4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2"/>
      <c r="P400" s="3"/>
      <c r="Q400" s="4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2"/>
      <c r="P401" s="3"/>
      <c r="Q401" s="4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2"/>
      <c r="P402" s="3"/>
      <c r="Q402" s="4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2"/>
      <c r="P403" s="3"/>
      <c r="Q403" s="4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2"/>
      <c r="P404" s="3"/>
      <c r="Q404" s="4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2"/>
      <c r="P405" s="3"/>
      <c r="Q405" s="4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2"/>
      <c r="P406" s="3"/>
      <c r="Q406" s="4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2"/>
      <c r="P407" s="3"/>
      <c r="Q407" s="4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2"/>
      <c r="P408" s="3"/>
      <c r="Q408" s="4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2"/>
      <c r="P409" s="3"/>
      <c r="Q409" s="4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2"/>
      <c r="P410" s="3"/>
      <c r="Q410" s="4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2"/>
      <c r="P411" s="3"/>
      <c r="Q411" s="4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2"/>
      <c r="P412" s="3"/>
      <c r="Q412" s="4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2"/>
      <c r="P413" s="3"/>
      <c r="Q413" s="4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2"/>
      <c r="P414" s="3"/>
      <c r="Q414" s="4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2"/>
      <c r="P415" s="3"/>
      <c r="Q415" s="4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2"/>
      <c r="P416" s="3"/>
      <c r="Q416" s="4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2"/>
      <c r="P417" s="3"/>
      <c r="Q417" s="4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2"/>
      <c r="P418" s="3"/>
      <c r="Q418" s="4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2"/>
      <c r="P419" s="3"/>
      <c r="Q419" s="4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2"/>
      <c r="P420" s="3"/>
      <c r="Q420" s="4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2"/>
      <c r="P421" s="3"/>
      <c r="Q421" s="4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2"/>
      <c r="P422" s="3"/>
      <c r="Q422" s="4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2"/>
      <c r="P423" s="3"/>
      <c r="Q423" s="4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2"/>
      <c r="P424" s="3"/>
      <c r="Q424" s="4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2"/>
      <c r="P425" s="3"/>
      <c r="Q425" s="4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2"/>
      <c r="P426" s="3"/>
      <c r="Q426" s="4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2"/>
      <c r="P427" s="3"/>
      <c r="Q427" s="4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2"/>
      <c r="P428" s="3"/>
      <c r="Q428" s="4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2"/>
      <c r="P429" s="3"/>
      <c r="Q429" s="4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2"/>
      <c r="P430" s="3"/>
      <c r="Q430" s="4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2"/>
      <c r="P431" s="3"/>
      <c r="Q431" s="4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2"/>
      <c r="P432" s="3"/>
      <c r="Q432" s="4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2"/>
      <c r="P433" s="3"/>
      <c r="Q433" s="4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2"/>
      <c r="P434" s="3"/>
      <c r="Q434" s="4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2"/>
      <c r="P435" s="3"/>
      <c r="Q435" s="4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2"/>
      <c r="P436" s="3"/>
      <c r="Q436" s="4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2"/>
      <c r="P437" s="3"/>
      <c r="Q437" s="4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2"/>
      <c r="P438" s="3"/>
      <c r="Q438" s="4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2"/>
      <c r="P439" s="3"/>
      <c r="Q439" s="4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2"/>
      <c r="P440" s="3"/>
      <c r="Q440" s="4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2"/>
      <c r="P441" s="3"/>
      <c r="Q441" s="4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2"/>
      <c r="P442" s="3"/>
      <c r="Q442" s="4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2"/>
      <c r="P443" s="3"/>
      <c r="Q443" s="4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2"/>
      <c r="P444" s="3"/>
      <c r="Q444" s="4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2"/>
      <c r="P445" s="3"/>
      <c r="Q445" s="4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2"/>
      <c r="P446" s="3"/>
      <c r="Q446" s="4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2"/>
      <c r="P447" s="3"/>
      <c r="Q447" s="4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2"/>
      <c r="P448" s="3"/>
      <c r="Q448" s="4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2"/>
      <c r="P449" s="3"/>
      <c r="Q449" s="4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2"/>
      <c r="P450" s="3"/>
      <c r="Q450" s="4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2"/>
      <c r="P451" s="3"/>
      <c r="Q451" s="4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2"/>
      <c r="P452" s="3"/>
      <c r="Q452" s="4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2"/>
      <c r="P453" s="3"/>
      <c r="Q453" s="4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2"/>
      <c r="P454" s="3"/>
      <c r="Q454" s="4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2"/>
      <c r="P455" s="3"/>
      <c r="Q455" s="4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2"/>
      <c r="P456" s="3"/>
      <c r="Q456" s="4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2"/>
      <c r="P457" s="3"/>
      <c r="Q457" s="4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2"/>
      <c r="P458" s="3"/>
      <c r="Q458" s="4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2"/>
      <c r="P459" s="3"/>
      <c r="Q459" s="4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2"/>
      <c r="P460" s="3"/>
      <c r="Q460" s="4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2"/>
      <c r="P461" s="3"/>
      <c r="Q461" s="4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2"/>
      <c r="P462" s="3"/>
      <c r="Q462" s="4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2"/>
      <c r="P463" s="3"/>
      <c r="Q463" s="4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2"/>
      <c r="P464" s="3"/>
      <c r="Q464" s="4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2"/>
      <c r="P465" s="3"/>
      <c r="Q465" s="4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2"/>
      <c r="P466" s="3"/>
      <c r="Q466" s="4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2"/>
      <c r="P467" s="3"/>
      <c r="Q467" s="4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2"/>
      <c r="P468" s="3"/>
      <c r="Q468" s="4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2"/>
      <c r="P469" s="3"/>
      <c r="Q469" s="4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2"/>
      <c r="P470" s="3"/>
      <c r="Q470" s="4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2"/>
      <c r="P471" s="3"/>
      <c r="Q471" s="4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2"/>
      <c r="P472" s="3"/>
      <c r="Q472" s="4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2"/>
      <c r="P473" s="3"/>
      <c r="Q473" s="4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2"/>
      <c r="P474" s="3"/>
      <c r="Q474" s="4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2"/>
      <c r="P475" s="3"/>
      <c r="Q475" s="4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2"/>
      <c r="P476" s="3"/>
      <c r="Q476" s="4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2"/>
      <c r="P477" s="3"/>
      <c r="Q477" s="4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2"/>
      <c r="P478" s="3"/>
      <c r="Q478" s="4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2"/>
      <c r="P479" s="3"/>
      <c r="Q479" s="4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2"/>
      <c r="P480" s="3"/>
      <c r="Q480" s="4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2"/>
      <c r="P481" s="3"/>
      <c r="Q481" s="4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2"/>
      <c r="P482" s="3"/>
      <c r="Q482" s="4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2"/>
      <c r="P483" s="3"/>
      <c r="Q483" s="4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2"/>
      <c r="P484" s="3"/>
      <c r="Q484" s="4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2"/>
      <c r="P485" s="3"/>
      <c r="Q485" s="4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2"/>
      <c r="P486" s="3"/>
      <c r="Q486" s="4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2"/>
      <c r="P487" s="3"/>
      <c r="Q487" s="4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2"/>
      <c r="P488" s="3"/>
      <c r="Q488" s="4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2"/>
      <c r="P489" s="3"/>
      <c r="Q489" s="4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2"/>
      <c r="P490" s="3"/>
      <c r="Q490" s="4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2"/>
      <c r="P491" s="3"/>
      <c r="Q491" s="4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2"/>
      <c r="P492" s="3"/>
      <c r="Q492" s="4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2"/>
      <c r="P493" s="3"/>
      <c r="Q493" s="4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2"/>
      <c r="P494" s="3"/>
      <c r="Q494" s="4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2"/>
      <c r="P495" s="3"/>
      <c r="Q495" s="4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2"/>
      <c r="P496" s="3"/>
      <c r="Q496" s="4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2"/>
      <c r="P497" s="3"/>
      <c r="Q497" s="4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2"/>
      <c r="P498" s="3"/>
      <c r="Q498" s="4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2"/>
      <c r="P499" s="3"/>
      <c r="Q499" s="4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2"/>
      <c r="P500" s="3"/>
      <c r="Q500" s="4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2"/>
      <c r="P501" s="3"/>
      <c r="Q501" s="4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2"/>
      <c r="P502" s="3"/>
      <c r="Q502" s="4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2"/>
      <c r="P503" s="3"/>
      <c r="Q503" s="4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2"/>
      <c r="P504" s="3"/>
      <c r="Q504" s="4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2"/>
      <c r="P505" s="3"/>
      <c r="Q505" s="4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2"/>
      <c r="P506" s="3"/>
      <c r="Q506" s="4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2"/>
      <c r="P507" s="3"/>
      <c r="Q507" s="4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2"/>
      <c r="P508" s="3"/>
      <c r="Q508" s="4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2"/>
      <c r="P509" s="3"/>
      <c r="Q509" s="4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2"/>
      <c r="P510" s="3"/>
      <c r="Q510" s="4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2"/>
      <c r="P511" s="3"/>
      <c r="Q511" s="4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2"/>
      <c r="P512" s="3"/>
      <c r="Q512" s="4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2"/>
      <c r="P513" s="3"/>
      <c r="Q513" s="4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2"/>
      <c r="P514" s="3"/>
      <c r="Q514" s="4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2"/>
      <c r="P515" s="3"/>
      <c r="Q515" s="4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2"/>
      <c r="P516" s="3"/>
      <c r="Q516" s="4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2"/>
      <c r="P517" s="3"/>
      <c r="Q517" s="4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2"/>
      <c r="P518" s="3"/>
      <c r="Q518" s="4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2"/>
      <c r="P519" s="3"/>
      <c r="Q519" s="4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2"/>
      <c r="P520" s="3"/>
      <c r="Q520" s="4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2"/>
      <c r="P521" s="3"/>
      <c r="Q521" s="4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2"/>
      <c r="P522" s="3"/>
      <c r="Q522" s="4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2"/>
      <c r="P523" s="3"/>
      <c r="Q523" s="4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2"/>
      <c r="P524" s="3"/>
      <c r="Q524" s="4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2"/>
      <c r="P525" s="3"/>
      <c r="Q525" s="4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2"/>
      <c r="P526" s="3"/>
      <c r="Q526" s="4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2"/>
      <c r="P527" s="3"/>
      <c r="Q527" s="4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2"/>
      <c r="P528" s="3"/>
      <c r="Q528" s="4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2"/>
      <c r="P529" s="3"/>
      <c r="Q529" s="4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2"/>
      <c r="P530" s="3"/>
      <c r="Q530" s="4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2"/>
      <c r="P531" s="3"/>
      <c r="Q531" s="4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2"/>
      <c r="P532" s="3"/>
      <c r="Q532" s="4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2"/>
      <c r="P533" s="3"/>
      <c r="Q533" s="4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2"/>
      <c r="P534" s="3"/>
      <c r="Q534" s="4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2"/>
      <c r="P535" s="3"/>
      <c r="Q535" s="4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2"/>
      <c r="P536" s="3"/>
      <c r="Q536" s="4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2"/>
      <c r="P537" s="3"/>
      <c r="Q537" s="4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2"/>
      <c r="P538" s="3"/>
      <c r="Q538" s="4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2"/>
      <c r="P539" s="3"/>
      <c r="Q539" s="4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2"/>
      <c r="P540" s="3"/>
      <c r="Q540" s="4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2"/>
      <c r="P541" s="3"/>
      <c r="Q541" s="4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2"/>
      <c r="P542" s="3"/>
      <c r="Q542" s="4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2"/>
      <c r="P543" s="3"/>
      <c r="Q543" s="4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2"/>
      <c r="P544" s="3"/>
      <c r="Q544" s="4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2"/>
      <c r="P545" s="3"/>
      <c r="Q545" s="4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2"/>
      <c r="P546" s="3"/>
      <c r="Q546" s="4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2"/>
      <c r="P547" s="3"/>
      <c r="Q547" s="4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2"/>
      <c r="P548" s="3"/>
      <c r="Q548" s="4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2"/>
      <c r="P549" s="3"/>
      <c r="Q549" s="4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2"/>
      <c r="P550" s="3"/>
      <c r="Q550" s="4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2"/>
      <c r="P551" s="3"/>
      <c r="Q551" s="4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2"/>
      <c r="P552" s="3"/>
      <c r="Q552" s="4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2"/>
      <c r="P553" s="3"/>
      <c r="Q553" s="4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2"/>
      <c r="P554" s="3"/>
      <c r="Q554" s="4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2"/>
      <c r="P555" s="3"/>
      <c r="Q555" s="4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2"/>
      <c r="P556" s="3"/>
      <c r="Q556" s="4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2"/>
      <c r="P557" s="3"/>
      <c r="Q557" s="4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2"/>
      <c r="P558" s="3"/>
      <c r="Q558" s="4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2"/>
      <c r="P559" s="3"/>
      <c r="Q559" s="4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2"/>
      <c r="P560" s="3"/>
      <c r="Q560" s="4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2"/>
      <c r="P561" s="3"/>
      <c r="Q561" s="4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2"/>
      <c r="P562" s="3"/>
      <c r="Q562" s="4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2"/>
      <c r="P563" s="3"/>
      <c r="Q563" s="4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2"/>
      <c r="P564" s="3"/>
      <c r="Q564" s="4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2"/>
      <c r="P565" s="3"/>
      <c r="Q565" s="4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2"/>
      <c r="P566" s="3"/>
      <c r="Q566" s="4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2"/>
      <c r="P567" s="3"/>
      <c r="Q567" s="4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2"/>
      <c r="P568" s="3"/>
      <c r="Q568" s="4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2"/>
      <c r="P569" s="3"/>
      <c r="Q569" s="4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2"/>
      <c r="P570" s="3"/>
      <c r="Q570" s="4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2"/>
      <c r="P571" s="3"/>
      <c r="Q571" s="4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2"/>
      <c r="P572" s="3"/>
      <c r="Q572" s="4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2"/>
      <c r="P573" s="3"/>
      <c r="Q573" s="4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2"/>
      <c r="P574" s="3"/>
      <c r="Q574" s="4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2"/>
      <c r="P575" s="3"/>
      <c r="Q575" s="4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2"/>
      <c r="P576" s="3"/>
      <c r="Q576" s="4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2"/>
      <c r="P577" s="3"/>
      <c r="Q577" s="4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2"/>
      <c r="P578" s="3"/>
      <c r="Q578" s="4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2"/>
      <c r="P579" s="3"/>
      <c r="Q579" s="4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2"/>
      <c r="P580" s="3"/>
      <c r="Q580" s="4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2"/>
      <c r="P581" s="3"/>
      <c r="Q581" s="4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2"/>
      <c r="P582" s="3"/>
      <c r="Q582" s="4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2"/>
      <c r="P583" s="3"/>
      <c r="Q583" s="4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2"/>
      <c r="P584" s="3"/>
      <c r="Q584" s="4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2"/>
      <c r="P585" s="3"/>
      <c r="Q585" s="4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2"/>
      <c r="P586" s="3"/>
      <c r="Q586" s="4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2"/>
      <c r="P587" s="3"/>
      <c r="Q587" s="4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2"/>
      <c r="P588" s="3"/>
      <c r="Q588" s="4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2"/>
      <c r="P589" s="3"/>
      <c r="Q589" s="4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2"/>
      <c r="P590" s="3"/>
      <c r="Q590" s="4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2"/>
      <c r="P591" s="3"/>
      <c r="Q591" s="4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2"/>
      <c r="P592" s="3"/>
      <c r="Q592" s="4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2"/>
      <c r="P593" s="3"/>
      <c r="Q593" s="4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2"/>
      <c r="P594" s="3"/>
      <c r="Q594" s="4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2"/>
      <c r="P595" s="3"/>
      <c r="Q595" s="4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2"/>
      <c r="P596" s="3"/>
      <c r="Q596" s="4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2"/>
      <c r="P597" s="3"/>
      <c r="Q597" s="4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2"/>
      <c r="P598" s="3"/>
      <c r="Q598" s="4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2"/>
      <c r="P599" s="3"/>
      <c r="Q599" s="4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2"/>
      <c r="P600" s="3"/>
      <c r="Q600" s="4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2"/>
      <c r="P601" s="3"/>
      <c r="Q601" s="4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2"/>
      <c r="P602" s="3"/>
      <c r="Q602" s="4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2"/>
      <c r="P603" s="3"/>
      <c r="Q603" s="4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2"/>
      <c r="P604" s="3"/>
      <c r="Q604" s="4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2"/>
      <c r="P605" s="3"/>
      <c r="Q605" s="4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2"/>
      <c r="P606" s="3"/>
      <c r="Q606" s="4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2"/>
      <c r="P607" s="3"/>
      <c r="Q607" s="4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2"/>
      <c r="P608" s="3"/>
      <c r="Q608" s="4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2"/>
      <c r="P609" s="3"/>
      <c r="Q609" s="4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2"/>
      <c r="P610" s="3"/>
      <c r="Q610" s="4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2"/>
      <c r="P611" s="3"/>
      <c r="Q611" s="4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2"/>
      <c r="P612" s="3"/>
      <c r="Q612" s="4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2"/>
      <c r="P613" s="3"/>
      <c r="Q613" s="4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2"/>
      <c r="P614" s="3"/>
      <c r="Q614" s="4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2"/>
      <c r="P615" s="3"/>
      <c r="Q615" s="4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2"/>
      <c r="P616" s="3"/>
      <c r="Q616" s="4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2"/>
      <c r="P617" s="3"/>
      <c r="Q617" s="4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2"/>
      <c r="P618" s="3"/>
      <c r="Q618" s="4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2"/>
      <c r="P619" s="3"/>
      <c r="Q619" s="4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2"/>
      <c r="P620" s="3"/>
      <c r="Q620" s="4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2"/>
      <c r="P621" s="3"/>
      <c r="Q621" s="4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2"/>
      <c r="P622" s="3"/>
      <c r="Q622" s="4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2"/>
      <c r="P623" s="3"/>
      <c r="Q623" s="4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2"/>
      <c r="P624" s="3"/>
      <c r="Q624" s="4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2"/>
      <c r="P625" s="3"/>
      <c r="Q625" s="4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2"/>
      <c r="P626" s="3"/>
      <c r="Q626" s="4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2"/>
      <c r="P627" s="3"/>
      <c r="Q627" s="4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2"/>
      <c r="P628" s="3"/>
      <c r="Q628" s="4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2"/>
      <c r="P629" s="3"/>
      <c r="Q629" s="4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2"/>
      <c r="P630" s="3"/>
      <c r="Q630" s="4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2"/>
      <c r="P631" s="3"/>
      <c r="Q631" s="4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2"/>
      <c r="P632" s="3"/>
      <c r="Q632" s="4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2"/>
      <c r="P633" s="3"/>
      <c r="Q633" s="4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2"/>
      <c r="P634" s="3"/>
      <c r="Q634" s="4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2"/>
      <c r="P635" s="3"/>
      <c r="Q635" s="4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2"/>
      <c r="P636" s="3"/>
      <c r="Q636" s="4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2"/>
      <c r="P637" s="3"/>
      <c r="Q637" s="4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2"/>
      <c r="P638" s="3"/>
      <c r="Q638" s="4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2"/>
      <c r="P639" s="3"/>
      <c r="Q639" s="4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2"/>
      <c r="P640" s="3"/>
      <c r="Q640" s="4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2"/>
      <c r="P641" s="3"/>
      <c r="Q641" s="4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2"/>
      <c r="P642" s="3"/>
      <c r="Q642" s="4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2"/>
      <c r="P643" s="3"/>
      <c r="Q643" s="4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2"/>
      <c r="P644" s="3"/>
      <c r="Q644" s="4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2"/>
      <c r="P645" s="3"/>
      <c r="Q645" s="4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2"/>
      <c r="P646" s="3"/>
      <c r="Q646" s="4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2"/>
      <c r="P647" s="3"/>
      <c r="Q647" s="4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2"/>
      <c r="P648" s="3"/>
      <c r="Q648" s="4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2"/>
      <c r="P649" s="3"/>
      <c r="Q649" s="4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2"/>
      <c r="P650" s="3"/>
      <c r="Q650" s="4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2"/>
      <c r="P651" s="3"/>
      <c r="Q651" s="4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2"/>
      <c r="P652" s="3"/>
      <c r="Q652" s="4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2"/>
      <c r="P653" s="3"/>
      <c r="Q653" s="4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2"/>
      <c r="P654" s="3"/>
      <c r="Q654" s="4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2"/>
      <c r="P655" s="3"/>
      <c r="Q655" s="4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2"/>
      <c r="P656" s="3"/>
      <c r="Q656" s="4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2"/>
      <c r="P657" s="3"/>
      <c r="Q657" s="4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2"/>
      <c r="P658" s="3"/>
      <c r="Q658" s="4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2"/>
      <c r="P659" s="3"/>
      <c r="Q659" s="4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2"/>
      <c r="P660" s="3"/>
      <c r="Q660" s="4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2"/>
      <c r="P661" s="3"/>
      <c r="Q661" s="4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2"/>
      <c r="P662" s="3"/>
      <c r="Q662" s="4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2"/>
      <c r="P663" s="3"/>
      <c r="Q663" s="4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2"/>
      <c r="P664" s="3"/>
      <c r="Q664" s="4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2"/>
      <c r="P665" s="3"/>
      <c r="Q665" s="4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2"/>
      <c r="P666" s="3"/>
      <c r="Q666" s="4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2"/>
      <c r="P667" s="3"/>
      <c r="Q667" s="4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2"/>
      <c r="P668" s="3"/>
      <c r="Q668" s="4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2"/>
      <c r="P669" s="3"/>
      <c r="Q669" s="4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2"/>
      <c r="P670" s="3"/>
      <c r="Q670" s="4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2"/>
      <c r="P671" s="3"/>
      <c r="Q671" s="4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2"/>
      <c r="P672" s="3"/>
      <c r="Q672" s="4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2"/>
      <c r="P673" s="3"/>
      <c r="Q673" s="4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2"/>
      <c r="P674" s="3"/>
      <c r="Q674" s="4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2"/>
      <c r="P675" s="3"/>
      <c r="Q675" s="4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2"/>
      <c r="P676" s="3"/>
      <c r="Q676" s="4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2"/>
      <c r="P677" s="3"/>
      <c r="Q677" s="4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2"/>
      <c r="P678" s="3"/>
      <c r="Q678" s="4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2"/>
      <c r="P679" s="3"/>
      <c r="Q679" s="4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2"/>
      <c r="P680" s="3"/>
      <c r="Q680" s="4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2"/>
      <c r="P681" s="3"/>
      <c r="Q681" s="4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2"/>
      <c r="P682" s="3"/>
      <c r="Q682" s="4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2"/>
      <c r="P683" s="3"/>
      <c r="Q683" s="4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2"/>
      <c r="P684" s="3"/>
      <c r="Q684" s="4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2"/>
      <c r="P685" s="3"/>
      <c r="Q685" s="4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2"/>
      <c r="P686" s="3"/>
      <c r="Q686" s="4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2"/>
      <c r="P687" s="3"/>
      <c r="Q687" s="4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2"/>
      <c r="P688" s="3"/>
      <c r="Q688" s="4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2"/>
      <c r="P689" s="3"/>
      <c r="Q689" s="4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2"/>
      <c r="P690" s="3"/>
      <c r="Q690" s="4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2"/>
      <c r="P691" s="3"/>
      <c r="Q691" s="4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2"/>
      <c r="P692" s="3"/>
      <c r="Q692" s="4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2"/>
      <c r="P693" s="3"/>
      <c r="Q693" s="4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2"/>
      <c r="P694" s="3"/>
      <c r="Q694" s="4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2"/>
      <c r="P695" s="3"/>
      <c r="Q695" s="4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2"/>
      <c r="P696" s="3"/>
      <c r="Q696" s="4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2"/>
      <c r="P697" s="3"/>
      <c r="Q697" s="4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2"/>
      <c r="P698" s="3"/>
      <c r="Q698" s="4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2"/>
      <c r="P699" s="3"/>
      <c r="Q699" s="4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2"/>
      <c r="P700" s="3"/>
      <c r="Q700" s="4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2"/>
      <c r="P701" s="3"/>
      <c r="Q701" s="4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2"/>
      <c r="P702" s="3"/>
      <c r="Q702" s="4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2"/>
      <c r="P703" s="3"/>
      <c r="Q703" s="4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2"/>
      <c r="P704" s="3"/>
      <c r="Q704" s="4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2"/>
      <c r="P705" s="3"/>
      <c r="Q705" s="4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2"/>
      <c r="P706" s="3"/>
      <c r="Q706" s="4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2"/>
      <c r="P707" s="3"/>
      <c r="Q707" s="4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2"/>
      <c r="P708" s="3"/>
      <c r="Q708" s="4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2"/>
      <c r="P709" s="3"/>
      <c r="Q709" s="4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2"/>
      <c r="P710" s="3"/>
      <c r="Q710" s="4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2"/>
      <c r="P711" s="3"/>
      <c r="Q711" s="4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2"/>
      <c r="P712" s="3"/>
      <c r="Q712" s="4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2"/>
      <c r="P713" s="3"/>
      <c r="Q713" s="4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2"/>
      <c r="P714" s="3"/>
      <c r="Q714" s="4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2"/>
      <c r="P715" s="3"/>
      <c r="Q715" s="4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2"/>
      <c r="P716" s="3"/>
      <c r="Q716" s="4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2"/>
      <c r="P717" s="3"/>
      <c r="Q717" s="4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2"/>
      <c r="P718" s="3"/>
      <c r="Q718" s="4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2"/>
      <c r="P719" s="3"/>
      <c r="Q719" s="4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2"/>
      <c r="P720" s="3"/>
      <c r="Q720" s="4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2"/>
      <c r="P721" s="3"/>
      <c r="Q721" s="4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2"/>
      <c r="P722" s="3"/>
      <c r="Q722" s="4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2"/>
      <c r="P723" s="3"/>
      <c r="Q723" s="4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2"/>
      <c r="P724" s="3"/>
      <c r="Q724" s="4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2"/>
      <c r="P725" s="3"/>
      <c r="Q725" s="4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2"/>
      <c r="P726" s="3"/>
      <c r="Q726" s="4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2"/>
      <c r="P727" s="3"/>
      <c r="Q727" s="4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2"/>
      <c r="P728" s="3"/>
      <c r="Q728" s="4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2"/>
      <c r="P729" s="3"/>
      <c r="Q729" s="4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2"/>
      <c r="P730" s="3"/>
      <c r="Q730" s="4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2"/>
      <c r="P731" s="3"/>
      <c r="Q731" s="4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2"/>
      <c r="P732" s="3"/>
      <c r="Q732" s="4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2"/>
      <c r="P733" s="3"/>
      <c r="Q733" s="4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2"/>
      <c r="P734" s="3"/>
      <c r="Q734" s="4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2"/>
      <c r="P735" s="3"/>
      <c r="Q735" s="4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2"/>
      <c r="P736" s="3"/>
      <c r="Q736" s="4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2"/>
      <c r="P737" s="3"/>
      <c r="Q737" s="4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2"/>
      <c r="P738" s="3"/>
      <c r="Q738" s="4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2"/>
      <c r="P739" s="3"/>
      <c r="Q739" s="4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2"/>
      <c r="P740" s="3"/>
      <c r="Q740" s="4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2"/>
      <c r="P741" s="3"/>
      <c r="Q741" s="4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2"/>
      <c r="P742" s="3"/>
      <c r="Q742" s="4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2"/>
      <c r="P743" s="3"/>
      <c r="Q743" s="4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2"/>
      <c r="P744" s="3"/>
      <c r="Q744" s="4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2"/>
      <c r="P745" s="3"/>
      <c r="Q745" s="4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2"/>
      <c r="P746" s="3"/>
      <c r="Q746" s="4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2"/>
      <c r="P747" s="3"/>
      <c r="Q747" s="4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2"/>
      <c r="P748" s="3"/>
      <c r="Q748" s="4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2"/>
      <c r="P749" s="3"/>
      <c r="Q749" s="4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2"/>
      <c r="P750" s="3"/>
      <c r="Q750" s="4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2"/>
      <c r="P751" s="3"/>
      <c r="Q751" s="4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2"/>
      <c r="P752" s="3"/>
      <c r="Q752" s="4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2"/>
      <c r="P753" s="3"/>
      <c r="Q753" s="4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2"/>
      <c r="P754" s="3"/>
      <c r="Q754" s="4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2"/>
      <c r="P755" s="3"/>
      <c r="Q755" s="4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2"/>
      <c r="P756" s="3"/>
      <c r="Q756" s="4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2"/>
      <c r="P757" s="3"/>
      <c r="Q757" s="4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2"/>
      <c r="P758" s="3"/>
      <c r="Q758" s="4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2"/>
      <c r="P759" s="3"/>
      <c r="Q759" s="4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2"/>
      <c r="P760" s="3"/>
      <c r="Q760" s="4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2"/>
      <c r="P761" s="3"/>
      <c r="Q761" s="4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2"/>
      <c r="P762" s="3"/>
      <c r="Q762" s="4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2"/>
      <c r="P763" s="3"/>
      <c r="Q763" s="4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2"/>
      <c r="P764" s="3"/>
      <c r="Q764" s="4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2"/>
      <c r="P765" s="3"/>
      <c r="Q765" s="4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2"/>
      <c r="P766" s="3"/>
      <c r="Q766" s="4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2"/>
      <c r="P767" s="3"/>
      <c r="Q767" s="4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2"/>
      <c r="P768" s="3"/>
      <c r="Q768" s="4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2"/>
      <c r="P769" s="3"/>
      <c r="Q769" s="4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2"/>
      <c r="P770" s="3"/>
      <c r="Q770" s="4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2"/>
      <c r="P771" s="3"/>
      <c r="Q771" s="4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2"/>
      <c r="P772" s="3"/>
      <c r="Q772" s="4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2"/>
      <c r="P773" s="3"/>
      <c r="Q773" s="4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2"/>
      <c r="P774" s="3"/>
      <c r="Q774" s="4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2"/>
      <c r="P775" s="3"/>
      <c r="Q775" s="4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2"/>
      <c r="P776" s="3"/>
      <c r="Q776" s="4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2"/>
      <c r="P777" s="3"/>
      <c r="Q777" s="4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2"/>
      <c r="P778" s="3"/>
      <c r="Q778" s="4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2"/>
      <c r="P779" s="3"/>
      <c r="Q779" s="4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2"/>
      <c r="P780" s="3"/>
      <c r="Q780" s="4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2"/>
      <c r="P781" s="3"/>
      <c r="Q781" s="4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2"/>
      <c r="P782" s="3"/>
      <c r="Q782" s="4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2"/>
      <c r="P783" s="3"/>
      <c r="Q783" s="4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2"/>
      <c r="P784" s="3"/>
      <c r="Q784" s="4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2"/>
      <c r="P785" s="3"/>
      <c r="Q785" s="4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2"/>
      <c r="P786" s="3"/>
      <c r="Q786" s="4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2"/>
      <c r="P787" s="3"/>
      <c r="Q787" s="4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2"/>
      <c r="P788" s="3"/>
      <c r="Q788" s="4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2"/>
      <c r="P789" s="3"/>
      <c r="Q789" s="4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2"/>
      <c r="P790" s="3"/>
      <c r="Q790" s="4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2"/>
      <c r="P791" s="3"/>
      <c r="Q791" s="4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2"/>
      <c r="P792" s="3"/>
      <c r="Q792" s="4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2"/>
      <c r="P793" s="3"/>
      <c r="Q793" s="4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2"/>
      <c r="P794" s="3"/>
      <c r="Q794" s="4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2"/>
      <c r="P795" s="3"/>
      <c r="Q795" s="4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2"/>
      <c r="P796" s="3"/>
      <c r="Q796" s="4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2"/>
      <c r="P797" s="3"/>
      <c r="Q797" s="4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2"/>
      <c r="P798" s="3"/>
      <c r="Q798" s="4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2"/>
      <c r="P799" s="3"/>
      <c r="Q799" s="4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2"/>
      <c r="P800" s="3"/>
      <c r="Q800" s="4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2"/>
      <c r="P801" s="3"/>
      <c r="Q801" s="4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2"/>
      <c r="P802" s="3"/>
      <c r="Q802" s="4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2"/>
      <c r="P803" s="3"/>
      <c r="Q803" s="4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2"/>
      <c r="P804" s="3"/>
      <c r="Q804" s="4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2"/>
      <c r="P805" s="3"/>
      <c r="Q805" s="4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2"/>
      <c r="P806" s="3"/>
      <c r="Q806" s="4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2"/>
      <c r="P807" s="3"/>
      <c r="Q807" s="4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2"/>
      <c r="P808" s="3"/>
      <c r="Q808" s="4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2"/>
      <c r="P809" s="3"/>
      <c r="Q809" s="4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2"/>
      <c r="P810" s="3"/>
      <c r="Q810" s="4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2"/>
      <c r="P811" s="3"/>
      <c r="Q811" s="4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2"/>
      <c r="P812" s="3"/>
      <c r="Q812" s="4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2"/>
      <c r="P813" s="3"/>
      <c r="Q813" s="4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2"/>
      <c r="P814" s="3"/>
      <c r="Q814" s="4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2"/>
      <c r="P815" s="3"/>
      <c r="Q815" s="4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2"/>
      <c r="P816" s="3"/>
      <c r="Q816" s="4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2"/>
      <c r="P817" s="3"/>
      <c r="Q817" s="4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2"/>
      <c r="P818" s="3"/>
      <c r="Q818" s="4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2"/>
      <c r="P819" s="3"/>
      <c r="Q819" s="4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2"/>
      <c r="P820" s="3"/>
      <c r="Q820" s="4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2"/>
      <c r="P821" s="3"/>
      <c r="Q821" s="4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2"/>
      <c r="P822" s="3"/>
      <c r="Q822" s="4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2"/>
      <c r="P823" s="3"/>
      <c r="Q823" s="4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2"/>
      <c r="P824" s="3"/>
      <c r="Q824" s="4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2"/>
      <c r="P825" s="3"/>
      <c r="Q825" s="4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2"/>
      <c r="P826" s="3"/>
      <c r="Q826" s="4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2"/>
      <c r="P827" s="3"/>
      <c r="Q827" s="4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2"/>
      <c r="P828" s="3"/>
      <c r="Q828" s="4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2"/>
      <c r="P829" s="3"/>
      <c r="Q829" s="4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2"/>
      <c r="P830" s="3"/>
      <c r="Q830" s="4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2"/>
      <c r="P831" s="3"/>
      <c r="Q831" s="4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2"/>
      <c r="P832" s="3"/>
      <c r="Q832" s="4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2"/>
      <c r="P833" s="3"/>
      <c r="Q833" s="4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2"/>
      <c r="P834" s="3"/>
      <c r="Q834" s="4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2"/>
      <c r="P835" s="3"/>
      <c r="Q835" s="4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2"/>
      <c r="P836" s="3"/>
      <c r="Q836" s="4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2"/>
      <c r="P837" s="3"/>
      <c r="Q837" s="4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2"/>
      <c r="P838" s="3"/>
      <c r="Q838" s="4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2"/>
      <c r="P839" s="3"/>
      <c r="Q839" s="4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2"/>
      <c r="P840" s="3"/>
      <c r="Q840" s="4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2"/>
      <c r="P841" s="3"/>
      <c r="Q841" s="4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2"/>
      <c r="P842" s="3"/>
      <c r="Q842" s="4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2"/>
      <c r="P843" s="3"/>
      <c r="Q843" s="4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2"/>
      <c r="P844" s="3"/>
      <c r="Q844" s="4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2"/>
      <c r="P845" s="3"/>
      <c r="Q845" s="4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2"/>
      <c r="P846" s="3"/>
      <c r="Q846" s="4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2"/>
      <c r="P847" s="3"/>
      <c r="Q847" s="4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2"/>
      <c r="P848" s="3"/>
      <c r="Q848" s="4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2"/>
      <c r="P849" s="3"/>
      <c r="Q849" s="4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2"/>
      <c r="P850" s="3"/>
      <c r="Q850" s="4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2"/>
      <c r="P851" s="3"/>
      <c r="Q851" s="4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2"/>
      <c r="P852" s="3"/>
      <c r="Q852" s="4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2"/>
      <c r="P853" s="3"/>
      <c r="Q853" s="4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2"/>
      <c r="P854" s="3"/>
      <c r="Q854" s="4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2"/>
      <c r="P855" s="3"/>
      <c r="Q855" s="4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2"/>
      <c r="P856" s="3"/>
      <c r="Q856" s="4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2"/>
      <c r="P857" s="3"/>
      <c r="Q857" s="4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2"/>
      <c r="P858" s="3"/>
      <c r="Q858" s="4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2"/>
      <c r="P859" s="3"/>
      <c r="Q859" s="4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2"/>
      <c r="P860" s="3"/>
      <c r="Q860" s="4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2"/>
      <c r="P861" s="3"/>
      <c r="Q861" s="4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2"/>
      <c r="P862" s="3"/>
      <c r="Q862" s="4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2"/>
      <c r="P863" s="3"/>
      <c r="Q863" s="4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2"/>
      <c r="P864" s="3"/>
      <c r="Q864" s="4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2"/>
      <c r="P865" s="3"/>
      <c r="Q865" s="4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2"/>
      <c r="P866" s="3"/>
      <c r="Q866" s="4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2"/>
      <c r="P867" s="3"/>
      <c r="Q867" s="4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2"/>
      <c r="P868" s="3"/>
      <c r="Q868" s="4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2"/>
      <c r="P869" s="3"/>
      <c r="Q869" s="4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2"/>
      <c r="P870" s="3"/>
      <c r="Q870" s="4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2"/>
      <c r="P871" s="3"/>
      <c r="Q871" s="4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2"/>
      <c r="P872" s="3"/>
      <c r="Q872" s="4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2"/>
      <c r="P873" s="3"/>
      <c r="Q873" s="4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2"/>
      <c r="P874" s="3"/>
      <c r="Q874" s="4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2"/>
      <c r="P875" s="3"/>
      <c r="Q875" s="4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2"/>
      <c r="P876" s="3"/>
      <c r="Q876" s="4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2"/>
      <c r="P877" s="3"/>
      <c r="Q877" s="4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2"/>
      <c r="P878" s="3"/>
      <c r="Q878" s="4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2"/>
      <c r="P879" s="3"/>
      <c r="Q879" s="4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2"/>
      <c r="P880" s="3"/>
      <c r="Q880" s="4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2"/>
      <c r="P881" s="3"/>
      <c r="Q881" s="4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2"/>
      <c r="P882" s="3"/>
      <c r="Q882" s="4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2"/>
      <c r="P883" s="3"/>
      <c r="Q883" s="4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2"/>
      <c r="P884" s="3"/>
      <c r="Q884" s="4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2"/>
      <c r="P885" s="3"/>
      <c r="Q885" s="4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2"/>
      <c r="P886" s="3"/>
      <c r="Q886" s="4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2"/>
      <c r="P887" s="3"/>
      <c r="Q887" s="4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2"/>
      <c r="P888" s="3"/>
      <c r="Q888" s="4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2"/>
      <c r="P889" s="3"/>
      <c r="Q889" s="4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2"/>
      <c r="P890" s="3"/>
      <c r="Q890" s="4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2"/>
      <c r="P891" s="3"/>
      <c r="Q891" s="4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2"/>
      <c r="P892" s="3"/>
      <c r="Q892" s="4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2"/>
      <c r="P893" s="3"/>
      <c r="Q893" s="4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2"/>
      <c r="P894" s="3"/>
      <c r="Q894" s="4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2"/>
      <c r="P895" s="3"/>
      <c r="Q895" s="4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2"/>
      <c r="P896" s="3"/>
      <c r="Q896" s="4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2"/>
      <c r="P897" s="3"/>
      <c r="Q897" s="4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2"/>
      <c r="P898" s="3"/>
      <c r="Q898" s="4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2"/>
      <c r="P899" s="3"/>
      <c r="Q899" s="4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2"/>
      <c r="P900" s="3"/>
      <c r="Q900" s="4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2"/>
      <c r="P901" s="3"/>
      <c r="Q901" s="4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2"/>
      <c r="P902" s="3"/>
      <c r="Q902" s="4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2"/>
      <c r="P903" s="3"/>
      <c r="Q903" s="4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2"/>
      <c r="P904" s="3"/>
      <c r="Q904" s="4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2"/>
      <c r="P905" s="3"/>
      <c r="Q905" s="4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2"/>
      <c r="P906" s="3"/>
      <c r="Q906" s="4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2"/>
      <c r="P907" s="3"/>
      <c r="Q907" s="4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2"/>
      <c r="P908" s="3"/>
      <c r="Q908" s="4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2"/>
      <c r="P909" s="3"/>
      <c r="Q909" s="4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2"/>
      <c r="P910" s="3"/>
      <c r="Q910" s="4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2"/>
      <c r="P911" s="3"/>
      <c r="Q911" s="4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2"/>
      <c r="P912" s="3"/>
      <c r="Q912" s="4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2"/>
      <c r="P913" s="3"/>
      <c r="Q913" s="4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2"/>
      <c r="P914" s="3"/>
      <c r="Q914" s="4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2"/>
      <c r="P915" s="3"/>
      <c r="Q915" s="4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2"/>
      <c r="P916" s="3"/>
      <c r="Q916" s="4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2"/>
      <c r="P917" s="3"/>
      <c r="Q917" s="4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2"/>
      <c r="P918" s="3"/>
      <c r="Q918" s="4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2"/>
      <c r="P919" s="3"/>
      <c r="Q919" s="4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2"/>
      <c r="P920" s="3"/>
      <c r="Q920" s="4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2"/>
      <c r="P921" s="3"/>
      <c r="Q921" s="4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2"/>
      <c r="P922" s="3"/>
      <c r="Q922" s="4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2"/>
      <c r="P923" s="3"/>
      <c r="Q923" s="4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2"/>
      <c r="P924" s="3"/>
      <c r="Q924" s="4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2"/>
      <c r="P925" s="3"/>
      <c r="Q925" s="4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2"/>
      <c r="P926" s="3"/>
      <c r="Q926" s="4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2"/>
      <c r="P927" s="3"/>
      <c r="Q927" s="4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2"/>
      <c r="P928" s="3"/>
      <c r="Q928" s="4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2"/>
      <c r="P929" s="3"/>
      <c r="Q929" s="4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2"/>
      <c r="P930" s="3"/>
      <c r="Q930" s="4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2"/>
      <c r="P931" s="3"/>
      <c r="Q931" s="4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2"/>
      <c r="P932" s="3"/>
      <c r="Q932" s="4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2"/>
      <c r="P933" s="3"/>
      <c r="Q933" s="4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2"/>
      <c r="P934" s="3"/>
      <c r="Q934" s="4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2"/>
      <c r="P935" s="3"/>
      <c r="Q935" s="4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2"/>
      <c r="P936" s="3"/>
      <c r="Q936" s="4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2"/>
      <c r="P937" s="3"/>
      <c r="Q937" s="4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2"/>
      <c r="P938" s="3"/>
      <c r="Q938" s="4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2"/>
      <c r="P939" s="3"/>
      <c r="Q939" s="4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2"/>
      <c r="P940" s="3"/>
      <c r="Q940" s="4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2"/>
      <c r="P941" s="3"/>
      <c r="Q941" s="4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2"/>
      <c r="P942" s="3"/>
      <c r="Q942" s="4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2"/>
      <c r="P943" s="3"/>
      <c r="Q943" s="4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2"/>
      <c r="P944" s="3"/>
      <c r="Q944" s="4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2"/>
      <c r="P945" s="3"/>
      <c r="Q945" s="4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2"/>
      <c r="P946" s="3"/>
      <c r="Q946" s="4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2"/>
      <c r="P947" s="3"/>
      <c r="Q947" s="4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2"/>
      <c r="P948" s="3"/>
      <c r="Q948" s="4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2"/>
      <c r="P949" s="3"/>
      <c r="Q949" s="4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2"/>
      <c r="P950" s="3"/>
      <c r="Q950" s="4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2"/>
      <c r="P951" s="3"/>
      <c r="Q951" s="4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2"/>
      <c r="P952" s="3"/>
      <c r="Q952" s="4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2"/>
      <c r="P953" s="3"/>
      <c r="Q953" s="4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2"/>
      <c r="P954" s="3"/>
      <c r="Q954" s="4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2"/>
      <c r="P955" s="3"/>
      <c r="Q955" s="4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2"/>
      <c r="P956" s="3"/>
      <c r="Q956" s="4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2"/>
      <c r="P957" s="3"/>
      <c r="Q957" s="4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2"/>
      <c r="P958" s="3"/>
      <c r="Q958" s="4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2"/>
      <c r="P959" s="3"/>
      <c r="Q959" s="4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2"/>
      <c r="P960" s="3"/>
      <c r="Q960" s="4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2"/>
      <c r="P961" s="3"/>
      <c r="Q961" s="4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2"/>
      <c r="P962" s="3"/>
      <c r="Q962" s="4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2"/>
      <c r="P963" s="3"/>
      <c r="Q963" s="4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2"/>
      <c r="P964" s="3"/>
      <c r="Q964" s="4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2"/>
      <c r="P965" s="3"/>
      <c r="Q965" s="4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2"/>
      <c r="P966" s="3"/>
      <c r="Q966" s="4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2"/>
      <c r="P967" s="3"/>
      <c r="Q967" s="4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2"/>
      <c r="P968" s="3"/>
      <c r="Q968" s="4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2"/>
      <c r="P969" s="3"/>
      <c r="Q969" s="4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2"/>
      <c r="P970" s="3"/>
      <c r="Q970" s="4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2"/>
      <c r="P971" s="3"/>
      <c r="Q971" s="4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2"/>
      <c r="P972" s="3"/>
      <c r="Q972" s="4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2"/>
      <c r="P973" s="3"/>
      <c r="Q973" s="4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2"/>
      <c r="P974" s="3"/>
      <c r="Q974" s="4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2"/>
      <c r="P975" s="3"/>
      <c r="Q975" s="4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2"/>
      <c r="P976" s="3"/>
      <c r="Q976" s="4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2"/>
      <c r="P977" s="3"/>
      <c r="Q977" s="4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2"/>
      <c r="P978" s="3"/>
      <c r="Q978" s="4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2"/>
      <c r="P979" s="3"/>
      <c r="Q979" s="4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2"/>
      <c r="P980" s="3"/>
      <c r="Q980" s="4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2"/>
      <c r="P981" s="3"/>
      <c r="Q981" s="4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2"/>
      <c r="P982" s="3"/>
      <c r="Q982" s="4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2"/>
      <c r="P983" s="3"/>
      <c r="Q983" s="4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2"/>
      <c r="P984" s="3"/>
      <c r="Q984" s="4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2"/>
      <c r="P985" s="3"/>
      <c r="Q985" s="4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2"/>
      <c r="P986" s="3"/>
      <c r="Q986" s="4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2"/>
      <c r="P987" s="3"/>
      <c r="Q987" s="4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2"/>
      <c r="P988" s="3"/>
      <c r="Q988" s="4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2"/>
      <c r="P989" s="3"/>
      <c r="Q989" s="4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2"/>
      <c r="P990" s="3"/>
      <c r="Q990" s="4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2"/>
      <c r="P991" s="3"/>
      <c r="Q991" s="4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2"/>
      <c r="P992" s="3"/>
      <c r="Q992" s="4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2"/>
      <c r="P993" s="3"/>
      <c r="Q993" s="4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2"/>
      <c r="P994" s="3"/>
      <c r="Q994" s="4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2"/>
      <c r="P995" s="3"/>
      <c r="Q995" s="4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2"/>
      <c r="P996" s="3"/>
      <c r="Q996" s="4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2"/>
      <c r="P997" s="3"/>
      <c r="Q997" s="4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2"/>
      <c r="P998" s="3"/>
      <c r="Q998" s="4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2"/>
      <c r="P999" s="3"/>
      <c r="Q999" s="4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2"/>
      <c r="P1000" s="3"/>
      <c r="Q1000" s="4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2"/>
      <c r="P1001" s="3"/>
      <c r="Q1001" s="4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2"/>
      <c r="P1002" s="3"/>
      <c r="Q1002" s="4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2"/>
      <c r="P1003" s="3"/>
      <c r="Q1003" s="4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2"/>
      <c r="P1004" s="3"/>
      <c r="Q1004" s="4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2"/>
      <c r="P1005" s="3"/>
      <c r="Q1005" s="4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2"/>
      <c r="P1006" s="3"/>
      <c r="Q1006" s="4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2"/>
      <c r="P1007" s="3"/>
      <c r="Q1007" s="4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2"/>
      <c r="P1008" s="3"/>
      <c r="Q1008" s="4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2"/>
      <c r="P1009" s="3"/>
      <c r="Q1009" s="4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2"/>
      <c r="P1010" s="3"/>
      <c r="Q1010" s="4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2"/>
      <c r="P1011" s="3"/>
      <c r="Q1011" s="4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2"/>
      <c r="P1012" s="3"/>
      <c r="Q1012" s="4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2"/>
      <c r="P1013" s="3"/>
      <c r="Q1013" s="4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5.38"/>
    <col customWidth="1" min="2" max="2" width="24.75"/>
    <col customWidth="1" min="3" max="3" width="15.0"/>
    <col customWidth="1" min="4" max="4" width="10.5"/>
    <col customWidth="1" min="7" max="13" width="14.25"/>
  </cols>
  <sheetData>
    <row r="1">
      <c r="A1" s="1"/>
      <c r="B1" s="1"/>
      <c r="C1" s="1"/>
      <c r="D1" s="1" t="s">
        <v>0</v>
      </c>
      <c r="E1" s="1"/>
      <c r="F1" s="1"/>
      <c r="G1" s="1"/>
      <c r="H1" s="1"/>
      <c r="I1" s="1"/>
      <c r="J1" s="1"/>
      <c r="K1" s="1"/>
      <c r="L1" s="1"/>
      <c r="M1" s="1"/>
      <c r="N1" s="2"/>
      <c r="O1" s="3"/>
      <c r="P1" s="4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2"/>
      <c r="O2" s="3"/>
      <c r="P2" s="4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</row>
    <row r="3">
      <c r="A3" s="6" t="s">
        <v>1</v>
      </c>
      <c r="B3" s="6" t="s">
        <v>2</v>
      </c>
      <c r="C3" s="7" t="s">
        <v>3</v>
      </c>
      <c r="D3" s="7" t="s">
        <v>4</v>
      </c>
      <c r="E3" s="7" t="s">
        <v>44</v>
      </c>
      <c r="F3" s="7" t="s">
        <v>5</v>
      </c>
      <c r="G3" s="7" t="s">
        <v>45</v>
      </c>
      <c r="H3" s="7" t="s">
        <v>6</v>
      </c>
      <c r="I3" s="7" t="s">
        <v>7</v>
      </c>
      <c r="J3" s="7" t="s">
        <v>9</v>
      </c>
      <c r="K3" s="7" t="s">
        <v>46</v>
      </c>
      <c r="L3" s="7" t="s">
        <v>47</v>
      </c>
      <c r="M3" s="6" t="s">
        <v>14</v>
      </c>
      <c r="N3" s="8" t="s">
        <v>15</v>
      </c>
      <c r="O3" s="9" t="s">
        <v>16</v>
      </c>
      <c r="P3" s="4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</row>
    <row r="4">
      <c r="A4" s="10">
        <v>1.0</v>
      </c>
      <c r="B4" s="11" t="s">
        <v>17</v>
      </c>
      <c r="C4" s="12">
        <f>'GANG MASJID'!T4</f>
        <v>64950</v>
      </c>
      <c r="D4" s="12"/>
      <c r="E4" s="12"/>
      <c r="F4" s="12"/>
      <c r="G4" s="12"/>
      <c r="H4" s="12"/>
      <c r="I4" s="12">
        <v>13000.0</v>
      </c>
      <c r="J4" s="12"/>
      <c r="K4" s="12"/>
      <c r="L4" s="12"/>
      <c r="M4" s="12">
        <f t="shared" ref="M4:M29" si="1">SUM(C4:L4)</f>
        <v>77950</v>
      </c>
      <c r="N4" s="13"/>
      <c r="O4" s="13">
        <f t="shared" ref="O4:O30" si="2">M4-N4</f>
        <v>77950</v>
      </c>
      <c r="P4" s="4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</row>
    <row r="5">
      <c r="A5" s="10">
        <v>2.0</v>
      </c>
      <c r="B5" s="11" t="s">
        <v>18</v>
      </c>
      <c r="C5" s="12">
        <f>'GANG MASJID'!T5</f>
        <v>19250</v>
      </c>
      <c r="D5" s="12">
        <v>25750.0</v>
      </c>
      <c r="E5" s="12"/>
      <c r="F5" s="12"/>
      <c r="G5" s="12"/>
      <c r="H5" s="12"/>
      <c r="I5" s="12">
        <v>13000.0</v>
      </c>
      <c r="J5" s="12"/>
      <c r="K5" s="12"/>
      <c r="L5" s="12">
        <v>6450.0</v>
      </c>
      <c r="M5" s="12">
        <f t="shared" si="1"/>
        <v>64450</v>
      </c>
      <c r="N5" s="13"/>
      <c r="O5" s="13">
        <f t="shared" si="2"/>
        <v>64450</v>
      </c>
      <c r="P5" s="4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</row>
    <row r="6">
      <c r="A6" s="10">
        <v>3.0</v>
      </c>
      <c r="B6" s="11" t="s">
        <v>19</v>
      </c>
      <c r="C6" s="12">
        <f>'GANG MASJID'!T6</f>
        <v>86450</v>
      </c>
      <c r="D6" s="12"/>
      <c r="E6" s="12"/>
      <c r="F6" s="12">
        <v>38250.0</v>
      </c>
      <c r="G6" s="12"/>
      <c r="H6" s="12">
        <v>17000.0</v>
      </c>
      <c r="I6" s="12">
        <v>13250.0</v>
      </c>
      <c r="J6" s="12"/>
      <c r="K6" s="12"/>
      <c r="L6" s="12"/>
      <c r="M6" s="12">
        <f t="shared" si="1"/>
        <v>154950</v>
      </c>
      <c r="N6" s="14">
        <v>140000.0</v>
      </c>
      <c r="O6" s="13">
        <f t="shared" si="2"/>
        <v>14950</v>
      </c>
      <c r="P6" s="15">
        <v>45236.0</v>
      </c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</row>
    <row r="7">
      <c r="A7" s="10">
        <v>4.0</v>
      </c>
      <c r="B7" s="11" t="s">
        <v>20</v>
      </c>
      <c r="C7" s="12">
        <f>'GANG MASJID'!T7</f>
        <v>282550</v>
      </c>
      <c r="D7" s="12"/>
      <c r="E7" s="12"/>
      <c r="F7" s="12">
        <v>44000.0</v>
      </c>
      <c r="G7" s="12"/>
      <c r="H7" s="12">
        <v>87400.0</v>
      </c>
      <c r="I7" s="12"/>
      <c r="J7" s="12"/>
      <c r="K7" s="12">
        <v>30150.0</v>
      </c>
      <c r="L7" s="12"/>
      <c r="M7" s="12">
        <f t="shared" si="1"/>
        <v>444100</v>
      </c>
      <c r="N7" s="13"/>
      <c r="O7" s="13">
        <f t="shared" si="2"/>
        <v>444100</v>
      </c>
      <c r="P7" s="4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</row>
    <row r="8">
      <c r="A8" s="10">
        <v>5.0</v>
      </c>
      <c r="B8" s="11" t="s">
        <v>21</v>
      </c>
      <c r="C8" s="12">
        <f>'GANG MASJID'!T8</f>
        <v>27050</v>
      </c>
      <c r="D8" s="12"/>
      <c r="E8" s="12"/>
      <c r="F8" s="12"/>
      <c r="G8" s="12"/>
      <c r="H8" s="12"/>
      <c r="I8" s="12"/>
      <c r="J8" s="12"/>
      <c r="K8" s="12"/>
      <c r="L8" s="12"/>
      <c r="M8" s="12">
        <f t="shared" si="1"/>
        <v>27050</v>
      </c>
      <c r="N8" s="13"/>
      <c r="O8" s="13">
        <f t="shared" si="2"/>
        <v>27050</v>
      </c>
      <c r="P8" s="4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</row>
    <row r="9">
      <c r="A9" s="10">
        <v>6.0</v>
      </c>
      <c r="B9" s="11" t="s">
        <v>22</v>
      </c>
      <c r="C9" s="12">
        <f>'GANG MASJID'!T9</f>
        <v>0</v>
      </c>
      <c r="D9" s="12"/>
      <c r="E9" s="12"/>
      <c r="F9" s="12"/>
      <c r="G9" s="12"/>
      <c r="H9" s="12"/>
      <c r="I9" s="12"/>
      <c r="J9" s="12"/>
      <c r="K9" s="12"/>
      <c r="L9" s="12"/>
      <c r="M9" s="12">
        <f t="shared" si="1"/>
        <v>0</v>
      </c>
      <c r="N9" s="13"/>
      <c r="O9" s="13">
        <f t="shared" si="2"/>
        <v>0</v>
      </c>
      <c r="P9" s="4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</row>
    <row r="10">
      <c r="A10" s="10">
        <v>7.0</v>
      </c>
      <c r="B10" s="11" t="s">
        <v>23</v>
      </c>
      <c r="C10" s="12">
        <f>'GANG MASJID'!T10</f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>
        <f t="shared" si="1"/>
        <v>0</v>
      </c>
      <c r="N10" s="13"/>
      <c r="O10" s="13">
        <f t="shared" si="2"/>
        <v>0</v>
      </c>
      <c r="P10" s="4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</row>
    <row r="11">
      <c r="A11" s="20">
        <v>8.0</v>
      </c>
      <c r="B11" s="35" t="s">
        <v>24</v>
      </c>
      <c r="C11" s="22">
        <f>'GANG MASJID'!T11</f>
        <v>305700</v>
      </c>
      <c r="D11" s="22"/>
      <c r="E11" s="22">
        <v>21850.0</v>
      </c>
      <c r="F11" s="22"/>
      <c r="G11" s="22"/>
      <c r="H11" s="22">
        <v>22000.0</v>
      </c>
      <c r="I11" s="22">
        <v>33850.0</v>
      </c>
      <c r="J11" s="22"/>
      <c r="K11" s="22">
        <v>11750.0</v>
      </c>
      <c r="L11" s="22"/>
      <c r="M11" s="22">
        <f t="shared" si="1"/>
        <v>395150</v>
      </c>
      <c r="N11" s="36">
        <v>300000.0</v>
      </c>
      <c r="O11" s="23">
        <f t="shared" si="2"/>
        <v>95150</v>
      </c>
      <c r="P11" s="37">
        <v>45236.0</v>
      </c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</row>
    <row r="12">
      <c r="A12" s="10">
        <v>9.0</v>
      </c>
      <c r="B12" s="11" t="s">
        <v>25</v>
      </c>
      <c r="C12" s="12">
        <f>'GANG MASJID'!T12</f>
        <v>80200</v>
      </c>
      <c r="D12" s="12"/>
      <c r="E12" s="12"/>
      <c r="F12" s="12"/>
      <c r="G12" s="12"/>
      <c r="H12" s="12">
        <v>11000.0</v>
      </c>
      <c r="I12" s="12"/>
      <c r="J12" s="12"/>
      <c r="K12" s="12">
        <v>7550.0</v>
      </c>
      <c r="L12" s="12">
        <v>9750.0</v>
      </c>
      <c r="M12" s="12">
        <f t="shared" si="1"/>
        <v>108500</v>
      </c>
      <c r="N12" s="13"/>
      <c r="O12" s="13">
        <f t="shared" si="2"/>
        <v>108500</v>
      </c>
      <c r="P12" s="4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</row>
    <row r="13">
      <c r="A13" s="10">
        <v>10.0</v>
      </c>
      <c r="B13" s="11" t="s">
        <v>26</v>
      </c>
      <c r="C13" s="12">
        <f>'GANG MASJID'!T13</f>
        <v>120150</v>
      </c>
      <c r="D13" s="12"/>
      <c r="E13" s="12"/>
      <c r="F13" s="12"/>
      <c r="G13" s="12"/>
      <c r="H13" s="12"/>
      <c r="I13" s="12"/>
      <c r="J13" s="12"/>
      <c r="K13" s="12"/>
      <c r="L13" s="12"/>
      <c r="M13" s="12">
        <f t="shared" si="1"/>
        <v>120150</v>
      </c>
      <c r="N13" s="13"/>
      <c r="O13" s="13">
        <f t="shared" si="2"/>
        <v>120150</v>
      </c>
      <c r="P13" s="4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</row>
    <row r="14">
      <c r="A14" s="10">
        <v>11.0</v>
      </c>
      <c r="B14" s="16" t="s">
        <v>27</v>
      </c>
      <c r="C14" s="12">
        <f>'GANG MASJID'!T14</f>
        <v>7700</v>
      </c>
      <c r="D14" s="12"/>
      <c r="E14" s="12"/>
      <c r="F14" s="12"/>
      <c r="G14" s="12"/>
      <c r="H14" s="12"/>
      <c r="I14" s="12"/>
      <c r="J14" s="12"/>
      <c r="K14" s="12"/>
      <c r="L14" s="12"/>
      <c r="M14" s="12">
        <f t="shared" si="1"/>
        <v>7700</v>
      </c>
      <c r="N14" s="13"/>
      <c r="O14" s="13">
        <f t="shared" si="2"/>
        <v>7700</v>
      </c>
      <c r="P14" s="4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</row>
    <row r="15">
      <c r="A15" s="10">
        <v>12.0</v>
      </c>
      <c r="B15" s="17" t="s">
        <v>28</v>
      </c>
      <c r="C15" s="12">
        <f>'GANG MASJID'!T15</f>
        <v>0</v>
      </c>
      <c r="D15" s="12"/>
      <c r="E15" s="12"/>
      <c r="F15" s="12"/>
      <c r="G15" s="12"/>
      <c r="H15" s="12"/>
      <c r="I15" s="12"/>
      <c r="J15" s="12"/>
      <c r="K15" s="12"/>
      <c r="L15" s="12"/>
      <c r="M15" s="12">
        <f t="shared" si="1"/>
        <v>0</v>
      </c>
      <c r="N15" s="13"/>
      <c r="O15" s="13">
        <f t="shared" si="2"/>
        <v>0</v>
      </c>
      <c r="P15" s="4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</row>
    <row r="16">
      <c r="A16" s="10">
        <v>13.0</v>
      </c>
      <c r="B16" s="17" t="s">
        <v>29</v>
      </c>
      <c r="C16" s="12">
        <f>'GANG MASJID'!T16</f>
        <v>117150</v>
      </c>
      <c r="D16" s="12"/>
      <c r="E16" s="12"/>
      <c r="F16" s="12">
        <v>13500.0</v>
      </c>
      <c r="G16" s="12"/>
      <c r="H16" s="12"/>
      <c r="I16" s="12">
        <v>58100.0</v>
      </c>
      <c r="J16" s="12"/>
      <c r="K16" s="12">
        <v>4750.0</v>
      </c>
      <c r="L16" s="12">
        <v>17500.0</v>
      </c>
      <c r="M16" s="12">
        <f t="shared" si="1"/>
        <v>211000</v>
      </c>
      <c r="N16" s="13"/>
      <c r="O16" s="13">
        <f t="shared" si="2"/>
        <v>211000</v>
      </c>
      <c r="P16" s="4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</row>
    <row r="17">
      <c r="A17" s="10">
        <v>14.0</v>
      </c>
      <c r="B17" s="17" t="s">
        <v>30</v>
      </c>
      <c r="C17" s="12">
        <f>'GANG MASJID'!T17</f>
        <v>65300</v>
      </c>
      <c r="D17" s="12"/>
      <c r="E17" s="12"/>
      <c r="F17" s="12"/>
      <c r="G17" s="12"/>
      <c r="H17" s="12"/>
      <c r="I17" s="12"/>
      <c r="J17" s="12"/>
      <c r="K17" s="12"/>
      <c r="L17" s="12"/>
      <c r="M17" s="12">
        <f t="shared" si="1"/>
        <v>65300</v>
      </c>
      <c r="N17" s="13"/>
      <c r="O17" s="13">
        <f t="shared" si="2"/>
        <v>65300</v>
      </c>
      <c r="P17" s="4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</row>
    <row r="18">
      <c r="A18" s="10">
        <v>15.0</v>
      </c>
      <c r="B18" s="17" t="s">
        <v>31</v>
      </c>
      <c r="C18" s="12">
        <f>'GANG MASJID'!T18</f>
        <v>116700</v>
      </c>
      <c r="D18" s="12"/>
      <c r="E18" s="12"/>
      <c r="F18" s="12"/>
      <c r="G18" s="12"/>
      <c r="H18" s="12"/>
      <c r="I18" s="12"/>
      <c r="J18" s="12">
        <v>6000.0</v>
      </c>
      <c r="K18" s="12"/>
      <c r="L18" s="12"/>
      <c r="M18" s="12">
        <f t="shared" si="1"/>
        <v>122700</v>
      </c>
      <c r="N18" s="14">
        <v>122000.0</v>
      </c>
      <c r="O18" s="13">
        <f t="shared" si="2"/>
        <v>700</v>
      </c>
      <c r="P18" s="18">
        <v>45086.0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</row>
    <row r="19">
      <c r="A19" s="10">
        <v>16.0</v>
      </c>
      <c r="B19" s="17" t="s">
        <v>32</v>
      </c>
      <c r="C19" s="12">
        <f>'GANG MASJID'!T19</f>
        <v>312150</v>
      </c>
      <c r="D19" s="12">
        <v>31250.0</v>
      </c>
      <c r="E19" s="12"/>
      <c r="F19" s="12">
        <v>59950.0</v>
      </c>
      <c r="G19" s="12"/>
      <c r="H19" s="12"/>
      <c r="I19" s="12">
        <v>13500.0</v>
      </c>
      <c r="J19" s="12"/>
      <c r="K19" s="12"/>
      <c r="L19" s="12"/>
      <c r="M19" s="12">
        <f t="shared" si="1"/>
        <v>416850</v>
      </c>
      <c r="N19" s="14">
        <v>400000.0</v>
      </c>
      <c r="O19" s="13">
        <f t="shared" si="2"/>
        <v>16850</v>
      </c>
      <c r="P19" s="15">
        <v>45236.0</v>
      </c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</row>
    <row r="20">
      <c r="A20" s="10">
        <v>17.0</v>
      </c>
      <c r="B20" s="17" t="s">
        <v>33</v>
      </c>
      <c r="C20" s="12">
        <f>'GANG MASJID'!T20</f>
        <v>6275</v>
      </c>
      <c r="D20" s="12"/>
      <c r="E20" s="12"/>
      <c r="F20" s="12"/>
      <c r="G20" s="12"/>
      <c r="H20" s="12"/>
      <c r="I20" s="12"/>
      <c r="J20" s="12"/>
      <c r="K20" s="12"/>
      <c r="L20" s="12"/>
      <c r="M20" s="12">
        <f t="shared" si="1"/>
        <v>6275</v>
      </c>
      <c r="N20" s="13"/>
      <c r="O20" s="13">
        <f t="shared" si="2"/>
        <v>6275</v>
      </c>
      <c r="P20" s="4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</row>
    <row r="21">
      <c r="A21" s="10">
        <v>18.0</v>
      </c>
      <c r="B21" s="17" t="s">
        <v>34</v>
      </c>
      <c r="C21" s="12">
        <f>'GANG MASJID'!T21</f>
        <v>2500</v>
      </c>
      <c r="D21" s="12"/>
      <c r="E21" s="12"/>
      <c r="F21" s="12"/>
      <c r="G21" s="12"/>
      <c r="H21" s="12"/>
      <c r="I21" s="12"/>
      <c r="J21" s="12"/>
      <c r="K21" s="12"/>
      <c r="L21" s="12"/>
      <c r="M21" s="12">
        <f t="shared" si="1"/>
        <v>2500</v>
      </c>
      <c r="N21" s="14"/>
      <c r="O21" s="13">
        <f t="shared" si="2"/>
        <v>2500</v>
      </c>
      <c r="P21" s="4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</row>
    <row r="22">
      <c r="A22" s="10">
        <v>19.0</v>
      </c>
      <c r="B22" s="17" t="s">
        <v>35</v>
      </c>
      <c r="C22" s="12">
        <f>'GANG MASJID'!T22</f>
        <v>44900</v>
      </c>
      <c r="D22" s="12"/>
      <c r="E22" s="12"/>
      <c r="F22" s="12"/>
      <c r="G22" s="12"/>
      <c r="H22" s="12"/>
      <c r="I22" s="12"/>
      <c r="J22" s="12"/>
      <c r="K22" s="12"/>
      <c r="L22" s="12"/>
      <c r="M22" s="12">
        <f t="shared" si="1"/>
        <v>44900</v>
      </c>
      <c r="N22" s="13"/>
      <c r="O22" s="13">
        <f t="shared" si="2"/>
        <v>44900</v>
      </c>
      <c r="P22" s="4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</row>
    <row r="23">
      <c r="A23" s="10">
        <v>20.0</v>
      </c>
      <c r="B23" s="17" t="s">
        <v>36</v>
      </c>
      <c r="C23" s="12">
        <f>'GANG MASJID'!T23</f>
        <v>3750</v>
      </c>
      <c r="D23" s="12"/>
      <c r="E23" s="12"/>
      <c r="F23" s="12"/>
      <c r="G23" s="12"/>
      <c r="H23" s="12"/>
      <c r="I23" s="12"/>
      <c r="J23" s="12"/>
      <c r="K23" s="12"/>
      <c r="L23" s="12"/>
      <c r="M23" s="12">
        <f t="shared" si="1"/>
        <v>3750</v>
      </c>
      <c r="N23" s="14"/>
      <c r="O23" s="13">
        <f t="shared" si="2"/>
        <v>3750</v>
      </c>
      <c r="P23" s="4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</row>
    <row r="24">
      <c r="A24" s="10">
        <v>21.0</v>
      </c>
      <c r="B24" s="19" t="s">
        <v>37</v>
      </c>
      <c r="C24" s="12">
        <f>'GANG MASJID'!T24</f>
        <v>0</v>
      </c>
      <c r="D24" s="12"/>
      <c r="E24" s="12"/>
      <c r="F24" s="12"/>
      <c r="G24" s="12"/>
      <c r="H24" s="12"/>
      <c r="I24" s="12"/>
      <c r="J24" s="12"/>
      <c r="K24" s="12"/>
      <c r="L24" s="12"/>
      <c r="M24" s="12">
        <f t="shared" si="1"/>
        <v>0</v>
      </c>
      <c r="N24" s="13"/>
      <c r="O24" s="13">
        <f t="shared" si="2"/>
        <v>0</v>
      </c>
      <c r="P24" s="4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</row>
    <row r="25">
      <c r="A25" s="20">
        <v>22.0</v>
      </c>
      <c r="B25" s="21" t="s">
        <v>38</v>
      </c>
      <c r="C25" s="22">
        <f>'GANG MASJID'!T25</f>
        <v>123300</v>
      </c>
      <c r="D25" s="22">
        <v>13000.0</v>
      </c>
      <c r="E25" s="22"/>
      <c r="F25" s="22">
        <v>14500.0</v>
      </c>
      <c r="G25" s="22"/>
      <c r="H25" s="22">
        <v>13750.0</v>
      </c>
      <c r="I25" s="22"/>
      <c r="J25" s="22">
        <v>34750.0</v>
      </c>
      <c r="K25" s="22"/>
      <c r="L25" s="22"/>
      <c r="M25" s="22">
        <f t="shared" si="1"/>
        <v>199300</v>
      </c>
      <c r="N25" s="23"/>
      <c r="O25" s="23">
        <f t="shared" si="2"/>
        <v>199300</v>
      </c>
      <c r="P25" s="24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</row>
    <row r="26">
      <c r="A26" s="10">
        <v>23.0</v>
      </c>
      <c r="B26" s="19" t="s">
        <v>39</v>
      </c>
      <c r="C26" s="12">
        <f>'GANG MASJID'!T26</f>
        <v>0</v>
      </c>
      <c r="D26" s="12"/>
      <c r="E26" s="12"/>
      <c r="F26" s="12"/>
      <c r="G26" s="12"/>
      <c r="H26" s="12"/>
      <c r="I26" s="12"/>
      <c r="J26" s="12"/>
      <c r="K26" s="12"/>
      <c r="L26" s="12"/>
      <c r="M26" s="12">
        <f t="shared" si="1"/>
        <v>0</v>
      </c>
      <c r="N26" s="13"/>
      <c r="O26" s="13">
        <f t="shared" si="2"/>
        <v>0</v>
      </c>
      <c r="P26" s="4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</row>
    <row r="27">
      <c r="A27" s="10">
        <v>24.0</v>
      </c>
      <c r="B27" s="26" t="s">
        <v>40</v>
      </c>
      <c r="C27" s="12">
        <f>'GANG MASJID'!T27</f>
        <v>4000</v>
      </c>
      <c r="D27" s="12"/>
      <c r="E27" s="12"/>
      <c r="F27" s="12"/>
      <c r="G27" s="12"/>
      <c r="H27" s="12"/>
      <c r="I27" s="12"/>
      <c r="J27" s="12"/>
      <c r="K27" s="12"/>
      <c r="L27" s="12"/>
      <c r="M27" s="12">
        <f t="shared" si="1"/>
        <v>4000</v>
      </c>
      <c r="N27" s="13"/>
      <c r="O27" s="13">
        <f t="shared" si="2"/>
        <v>4000</v>
      </c>
      <c r="P27" s="4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</row>
    <row r="28">
      <c r="A28" s="10">
        <v>25.0</v>
      </c>
      <c r="B28" s="26" t="s">
        <v>41</v>
      </c>
      <c r="C28" s="12">
        <f>'GANG MASJID'!T28</f>
        <v>0</v>
      </c>
      <c r="D28" s="12"/>
      <c r="E28" s="12"/>
      <c r="F28" s="12"/>
      <c r="G28" s="12"/>
      <c r="H28" s="12"/>
      <c r="I28" s="12"/>
      <c r="J28" s="12"/>
      <c r="K28" s="12"/>
      <c r="L28" s="12"/>
      <c r="M28" s="12">
        <f t="shared" si="1"/>
        <v>0</v>
      </c>
      <c r="N28" s="13"/>
      <c r="O28" s="13">
        <f t="shared" si="2"/>
        <v>0</v>
      </c>
      <c r="P28" s="4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</row>
    <row r="29">
      <c r="A29" s="10"/>
      <c r="B29" s="19"/>
      <c r="C29" s="12">
        <f>'GANG MASJID'!T29</f>
        <v>0</v>
      </c>
      <c r="D29" s="12"/>
      <c r="E29" s="12"/>
      <c r="F29" s="12"/>
      <c r="G29" s="12"/>
      <c r="H29" s="12"/>
      <c r="I29" s="12"/>
      <c r="J29" s="12"/>
      <c r="K29" s="12"/>
      <c r="L29" s="12"/>
      <c r="M29" s="12">
        <f t="shared" si="1"/>
        <v>0</v>
      </c>
      <c r="N29" s="13"/>
      <c r="O29" s="13">
        <f t="shared" si="2"/>
        <v>0</v>
      </c>
      <c r="P29" s="4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</row>
    <row r="30">
      <c r="A30" s="5"/>
      <c r="B30" s="27"/>
      <c r="C30" s="5"/>
      <c r="D30" s="5"/>
      <c r="E30" s="5"/>
      <c r="F30" s="5"/>
      <c r="G30" s="5"/>
      <c r="H30" s="5"/>
      <c r="I30" s="5"/>
      <c r="J30" s="5"/>
      <c r="K30" s="5"/>
      <c r="L30" s="5"/>
      <c r="M30" s="28">
        <f t="shared" ref="M30:N30" si="3">sum(M4:M29)</f>
        <v>2476575</v>
      </c>
      <c r="N30" s="29">
        <f t="shared" si="3"/>
        <v>962000</v>
      </c>
      <c r="O30" s="29">
        <f t="shared" si="2"/>
        <v>1514575</v>
      </c>
      <c r="P30" s="4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</row>
    <row r="31">
      <c r="A31" s="5"/>
      <c r="B31" s="30" t="s">
        <v>42</v>
      </c>
      <c r="C31" s="31"/>
      <c r="D31" s="31"/>
      <c r="E31" s="31"/>
      <c r="F31" s="5"/>
      <c r="G31" s="31"/>
      <c r="H31" s="31"/>
      <c r="I31" s="31"/>
      <c r="J31" s="31"/>
      <c r="K31" s="31"/>
      <c r="L31" s="31"/>
      <c r="M31" s="5"/>
      <c r="N31" s="2"/>
      <c r="O31" s="3"/>
      <c r="P31" s="4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</row>
    <row r="32">
      <c r="A32" s="5"/>
      <c r="B32" s="32" t="s">
        <v>43</v>
      </c>
      <c r="C32" s="33">
        <f t="shared" ref="C32:I32" si="4">SUM(C4:C29)</f>
        <v>1790025</v>
      </c>
      <c r="D32" s="33">
        <f t="shared" si="4"/>
        <v>70000</v>
      </c>
      <c r="E32" s="33">
        <f t="shared" si="4"/>
        <v>21850</v>
      </c>
      <c r="F32" s="33">
        <f t="shared" si="4"/>
        <v>170200</v>
      </c>
      <c r="G32" s="33">
        <f t="shared" si="4"/>
        <v>0</v>
      </c>
      <c r="H32" s="33">
        <f t="shared" si="4"/>
        <v>151150</v>
      </c>
      <c r="I32" s="33">
        <f t="shared" si="4"/>
        <v>144700</v>
      </c>
      <c r="J32" s="5"/>
      <c r="K32" s="5"/>
      <c r="L32" s="5"/>
      <c r="M32" s="34">
        <f>SUM(M4:M29)</f>
        <v>2476575</v>
      </c>
      <c r="N32" s="2"/>
      <c r="O32" s="3"/>
      <c r="P32" s="4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2"/>
      <c r="O33" s="3"/>
      <c r="P33" s="4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2"/>
      <c r="O34" s="3"/>
      <c r="P34" s="4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2"/>
      <c r="O35" s="3"/>
      <c r="P35" s="4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2"/>
      <c r="O36" s="3"/>
      <c r="P36" s="4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2"/>
      <c r="O37" s="3"/>
      <c r="P37" s="4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2"/>
      <c r="O38" s="3"/>
      <c r="P38" s="4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2"/>
      <c r="O39" s="3"/>
      <c r="P39" s="4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2"/>
      <c r="O40" s="3"/>
      <c r="P40" s="4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2"/>
      <c r="O41" s="3"/>
      <c r="P41" s="4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2"/>
      <c r="O42" s="3"/>
      <c r="P42" s="4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2"/>
      <c r="O43" s="3"/>
      <c r="P43" s="4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2"/>
      <c r="O44" s="3"/>
      <c r="P44" s="4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2"/>
      <c r="O45" s="3"/>
      <c r="P45" s="4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2"/>
      <c r="O46" s="3"/>
      <c r="P46" s="4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2"/>
      <c r="O47" s="3"/>
      <c r="P47" s="4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2"/>
      <c r="O48" s="3"/>
      <c r="P48" s="4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2"/>
      <c r="O49" s="3"/>
      <c r="P49" s="4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2"/>
      <c r="O50" s="3"/>
      <c r="P50" s="4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2"/>
      <c r="O51" s="3"/>
      <c r="P51" s="4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2"/>
      <c r="O52" s="3"/>
      <c r="P52" s="4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2"/>
      <c r="O53" s="3"/>
      <c r="P53" s="4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2"/>
      <c r="O54" s="3"/>
      <c r="P54" s="4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2"/>
      <c r="O55" s="3"/>
      <c r="P55" s="4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2"/>
      <c r="O56" s="3"/>
      <c r="P56" s="4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2"/>
      <c r="O57" s="3"/>
      <c r="P57" s="4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2"/>
      <c r="O58" s="3"/>
      <c r="P58" s="4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2"/>
      <c r="O59" s="3"/>
      <c r="P59" s="4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2"/>
      <c r="O60" s="3"/>
      <c r="P60" s="4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2"/>
      <c r="O61" s="3"/>
      <c r="P61" s="4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2"/>
      <c r="O62" s="3"/>
      <c r="P62" s="4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2"/>
      <c r="O63" s="3"/>
      <c r="P63" s="4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2"/>
      <c r="O64" s="3"/>
      <c r="P64" s="4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2"/>
      <c r="O65" s="3"/>
      <c r="P65" s="4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2"/>
      <c r="O66" s="3"/>
      <c r="P66" s="4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2"/>
      <c r="O67" s="3"/>
      <c r="P67" s="4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2"/>
      <c r="O68" s="3"/>
      <c r="P68" s="4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2"/>
      <c r="O69" s="3"/>
      <c r="P69" s="4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2"/>
      <c r="O70" s="3"/>
      <c r="P70" s="4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2"/>
      <c r="O71" s="3"/>
      <c r="P71" s="4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2"/>
      <c r="O72" s="3"/>
      <c r="P72" s="4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2"/>
      <c r="O73" s="3"/>
      <c r="P73" s="4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2"/>
      <c r="O74" s="3"/>
      <c r="P74" s="4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2"/>
      <c r="O75" s="3"/>
      <c r="P75" s="4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2"/>
      <c r="O76" s="3"/>
      <c r="P76" s="4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2"/>
      <c r="O77" s="3"/>
      <c r="P77" s="4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2"/>
      <c r="O78" s="3"/>
      <c r="P78" s="4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2"/>
      <c r="O79" s="3"/>
      <c r="P79" s="4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2"/>
      <c r="O80" s="3"/>
      <c r="P80" s="4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2"/>
      <c r="O81" s="3"/>
      <c r="P81" s="4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2"/>
      <c r="O82" s="3"/>
      <c r="P82" s="4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2"/>
      <c r="O83" s="3"/>
      <c r="P83" s="4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2"/>
      <c r="O84" s="3"/>
      <c r="P84" s="4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2"/>
      <c r="O85" s="3"/>
      <c r="P85" s="4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2"/>
      <c r="O86" s="3"/>
      <c r="P86" s="4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2"/>
      <c r="O87" s="3"/>
      <c r="P87" s="4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2"/>
      <c r="O88" s="3"/>
      <c r="P88" s="4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2"/>
      <c r="O89" s="3"/>
      <c r="P89" s="4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2"/>
      <c r="O90" s="3"/>
      <c r="P90" s="4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2"/>
      <c r="O91" s="3"/>
      <c r="P91" s="4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2"/>
      <c r="O92" s="3"/>
      <c r="P92" s="4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2"/>
      <c r="O93" s="3"/>
      <c r="P93" s="4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2"/>
      <c r="O94" s="3"/>
      <c r="P94" s="4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2"/>
      <c r="O95" s="3"/>
      <c r="P95" s="4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2"/>
      <c r="O96" s="3"/>
      <c r="P96" s="4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2"/>
      <c r="O97" s="3"/>
      <c r="P97" s="4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2"/>
      <c r="O98" s="3"/>
      <c r="P98" s="4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2"/>
      <c r="O99" s="3"/>
      <c r="P99" s="4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2"/>
      <c r="O100" s="3"/>
      <c r="P100" s="4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2"/>
      <c r="O101" s="3"/>
      <c r="P101" s="4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2"/>
      <c r="O102" s="3"/>
      <c r="P102" s="4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2"/>
      <c r="O103" s="3"/>
      <c r="P103" s="4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2"/>
      <c r="O104" s="3"/>
      <c r="P104" s="4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2"/>
      <c r="O105" s="3"/>
      <c r="P105" s="4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2"/>
      <c r="O106" s="3"/>
      <c r="P106" s="4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2"/>
      <c r="O107" s="3"/>
      <c r="P107" s="4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2"/>
      <c r="O108" s="3"/>
      <c r="P108" s="4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2"/>
      <c r="O109" s="3"/>
      <c r="P109" s="4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2"/>
      <c r="O110" s="3"/>
      <c r="P110" s="4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2"/>
      <c r="O111" s="3"/>
      <c r="P111" s="4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2"/>
      <c r="O112" s="3"/>
      <c r="P112" s="4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2"/>
      <c r="O113" s="3"/>
      <c r="P113" s="4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2"/>
      <c r="O114" s="3"/>
      <c r="P114" s="4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2"/>
      <c r="O115" s="3"/>
      <c r="P115" s="4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2"/>
      <c r="O116" s="3"/>
      <c r="P116" s="4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2"/>
      <c r="O117" s="3"/>
      <c r="P117" s="4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2"/>
      <c r="O118" s="3"/>
      <c r="P118" s="4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2"/>
      <c r="O119" s="3"/>
      <c r="P119" s="4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2"/>
      <c r="O120" s="3"/>
      <c r="P120" s="4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2"/>
      <c r="O121" s="3"/>
      <c r="P121" s="4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2"/>
      <c r="O122" s="3"/>
      <c r="P122" s="4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2"/>
      <c r="O123" s="3"/>
      <c r="P123" s="4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2"/>
      <c r="O124" s="3"/>
      <c r="P124" s="4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2"/>
      <c r="O125" s="3"/>
      <c r="P125" s="4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2"/>
      <c r="O126" s="3"/>
      <c r="P126" s="4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2"/>
      <c r="O127" s="3"/>
      <c r="P127" s="4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2"/>
      <c r="O128" s="3"/>
      <c r="P128" s="4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2"/>
      <c r="O129" s="3"/>
      <c r="P129" s="4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2"/>
      <c r="O130" s="3"/>
      <c r="P130" s="4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2"/>
      <c r="O131" s="3"/>
      <c r="P131" s="4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2"/>
      <c r="O132" s="3"/>
      <c r="P132" s="4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2"/>
      <c r="O133" s="3"/>
      <c r="P133" s="4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2"/>
      <c r="O134" s="3"/>
      <c r="P134" s="4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2"/>
      <c r="O135" s="3"/>
      <c r="P135" s="4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2"/>
      <c r="O136" s="3"/>
      <c r="P136" s="4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2"/>
      <c r="O137" s="3"/>
      <c r="P137" s="4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2"/>
      <c r="O138" s="3"/>
      <c r="P138" s="4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2"/>
      <c r="O139" s="3"/>
      <c r="P139" s="4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2"/>
      <c r="O140" s="3"/>
      <c r="P140" s="4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2"/>
      <c r="O141" s="3"/>
      <c r="P141" s="4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2"/>
      <c r="O142" s="3"/>
      <c r="P142" s="4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2"/>
      <c r="O143" s="3"/>
      <c r="P143" s="4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2"/>
      <c r="O144" s="3"/>
      <c r="P144" s="4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2"/>
      <c r="O145" s="3"/>
      <c r="P145" s="4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2"/>
      <c r="O146" s="3"/>
      <c r="P146" s="4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2"/>
      <c r="O147" s="3"/>
      <c r="P147" s="4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2"/>
      <c r="O148" s="3"/>
      <c r="P148" s="4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2"/>
      <c r="O149" s="3"/>
      <c r="P149" s="4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2"/>
      <c r="O150" s="3"/>
      <c r="P150" s="4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2"/>
      <c r="O151" s="3"/>
      <c r="P151" s="4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2"/>
      <c r="O152" s="3"/>
      <c r="P152" s="4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2"/>
      <c r="O153" s="3"/>
      <c r="P153" s="4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2"/>
      <c r="O154" s="3"/>
      <c r="P154" s="4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2"/>
      <c r="O155" s="3"/>
      <c r="P155" s="4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2"/>
      <c r="O156" s="3"/>
      <c r="P156" s="4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2"/>
      <c r="O157" s="3"/>
      <c r="P157" s="4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2"/>
      <c r="O158" s="3"/>
      <c r="P158" s="4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2"/>
      <c r="O159" s="3"/>
      <c r="P159" s="4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2"/>
      <c r="O160" s="3"/>
      <c r="P160" s="4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2"/>
      <c r="O161" s="3"/>
      <c r="P161" s="4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2"/>
      <c r="O162" s="3"/>
      <c r="P162" s="4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2"/>
      <c r="O163" s="3"/>
      <c r="P163" s="4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2"/>
      <c r="O164" s="3"/>
      <c r="P164" s="4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2"/>
      <c r="O165" s="3"/>
      <c r="P165" s="4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2"/>
      <c r="O166" s="3"/>
      <c r="P166" s="4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2"/>
      <c r="O167" s="3"/>
      <c r="P167" s="4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2"/>
      <c r="O168" s="3"/>
      <c r="P168" s="4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2"/>
      <c r="O169" s="3"/>
      <c r="P169" s="4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2"/>
      <c r="O170" s="3"/>
      <c r="P170" s="4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2"/>
      <c r="O171" s="3"/>
      <c r="P171" s="4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2"/>
      <c r="O172" s="3"/>
      <c r="P172" s="4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2"/>
      <c r="O173" s="3"/>
      <c r="P173" s="4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2"/>
      <c r="O174" s="3"/>
      <c r="P174" s="4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2"/>
      <c r="O175" s="3"/>
      <c r="P175" s="4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2"/>
      <c r="O176" s="3"/>
      <c r="P176" s="4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2"/>
      <c r="O177" s="3"/>
      <c r="P177" s="4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2"/>
      <c r="O178" s="3"/>
      <c r="P178" s="4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2"/>
      <c r="O179" s="3"/>
      <c r="P179" s="4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2"/>
      <c r="O180" s="3"/>
      <c r="P180" s="4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2"/>
      <c r="O181" s="3"/>
      <c r="P181" s="4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2"/>
      <c r="O182" s="3"/>
      <c r="P182" s="4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2"/>
      <c r="O183" s="3"/>
      <c r="P183" s="4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2"/>
      <c r="O184" s="3"/>
      <c r="P184" s="4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2"/>
      <c r="O185" s="3"/>
      <c r="P185" s="4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2"/>
      <c r="O186" s="3"/>
      <c r="P186" s="4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2"/>
      <c r="O187" s="3"/>
      <c r="P187" s="4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2"/>
      <c r="O188" s="3"/>
      <c r="P188" s="4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2"/>
      <c r="O189" s="3"/>
      <c r="P189" s="4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2"/>
      <c r="O190" s="3"/>
      <c r="P190" s="4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2"/>
      <c r="O191" s="3"/>
      <c r="P191" s="4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2"/>
      <c r="O192" s="3"/>
      <c r="P192" s="4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2"/>
      <c r="O193" s="3"/>
      <c r="P193" s="4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2"/>
      <c r="O194" s="3"/>
      <c r="P194" s="4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2"/>
      <c r="O195" s="3"/>
      <c r="P195" s="4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2"/>
      <c r="O196" s="3"/>
      <c r="P196" s="4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2"/>
      <c r="O197" s="3"/>
      <c r="P197" s="4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2"/>
      <c r="O198" s="3"/>
      <c r="P198" s="4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2"/>
      <c r="O199" s="3"/>
      <c r="P199" s="4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2"/>
      <c r="O200" s="3"/>
      <c r="P200" s="4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2"/>
      <c r="O201" s="3"/>
      <c r="P201" s="4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2"/>
      <c r="O202" s="3"/>
      <c r="P202" s="4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2"/>
      <c r="O203" s="3"/>
      <c r="P203" s="4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2"/>
      <c r="O204" s="3"/>
      <c r="P204" s="4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2"/>
      <c r="O205" s="3"/>
      <c r="P205" s="4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2"/>
      <c r="O206" s="3"/>
      <c r="P206" s="4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2"/>
      <c r="O207" s="3"/>
      <c r="P207" s="4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2"/>
      <c r="O208" s="3"/>
      <c r="P208" s="4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2"/>
      <c r="O209" s="3"/>
      <c r="P209" s="4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2"/>
      <c r="O210" s="3"/>
      <c r="P210" s="4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2"/>
      <c r="O211" s="3"/>
      <c r="P211" s="4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2"/>
      <c r="O212" s="3"/>
      <c r="P212" s="4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2"/>
      <c r="O213" s="3"/>
      <c r="P213" s="4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2"/>
      <c r="O214" s="3"/>
      <c r="P214" s="4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2"/>
      <c r="O215" s="3"/>
      <c r="P215" s="4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2"/>
      <c r="O216" s="3"/>
      <c r="P216" s="4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2"/>
      <c r="O217" s="3"/>
      <c r="P217" s="4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2"/>
      <c r="O218" s="3"/>
      <c r="P218" s="4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2"/>
      <c r="O219" s="3"/>
      <c r="P219" s="4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2"/>
      <c r="O220" s="3"/>
      <c r="P220" s="4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2"/>
      <c r="O221" s="3"/>
      <c r="P221" s="4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2"/>
      <c r="O222" s="3"/>
      <c r="P222" s="4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2"/>
      <c r="O223" s="3"/>
      <c r="P223" s="4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2"/>
      <c r="O224" s="3"/>
      <c r="P224" s="4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2"/>
      <c r="O225" s="3"/>
      <c r="P225" s="4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2"/>
      <c r="O226" s="3"/>
      <c r="P226" s="4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2"/>
      <c r="O227" s="3"/>
      <c r="P227" s="4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2"/>
      <c r="O228" s="3"/>
      <c r="P228" s="4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2"/>
      <c r="O229" s="3"/>
      <c r="P229" s="4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2"/>
      <c r="O230" s="3"/>
      <c r="P230" s="4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2"/>
      <c r="O231" s="3"/>
      <c r="P231" s="4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2"/>
      <c r="O232" s="3"/>
      <c r="P232" s="4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2"/>
      <c r="O233" s="3"/>
      <c r="P233" s="4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2"/>
      <c r="O234" s="3"/>
      <c r="P234" s="4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2"/>
      <c r="O235" s="3"/>
      <c r="P235" s="4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2"/>
      <c r="O236" s="3"/>
      <c r="P236" s="4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2"/>
      <c r="O237" s="3"/>
      <c r="P237" s="4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2"/>
      <c r="O238" s="3"/>
      <c r="P238" s="4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2"/>
      <c r="O239" s="3"/>
      <c r="P239" s="4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2"/>
      <c r="O240" s="3"/>
      <c r="P240" s="4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2"/>
      <c r="O241" s="3"/>
      <c r="P241" s="4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2"/>
      <c r="O242" s="3"/>
      <c r="P242" s="4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2"/>
      <c r="O243" s="3"/>
      <c r="P243" s="4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2"/>
      <c r="O244" s="3"/>
      <c r="P244" s="4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2"/>
      <c r="O245" s="3"/>
      <c r="P245" s="4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2"/>
      <c r="O246" s="3"/>
      <c r="P246" s="4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2"/>
      <c r="O247" s="3"/>
      <c r="P247" s="4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2"/>
      <c r="O248" s="3"/>
      <c r="P248" s="4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2"/>
      <c r="O249" s="3"/>
      <c r="P249" s="4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2"/>
      <c r="O250" s="3"/>
      <c r="P250" s="4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2"/>
      <c r="O251" s="3"/>
      <c r="P251" s="4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2"/>
      <c r="O252" s="3"/>
      <c r="P252" s="4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2"/>
      <c r="O253" s="3"/>
      <c r="P253" s="4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2"/>
      <c r="O254" s="3"/>
      <c r="P254" s="4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2"/>
      <c r="O255" s="3"/>
      <c r="P255" s="4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2"/>
      <c r="O256" s="3"/>
      <c r="P256" s="4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2"/>
      <c r="O257" s="3"/>
      <c r="P257" s="4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2"/>
      <c r="O258" s="3"/>
      <c r="P258" s="4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2"/>
      <c r="O259" s="3"/>
      <c r="P259" s="4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2"/>
      <c r="O260" s="3"/>
      <c r="P260" s="4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2"/>
      <c r="O261" s="3"/>
      <c r="P261" s="4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2"/>
      <c r="O262" s="3"/>
      <c r="P262" s="4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2"/>
      <c r="O263" s="3"/>
      <c r="P263" s="4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2"/>
      <c r="O264" s="3"/>
      <c r="P264" s="4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2"/>
      <c r="O265" s="3"/>
      <c r="P265" s="4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2"/>
      <c r="O266" s="3"/>
      <c r="P266" s="4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2"/>
      <c r="O267" s="3"/>
      <c r="P267" s="4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2"/>
      <c r="O268" s="3"/>
      <c r="P268" s="4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2"/>
      <c r="O269" s="3"/>
      <c r="P269" s="4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2"/>
      <c r="O270" s="3"/>
      <c r="P270" s="4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2"/>
      <c r="O271" s="3"/>
      <c r="P271" s="4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2"/>
      <c r="O272" s="3"/>
      <c r="P272" s="4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2"/>
      <c r="O273" s="3"/>
      <c r="P273" s="4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2"/>
      <c r="O274" s="3"/>
      <c r="P274" s="4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2"/>
      <c r="O275" s="3"/>
      <c r="P275" s="4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2"/>
      <c r="O276" s="3"/>
      <c r="P276" s="4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2"/>
      <c r="O277" s="3"/>
      <c r="P277" s="4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2"/>
      <c r="O278" s="3"/>
      <c r="P278" s="4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2"/>
      <c r="O279" s="3"/>
      <c r="P279" s="4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2"/>
      <c r="O280" s="3"/>
      <c r="P280" s="4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2"/>
      <c r="O281" s="3"/>
      <c r="P281" s="4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2"/>
      <c r="O282" s="3"/>
      <c r="P282" s="4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2"/>
      <c r="O283" s="3"/>
      <c r="P283" s="4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2"/>
      <c r="O284" s="3"/>
      <c r="P284" s="4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2"/>
      <c r="O285" s="3"/>
      <c r="P285" s="4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2"/>
      <c r="O286" s="3"/>
      <c r="P286" s="4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2"/>
      <c r="O287" s="3"/>
      <c r="P287" s="4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2"/>
      <c r="O288" s="3"/>
      <c r="P288" s="4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2"/>
      <c r="O289" s="3"/>
      <c r="P289" s="4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2"/>
      <c r="O290" s="3"/>
      <c r="P290" s="4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2"/>
      <c r="O291" s="3"/>
      <c r="P291" s="4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2"/>
      <c r="O292" s="3"/>
      <c r="P292" s="4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2"/>
      <c r="O293" s="3"/>
      <c r="P293" s="4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2"/>
      <c r="O294" s="3"/>
      <c r="P294" s="4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2"/>
      <c r="O295" s="3"/>
      <c r="P295" s="4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2"/>
      <c r="O296" s="3"/>
      <c r="P296" s="4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2"/>
      <c r="O297" s="3"/>
      <c r="P297" s="4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2"/>
      <c r="O298" s="3"/>
      <c r="P298" s="4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2"/>
      <c r="O299" s="3"/>
      <c r="P299" s="4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2"/>
      <c r="O300" s="3"/>
      <c r="P300" s="4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2"/>
      <c r="O301" s="3"/>
      <c r="P301" s="4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2"/>
      <c r="O302" s="3"/>
      <c r="P302" s="4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2"/>
      <c r="O303" s="3"/>
      <c r="P303" s="4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2"/>
      <c r="O304" s="3"/>
      <c r="P304" s="4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2"/>
      <c r="O305" s="3"/>
      <c r="P305" s="4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2"/>
      <c r="O306" s="3"/>
      <c r="P306" s="4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2"/>
      <c r="O307" s="3"/>
      <c r="P307" s="4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2"/>
      <c r="O308" s="3"/>
      <c r="P308" s="4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2"/>
      <c r="O309" s="3"/>
      <c r="P309" s="4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2"/>
      <c r="O310" s="3"/>
      <c r="P310" s="4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2"/>
      <c r="O311" s="3"/>
      <c r="P311" s="4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2"/>
      <c r="O312" s="3"/>
      <c r="P312" s="4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2"/>
      <c r="O313" s="3"/>
      <c r="P313" s="4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2"/>
      <c r="O314" s="3"/>
      <c r="P314" s="4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2"/>
      <c r="O315" s="3"/>
      <c r="P315" s="4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2"/>
      <c r="O316" s="3"/>
      <c r="P316" s="4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2"/>
      <c r="O317" s="3"/>
      <c r="P317" s="4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2"/>
      <c r="O318" s="3"/>
      <c r="P318" s="4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2"/>
      <c r="O319" s="3"/>
      <c r="P319" s="4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2"/>
      <c r="O320" s="3"/>
      <c r="P320" s="4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2"/>
      <c r="O321" s="3"/>
      <c r="P321" s="4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2"/>
      <c r="O322" s="3"/>
      <c r="P322" s="4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2"/>
      <c r="O323" s="3"/>
      <c r="P323" s="4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2"/>
      <c r="O324" s="3"/>
      <c r="P324" s="4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2"/>
      <c r="O325" s="3"/>
      <c r="P325" s="4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2"/>
      <c r="O326" s="3"/>
      <c r="P326" s="4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2"/>
      <c r="O327" s="3"/>
      <c r="P327" s="4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2"/>
      <c r="O328" s="3"/>
      <c r="P328" s="4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2"/>
      <c r="O329" s="3"/>
      <c r="P329" s="4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2"/>
      <c r="O330" s="3"/>
      <c r="P330" s="4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2"/>
      <c r="O331" s="3"/>
      <c r="P331" s="4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2"/>
      <c r="O332" s="3"/>
      <c r="P332" s="4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2"/>
      <c r="O333" s="3"/>
      <c r="P333" s="4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2"/>
      <c r="O334" s="3"/>
      <c r="P334" s="4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2"/>
      <c r="O335" s="3"/>
      <c r="P335" s="4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2"/>
      <c r="O336" s="3"/>
      <c r="P336" s="4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2"/>
      <c r="O337" s="3"/>
      <c r="P337" s="4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2"/>
      <c r="O338" s="3"/>
      <c r="P338" s="4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2"/>
      <c r="O339" s="3"/>
      <c r="P339" s="4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2"/>
      <c r="O340" s="3"/>
      <c r="P340" s="4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2"/>
      <c r="O341" s="3"/>
      <c r="P341" s="4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2"/>
      <c r="O342" s="3"/>
      <c r="P342" s="4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2"/>
      <c r="O343" s="3"/>
      <c r="P343" s="4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2"/>
      <c r="O344" s="3"/>
      <c r="P344" s="4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2"/>
      <c r="O345" s="3"/>
      <c r="P345" s="4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2"/>
      <c r="O346" s="3"/>
      <c r="P346" s="4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2"/>
      <c r="O347" s="3"/>
      <c r="P347" s="4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2"/>
      <c r="O348" s="3"/>
      <c r="P348" s="4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2"/>
      <c r="O349" s="3"/>
      <c r="P349" s="4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2"/>
      <c r="O350" s="3"/>
      <c r="P350" s="4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2"/>
      <c r="O351" s="3"/>
      <c r="P351" s="4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2"/>
      <c r="O352" s="3"/>
      <c r="P352" s="4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2"/>
      <c r="O353" s="3"/>
      <c r="P353" s="4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2"/>
      <c r="O354" s="3"/>
      <c r="P354" s="4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2"/>
      <c r="O355" s="3"/>
      <c r="P355" s="4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2"/>
      <c r="O356" s="3"/>
      <c r="P356" s="4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2"/>
      <c r="O357" s="3"/>
      <c r="P357" s="4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2"/>
      <c r="O358" s="3"/>
      <c r="P358" s="4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2"/>
      <c r="O359" s="3"/>
      <c r="P359" s="4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2"/>
      <c r="O360" s="3"/>
      <c r="P360" s="4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2"/>
      <c r="O361" s="3"/>
      <c r="P361" s="4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2"/>
      <c r="O362" s="3"/>
      <c r="P362" s="4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2"/>
      <c r="O363" s="3"/>
      <c r="P363" s="4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2"/>
      <c r="O364" s="3"/>
      <c r="P364" s="4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2"/>
      <c r="O365" s="3"/>
      <c r="P365" s="4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2"/>
      <c r="O366" s="3"/>
      <c r="P366" s="4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2"/>
      <c r="O367" s="3"/>
      <c r="P367" s="4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2"/>
      <c r="O368" s="3"/>
      <c r="P368" s="4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2"/>
      <c r="O369" s="3"/>
      <c r="P369" s="4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2"/>
      <c r="O370" s="3"/>
      <c r="P370" s="4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2"/>
      <c r="O371" s="3"/>
      <c r="P371" s="4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2"/>
      <c r="O372" s="3"/>
      <c r="P372" s="4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2"/>
      <c r="O373" s="3"/>
      <c r="P373" s="4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2"/>
      <c r="O374" s="3"/>
      <c r="P374" s="4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2"/>
      <c r="O375" s="3"/>
      <c r="P375" s="4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2"/>
      <c r="O376" s="3"/>
      <c r="P376" s="4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2"/>
      <c r="O377" s="3"/>
      <c r="P377" s="4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2"/>
      <c r="O378" s="3"/>
      <c r="P378" s="4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2"/>
      <c r="O379" s="3"/>
      <c r="P379" s="4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2"/>
      <c r="O380" s="3"/>
      <c r="P380" s="4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2"/>
      <c r="O381" s="3"/>
      <c r="P381" s="4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2"/>
      <c r="O382" s="3"/>
      <c r="P382" s="4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2"/>
      <c r="O383" s="3"/>
      <c r="P383" s="4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2"/>
      <c r="O384" s="3"/>
      <c r="P384" s="4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2"/>
      <c r="O385" s="3"/>
      <c r="P385" s="4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2"/>
      <c r="O386" s="3"/>
      <c r="P386" s="4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2"/>
      <c r="O387" s="3"/>
      <c r="P387" s="4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2"/>
      <c r="O388" s="3"/>
      <c r="P388" s="4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2"/>
      <c r="O389" s="3"/>
      <c r="P389" s="4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2"/>
      <c r="O390" s="3"/>
      <c r="P390" s="4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2"/>
      <c r="O391" s="3"/>
      <c r="P391" s="4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2"/>
      <c r="O392" s="3"/>
      <c r="P392" s="4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2"/>
      <c r="O393" s="3"/>
      <c r="P393" s="4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2"/>
      <c r="O394" s="3"/>
      <c r="P394" s="4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2"/>
      <c r="O395" s="3"/>
      <c r="P395" s="4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2"/>
      <c r="O396" s="3"/>
      <c r="P396" s="4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2"/>
      <c r="O397" s="3"/>
      <c r="P397" s="4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2"/>
      <c r="O398" s="3"/>
      <c r="P398" s="4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2"/>
      <c r="O399" s="3"/>
      <c r="P399" s="4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2"/>
      <c r="O400" s="3"/>
      <c r="P400" s="4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2"/>
      <c r="O401" s="3"/>
      <c r="P401" s="4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2"/>
      <c r="O402" s="3"/>
      <c r="P402" s="4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2"/>
      <c r="O403" s="3"/>
      <c r="P403" s="4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2"/>
      <c r="O404" s="3"/>
      <c r="P404" s="4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2"/>
      <c r="O405" s="3"/>
      <c r="P405" s="4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2"/>
      <c r="O406" s="3"/>
      <c r="P406" s="4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2"/>
      <c r="O407" s="3"/>
      <c r="P407" s="4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2"/>
      <c r="O408" s="3"/>
      <c r="P408" s="4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2"/>
      <c r="O409" s="3"/>
      <c r="P409" s="4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2"/>
      <c r="O410" s="3"/>
      <c r="P410" s="4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2"/>
      <c r="O411" s="3"/>
      <c r="P411" s="4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2"/>
      <c r="O412" s="3"/>
      <c r="P412" s="4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2"/>
      <c r="O413" s="3"/>
      <c r="P413" s="4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2"/>
      <c r="O414" s="3"/>
      <c r="P414" s="4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2"/>
      <c r="O415" s="3"/>
      <c r="P415" s="4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2"/>
      <c r="O416" s="3"/>
      <c r="P416" s="4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2"/>
      <c r="O417" s="3"/>
      <c r="P417" s="4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2"/>
      <c r="O418" s="3"/>
      <c r="P418" s="4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2"/>
      <c r="O419" s="3"/>
      <c r="P419" s="4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2"/>
      <c r="O420" s="3"/>
      <c r="P420" s="4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2"/>
      <c r="O421" s="3"/>
      <c r="P421" s="4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2"/>
      <c r="O422" s="3"/>
      <c r="P422" s="4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2"/>
      <c r="O423" s="3"/>
      <c r="P423" s="4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2"/>
      <c r="O424" s="3"/>
      <c r="P424" s="4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2"/>
      <c r="O425" s="3"/>
      <c r="P425" s="4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2"/>
      <c r="O426" s="3"/>
      <c r="P426" s="4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2"/>
      <c r="O427" s="3"/>
      <c r="P427" s="4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2"/>
      <c r="O428" s="3"/>
      <c r="P428" s="4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2"/>
      <c r="O429" s="3"/>
      <c r="P429" s="4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2"/>
      <c r="O430" s="3"/>
      <c r="P430" s="4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2"/>
      <c r="O431" s="3"/>
      <c r="P431" s="4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2"/>
      <c r="O432" s="3"/>
      <c r="P432" s="4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2"/>
      <c r="O433" s="3"/>
      <c r="P433" s="4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2"/>
      <c r="O434" s="3"/>
      <c r="P434" s="4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2"/>
      <c r="O435" s="3"/>
      <c r="P435" s="4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2"/>
      <c r="O436" s="3"/>
      <c r="P436" s="4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2"/>
      <c r="O437" s="3"/>
      <c r="P437" s="4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2"/>
      <c r="O438" s="3"/>
      <c r="P438" s="4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2"/>
      <c r="O439" s="3"/>
      <c r="P439" s="4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2"/>
      <c r="O440" s="3"/>
      <c r="P440" s="4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2"/>
      <c r="O441" s="3"/>
      <c r="P441" s="4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2"/>
      <c r="O442" s="3"/>
      <c r="P442" s="4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2"/>
      <c r="O443" s="3"/>
      <c r="P443" s="4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2"/>
      <c r="O444" s="3"/>
      <c r="P444" s="4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2"/>
      <c r="O445" s="3"/>
      <c r="P445" s="4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2"/>
      <c r="O446" s="3"/>
      <c r="P446" s="4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2"/>
      <c r="O447" s="3"/>
      <c r="P447" s="4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2"/>
      <c r="O448" s="3"/>
      <c r="P448" s="4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2"/>
      <c r="O449" s="3"/>
      <c r="P449" s="4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2"/>
      <c r="O450" s="3"/>
      <c r="P450" s="4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2"/>
      <c r="O451" s="3"/>
      <c r="P451" s="4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2"/>
      <c r="O452" s="3"/>
      <c r="P452" s="4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2"/>
      <c r="O453" s="3"/>
      <c r="P453" s="4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2"/>
      <c r="O454" s="3"/>
      <c r="P454" s="4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2"/>
      <c r="O455" s="3"/>
      <c r="P455" s="4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2"/>
      <c r="O456" s="3"/>
      <c r="P456" s="4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2"/>
      <c r="O457" s="3"/>
      <c r="P457" s="4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2"/>
      <c r="O458" s="3"/>
      <c r="P458" s="4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2"/>
      <c r="O459" s="3"/>
      <c r="P459" s="4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2"/>
      <c r="O460" s="3"/>
      <c r="P460" s="4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2"/>
      <c r="O461" s="3"/>
      <c r="P461" s="4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2"/>
      <c r="O462" s="3"/>
      <c r="P462" s="4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2"/>
      <c r="O463" s="3"/>
      <c r="P463" s="4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2"/>
      <c r="O464" s="3"/>
      <c r="P464" s="4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2"/>
      <c r="O465" s="3"/>
      <c r="P465" s="4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2"/>
      <c r="O466" s="3"/>
      <c r="P466" s="4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2"/>
      <c r="O467" s="3"/>
      <c r="P467" s="4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2"/>
      <c r="O468" s="3"/>
      <c r="P468" s="4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2"/>
      <c r="O469" s="3"/>
      <c r="P469" s="4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2"/>
      <c r="O470" s="3"/>
      <c r="P470" s="4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2"/>
      <c r="O471" s="3"/>
      <c r="P471" s="4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2"/>
      <c r="O472" s="3"/>
      <c r="P472" s="4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2"/>
      <c r="O473" s="3"/>
      <c r="P473" s="4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2"/>
      <c r="O474" s="3"/>
      <c r="P474" s="4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2"/>
      <c r="O475" s="3"/>
      <c r="P475" s="4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2"/>
      <c r="O476" s="3"/>
      <c r="P476" s="4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2"/>
      <c r="O477" s="3"/>
      <c r="P477" s="4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2"/>
      <c r="O478" s="3"/>
      <c r="P478" s="4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2"/>
      <c r="O479" s="3"/>
      <c r="P479" s="4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2"/>
      <c r="O480" s="3"/>
      <c r="P480" s="4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2"/>
      <c r="O481" s="3"/>
      <c r="P481" s="4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2"/>
      <c r="O482" s="3"/>
      <c r="P482" s="4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2"/>
      <c r="O483" s="3"/>
      <c r="P483" s="4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2"/>
      <c r="O484" s="3"/>
      <c r="P484" s="4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2"/>
      <c r="O485" s="3"/>
      <c r="P485" s="4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2"/>
      <c r="O486" s="3"/>
      <c r="P486" s="4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2"/>
      <c r="O487" s="3"/>
      <c r="P487" s="4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2"/>
      <c r="O488" s="3"/>
      <c r="P488" s="4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2"/>
      <c r="O489" s="3"/>
      <c r="P489" s="4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2"/>
      <c r="O490" s="3"/>
      <c r="P490" s="4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2"/>
      <c r="O491" s="3"/>
      <c r="P491" s="4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2"/>
      <c r="O492" s="3"/>
      <c r="P492" s="4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2"/>
      <c r="O493" s="3"/>
      <c r="P493" s="4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2"/>
      <c r="O494" s="3"/>
      <c r="P494" s="4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2"/>
      <c r="O495" s="3"/>
      <c r="P495" s="4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2"/>
      <c r="O496" s="3"/>
      <c r="P496" s="4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2"/>
      <c r="O497" s="3"/>
      <c r="P497" s="4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2"/>
      <c r="O498" s="3"/>
      <c r="P498" s="4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2"/>
      <c r="O499" s="3"/>
      <c r="P499" s="4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2"/>
      <c r="O500" s="3"/>
      <c r="P500" s="4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2"/>
      <c r="O501" s="3"/>
      <c r="P501" s="4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2"/>
      <c r="O502" s="3"/>
      <c r="P502" s="4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2"/>
      <c r="O503" s="3"/>
      <c r="P503" s="4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2"/>
      <c r="O504" s="3"/>
      <c r="P504" s="4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2"/>
      <c r="O505" s="3"/>
      <c r="P505" s="4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2"/>
      <c r="O506" s="3"/>
      <c r="P506" s="4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2"/>
      <c r="O507" s="3"/>
      <c r="P507" s="4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2"/>
      <c r="O508" s="3"/>
      <c r="P508" s="4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2"/>
      <c r="O509" s="3"/>
      <c r="P509" s="4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2"/>
      <c r="O510" s="3"/>
      <c r="P510" s="4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2"/>
      <c r="O511" s="3"/>
      <c r="P511" s="4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2"/>
      <c r="O512" s="3"/>
      <c r="P512" s="4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2"/>
      <c r="O513" s="3"/>
      <c r="P513" s="4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2"/>
      <c r="O514" s="3"/>
      <c r="P514" s="4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2"/>
      <c r="O515" s="3"/>
      <c r="P515" s="4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2"/>
      <c r="O516" s="3"/>
      <c r="P516" s="4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2"/>
      <c r="O517" s="3"/>
      <c r="P517" s="4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2"/>
      <c r="O518" s="3"/>
      <c r="P518" s="4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2"/>
      <c r="O519" s="3"/>
      <c r="P519" s="4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2"/>
      <c r="O520" s="3"/>
      <c r="P520" s="4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2"/>
      <c r="O521" s="3"/>
      <c r="P521" s="4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2"/>
      <c r="O522" s="3"/>
      <c r="P522" s="4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2"/>
      <c r="O523" s="3"/>
      <c r="P523" s="4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2"/>
      <c r="O524" s="3"/>
      <c r="P524" s="4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2"/>
      <c r="O525" s="3"/>
      <c r="P525" s="4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2"/>
      <c r="O526" s="3"/>
      <c r="P526" s="4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2"/>
      <c r="O527" s="3"/>
      <c r="P527" s="4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2"/>
      <c r="O528" s="3"/>
      <c r="P528" s="4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2"/>
      <c r="O529" s="3"/>
      <c r="P529" s="4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2"/>
      <c r="O530" s="3"/>
      <c r="P530" s="4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2"/>
      <c r="O531" s="3"/>
      <c r="P531" s="4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2"/>
      <c r="O532" s="3"/>
      <c r="P532" s="4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2"/>
      <c r="O533" s="3"/>
      <c r="P533" s="4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2"/>
      <c r="O534" s="3"/>
      <c r="P534" s="4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2"/>
      <c r="O535" s="3"/>
      <c r="P535" s="4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2"/>
      <c r="O536" s="3"/>
      <c r="P536" s="4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2"/>
      <c r="O537" s="3"/>
      <c r="P537" s="4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2"/>
      <c r="O538" s="3"/>
      <c r="P538" s="4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2"/>
      <c r="O539" s="3"/>
      <c r="P539" s="4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2"/>
      <c r="O540" s="3"/>
      <c r="P540" s="4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2"/>
      <c r="O541" s="3"/>
      <c r="P541" s="4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2"/>
      <c r="O542" s="3"/>
      <c r="P542" s="4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2"/>
      <c r="O543" s="3"/>
      <c r="P543" s="4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2"/>
      <c r="O544" s="3"/>
      <c r="P544" s="4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2"/>
      <c r="O545" s="3"/>
      <c r="P545" s="4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2"/>
      <c r="O546" s="3"/>
      <c r="P546" s="4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2"/>
      <c r="O547" s="3"/>
      <c r="P547" s="4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2"/>
      <c r="O548" s="3"/>
      <c r="P548" s="4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2"/>
      <c r="O549" s="3"/>
      <c r="P549" s="4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2"/>
      <c r="O550" s="3"/>
      <c r="P550" s="4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2"/>
      <c r="O551" s="3"/>
      <c r="P551" s="4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2"/>
      <c r="O552" s="3"/>
      <c r="P552" s="4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2"/>
      <c r="O553" s="3"/>
      <c r="P553" s="4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2"/>
      <c r="O554" s="3"/>
      <c r="P554" s="4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2"/>
      <c r="O555" s="3"/>
      <c r="P555" s="4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2"/>
      <c r="O556" s="3"/>
      <c r="P556" s="4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2"/>
      <c r="O557" s="3"/>
      <c r="P557" s="4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2"/>
      <c r="O558" s="3"/>
      <c r="P558" s="4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2"/>
      <c r="O559" s="3"/>
      <c r="P559" s="4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2"/>
      <c r="O560" s="3"/>
      <c r="P560" s="4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2"/>
      <c r="O561" s="3"/>
      <c r="P561" s="4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2"/>
      <c r="O562" s="3"/>
      <c r="P562" s="4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2"/>
      <c r="O563" s="3"/>
      <c r="P563" s="4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2"/>
      <c r="O564" s="3"/>
      <c r="P564" s="4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2"/>
      <c r="O565" s="3"/>
      <c r="P565" s="4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2"/>
      <c r="O566" s="3"/>
      <c r="P566" s="4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2"/>
      <c r="O567" s="3"/>
      <c r="P567" s="4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2"/>
      <c r="O568" s="3"/>
      <c r="P568" s="4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2"/>
      <c r="O569" s="3"/>
      <c r="P569" s="4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2"/>
      <c r="O570" s="3"/>
      <c r="P570" s="4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2"/>
      <c r="O571" s="3"/>
      <c r="P571" s="4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2"/>
      <c r="O572" s="3"/>
      <c r="P572" s="4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2"/>
      <c r="O573" s="3"/>
      <c r="P573" s="4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2"/>
      <c r="O574" s="3"/>
      <c r="P574" s="4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2"/>
      <c r="O575" s="3"/>
      <c r="P575" s="4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2"/>
      <c r="O576" s="3"/>
      <c r="P576" s="4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2"/>
      <c r="O577" s="3"/>
      <c r="P577" s="4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2"/>
      <c r="O578" s="3"/>
      <c r="P578" s="4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2"/>
      <c r="O579" s="3"/>
      <c r="P579" s="4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2"/>
      <c r="O580" s="3"/>
      <c r="P580" s="4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2"/>
      <c r="O581" s="3"/>
      <c r="P581" s="4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2"/>
      <c r="O582" s="3"/>
      <c r="P582" s="4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2"/>
      <c r="O583" s="3"/>
      <c r="P583" s="4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2"/>
      <c r="O584" s="3"/>
      <c r="P584" s="4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2"/>
      <c r="O585" s="3"/>
      <c r="P585" s="4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2"/>
      <c r="O586" s="3"/>
      <c r="P586" s="4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2"/>
      <c r="O587" s="3"/>
      <c r="P587" s="4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2"/>
      <c r="O588" s="3"/>
      <c r="P588" s="4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2"/>
      <c r="O589" s="3"/>
      <c r="P589" s="4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2"/>
      <c r="O590" s="3"/>
      <c r="P590" s="4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2"/>
      <c r="O591" s="3"/>
      <c r="P591" s="4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2"/>
      <c r="O592" s="3"/>
      <c r="P592" s="4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2"/>
      <c r="O593" s="3"/>
      <c r="P593" s="4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2"/>
      <c r="O594" s="3"/>
      <c r="P594" s="4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2"/>
      <c r="O595" s="3"/>
      <c r="P595" s="4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2"/>
      <c r="O596" s="3"/>
      <c r="P596" s="4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2"/>
      <c r="O597" s="3"/>
      <c r="P597" s="4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2"/>
      <c r="O598" s="3"/>
      <c r="P598" s="4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2"/>
      <c r="O599" s="3"/>
      <c r="P599" s="4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2"/>
      <c r="O600" s="3"/>
      <c r="P600" s="4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2"/>
      <c r="O601" s="3"/>
      <c r="P601" s="4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2"/>
      <c r="O602" s="3"/>
      <c r="P602" s="4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2"/>
      <c r="O603" s="3"/>
      <c r="P603" s="4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2"/>
      <c r="O604" s="3"/>
      <c r="P604" s="4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2"/>
      <c r="O605" s="3"/>
      <c r="P605" s="4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2"/>
      <c r="O606" s="3"/>
      <c r="P606" s="4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2"/>
      <c r="O607" s="3"/>
      <c r="P607" s="4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2"/>
      <c r="O608" s="3"/>
      <c r="P608" s="4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2"/>
      <c r="O609" s="3"/>
      <c r="P609" s="4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2"/>
      <c r="O610" s="3"/>
      <c r="P610" s="4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2"/>
      <c r="O611" s="3"/>
      <c r="P611" s="4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2"/>
      <c r="O612" s="3"/>
      <c r="P612" s="4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2"/>
      <c r="O613" s="3"/>
      <c r="P613" s="4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2"/>
      <c r="O614" s="3"/>
      <c r="P614" s="4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2"/>
      <c r="O615" s="3"/>
      <c r="P615" s="4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2"/>
      <c r="O616" s="3"/>
      <c r="P616" s="4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2"/>
      <c r="O617" s="3"/>
      <c r="P617" s="4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2"/>
      <c r="O618" s="3"/>
      <c r="P618" s="4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2"/>
      <c r="O619" s="3"/>
      <c r="P619" s="4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2"/>
      <c r="O620" s="3"/>
      <c r="P620" s="4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2"/>
      <c r="O621" s="3"/>
      <c r="P621" s="4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2"/>
      <c r="O622" s="3"/>
      <c r="P622" s="4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2"/>
      <c r="O623" s="3"/>
      <c r="P623" s="4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2"/>
      <c r="O624" s="3"/>
      <c r="P624" s="4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2"/>
      <c r="O625" s="3"/>
      <c r="P625" s="4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2"/>
      <c r="O626" s="3"/>
      <c r="P626" s="4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2"/>
      <c r="O627" s="3"/>
      <c r="P627" s="4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2"/>
      <c r="O628" s="3"/>
      <c r="P628" s="4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2"/>
      <c r="O629" s="3"/>
      <c r="P629" s="4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2"/>
      <c r="O630" s="3"/>
      <c r="P630" s="4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2"/>
      <c r="O631" s="3"/>
      <c r="P631" s="4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2"/>
      <c r="O632" s="3"/>
      <c r="P632" s="4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2"/>
      <c r="O633" s="3"/>
      <c r="P633" s="4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2"/>
      <c r="O634" s="3"/>
      <c r="P634" s="4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2"/>
      <c r="O635" s="3"/>
      <c r="P635" s="4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2"/>
      <c r="O636" s="3"/>
      <c r="P636" s="4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2"/>
      <c r="O637" s="3"/>
      <c r="P637" s="4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2"/>
      <c r="O638" s="3"/>
      <c r="P638" s="4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2"/>
      <c r="O639" s="3"/>
      <c r="P639" s="4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2"/>
      <c r="O640" s="3"/>
      <c r="P640" s="4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2"/>
      <c r="O641" s="3"/>
      <c r="P641" s="4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2"/>
      <c r="O642" s="3"/>
      <c r="P642" s="4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2"/>
      <c r="O643" s="3"/>
      <c r="P643" s="4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2"/>
      <c r="O644" s="3"/>
      <c r="P644" s="4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2"/>
      <c r="O645" s="3"/>
      <c r="P645" s="4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2"/>
      <c r="O646" s="3"/>
      <c r="P646" s="4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2"/>
      <c r="O647" s="3"/>
      <c r="P647" s="4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2"/>
      <c r="O648" s="3"/>
      <c r="P648" s="4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2"/>
      <c r="O649" s="3"/>
      <c r="P649" s="4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2"/>
      <c r="O650" s="3"/>
      <c r="P650" s="4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2"/>
      <c r="O651" s="3"/>
      <c r="P651" s="4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2"/>
      <c r="O652" s="3"/>
      <c r="P652" s="4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2"/>
      <c r="O653" s="3"/>
      <c r="P653" s="4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2"/>
      <c r="O654" s="3"/>
      <c r="P654" s="4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2"/>
      <c r="O655" s="3"/>
      <c r="P655" s="4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2"/>
      <c r="O656" s="3"/>
      <c r="P656" s="4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2"/>
      <c r="O657" s="3"/>
      <c r="P657" s="4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2"/>
      <c r="O658" s="3"/>
      <c r="P658" s="4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2"/>
      <c r="O659" s="3"/>
      <c r="P659" s="4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2"/>
      <c r="O660" s="3"/>
      <c r="P660" s="4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2"/>
      <c r="O661" s="3"/>
      <c r="P661" s="4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2"/>
      <c r="O662" s="3"/>
      <c r="P662" s="4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2"/>
      <c r="O663" s="3"/>
      <c r="P663" s="4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2"/>
      <c r="O664" s="3"/>
      <c r="P664" s="4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2"/>
      <c r="O665" s="3"/>
      <c r="P665" s="4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2"/>
      <c r="O666" s="3"/>
      <c r="P666" s="4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2"/>
      <c r="O667" s="3"/>
      <c r="P667" s="4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2"/>
      <c r="O668" s="3"/>
      <c r="P668" s="4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2"/>
      <c r="O669" s="3"/>
      <c r="P669" s="4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2"/>
      <c r="O670" s="3"/>
      <c r="P670" s="4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2"/>
      <c r="O671" s="3"/>
      <c r="P671" s="4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2"/>
      <c r="O672" s="3"/>
      <c r="P672" s="4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2"/>
      <c r="O673" s="3"/>
      <c r="P673" s="4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2"/>
      <c r="O674" s="3"/>
      <c r="P674" s="4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2"/>
      <c r="O675" s="3"/>
      <c r="P675" s="4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2"/>
      <c r="O676" s="3"/>
      <c r="P676" s="4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2"/>
      <c r="O677" s="3"/>
      <c r="P677" s="4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2"/>
      <c r="O678" s="3"/>
      <c r="P678" s="4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2"/>
      <c r="O679" s="3"/>
      <c r="P679" s="4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2"/>
      <c r="O680" s="3"/>
      <c r="P680" s="4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2"/>
      <c r="O681" s="3"/>
      <c r="P681" s="4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2"/>
      <c r="O682" s="3"/>
      <c r="P682" s="4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2"/>
      <c r="O683" s="3"/>
      <c r="P683" s="4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2"/>
      <c r="O684" s="3"/>
      <c r="P684" s="4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2"/>
      <c r="O685" s="3"/>
      <c r="P685" s="4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2"/>
      <c r="O686" s="3"/>
      <c r="P686" s="4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2"/>
      <c r="O687" s="3"/>
      <c r="P687" s="4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2"/>
      <c r="O688" s="3"/>
      <c r="P688" s="4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2"/>
      <c r="O689" s="3"/>
      <c r="P689" s="4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2"/>
      <c r="O690" s="3"/>
      <c r="P690" s="4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2"/>
      <c r="O691" s="3"/>
      <c r="P691" s="4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2"/>
      <c r="O692" s="3"/>
      <c r="P692" s="4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2"/>
      <c r="O693" s="3"/>
      <c r="P693" s="4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2"/>
      <c r="O694" s="3"/>
      <c r="P694" s="4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2"/>
      <c r="O695" s="3"/>
      <c r="P695" s="4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2"/>
      <c r="O696" s="3"/>
      <c r="P696" s="4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2"/>
      <c r="O697" s="3"/>
      <c r="P697" s="4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2"/>
      <c r="O698" s="3"/>
      <c r="P698" s="4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2"/>
      <c r="O699" s="3"/>
      <c r="P699" s="4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2"/>
      <c r="O700" s="3"/>
      <c r="P700" s="4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2"/>
      <c r="O701" s="3"/>
      <c r="P701" s="4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2"/>
      <c r="O702" s="3"/>
      <c r="P702" s="4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2"/>
      <c r="O703" s="3"/>
      <c r="P703" s="4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2"/>
      <c r="O704" s="3"/>
      <c r="P704" s="4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2"/>
      <c r="O705" s="3"/>
      <c r="P705" s="4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2"/>
      <c r="O706" s="3"/>
      <c r="P706" s="4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2"/>
      <c r="O707" s="3"/>
      <c r="P707" s="4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2"/>
      <c r="O708" s="3"/>
      <c r="P708" s="4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2"/>
      <c r="O709" s="3"/>
      <c r="P709" s="4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2"/>
      <c r="O710" s="3"/>
      <c r="P710" s="4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2"/>
      <c r="O711" s="3"/>
      <c r="P711" s="4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2"/>
      <c r="O712" s="3"/>
      <c r="P712" s="4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2"/>
      <c r="O713" s="3"/>
      <c r="P713" s="4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2"/>
      <c r="O714" s="3"/>
      <c r="P714" s="4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2"/>
      <c r="O715" s="3"/>
      <c r="P715" s="4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2"/>
      <c r="O716" s="3"/>
      <c r="P716" s="4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2"/>
      <c r="O717" s="3"/>
      <c r="P717" s="4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2"/>
      <c r="O718" s="3"/>
      <c r="P718" s="4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2"/>
      <c r="O719" s="3"/>
      <c r="P719" s="4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2"/>
      <c r="O720" s="3"/>
      <c r="P720" s="4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2"/>
      <c r="O721" s="3"/>
      <c r="P721" s="4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2"/>
      <c r="O722" s="3"/>
      <c r="P722" s="4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2"/>
      <c r="O723" s="3"/>
      <c r="P723" s="4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2"/>
      <c r="O724" s="3"/>
      <c r="P724" s="4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2"/>
      <c r="O725" s="3"/>
      <c r="P725" s="4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2"/>
      <c r="O726" s="3"/>
      <c r="P726" s="4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2"/>
      <c r="O727" s="3"/>
      <c r="P727" s="4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2"/>
      <c r="O728" s="3"/>
      <c r="P728" s="4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2"/>
      <c r="O729" s="3"/>
      <c r="P729" s="4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2"/>
      <c r="O730" s="3"/>
      <c r="P730" s="4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2"/>
      <c r="O731" s="3"/>
      <c r="P731" s="4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2"/>
      <c r="O732" s="3"/>
      <c r="P732" s="4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2"/>
      <c r="O733" s="3"/>
      <c r="P733" s="4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2"/>
      <c r="O734" s="3"/>
      <c r="P734" s="4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2"/>
      <c r="O735" s="3"/>
      <c r="P735" s="4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2"/>
      <c r="O736" s="3"/>
      <c r="P736" s="4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2"/>
      <c r="O737" s="3"/>
      <c r="P737" s="4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2"/>
      <c r="O738" s="3"/>
      <c r="P738" s="4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2"/>
      <c r="O739" s="3"/>
      <c r="P739" s="4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2"/>
      <c r="O740" s="3"/>
      <c r="P740" s="4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2"/>
      <c r="O741" s="3"/>
      <c r="P741" s="4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2"/>
      <c r="O742" s="3"/>
      <c r="P742" s="4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2"/>
      <c r="O743" s="3"/>
      <c r="P743" s="4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2"/>
      <c r="O744" s="3"/>
      <c r="P744" s="4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2"/>
      <c r="O745" s="3"/>
      <c r="P745" s="4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2"/>
      <c r="O746" s="3"/>
      <c r="P746" s="4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2"/>
      <c r="O747" s="3"/>
      <c r="P747" s="4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2"/>
      <c r="O748" s="3"/>
      <c r="P748" s="4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2"/>
      <c r="O749" s="3"/>
      <c r="P749" s="4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2"/>
      <c r="O750" s="3"/>
      <c r="P750" s="4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2"/>
      <c r="O751" s="3"/>
      <c r="P751" s="4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2"/>
      <c r="O752" s="3"/>
      <c r="P752" s="4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2"/>
      <c r="O753" s="3"/>
      <c r="P753" s="4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2"/>
      <c r="O754" s="3"/>
      <c r="P754" s="4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2"/>
      <c r="O755" s="3"/>
      <c r="P755" s="4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2"/>
      <c r="O756" s="3"/>
      <c r="P756" s="4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2"/>
      <c r="O757" s="3"/>
      <c r="P757" s="4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2"/>
      <c r="O758" s="3"/>
      <c r="P758" s="4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2"/>
      <c r="O759" s="3"/>
      <c r="P759" s="4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2"/>
      <c r="O760" s="3"/>
      <c r="P760" s="4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2"/>
      <c r="O761" s="3"/>
      <c r="P761" s="4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2"/>
      <c r="O762" s="3"/>
      <c r="P762" s="4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2"/>
      <c r="O763" s="3"/>
      <c r="P763" s="4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2"/>
      <c r="O764" s="3"/>
      <c r="P764" s="4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2"/>
      <c r="O765" s="3"/>
      <c r="P765" s="4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2"/>
      <c r="O766" s="3"/>
      <c r="P766" s="4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2"/>
      <c r="O767" s="3"/>
      <c r="P767" s="4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2"/>
      <c r="O768" s="3"/>
      <c r="P768" s="4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2"/>
      <c r="O769" s="3"/>
      <c r="P769" s="4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2"/>
      <c r="O770" s="3"/>
      <c r="P770" s="4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2"/>
      <c r="O771" s="3"/>
      <c r="P771" s="4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2"/>
      <c r="O772" s="3"/>
      <c r="P772" s="4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2"/>
      <c r="O773" s="3"/>
      <c r="P773" s="4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2"/>
      <c r="O774" s="3"/>
      <c r="P774" s="4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2"/>
      <c r="O775" s="3"/>
      <c r="P775" s="4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2"/>
      <c r="O776" s="3"/>
      <c r="P776" s="4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2"/>
      <c r="O777" s="3"/>
      <c r="P777" s="4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2"/>
      <c r="O778" s="3"/>
      <c r="P778" s="4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2"/>
      <c r="O779" s="3"/>
      <c r="P779" s="4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2"/>
      <c r="O780" s="3"/>
      <c r="P780" s="4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2"/>
      <c r="O781" s="3"/>
      <c r="P781" s="4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2"/>
      <c r="O782" s="3"/>
      <c r="P782" s="4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2"/>
      <c r="O783" s="3"/>
      <c r="P783" s="4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2"/>
      <c r="O784" s="3"/>
      <c r="P784" s="4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2"/>
      <c r="O785" s="3"/>
      <c r="P785" s="4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2"/>
      <c r="O786" s="3"/>
      <c r="P786" s="4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2"/>
      <c r="O787" s="3"/>
      <c r="P787" s="4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2"/>
      <c r="O788" s="3"/>
      <c r="P788" s="4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2"/>
      <c r="O789" s="3"/>
      <c r="P789" s="4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2"/>
      <c r="O790" s="3"/>
      <c r="P790" s="4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2"/>
      <c r="O791" s="3"/>
      <c r="P791" s="4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2"/>
      <c r="O792" s="3"/>
      <c r="P792" s="4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2"/>
      <c r="O793" s="3"/>
      <c r="P793" s="4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2"/>
      <c r="O794" s="3"/>
      <c r="P794" s="4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2"/>
      <c r="O795" s="3"/>
      <c r="P795" s="4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2"/>
      <c r="O796" s="3"/>
      <c r="P796" s="4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2"/>
      <c r="O797" s="3"/>
      <c r="P797" s="4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2"/>
      <c r="O798" s="3"/>
      <c r="P798" s="4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2"/>
      <c r="O799" s="3"/>
      <c r="P799" s="4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2"/>
      <c r="O800" s="3"/>
      <c r="P800" s="4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2"/>
      <c r="O801" s="3"/>
      <c r="P801" s="4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2"/>
      <c r="O802" s="3"/>
      <c r="P802" s="4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2"/>
      <c r="O803" s="3"/>
      <c r="P803" s="4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2"/>
      <c r="O804" s="3"/>
      <c r="P804" s="4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2"/>
      <c r="O805" s="3"/>
      <c r="P805" s="4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2"/>
      <c r="O806" s="3"/>
      <c r="P806" s="4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2"/>
      <c r="O807" s="3"/>
      <c r="P807" s="4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2"/>
      <c r="O808" s="3"/>
      <c r="P808" s="4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2"/>
      <c r="O809" s="3"/>
      <c r="P809" s="4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2"/>
      <c r="O810" s="3"/>
      <c r="P810" s="4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2"/>
      <c r="O811" s="3"/>
      <c r="P811" s="4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2"/>
      <c r="O812" s="3"/>
      <c r="P812" s="4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2"/>
      <c r="O813" s="3"/>
      <c r="P813" s="4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2"/>
      <c r="O814" s="3"/>
      <c r="P814" s="4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2"/>
      <c r="O815" s="3"/>
      <c r="P815" s="4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2"/>
      <c r="O816" s="3"/>
      <c r="P816" s="4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2"/>
      <c r="O817" s="3"/>
      <c r="P817" s="4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2"/>
      <c r="O818" s="3"/>
      <c r="P818" s="4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2"/>
      <c r="O819" s="3"/>
      <c r="P819" s="4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2"/>
      <c r="O820" s="3"/>
      <c r="P820" s="4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2"/>
      <c r="O821" s="3"/>
      <c r="P821" s="4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2"/>
      <c r="O822" s="3"/>
      <c r="P822" s="4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2"/>
      <c r="O823" s="3"/>
      <c r="P823" s="4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2"/>
      <c r="O824" s="3"/>
      <c r="P824" s="4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2"/>
      <c r="O825" s="3"/>
      <c r="P825" s="4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2"/>
      <c r="O826" s="3"/>
      <c r="P826" s="4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2"/>
      <c r="O827" s="3"/>
      <c r="P827" s="4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2"/>
      <c r="O828" s="3"/>
      <c r="P828" s="4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2"/>
      <c r="O829" s="3"/>
      <c r="P829" s="4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2"/>
      <c r="O830" s="3"/>
      <c r="P830" s="4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2"/>
      <c r="O831" s="3"/>
      <c r="P831" s="4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2"/>
      <c r="O832" s="3"/>
      <c r="P832" s="4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2"/>
      <c r="O833" s="3"/>
      <c r="P833" s="4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2"/>
      <c r="O834" s="3"/>
      <c r="P834" s="4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2"/>
      <c r="O835" s="3"/>
      <c r="P835" s="4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2"/>
      <c r="O836" s="3"/>
      <c r="P836" s="4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2"/>
      <c r="O837" s="3"/>
      <c r="P837" s="4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2"/>
      <c r="O838" s="3"/>
      <c r="P838" s="4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2"/>
      <c r="O839" s="3"/>
      <c r="P839" s="4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2"/>
      <c r="O840" s="3"/>
      <c r="P840" s="4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2"/>
      <c r="O841" s="3"/>
      <c r="P841" s="4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2"/>
      <c r="O842" s="3"/>
      <c r="P842" s="4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2"/>
      <c r="O843" s="3"/>
      <c r="P843" s="4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2"/>
      <c r="O844" s="3"/>
      <c r="P844" s="4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2"/>
      <c r="O845" s="3"/>
      <c r="P845" s="4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2"/>
      <c r="O846" s="3"/>
      <c r="P846" s="4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2"/>
      <c r="O847" s="3"/>
      <c r="P847" s="4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2"/>
      <c r="O848" s="3"/>
      <c r="P848" s="4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2"/>
      <c r="O849" s="3"/>
      <c r="P849" s="4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2"/>
      <c r="O850" s="3"/>
      <c r="P850" s="4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2"/>
      <c r="O851" s="3"/>
      <c r="P851" s="4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2"/>
      <c r="O852" s="3"/>
      <c r="P852" s="4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2"/>
      <c r="O853" s="3"/>
      <c r="P853" s="4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2"/>
      <c r="O854" s="3"/>
      <c r="P854" s="4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2"/>
      <c r="O855" s="3"/>
      <c r="P855" s="4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2"/>
      <c r="O856" s="3"/>
      <c r="P856" s="4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2"/>
      <c r="O857" s="3"/>
      <c r="P857" s="4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2"/>
      <c r="O858" s="3"/>
      <c r="P858" s="4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2"/>
      <c r="O859" s="3"/>
      <c r="P859" s="4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2"/>
      <c r="O860" s="3"/>
      <c r="P860" s="4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2"/>
      <c r="O861" s="3"/>
      <c r="P861" s="4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2"/>
      <c r="O862" s="3"/>
      <c r="P862" s="4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2"/>
      <c r="O863" s="3"/>
      <c r="P863" s="4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2"/>
      <c r="O864" s="3"/>
      <c r="P864" s="4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2"/>
      <c r="O865" s="3"/>
      <c r="P865" s="4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2"/>
      <c r="O866" s="3"/>
      <c r="P866" s="4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2"/>
      <c r="O867" s="3"/>
      <c r="P867" s="4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2"/>
      <c r="O868" s="3"/>
      <c r="P868" s="4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2"/>
      <c r="O869" s="3"/>
      <c r="P869" s="4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2"/>
      <c r="O870" s="3"/>
      <c r="P870" s="4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2"/>
      <c r="O871" s="3"/>
      <c r="P871" s="4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2"/>
      <c r="O872" s="3"/>
      <c r="P872" s="4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2"/>
      <c r="O873" s="3"/>
      <c r="P873" s="4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2"/>
      <c r="O874" s="3"/>
      <c r="P874" s="4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2"/>
      <c r="O875" s="3"/>
      <c r="P875" s="4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2"/>
      <c r="O876" s="3"/>
      <c r="P876" s="4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2"/>
      <c r="O877" s="3"/>
      <c r="P877" s="4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2"/>
      <c r="O878" s="3"/>
      <c r="P878" s="4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2"/>
      <c r="O879" s="3"/>
      <c r="P879" s="4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2"/>
      <c r="O880" s="3"/>
      <c r="P880" s="4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2"/>
      <c r="O881" s="3"/>
      <c r="P881" s="4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2"/>
      <c r="O882" s="3"/>
      <c r="P882" s="4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2"/>
      <c r="O883" s="3"/>
      <c r="P883" s="4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2"/>
      <c r="O884" s="3"/>
      <c r="P884" s="4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2"/>
      <c r="O885" s="3"/>
      <c r="P885" s="4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2"/>
      <c r="O886" s="3"/>
      <c r="P886" s="4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2"/>
      <c r="O887" s="3"/>
      <c r="P887" s="4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2"/>
      <c r="O888" s="3"/>
      <c r="P888" s="4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2"/>
      <c r="O889" s="3"/>
      <c r="P889" s="4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2"/>
      <c r="O890" s="3"/>
      <c r="P890" s="4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2"/>
      <c r="O891" s="3"/>
      <c r="P891" s="4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2"/>
      <c r="O892" s="3"/>
      <c r="P892" s="4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2"/>
      <c r="O893" s="3"/>
      <c r="P893" s="4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2"/>
      <c r="O894" s="3"/>
      <c r="P894" s="4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2"/>
      <c r="O895" s="3"/>
      <c r="P895" s="4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2"/>
      <c r="O896" s="3"/>
      <c r="P896" s="4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2"/>
      <c r="O897" s="3"/>
      <c r="P897" s="4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2"/>
      <c r="O898" s="3"/>
      <c r="P898" s="4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2"/>
      <c r="O899" s="3"/>
      <c r="P899" s="4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2"/>
      <c r="O900" s="3"/>
      <c r="P900" s="4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2"/>
      <c r="O901" s="3"/>
      <c r="P901" s="4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2"/>
      <c r="O902" s="3"/>
      <c r="P902" s="4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2"/>
      <c r="O903" s="3"/>
      <c r="P903" s="4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2"/>
      <c r="O904" s="3"/>
      <c r="P904" s="4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2"/>
      <c r="O905" s="3"/>
      <c r="P905" s="4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2"/>
      <c r="O906" s="3"/>
      <c r="P906" s="4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2"/>
      <c r="O907" s="3"/>
      <c r="P907" s="4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2"/>
      <c r="O908" s="3"/>
      <c r="P908" s="4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2"/>
      <c r="O909" s="3"/>
      <c r="P909" s="4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2"/>
      <c r="O910" s="3"/>
      <c r="P910" s="4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2"/>
      <c r="O911" s="3"/>
      <c r="P911" s="4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2"/>
      <c r="O912" s="3"/>
      <c r="P912" s="4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2"/>
      <c r="O913" s="3"/>
      <c r="P913" s="4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2"/>
      <c r="O914" s="3"/>
      <c r="P914" s="4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2"/>
      <c r="O915" s="3"/>
      <c r="P915" s="4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2"/>
      <c r="O916" s="3"/>
      <c r="P916" s="4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2"/>
      <c r="O917" s="3"/>
      <c r="P917" s="4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2"/>
      <c r="O918" s="3"/>
      <c r="P918" s="4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2"/>
      <c r="O919" s="3"/>
      <c r="P919" s="4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2"/>
      <c r="O920" s="3"/>
      <c r="P920" s="4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2"/>
      <c r="O921" s="3"/>
      <c r="P921" s="4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2"/>
      <c r="O922" s="3"/>
      <c r="P922" s="4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2"/>
      <c r="O923" s="3"/>
      <c r="P923" s="4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2"/>
      <c r="O924" s="3"/>
      <c r="P924" s="4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2"/>
      <c r="O925" s="3"/>
      <c r="P925" s="4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2"/>
      <c r="O926" s="3"/>
      <c r="P926" s="4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2"/>
      <c r="O927" s="3"/>
      <c r="P927" s="4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2"/>
      <c r="O928" s="3"/>
      <c r="P928" s="4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2"/>
      <c r="O929" s="3"/>
      <c r="P929" s="4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2"/>
      <c r="O930" s="3"/>
      <c r="P930" s="4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2"/>
      <c r="O931" s="3"/>
      <c r="P931" s="4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2"/>
      <c r="O932" s="3"/>
      <c r="P932" s="4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2"/>
      <c r="O933" s="3"/>
      <c r="P933" s="4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2"/>
      <c r="O934" s="3"/>
      <c r="P934" s="4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2"/>
      <c r="O935" s="3"/>
      <c r="P935" s="4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2"/>
      <c r="O936" s="3"/>
      <c r="P936" s="4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2"/>
      <c r="O937" s="3"/>
      <c r="P937" s="4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2"/>
      <c r="O938" s="3"/>
      <c r="P938" s="4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2"/>
      <c r="O939" s="3"/>
      <c r="P939" s="4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2"/>
      <c r="O940" s="3"/>
      <c r="P940" s="4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2"/>
      <c r="O941" s="3"/>
      <c r="P941" s="4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2"/>
      <c r="O942" s="3"/>
      <c r="P942" s="4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2"/>
      <c r="O943" s="3"/>
      <c r="P943" s="4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2"/>
      <c r="O944" s="3"/>
      <c r="P944" s="4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2"/>
      <c r="O945" s="3"/>
      <c r="P945" s="4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2"/>
      <c r="O946" s="3"/>
      <c r="P946" s="4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2"/>
      <c r="O947" s="3"/>
      <c r="P947" s="4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2"/>
      <c r="O948" s="3"/>
      <c r="P948" s="4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2"/>
      <c r="O949" s="3"/>
      <c r="P949" s="4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2"/>
      <c r="O950" s="3"/>
      <c r="P950" s="4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2"/>
      <c r="O951" s="3"/>
      <c r="P951" s="4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2"/>
      <c r="O952" s="3"/>
      <c r="P952" s="4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2"/>
      <c r="O953" s="3"/>
      <c r="P953" s="4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2"/>
      <c r="O954" s="3"/>
      <c r="P954" s="4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2"/>
      <c r="O955" s="3"/>
      <c r="P955" s="4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2"/>
      <c r="O956" s="3"/>
      <c r="P956" s="4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2"/>
      <c r="O957" s="3"/>
      <c r="P957" s="4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2"/>
      <c r="O958" s="3"/>
      <c r="P958" s="4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2"/>
      <c r="O959" s="3"/>
      <c r="P959" s="4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2"/>
      <c r="O960" s="3"/>
      <c r="P960" s="4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2"/>
      <c r="O961" s="3"/>
      <c r="P961" s="4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2"/>
      <c r="O962" s="3"/>
      <c r="P962" s="4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2"/>
      <c r="O963" s="3"/>
      <c r="P963" s="4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2"/>
      <c r="O964" s="3"/>
      <c r="P964" s="4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2"/>
      <c r="O965" s="3"/>
      <c r="P965" s="4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2"/>
      <c r="O966" s="3"/>
      <c r="P966" s="4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2"/>
      <c r="O967" s="3"/>
      <c r="P967" s="4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2"/>
      <c r="O968" s="3"/>
      <c r="P968" s="4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2"/>
      <c r="O969" s="3"/>
      <c r="P969" s="4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2"/>
      <c r="O970" s="3"/>
      <c r="P970" s="4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2"/>
      <c r="O971" s="3"/>
      <c r="P971" s="4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2"/>
      <c r="O972" s="3"/>
      <c r="P972" s="4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2"/>
      <c r="O973" s="3"/>
      <c r="P973" s="4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2"/>
      <c r="O974" s="3"/>
      <c r="P974" s="4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2"/>
      <c r="O975" s="3"/>
      <c r="P975" s="4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2"/>
      <c r="O976" s="3"/>
      <c r="P976" s="4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2"/>
      <c r="O977" s="3"/>
      <c r="P977" s="4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2"/>
      <c r="O978" s="3"/>
      <c r="P978" s="4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2"/>
      <c r="O979" s="3"/>
      <c r="P979" s="4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2"/>
      <c r="O980" s="3"/>
      <c r="P980" s="4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2"/>
      <c r="O981" s="3"/>
      <c r="P981" s="4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2"/>
      <c r="O982" s="3"/>
      <c r="P982" s="4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2"/>
      <c r="O983" s="3"/>
      <c r="P983" s="4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2"/>
      <c r="O984" s="3"/>
      <c r="P984" s="4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2"/>
      <c r="O985" s="3"/>
      <c r="P985" s="4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2"/>
      <c r="O986" s="3"/>
      <c r="P986" s="4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2"/>
      <c r="O987" s="3"/>
      <c r="P987" s="4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2"/>
      <c r="O988" s="3"/>
      <c r="P988" s="4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2"/>
      <c r="O989" s="3"/>
      <c r="P989" s="4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2"/>
      <c r="O990" s="3"/>
      <c r="P990" s="4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2"/>
      <c r="O991" s="3"/>
      <c r="P991" s="4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2"/>
      <c r="O992" s="3"/>
      <c r="P992" s="4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2"/>
      <c r="O993" s="3"/>
      <c r="P993" s="4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2"/>
      <c r="O994" s="3"/>
      <c r="P994" s="4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2"/>
      <c r="O995" s="3"/>
      <c r="P995" s="4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2"/>
      <c r="O996" s="3"/>
      <c r="P996" s="4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2"/>
      <c r="O997" s="3"/>
      <c r="P997" s="4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2"/>
      <c r="O998" s="3"/>
      <c r="P998" s="4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2"/>
      <c r="O999" s="3"/>
      <c r="P999" s="4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2"/>
      <c r="O1000" s="3"/>
      <c r="P1000" s="4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2"/>
      <c r="O1001" s="3"/>
      <c r="P1001" s="4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2"/>
      <c r="O1002" s="3"/>
      <c r="P1002" s="4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2"/>
      <c r="O1003" s="3"/>
      <c r="P1003" s="4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2"/>
      <c r="O1004" s="3"/>
      <c r="P1004" s="4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2"/>
      <c r="O1005" s="3"/>
      <c r="P1005" s="4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2"/>
      <c r="O1006" s="3"/>
      <c r="P1006" s="4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2"/>
      <c r="O1007" s="3"/>
      <c r="P1007" s="4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2"/>
      <c r="O1008" s="3"/>
      <c r="P1008" s="4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2"/>
      <c r="O1009" s="3"/>
      <c r="P1009" s="4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2"/>
      <c r="O1010" s="3"/>
      <c r="P1010" s="4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2"/>
      <c r="O1011" s="3"/>
      <c r="P1011" s="4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2"/>
      <c r="O1012" s="3"/>
      <c r="P1012" s="4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2"/>
      <c r="O1013" s="3"/>
      <c r="P1013" s="4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5.38"/>
    <col customWidth="1" min="2" max="2" width="24.75"/>
    <col customWidth="1" min="3" max="3" width="7.5"/>
    <col customWidth="1" min="4" max="4" width="8.5"/>
    <col customWidth="1" min="5" max="5" width="8.25"/>
    <col customWidth="1" min="6" max="6" width="7.75"/>
    <col customWidth="1" min="7" max="7" width="8.13"/>
    <col customWidth="1" min="8" max="8" width="8.38"/>
    <col customWidth="1" min="9" max="9" width="6.88"/>
    <col customWidth="1" min="10" max="10" width="7.88"/>
    <col customWidth="1" min="11" max="11" width="8.0"/>
    <col customWidth="1" min="12" max="12" width="9.13"/>
    <col customWidth="1" min="13" max="13" width="9.38"/>
    <col customWidth="1" min="14" max="14" width="8.63"/>
    <col customWidth="1" min="15" max="15" width="8.13"/>
    <col customWidth="1" min="16" max="19" width="8.38"/>
    <col customWidth="1" min="20" max="24" width="6.63"/>
    <col customWidth="1" min="25" max="25" width="12.5"/>
  </cols>
  <sheetData>
    <row r="1">
      <c r="A1" s="38"/>
      <c r="B1" s="38"/>
      <c r="C1" s="39"/>
      <c r="D1" s="39" t="s">
        <v>0</v>
      </c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40"/>
      <c r="U1" s="40"/>
      <c r="V1" s="40"/>
      <c r="W1" s="40"/>
      <c r="X1" s="40"/>
      <c r="Y1" s="40"/>
    </row>
    <row r="2">
      <c r="A2" s="38"/>
      <c r="B2" s="38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40"/>
      <c r="U2" s="40"/>
      <c r="V2" s="40"/>
      <c r="W2" s="40"/>
      <c r="X2" s="40"/>
      <c r="Y2" s="40"/>
    </row>
    <row r="3">
      <c r="A3" s="41" t="s">
        <v>1</v>
      </c>
      <c r="B3" s="41" t="s">
        <v>2</v>
      </c>
      <c r="C3" s="42" t="s">
        <v>10</v>
      </c>
      <c r="D3" s="42" t="s">
        <v>11</v>
      </c>
      <c r="E3" s="42" t="s">
        <v>12</v>
      </c>
      <c r="F3" s="42" t="s">
        <v>13</v>
      </c>
      <c r="G3" s="42" t="s">
        <v>4</v>
      </c>
      <c r="H3" s="42" t="s">
        <v>44</v>
      </c>
      <c r="I3" s="42" t="s">
        <v>5</v>
      </c>
      <c r="J3" s="42" t="s">
        <v>48</v>
      </c>
      <c r="K3" s="42" t="s">
        <v>6</v>
      </c>
      <c r="L3" s="42" t="s">
        <v>49</v>
      </c>
      <c r="M3" s="42" t="s">
        <v>8</v>
      </c>
      <c r="N3" s="42" t="s">
        <v>50</v>
      </c>
      <c r="O3" s="42" t="s">
        <v>10</v>
      </c>
      <c r="P3" s="42" t="s">
        <v>11</v>
      </c>
      <c r="Q3" s="42" t="s">
        <v>12</v>
      </c>
      <c r="R3" s="42" t="s">
        <v>4</v>
      </c>
      <c r="S3" s="42" t="s">
        <v>44</v>
      </c>
      <c r="T3" s="43" t="s">
        <v>5</v>
      </c>
      <c r="U3" s="43" t="s">
        <v>6</v>
      </c>
      <c r="V3" s="43" t="s">
        <v>49</v>
      </c>
      <c r="W3" s="43" t="s">
        <v>50</v>
      </c>
      <c r="X3" s="43" t="s">
        <v>10</v>
      </c>
      <c r="Y3" s="44" t="s">
        <v>14</v>
      </c>
    </row>
    <row r="4">
      <c r="A4" s="10">
        <v>1.0</v>
      </c>
      <c r="B4" s="11" t="s">
        <v>17</v>
      </c>
      <c r="C4" s="45">
        <v>3.0</v>
      </c>
      <c r="D4" s="46"/>
      <c r="E4" s="47"/>
      <c r="F4" s="46">
        <v>6.5</v>
      </c>
      <c r="G4" s="46">
        <v>2.5</v>
      </c>
      <c r="H4" s="46"/>
      <c r="I4" s="46"/>
      <c r="J4" s="45"/>
      <c r="K4" s="45">
        <v>5.0</v>
      </c>
      <c r="L4" s="45"/>
      <c r="M4" s="45">
        <v>3.0</v>
      </c>
      <c r="N4" s="46">
        <v>1.5</v>
      </c>
      <c r="O4" s="46"/>
      <c r="P4" s="46">
        <v>4.5</v>
      </c>
      <c r="Q4" s="46">
        <v>1.5</v>
      </c>
      <c r="R4" s="46"/>
      <c r="S4" s="46"/>
      <c r="T4" s="48"/>
      <c r="U4" s="48"/>
      <c r="V4" s="48"/>
      <c r="W4" s="48"/>
      <c r="X4" s="48"/>
      <c r="Y4" s="48">
        <f t="shared" ref="Y4:Y6" si="1">SUM(C4:S4)</f>
        <v>27.5</v>
      </c>
    </row>
    <row r="5">
      <c r="A5" s="10">
        <v>2.0</v>
      </c>
      <c r="B5" s="11" t="s">
        <v>18</v>
      </c>
      <c r="C5" s="46"/>
      <c r="D5" s="46">
        <v>2.5</v>
      </c>
      <c r="E5" s="47"/>
      <c r="F5" s="46"/>
      <c r="G5" s="46"/>
      <c r="H5" s="46">
        <v>5.5</v>
      </c>
      <c r="I5" s="46"/>
      <c r="J5" s="45">
        <v>4.0</v>
      </c>
      <c r="K5" s="45"/>
      <c r="L5" s="45"/>
      <c r="M5" s="45"/>
      <c r="N5" s="45">
        <v>5.0</v>
      </c>
      <c r="O5" s="46"/>
      <c r="P5" s="46"/>
      <c r="Q5" s="45"/>
      <c r="R5" s="45">
        <v>7.0</v>
      </c>
      <c r="S5" s="46"/>
      <c r="T5" s="48"/>
      <c r="U5" s="48"/>
      <c r="V5" s="48">
        <v>8.0</v>
      </c>
      <c r="W5" s="48"/>
      <c r="X5" s="48"/>
      <c r="Y5" s="48">
        <f t="shared" si="1"/>
        <v>24</v>
      </c>
    </row>
    <row r="6">
      <c r="A6" s="10">
        <v>3.0</v>
      </c>
      <c r="B6" s="11" t="s">
        <v>19</v>
      </c>
      <c r="C6" s="46"/>
      <c r="D6" s="46"/>
      <c r="E6" s="47"/>
      <c r="F6" s="46">
        <v>5.5</v>
      </c>
      <c r="G6" s="45">
        <v>2.0</v>
      </c>
      <c r="H6" s="46">
        <v>0.5</v>
      </c>
      <c r="I6" s="46"/>
      <c r="J6" s="46">
        <v>5.5</v>
      </c>
      <c r="K6" s="46"/>
      <c r="L6" s="45">
        <v>2.0</v>
      </c>
      <c r="M6" s="45"/>
      <c r="N6" s="45"/>
      <c r="O6" s="45">
        <v>3.0</v>
      </c>
      <c r="P6" s="46"/>
      <c r="Q6" s="45">
        <v>4.0</v>
      </c>
      <c r="R6" s="45"/>
      <c r="S6" s="46"/>
      <c r="T6" s="49"/>
      <c r="U6" s="49"/>
      <c r="V6" s="49"/>
      <c r="W6" s="49"/>
      <c r="X6" s="49"/>
      <c r="Y6" s="49">
        <f t="shared" si="1"/>
        <v>22.5</v>
      </c>
    </row>
    <row r="7">
      <c r="A7" s="10">
        <v>4.0</v>
      </c>
      <c r="B7" s="11" t="s">
        <v>20</v>
      </c>
      <c r="C7" s="45">
        <v>10.0</v>
      </c>
      <c r="D7" s="46"/>
      <c r="E7" s="46">
        <v>9.5</v>
      </c>
      <c r="F7" s="46">
        <v>4.5</v>
      </c>
      <c r="G7" s="46"/>
      <c r="H7" s="46">
        <v>10.5</v>
      </c>
      <c r="I7" s="46"/>
      <c r="J7" s="46"/>
      <c r="K7" s="45">
        <v>18.0</v>
      </c>
      <c r="L7" s="46"/>
      <c r="M7" s="46"/>
      <c r="N7" s="45">
        <v>4.0</v>
      </c>
      <c r="O7" s="46"/>
      <c r="P7" s="46">
        <v>4.5</v>
      </c>
      <c r="Q7" s="45"/>
      <c r="R7" s="45">
        <v>11.0</v>
      </c>
      <c r="S7" s="46"/>
      <c r="T7" s="49">
        <v>6.5</v>
      </c>
      <c r="U7" s="48">
        <v>10.0</v>
      </c>
      <c r="V7" s="49"/>
      <c r="W7" s="49"/>
      <c r="X7" s="49">
        <v>4.0</v>
      </c>
      <c r="Y7" s="49">
        <f>SUM(C7:T7)</f>
        <v>78.5</v>
      </c>
    </row>
    <row r="8">
      <c r="A8" s="10">
        <v>5.0</v>
      </c>
      <c r="B8" s="11" t="s">
        <v>21</v>
      </c>
      <c r="C8" s="46"/>
      <c r="D8" s="46"/>
      <c r="E8" s="47"/>
      <c r="F8" s="46">
        <v>0.5</v>
      </c>
      <c r="G8" s="46"/>
      <c r="H8" s="45">
        <v>1.0</v>
      </c>
      <c r="I8" s="46"/>
      <c r="J8" s="46"/>
      <c r="K8" s="45">
        <v>8.0</v>
      </c>
      <c r="L8" s="46"/>
      <c r="M8" s="46"/>
      <c r="N8" s="45">
        <v>1.0</v>
      </c>
      <c r="O8" s="46"/>
      <c r="P8" s="46"/>
      <c r="Q8" s="45"/>
      <c r="R8" s="45"/>
      <c r="S8" s="46"/>
      <c r="T8" s="49"/>
      <c r="U8" s="49"/>
      <c r="V8" s="49"/>
      <c r="W8" s="49"/>
      <c r="X8" s="49"/>
      <c r="Y8" s="49">
        <f t="shared" ref="Y8:Y15" si="2">SUM(C8:S8)</f>
        <v>10.5</v>
      </c>
    </row>
    <row r="9">
      <c r="A9" s="10">
        <v>6.0</v>
      </c>
      <c r="B9" s="11" t="s">
        <v>22</v>
      </c>
      <c r="C9" s="46"/>
      <c r="D9" s="46"/>
      <c r="E9" s="47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5"/>
      <c r="R9" s="45"/>
      <c r="S9" s="46"/>
      <c r="T9" s="48"/>
      <c r="U9" s="48"/>
      <c r="V9" s="48"/>
      <c r="W9" s="48"/>
      <c r="X9" s="48"/>
      <c r="Y9" s="48">
        <f t="shared" si="2"/>
        <v>0</v>
      </c>
    </row>
    <row r="10">
      <c r="A10" s="10">
        <v>7.0</v>
      </c>
      <c r="B10" s="11" t="s">
        <v>23</v>
      </c>
      <c r="C10" s="46"/>
      <c r="D10" s="46"/>
      <c r="E10" s="47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5"/>
      <c r="R10" s="45"/>
      <c r="S10" s="46"/>
      <c r="T10" s="48"/>
      <c r="U10" s="48"/>
      <c r="V10" s="48"/>
      <c r="W10" s="48"/>
      <c r="X10" s="48"/>
      <c r="Y10" s="48">
        <f t="shared" si="2"/>
        <v>0</v>
      </c>
    </row>
    <row r="11">
      <c r="A11" s="10">
        <v>8.0</v>
      </c>
      <c r="B11" s="11" t="s">
        <v>24</v>
      </c>
      <c r="C11" s="46"/>
      <c r="D11" s="46"/>
      <c r="E11" s="47"/>
      <c r="F11" s="46"/>
      <c r="G11" s="45">
        <v>1.0</v>
      </c>
      <c r="H11" s="46"/>
      <c r="I11" s="46"/>
      <c r="J11" s="46"/>
      <c r="K11" s="45">
        <v>2.0</v>
      </c>
      <c r="L11" s="45">
        <v>1.0</v>
      </c>
      <c r="M11" s="45">
        <v>1.0</v>
      </c>
      <c r="N11" s="46">
        <v>1.5</v>
      </c>
      <c r="O11" s="46">
        <v>0.5</v>
      </c>
      <c r="P11" s="45">
        <v>3.0</v>
      </c>
      <c r="Q11" s="45">
        <v>2.0</v>
      </c>
      <c r="R11" s="45"/>
      <c r="S11" s="46">
        <v>1.5</v>
      </c>
      <c r="T11" s="48"/>
      <c r="U11" s="48">
        <v>1.0</v>
      </c>
      <c r="V11" s="48">
        <v>1.0</v>
      </c>
      <c r="W11" s="48"/>
      <c r="X11" s="48">
        <v>1.5</v>
      </c>
      <c r="Y11" s="48">
        <f t="shared" si="2"/>
        <v>13.5</v>
      </c>
    </row>
    <row r="12">
      <c r="A12" s="10">
        <v>9.0</v>
      </c>
      <c r="B12" s="11" t="s">
        <v>25</v>
      </c>
      <c r="C12" s="45">
        <v>9.0</v>
      </c>
      <c r="D12" s="46"/>
      <c r="E12" s="45">
        <v>1.0</v>
      </c>
      <c r="F12" s="46">
        <v>0.5</v>
      </c>
      <c r="G12" s="45">
        <v>1.0</v>
      </c>
      <c r="H12" s="45">
        <v>3.0</v>
      </c>
      <c r="I12" s="45">
        <v>4.0</v>
      </c>
      <c r="J12" s="45">
        <v>6.0</v>
      </c>
      <c r="K12" s="45">
        <v>5.0</v>
      </c>
      <c r="L12" s="46">
        <v>5.5</v>
      </c>
      <c r="M12" s="46">
        <v>8.5</v>
      </c>
      <c r="N12" s="46">
        <v>3.5</v>
      </c>
      <c r="O12" s="45">
        <v>3.0</v>
      </c>
      <c r="P12" s="46"/>
      <c r="Q12" s="45">
        <v>5.0</v>
      </c>
      <c r="R12" s="45"/>
      <c r="S12" s="46">
        <v>1.5</v>
      </c>
      <c r="T12" s="49"/>
      <c r="U12" s="49">
        <v>5.5</v>
      </c>
      <c r="V12" s="49"/>
      <c r="W12" s="49"/>
      <c r="X12" s="49">
        <v>6.0</v>
      </c>
      <c r="Y12" s="49">
        <f t="shared" si="2"/>
        <v>56.5</v>
      </c>
    </row>
    <row r="13">
      <c r="A13" s="10">
        <v>10.0</v>
      </c>
      <c r="B13" s="11" t="s">
        <v>26</v>
      </c>
      <c r="C13" s="46">
        <v>2.5</v>
      </c>
      <c r="D13" s="46"/>
      <c r="E13" s="45"/>
      <c r="F13" s="46">
        <v>7.5</v>
      </c>
      <c r="G13" s="46"/>
      <c r="H13" s="45">
        <v>9.0</v>
      </c>
      <c r="I13" s="46"/>
      <c r="J13" s="46"/>
      <c r="K13" s="45">
        <v>4.0</v>
      </c>
      <c r="L13" s="46"/>
      <c r="M13" s="45">
        <v>2.0</v>
      </c>
      <c r="N13" s="46"/>
      <c r="O13" s="46">
        <v>1.5</v>
      </c>
      <c r="P13" s="46"/>
      <c r="Q13" s="45">
        <v>3.0</v>
      </c>
      <c r="R13" s="45"/>
      <c r="S13" s="46"/>
      <c r="T13" s="48"/>
      <c r="U13" s="48"/>
      <c r="V13" s="48"/>
      <c r="W13" s="48"/>
      <c r="X13" s="48"/>
      <c r="Y13" s="48">
        <f t="shared" si="2"/>
        <v>29.5</v>
      </c>
    </row>
    <row r="14">
      <c r="A14" s="10">
        <v>11.0</v>
      </c>
      <c r="B14" s="50" t="s">
        <v>27</v>
      </c>
      <c r="C14" s="46"/>
      <c r="D14" s="46"/>
      <c r="E14" s="45">
        <v>6.0</v>
      </c>
      <c r="F14" s="46">
        <v>0.5</v>
      </c>
      <c r="G14" s="46">
        <v>3.5</v>
      </c>
      <c r="H14" s="46">
        <v>1.5</v>
      </c>
      <c r="I14" s="46"/>
      <c r="J14" s="46">
        <v>1.5</v>
      </c>
      <c r="K14" s="46"/>
      <c r="L14" s="46"/>
      <c r="M14" s="46"/>
      <c r="N14" s="46"/>
      <c r="O14" s="46"/>
      <c r="P14" s="46"/>
      <c r="Q14" s="46"/>
      <c r="R14" s="46"/>
      <c r="S14" s="46"/>
      <c r="T14" s="48"/>
      <c r="U14" s="48"/>
      <c r="V14" s="48"/>
      <c r="W14" s="48"/>
      <c r="X14" s="48"/>
      <c r="Y14" s="48">
        <f t="shared" si="2"/>
        <v>13</v>
      </c>
    </row>
    <row r="15">
      <c r="A15" s="10">
        <v>12.0</v>
      </c>
      <c r="B15" s="17" t="s">
        <v>28</v>
      </c>
      <c r="C15" s="46"/>
      <c r="D15" s="46"/>
      <c r="E15" s="45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8"/>
      <c r="U15" s="48"/>
      <c r="V15" s="48"/>
      <c r="W15" s="48"/>
      <c r="X15" s="48"/>
      <c r="Y15" s="48">
        <f t="shared" si="2"/>
        <v>0</v>
      </c>
    </row>
    <row r="16">
      <c r="A16" s="10">
        <v>13.0</v>
      </c>
      <c r="B16" s="17" t="s">
        <v>29</v>
      </c>
      <c r="C16" s="46"/>
      <c r="D16" s="46"/>
      <c r="E16" s="45"/>
      <c r="F16" s="45">
        <v>2.0</v>
      </c>
      <c r="G16" s="45"/>
      <c r="H16" s="45"/>
      <c r="I16" s="45"/>
      <c r="J16" s="45"/>
      <c r="K16" s="45">
        <v>2.0</v>
      </c>
      <c r="L16" s="45">
        <v>7.0</v>
      </c>
      <c r="M16" s="45">
        <v>3.0</v>
      </c>
      <c r="N16" s="46">
        <v>1.5</v>
      </c>
      <c r="O16" s="45">
        <v>2.0</v>
      </c>
      <c r="P16" s="46"/>
      <c r="Q16" s="46">
        <v>3.5</v>
      </c>
      <c r="R16" s="45">
        <v>1.0</v>
      </c>
      <c r="S16" s="46"/>
      <c r="T16" s="48">
        <v>0.5</v>
      </c>
      <c r="U16" s="48"/>
      <c r="V16" s="48"/>
      <c r="W16" s="48"/>
      <c r="X16" s="48"/>
      <c r="Y16" s="48">
        <f>SUM(C16:T16)</f>
        <v>22.5</v>
      </c>
    </row>
    <row r="17">
      <c r="A17" s="10">
        <v>14.0</v>
      </c>
      <c r="B17" s="17" t="s">
        <v>30</v>
      </c>
      <c r="C17" s="46"/>
      <c r="D17" s="46"/>
      <c r="E17" s="45">
        <v>6.0</v>
      </c>
      <c r="F17" s="46"/>
      <c r="G17" s="45"/>
      <c r="H17" s="45"/>
      <c r="I17" s="45"/>
      <c r="J17" s="45"/>
      <c r="K17" s="45"/>
      <c r="L17" s="46"/>
      <c r="M17" s="46"/>
      <c r="N17" s="46"/>
      <c r="O17" s="45"/>
      <c r="P17" s="46"/>
      <c r="Q17" s="46"/>
      <c r="R17" s="46"/>
      <c r="S17" s="46"/>
      <c r="T17" s="48"/>
      <c r="U17" s="48"/>
      <c r="V17" s="48"/>
      <c r="W17" s="48"/>
      <c r="X17" s="48"/>
      <c r="Y17" s="48">
        <f t="shared" ref="Y17:Y29" si="3">SUM(C17:S17)</f>
        <v>6</v>
      </c>
    </row>
    <row r="18">
      <c r="A18" s="10">
        <v>15.0</v>
      </c>
      <c r="B18" s="17" t="s">
        <v>31</v>
      </c>
      <c r="C18" s="45">
        <v>6.0</v>
      </c>
      <c r="D18" s="46"/>
      <c r="E18" s="45">
        <v>2.0</v>
      </c>
      <c r="F18" s="46"/>
      <c r="G18" s="45"/>
      <c r="H18" s="45"/>
      <c r="I18" s="45"/>
      <c r="J18" s="45"/>
      <c r="K18" s="45"/>
      <c r="L18" s="46"/>
      <c r="M18" s="46"/>
      <c r="N18" s="46"/>
      <c r="O18" s="45"/>
      <c r="P18" s="46"/>
      <c r="Q18" s="46"/>
      <c r="R18" s="46"/>
      <c r="S18" s="46"/>
      <c r="T18" s="48"/>
      <c r="U18" s="48"/>
      <c r="V18" s="48"/>
      <c r="W18" s="48"/>
      <c r="X18" s="48"/>
      <c r="Y18" s="48">
        <f t="shared" si="3"/>
        <v>8</v>
      </c>
    </row>
    <row r="19">
      <c r="A19" s="10">
        <v>16.0</v>
      </c>
      <c r="B19" s="17" t="s">
        <v>32</v>
      </c>
      <c r="C19" s="46"/>
      <c r="D19" s="46"/>
      <c r="E19" s="45"/>
      <c r="F19" s="46"/>
      <c r="G19" s="45">
        <v>1.0</v>
      </c>
      <c r="H19" s="45"/>
      <c r="I19" s="45">
        <v>1.0</v>
      </c>
      <c r="J19" s="45"/>
      <c r="K19" s="45">
        <v>3.0</v>
      </c>
      <c r="L19" s="46" t="s">
        <v>51</v>
      </c>
      <c r="M19" s="46"/>
      <c r="N19" s="46"/>
      <c r="O19" s="45">
        <v>2.0</v>
      </c>
      <c r="P19" s="46"/>
      <c r="Q19" s="46"/>
      <c r="R19" s="46">
        <v>4.5</v>
      </c>
      <c r="S19" s="46"/>
      <c r="T19" s="48"/>
      <c r="U19" s="48"/>
      <c r="V19" s="48"/>
      <c r="W19" s="48"/>
      <c r="X19" s="48"/>
      <c r="Y19" s="48">
        <f t="shared" si="3"/>
        <v>11.5</v>
      </c>
    </row>
    <row r="20">
      <c r="A20" s="10">
        <v>17.0</v>
      </c>
      <c r="B20" s="17" t="s">
        <v>33</v>
      </c>
      <c r="C20" s="46"/>
      <c r="D20" s="46"/>
      <c r="E20" s="45"/>
      <c r="F20" s="46"/>
      <c r="G20" s="46"/>
      <c r="H20" s="46"/>
      <c r="I20" s="46"/>
      <c r="J20" s="46"/>
      <c r="K20" s="46"/>
      <c r="L20" s="46"/>
      <c r="M20" s="46"/>
      <c r="N20" s="46"/>
      <c r="O20" s="45"/>
      <c r="P20" s="46"/>
      <c r="Q20" s="46"/>
      <c r="R20" s="46"/>
      <c r="S20" s="46"/>
      <c r="T20" s="48"/>
      <c r="U20" s="48"/>
      <c r="V20" s="48"/>
      <c r="W20" s="48"/>
      <c r="X20" s="48"/>
      <c r="Y20" s="48">
        <f t="shared" si="3"/>
        <v>0</v>
      </c>
    </row>
    <row r="21">
      <c r="A21" s="10">
        <v>18.0</v>
      </c>
      <c r="B21" s="17" t="s">
        <v>34</v>
      </c>
      <c r="C21" s="46"/>
      <c r="D21" s="46"/>
      <c r="E21" s="45">
        <v>5.0</v>
      </c>
      <c r="F21" s="46">
        <v>0.5</v>
      </c>
      <c r="G21" s="46"/>
      <c r="H21" s="46"/>
      <c r="I21" s="46"/>
      <c r="J21" s="46"/>
      <c r="K21" s="46"/>
      <c r="L21" s="46"/>
      <c r="M21" s="46"/>
      <c r="N21" s="46"/>
      <c r="O21" s="45"/>
      <c r="P21" s="46"/>
      <c r="Q21" s="46"/>
      <c r="R21" s="46"/>
      <c r="S21" s="46"/>
      <c r="T21" s="49"/>
      <c r="U21" s="49"/>
      <c r="V21" s="49"/>
      <c r="W21" s="49"/>
      <c r="X21" s="49"/>
      <c r="Y21" s="49">
        <f t="shared" si="3"/>
        <v>5.5</v>
      </c>
      <c r="Z21" s="51"/>
    </row>
    <row r="22">
      <c r="A22" s="10">
        <v>19.0</v>
      </c>
      <c r="B22" s="17" t="s">
        <v>35</v>
      </c>
      <c r="C22" s="46"/>
      <c r="D22" s="46"/>
      <c r="E22" s="45"/>
      <c r="F22" s="46"/>
      <c r="G22" s="46"/>
      <c r="H22" s="46"/>
      <c r="I22" s="46"/>
      <c r="J22" s="46"/>
      <c r="K22" s="46"/>
      <c r="L22" s="46"/>
      <c r="M22" s="46"/>
      <c r="N22" s="46"/>
      <c r="O22" s="45"/>
      <c r="P22" s="46"/>
      <c r="Q22" s="46"/>
      <c r="R22" s="46"/>
      <c r="S22" s="46"/>
      <c r="T22" s="48"/>
      <c r="U22" s="48"/>
      <c r="V22" s="48"/>
      <c r="W22" s="48"/>
      <c r="X22" s="48"/>
      <c r="Y22" s="48">
        <f t="shared" si="3"/>
        <v>0</v>
      </c>
    </row>
    <row r="23">
      <c r="A23" s="10">
        <v>20.0</v>
      </c>
      <c r="B23" s="17" t="s">
        <v>36</v>
      </c>
      <c r="C23" s="46"/>
      <c r="D23" s="46"/>
      <c r="E23" s="45">
        <v>4.0</v>
      </c>
      <c r="F23" s="46"/>
      <c r="G23" s="46">
        <v>1.5</v>
      </c>
      <c r="H23" s="46"/>
      <c r="I23" s="45">
        <v>2.0</v>
      </c>
      <c r="J23" s="46"/>
      <c r="K23" s="46"/>
      <c r="L23" s="46"/>
      <c r="M23" s="46"/>
      <c r="N23" s="46"/>
      <c r="O23" s="45"/>
      <c r="P23" s="46"/>
      <c r="Q23" s="46"/>
      <c r="R23" s="46"/>
      <c r="S23" s="46"/>
      <c r="T23" s="49"/>
      <c r="U23" s="49"/>
      <c r="V23" s="49"/>
      <c r="W23" s="49"/>
      <c r="X23" s="49"/>
      <c r="Y23" s="49">
        <f t="shared" si="3"/>
        <v>7.5</v>
      </c>
      <c r="Z23" s="51"/>
    </row>
    <row r="24">
      <c r="A24" s="10">
        <v>21.0</v>
      </c>
      <c r="B24" s="52" t="s">
        <v>37</v>
      </c>
      <c r="C24" s="46"/>
      <c r="D24" s="46">
        <v>1.5</v>
      </c>
      <c r="E24" s="47"/>
      <c r="F24" s="46"/>
      <c r="G24" s="46"/>
      <c r="H24" s="46"/>
      <c r="I24" s="46"/>
      <c r="J24" s="46"/>
      <c r="K24" s="46"/>
      <c r="L24" s="46"/>
      <c r="M24" s="46"/>
      <c r="N24" s="46"/>
      <c r="O24" s="45"/>
      <c r="P24" s="46"/>
      <c r="Q24" s="46"/>
      <c r="R24" s="46"/>
      <c r="S24" s="46"/>
      <c r="T24" s="49"/>
      <c r="U24" s="49"/>
      <c r="V24" s="49"/>
      <c r="W24" s="49"/>
      <c r="X24" s="49"/>
      <c r="Y24" s="49">
        <f t="shared" si="3"/>
        <v>1.5</v>
      </c>
    </row>
    <row r="25">
      <c r="A25" s="10">
        <v>22.0</v>
      </c>
      <c r="B25" s="52" t="s">
        <v>38</v>
      </c>
      <c r="C25" s="46"/>
      <c r="D25" s="46"/>
      <c r="E25" s="47"/>
      <c r="F25" s="46">
        <v>0.5</v>
      </c>
      <c r="G25" s="46"/>
      <c r="H25" s="45">
        <v>1.0</v>
      </c>
      <c r="I25" s="46"/>
      <c r="J25" s="46">
        <v>1.5</v>
      </c>
      <c r="K25" s="46">
        <v>1.0</v>
      </c>
      <c r="L25" s="46"/>
      <c r="M25" s="45">
        <v>1.0</v>
      </c>
      <c r="N25" s="46"/>
      <c r="O25" s="45">
        <v>1.0</v>
      </c>
      <c r="P25" s="46"/>
      <c r="Q25" s="45">
        <v>1.0</v>
      </c>
      <c r="R25" s="46">
        <v>0.5</v>
      </c>
      <c r="S25" s="46"/>
      <c r="T25" s="48"/>
      <c r="U25" s="48">
        <v>2.0</v>
      </c>
      <c r="V25" s="48"/>
      <c r="W25" s="48">
        <v>0.5</v>
      </c>
      <c r="X25" s="48"/>
      <c r="Y25" s="48">
        <f t="shared" si="3"/>
        <v>7.5</v>
      </c>
    </row>
    <row r="26">
      <c r="A26" s="10">
        <v>23.0</v>
      </c>
      <c r="B26" s="52" t="s">
        <v>39</v>
      </c>
      <c r="C26" s="46"/>
      <c r="D26" s="46"/>
      <c r="E26" s="47"/>
      <c r="F26" s="46"/>
      <c r="G26" s="46"/>
      <c r="H26" s="46"/>
      <c r="I26" s="46"/>
      <c r="J26" s="46"/>
      <c r="K26" s="46"/>
      <c r="L26" s="46"/>
      <c r="M26" s="46"/>
      <c r="N26" s="46"/>
      <c r="O26" s="45"/>
      <c r="P26" s="46"/>
      <c r="Q26" s="46"/>
      <c r="R26" s="46"/>
      <c r="S26" s="46"/>
      <c r="T26" s="48"/>
      <c r="U26" s="48"/>
      <c r="V26" s="48"/>
      <c r="W26" s="48"/>
      <c r="X26" s="48"/>
      <c r="Y26" s="48">
        <f t="shared" si="3"/>
        <v>0</v>
      </c>
    </row>
    <row r="27">
      <c r="A27" s="10">
        <v>24.0</v>
      </c>
      <c r="B27" s="53" t="s">
        <v>40</v>
      </c>
      <c r="C27" s="46"/>
      <c r="D27" s="46"/>
      <c r="E27" s="47"/>
      <c r="F27" s="46"/>
      <c r="G27" s="46"/>
      <c r="H27" s="46"/>
      <c r="I27" s="46"/>
      <c r="J27" s="46"/>
      <c r="K27" s="46"/>
      <c r="L27" s="46"/>
      <c r="M27" s="46"/>
      <c r="N27" s="46"/>
      <c r="O27" s="45"/>
      <c r="P27" s="46"/>
      <c r="Q27" s="46"/>
      <c r="R27" s="46"/>
      <c r="S27" s="46"/>
      <c r="T27" s="48"/>
      <c r="U27" s="48"/>
      <c r="V27" s="48"/>
      <c r="W27" s="48"/>
      <c r="X27" s="48"/>
      <c r="Y27" s="48">
        <f t="shared" si="3"/>
        <v>0</v>
      </c>
    </row>
    <row r="28">
      <c r="A28" s="10">
        <v>25.0</v>
      </c>
      <c r="B28" s="53" t="s">
        <v>41</v>
      </c>
      <c r="C28" s="46"/>
      <c r="D28" s="46"/>
      <c r="E28" s="47"/>
      <c r="F28" s="46"/>
      <c r="G28" s="46"/>
      <c r="H28" s="46"/>
      <c r="I28" s="46"/>
      <c r="J28" s="46"/>
      <c r="K28" s="46"/>
      <c r="L28" s="46"/>
      <c r="M28" s="46"/>
      <c r="N28" s="46"/>
      <c r="O28" s="45"/>
      <c r="P28" s="46"/>
      <c r="Q28" s="46"/>
      <c r="R28" s="46"/>
      <c r="S28" s="46"/>
      <c r="T28" s="48"/>
      <c r="U28" s="48"/>
      <c r="V28" s="48"/>
      <c r="W28" s="48"/>
      <c r="X28" s="48"/>
      <c r="Y28" s="48">
        <f t="shared" si="3"/>
        <v>0</v>
      </c>
    </row>
    <row r="29">
      <c r="A29" s="10"/>
      <c r="B29" s="52"/>
      <c r="C29" s="46"/>
      <c r="D29" s="46"/>
      <c r="E29" s="47"/>
      <c r="F29" s="46"/>
      <c r="G29" s="46"/>
      <c r="H29" s="46"/>
      <c r="I29" s="46"/>
      <c r="J29" s="46"/>
      <c r="K29" s="46"/>
      <c r="L29" s="46"/>
      <c r="M29" s="46"/>
      <c r="N29" s="46"/>
      <c r="O29" s="45"/>
      <c r="P29" s="46"/>
      <c r="Q29" s="46"/>
      <c r="R29" s="46"/>
      <c r="S29" s="46"/>
      <c r="T29" s="48"/>
      <c r="U29" s="48"/>
      <c r="V29" s="48"/>
      <c r="W29" s="48"/>
      <c r="X29" s="48"/>
      <c r="Y29" s="48">
        <f t="shared" si="3"/>
        <v>0</v>
      </c>
    </row>
    <row r="30">
      <c r="B30" s="54"/>
      <c r="C30" s="55"/>
      <c r="D30" s="55"/>
      <c r="E30" s="56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7"/>
      <c r="U30" s="57"/>
      <c r="V30" s="57"/>
      <c r="W30" s="57"/>
      <c r="X30" s="57"/>
      <c r="Y30" s="57"/>
    </row>
    <row r="31">
      <c r="C31" s="55"/>
      <c r="D31" s="55"/>
      <c r="E31" s="56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7"/>
      <c r="U31" s="57"/>
      <c r="V31" s="57"/>
      <c r="W31" s="57"/>
      <c r="X31" s="57"/>
      <c r="Y31" s="57"/>
    </row>
    <row r="32">
      <c r="C32" s="55"/>
      <c r="D32" s="55"/>
      <c r="E32" s="56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7"/>
      <c r="U32" s="57"/>
      <c r="V32" s="57"/>
      <c r="W32" s="57"/>
      <c r="X32" s="57"/>
      <c r="Y32" s="57"/>
    </row>
    <row r="33">
      <c r="C33" s="55"/>
      <c r="D33" s="55"/>
      <c r="E33" s="56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7"/>
      <c r="U33" s="57"/>
      <c r="V33" s="57"/>
      <c r="W33" s="57"/>
      <c r="X33" s="57"/>
      <c r="Y33" s="57"/>
    </row>
    <row r="34">
      <c r="C34" s="55"/>
      <c r="D34" s="55"/>
      <c r="E34" s="56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7"/>
      <c r="U34" s="57"/>
      <c r="V34" s="57"/>
      <c r="W34" s="57"/>
      <c r="X34" s="57"/>
      <c r="Y34" s="57"/>
    </row>
    <row r="35">
      <c r="C35" s="55"/>
      <c r="D35" s="55"/>
      <c r="E35" s="56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7"/>
      <c r="U35" s="57"/>
      <c r="V35" s="57"/>
      <c r="W35" s="57"/>
      <c r="X35" s="57"/>
      <c r="Y35" s="57"/>
    </row>
    <row r="36">
      <c r="C36" s="55"/>
      <c r="D36" s="55"/>
      <c r="E36" s="56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7"/>
      <c r="U36" s="57"/>
      <c r="V36" s="57"/>
      <c r="W36" s="57"/>
      <c r="X36" s="57"/>
      <c r="Y36" s="57"/>
    </row>
    <row r="37">
      <c r="C37" s="55"/>
      <c r="D37" s="55"/>
      <c r="E37" s="56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7"/>
      <c r="U37" s="57"/>
      <c r="V37" s="57"/>
      <c r="W37" s="57"/>
      <c r="X37" s="57"/>
      <c r="Y37" s="57"/>
    </row>
    <row r="38">
      <c r="C38" s="55"/>
      <c r="D38" s="55"/>
      <c r="E38" s="56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7"/>
      <c r="U38" s="57"/>
      <c r="V38" s="57"/>
      <c r="W38" s="57"/>
      <c r="X38" s="57"/>
      <c r="Y38" s="57"/>
    </row>
    <row r="39">
      <c r="C39" s="55"/>
      <c r="D39" s="55"/>
      <c r="E39" s="56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7"/>
      <c r="U39" s="57"/>
      <c r="V39" s="57"/>
      <c r="W39" s="57"/>
      <c r="X39" s="57"/>
      <c r="Y39" s="57"/>
    </row>
    <row r="40">
      <c r="C40" s="55"/>
      <c r="D40" s="55"/>
      <c r="E40" s="56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7"/>
      <c r="U40" s="57"/>
      <c r="V40" s="57"/>
      <c r="W40" s="57"/>
      <c r="X40" s="57"/>
      <c r="Y40" s="57"/>
    </row>
    <row r="41">
      <c r="C41" s="55"/>
      <c r="D41" s="55"/>
      <c r="E41" s="56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7"/>
      <c r="U41" s="57"/>
      <c r="V41" s="57"/>
      <c r="W41" s="57"/>
      <c r="X41" s="57"/>
      <c r="Y41" s="57"/>
    </row>
    <row r="42">
      <c r="C42" s="55"/>
      <c r="D42" s="55"/>
      <c r="E42" s="56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7"/>
      <c r="U42" s="57"/>
      <c r="V42" s="57"/>
      <c r="W42" s="57"/>
      <c r="X42" s="57"/>
      <c r="Y42" s="57"/>
    </row>
    <row r="43">
      <c r="C43" s="55"/>
      <c r="D43" s="55"/>
      <c r="E43" s="56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7"/>
      <c r="U43" s="57"/>
      <c r="V43" s="57"/>
      <c r="W43" s="57"/>
      <c r="X43" s="57"/>
      <c r="Y43" s="57"/>
    </row>
    <row r="44">
      <c r="C44" s="55"/>
      <c r="D44" s="55"/>
      <c r="E44" s="56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7"/>
      <c r="U44" s="57"/>
      <c r="V44" s="57"/>
      <c r="W44" s="57"/>
      <c r="X44" s="57"/>
      <c r="Y44" s="57"/>
    </row>
    <row r="45">
      <c r="C45" s="55"/>
      <c r="D45" s="55"/>
      <c r="E45" s="56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7"/>
      <c r="U45" s="57"/>
      <c r="V45" s="57"/>
      <c r="W45" s="57"/>
      <c r="X45" s="57"/>
      <c r="Y45" s="57"/>
    </row>
    <row r="46">
      <c r="C46" s="55"/>
      <c r="D46" s="55"/>
      <c r="E46" s="56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7"/>
      <c r="U46" s="57"/>
      <c r="V46" s="57"/>
      <c r="W46" s="57"/>
      <c r="X46" s="57"/>
      <c r="Y46" s="57"/>
    </row>
    <row r="47">
      <c r="C47" s="55"/>
      <c r="D47" s="55"/>
      <c r="E47" s="56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7"/>
      <c r="U47" s="57"/>
      <c r="V47" s="57"/>
      <c r="W47" s="57"/>
      <c r="X47" s="57"/>
      <c r="Y47" s="57"/>
    </row>
    <row r="48">
      <c r="C48" s="55"/>
      <c r="D48" s="55"/>
      <c r="E48" s="56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7"/>
      <c r="U48" s="57"/>
      <c r="V48" s="57"/>
      <c r="W48" s="57"/>
      <c r="X48" s="57"/>
      <c r="Y48" s="57"/>
    </row>
    <row r="49">
      <c r="C49" s="55"/>
      <c r="D49" s="55"/>
      <c r="E49" s="56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7"/>
      <c r="U49" s="57"/>
      <c r="V49" s="57"/>
      <c r="W49" s="57"/>
      <c r="X49" s="57"/>
      <c r="Y49" s="57"/>
    </row>
    <row r="50">
      <c r="C50" s="55"/>
      <c r="D50" s="55"/>
      <c r="E50" s="56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7"/>
      <c r="U50" s="57"/>
      <c r="V50" s="57"/>
      <c r="W50" s="57"/>
      <c r="X50" s="57"/>
      <c r="Y50" s="57"/>
    </row>
    <row r="51">
      <c r="C51" s="55"/>
      <c r="D51" s="55"/>
      <c r="E51" s="56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7"/>
      <c r="U51" s="57"/>
      <c r="V51" s="57"/>
      <c r="W51" s="57"/>
      <c r="X51" s="57"/>
      <c r="Y51" s="57"/>
    </row>
    <row r="52">
      <c r="C52" s="55"/>
      <c r="D52" s="55"/>
      <c r="E52" s="56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7"/>
      <c r="U52" s="57"/>
      <c r="V52" s="57"/>
      <c r="W52" s="57"/>
      <c r="X52" s="57"/>
      <c r="Y52" s="57"/>
    </row>
    <row r="53">
      <c r="C53" s="55"/>
      <c r="D53" s="55"/>
      <c r="E53" s="56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7"/>
      <c r="U53" s="57"/>
      <c r="V53" s="57"/>
      <c r="W53" s="57"/>
      <c r="X53" s="57"/>
      <c r="Y53" s="57"/>
    </row>
    <row r="54">
      <c r="C54" s="55"/>
      <c r="D54" s="55"/>
      <c r="E54" s="56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7"/>
      <c r="U54" s="57"/>
      <c r="V54" s="57"/>
      <c r="W54" s="57"/>
      <c r="X54" s="57"/>
      <c r="Y54" s="57"/>
    </row>
    <row r="55">
      <c r="C55" s="55"/>
      <c r="D55" s="55"/>
      <c r="E55" s="56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7"/>
      <c r="U55" s="57"/>
      <c r="V55" s="57"/>
      <c r="W55" s="57"/>
      <c r="X55" s="57"/>
      <c r="Y55" s="57"/>
    </row>
    <row r="56">
      <c r="C56" s="55"/>
      <c r="D56" s="55"/>
      <c r="E56" s="56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7"/>
      <c r="U56" s="57"/>
      <c r="V56" s="57"/>
      <c r="W56" s="57"/>
      <c r="X56" s="57"/>
      <c r="Y56" s="57"/>
    </row>
    <row r="57">
      <c r="C57" s="55"/>
      <c r="D57" s="55"/>
      <c r="E57" s="56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7"/>
      <c r="U57" s="57"/>
      <c r="V57" s="57"/>
      <c r="W57" s="57"/>
      <c r="X57" s="57"/>
      <c r="Y57" s="57"/>
    </row>
    <row r="58">
      <c r="C58" s="55"/>
      <c r="D58" s="55"/>
      <c r="E58" s="56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7"/>
      <c r="U58" s="57"/>
      <c r="V58" s="57"/>
      <c r="W58" s="57"/>
      <c r="X58" s="57"/>
      <c r="Y58" s="57"/>
    </row>
    <row r="59">
      <c r="C59" s="55"/>
      <c r="D59" s="55"/>
      <c r="E59" s="56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7"/>
      <c r="U59" s="57"/>
      <c r="V59" s="57"/>
      <c r="W59" s="57"/>
      <c r="X59" s="57"/>
      <c r="Y59" s="57"/>
    </row>
    <row r="60">
      <c r="C60" s="55"/>
      <c r="D60" s="55"/>
      <c r="E60" s="56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7"/>
      <c r="U60" s="57"/>
      <c r="V60" s="57"/>
      <c r="W60" s="57"/>
      <c r="X60" s="57"/>
      <c r="Y60" s="57"/>
    </row>
    <row r="61">
      <c r="C61" s="55"/>
      <c r="D61" s="55"/>
      <c r="E61" s="56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7"/>
      <c r="U61" s="57"/>
      <c r="V61" s="57"/>
      <c r="W61" s="57"/>
      <c r="X61" s="57"/>
      <c r="Y61" s="57"/>
    </row>
    <row r="62">
      <c r="C62" s="55"/>
      <c r="D62" s="55"/>
      <c r="E62" s="56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7"/>
      <c r="U62" s="57"/>
      <c r="V62" s="57"/>
      <c r="W62" s="57"/>
      <c r="X62" s="57"/>
      <c r="Y62" s="57"/>
    </row>
    <row r="63">
      <c r="C63" s="55"/>
      <c r="D63" s="55"/>
      <c r="E63" s="56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7"/>
      <c r="U63" s="57"/>
      <c r="V63" s="57"/>
      <c r="W63" s="57"/>
      <c r="X63" s="57"/>
      <c r="Y63" s="57"/>
    </row>
    <row r="64">
      <c r="C64" s="55"/>
      <c r="D64" s="55"/>
      <c r="E64" s="56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7"/>
      <c r="U64" s="57"/>
      <c r="V64" s="57"/>
      <c r="W64" s="57"/>
      <c r="X64" s="57"/>
      <c r="Y64" s="57"/>
    </row>
    <row r="65">
      <c r="C65" s="55"/>
      <c r="D65" s="55"/>
      <c r="E65" s="56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7"/>
      <c r="U65" s="57"/>
      <c r="V65" s="57"/>
      <c r="W65" s="57"/>
      <c r="X65" s="57"/>
      <c r="Y65" s="57"/>
    </row>
    <row r="66">
      <c r="C66" s="55"/>
      <c r="D66" s="55"/>
      <c r="E66" s="56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7"/>
      <c r="U66" s="57"/>
      <c r="V66" s="57"/>
      <c r="W66" s="57"/>
      <c r="X66" s="57"/>
      <c r="Y66" s="57"/>
    </row>
    <row r="67">
      <c r="C67" s="55"/>
      <c r="D67" s="55"/>
      <c r="E67" s="56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7"/>
      <c r="U67" s="57"/>
      <c r="V67" s="57"/>
      <c r="W67" s="57"/>
      <c r="X67" s="57"/>
      <c r="Y67" s="57"/>
    </row>
    <row r="68">
      <c r="C68" s="55"/>
      <c r="D68" s="55"/>
      <c r="E68" s="56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7"/>
      <c r="U68" s="57"/>
      <c r="V68" s="57"/>
      <c r="W68" s="57"/>
      <c r="X68" s="57"/>
      <c r="Y68" s="57"/>
    </row>
    <row r="69">
      <c r="C69" s="55"/>
      <c r="D69" s="55"/>
      <c r="E69" s="56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7"/>
      <c r="U69" s="57"/>
      <c r="V69" s="57"/>
      <c r="W69" s="57"/>
      <c r="X69" s="57"/>
      <c r="Y69" s="57"/>
    </row>
    <row r="70">
      <c r="C70" s="55"/>
      <c r="D70" s="55"/>
      <c r="E70" s="56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7"/>
      <c r="U70" s="57"/>
      <c r="V70" s="57"/>
      <c r="W70" s="57"/>
      <c r="X70" s="57"/>
      <c r="Y70" s="57"/>
    </row>
    <row r="71">
      <c r="C71" s="55"/>
      <c r="D71" s="55"/>
      <c r="E71" s="56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7"/>
      <c r="U71" s="57"/>
      <c r="V71" s="57"/>
      <c r="W71" s="57"/>
      <c r="X71" s="57"/>
      <c r="Y71" s="57"/>
    </row>
    <row r="72">
      <c r="C72" s="55"/>
      <c r="D72" s="55"/>
      <c r="E72" s="56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7"/>
      <c r="U72" s="57"/>
      <c r="V72" s="57"/>
      <c r="W72" s="57"/>
      <c r="X72" s="57"/>
      <c r="Y72" s="57"/>
    </row>
    <row r="73">
      <c r="C73" s="55"/>
      <c r="D73" s="55"/>
      <c r="E73" s="56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7"/>
      <c r="U73" s="57"/>
      <c r="V73" s="57"/>
      <c r="W73" s="57"/>
      <c r="X73" s="57"/>
      <c r="Y73" s="57"/>
    </row>
    <row r="74">
      <c r="C74" s="55"/>
      <c r="D74" s="55"/>
      <c r="E74" s="56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7"/>
      <c r="U74" s="57"/>
      <c r="V74" s="57"/>
      <c r="W74" s="57"/>
      <c r="X74" s="57"/>
      <c r="Y74" s="57"/>
    </row>
    <row r="75">
      <c r="C75" s="55"/>
      <c r="D75" s="55"/>
      <c r="E75" s="56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7"/>
      <c r="U75" s="57"/>
      <c r="V75" s="57"/>
      <c r="W75" s="57"/>
      <c r="X75" s="57"/>
      <c r="Y75" s="57"/>
    </row>
    <row r="76">
      <c r="C76" s="55"/>
      <c r="D76" s="55"/>
      <c r="E76" s="56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7"/>
      <c r="U76" s="57"/>
      <c r="V76" s="57"/>
      <c r="W76" s="57"/>
      <c r="X76" s="57"/>
      <c r="Y76" s="57"/>
    </row>
    <row r="77">
      <c r="C77" s="55"/>
      <c r="D77" s="55"/>
      <c r="E77" s="56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7"/>
      <c r="U77" s="57"/>
      <c r="V77" s="57"/>
      <c r="W77" s="57"/>
      <c r="X77" s="57"/>
      <c r="Y77" s="57"/>
    </row>
    <row r="78">
      <c r="C78" s="55"/>
      <c r="D78" s="55"/>
      <c r="E78" s="56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7"/>
      <c r="U78" s="57"/>
      <c r="V78" s="57"/>
      <c r="W78" s="57"/>
      <c r="X78" s="57"/>
      <c r="Y78" s="57"/>
    </row>
    <row r="79">
      <c r="C79" s="55"/>
      <c r="D79" s="55"/>
      <c r="E79" s="56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7"/>
      <c r="U79" s="57"/>
      <c r="V79" s="57"/>
      <c r="W79" s="57"/>
      <c r="X79" s="57"/>
      <c r="Y79" s="57"/>
    </row>
    <row r="80">
      <c r="C80" s="55"/>
      <c r="D80" s="55"/>
      <c r="E80" s="56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7"/>
      <c r="U80" s="57"/>
      <c r="V80" s="57"/>
      <c r="W80" s="57"/>
      <c r="X80" s="57"/>
      <c r="Y80" s="57"/>
    </row>
    <row r="81">
      <c r="C81" s="55"/>
      <c r="D81" s="55"/>
      <c r="E81" s="56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7"/>
      <c r="U81" s="57"/>
      <c r="V81" s="57"/>
      <c r="W81" s="57"/>
      <c r="X81" s="57"/>
      <c r="Y81" s="57"/>
    </row>
    <row r="82">
      <c r="C82" s="55"/>
      <c r="D82" s="55"/>
      <c r="E82" s="56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7"/>
      <c r="U82" s="57"/>
      <c r="V82" s="57"/>
      <c r="W82" s="57"/>
      <c r="X82" s="57"/>
      <c r="Y82" s="57"/>
    </row>
    <row r="83">
      <c r="C83" s="55"/>
      <c r="D83" s="55"/>
      <c r="E83" s="56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7"/>
      <c r="U83" s="57"/>
      <c r="V83" s="57"/>
      <c r="W83" s="57"/>
      <c r="X83" s="57"/>
      <c r="Y83" s="57"/>
    </row>
    <row r="84">
      <c r="C84" s="55"/>
      <c r="D84" s="55"/>
      <c r="E84" s="56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7"/>
      <c r="U84" s="57"/>
      <c r="V84" s="57"/>
      <c r="W84" s="57"/>
      <c r="X84" s="57"/>
      <c r="Y84" s="57"/>
    </row>
    <row r="85">
      <c r="C85" s="55"/>
      <c r="D85" s="55"/>
      <c r="E85" s="56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7"/>
      <c r="U85" s="57"/>
      <c r="V85" s="57"/>
      <c r="W85" s="57"/>
      <c r="X85" s="57"/>
      <c r="Y85" s="57"/>
    </row>
    <row r="86">
      <c r="C86" s="55"/>
      <c r="D86" s="55"/>
      <c r="E86" s="56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7"/>
      <c r="U86" s="57"/>
      <c r="V86" s="57"/>
      <c r="W86" s="57"/>
      <c r="X86" s="57"/>
      <c r="Y86" s="57"/>
    </row>
    <row r="87">
      <c r="C87" s="55"/>
      <c r="D87" s="55"/>
      <c r="E87" s="56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7"/>
      <c r="U87" s="57"/>
      <c r="V87" s="57"/>
      <c r="W87" s="57"/>
      <c r="X87" s="57"/>
      <c r="Y87" s="57"/>
    </row>
    <row r="88">
      <c r="C88" s="55"/>
      <c r="D88" s="55"/>
      <c r="E88" s="56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7"/>
      <c r="U88" s="57"/>
      <c r="V88" s="57"/>
      <c r="W88" s="57"/>
      <c r="X88" s="57"/>
      <c r="Y88" s="57"/>
    </row>
    <row r="89">
      <c r="C89" s="55"/>
      <c r="D89" s="55"/>
      <c r="E89" s="56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7"/>
      <c r="U89" s="57"/>
      <c r="V89" s="57"/>
      <c r="W89" s="57"/>
      <c r="X89" s="57"/>
      <c r="Y89" s="57"/>
    </row>
    <row r="90">
      <c r="C90" s="55"/>
      <c r="D90" s="55"/>
      <c r="E90" s="56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7"/>
      <c r="U90" s="57"/>
      <c r="V90" s="57"/>
      <c r="W90" s="57"/>
      <c r="X90" s="57"/>
      <c r="Y90" s="57"/>
    </row>
    <row r="91">
      <c r="C91" s="55"/>
      <c r="D91" s="55"/>
      <c r="E91" s="56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7"/>
      <c r="U91" s="57"/>
      <c r="V91" s="57"/>
      <c r="W91" s="57"/>
      <c r="X91" s="57"/>
      <c r="Y91" s="57"/>
    </row>
    <row r="92">
      <c r="C92" s="55"/>
      <c r="D92" s="55"/>
      <c r="E92" s="56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7"/>
      <c r="U92" s="57"/>
      <c r="V92" s="57"/>
      <c r="W92" s="57"/>
      <c r="X92" s="57"/>
      <c r="Y92" s="57"/>
    </row>
    <row r="93">
      <c r="C93" s="55"/>
      <c r="D93" s="55"/>
      <c r="E93" s="56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7"/>
      <c r="U93" s="57"/>
      <c r="V93" s="57"/>
      <c r="W93" s="57"/>
      <c r="X93" s="57"/>
      <c r="Y93" s="57"/>
    </row>
    <row r="94">
      <c r="C94" s="55"/>
      <c r="D94" s="55"/>
      <c r="E94" s="56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7"/>
      <c r="U94" s="57"/>
      <c r="V94" s="57"/>
      <c r="W94" s="57"/>
      <c r="X94" s="57"/>
      <c r="Y94" s="57"/>
    </row>
    <row r="95">
      <c r="C95" s="55"/>
      <c r="D95" s="55"/>
      <c r="E95" s="56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7"/>
      <c r="U95" s="57"/>
      <c r="V95" s="57"/>
      <c r="W95" s="57"/>
      <c r="X95" s="57"/>
      <c r="Y95" s="57"/>
    </row>
    <row r="96">
      <c r="C96" s="55"/>
      <c r="D96" s="55"/>
      <c r="E96" s="56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7"/>
      <c r="U96" s="57"/>
      <c r="V96" s="57"/>
      <c r="W96" s="57"/>
      <c r="X96" s="57"/>
      <c r="Y96" s="57"/>
    </row>
    <row r="97">
      <c r="C97" s="55"/>
      <c r="D97" s="55"/>
      <c r="E97" s="56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7"/>
      <c r="U97" s="57"/>
      <c r="V97" s="57"/>
      <c r="W97" s="57"/>
      <c r="X97" s="57"/>
      <c r="Y97" s="57"/>
    </row>
    <row r="98">
      <c r="C98" s="55"/>
      <c r="D98" s="55"/>
      <c r="E98" s="56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7"/>
      <c r="U98" s="57"/>
      <c r="V98" s="57"/>
      <c r="W98" s="57"/>
      <c r="X98" s="57"/>
      <c r="Y98" s="57"/>
    </row>
    <row r="99">
      <c r="C99" s="55"/>
      <c r="D99" s="55"/>
      <c r="E99" s="56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7"/>
      <c r="U99" s="57"/>
      <c r="V99" s="57"/>
      <c r="W99" s="57"/>
      <c r="X99" s="57"/>
      <c r="Y99" s="57"/>
    </row>
    <row r="100">
      <c r="C100" s="55"/>
      <c r="D100" s="55"/>
      <c r="E100" s="56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7"/>
      <c r="U100" s="57"/>
      <c r="V100" s="57"/>
      <c r="W100" s="57"/>
      <c r="X100" s="57"/>
      <c r="Y100" s="57"/>
    </row>
    <row r="101">
      <c r="C101" s="55"/>
      <c r="D101" s="55"/>
      <c r="E101" s="56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7"/>
      <c r="U101" s="57"/>
      <c r="V101" s="57"/>
      <c r="W101" s="57"/>
      <c r="X101" s="57"/>
      <c r="Y101" s="57"/>
    </row>
    <row r="102">
      <c r="C102" s="55"/>
      <c r="D102" s="55"/>
      <c r="E102" s="56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7"/>
      <c r="U102" s="57"/>
      <c r="V102" s="57"/>
      <c r="W102" s="57"/>
      <c r="X102" s="57"/>
      <c r="Y102" s="57"/>
    </row>
    <row r="103">
      <c r="C103" s="55"/>
      <c r="D103" s="55"/>
      <c r="E103" s="56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7"/>
      <c r="U103" s="57"/>
      <c r="V103" s="57"/>
      <c r="W103" s="57"/>
      <c r="X103" s="57"/>
      <c r="Y103" s="57"/>
    </row>
    <row r="104">
      <c r="C104" s="55"/>
      <c r="D104" s="55"/>
      <c r="E104" s="56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7"/>
      <c r="U104" s="57"/>
      <c r="V104" s="57"/>
      <c r="W104" s="57"/>
      <c r="X104" s="57"/>
      <c r="Y104" s="57"/>
    </row>
    <row r="105">
      <c r="C105" s="55"/>
      <c r="D105" s="55"/>
      <c r="E105" s="56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7"/>
      <c r="U105" s="57"/>
      <c r="V105" s="57"/>
      <c r="W105" s="57"/>
      <c r="X105" s="57"/>
      <c r="Y105" s="57"/>
    </row>
    <row r="106">
      <c r="C106" s="55"/>
      <c r="D106" s="55"/>
      <c r="E106" s="56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7"/>
      <c r="U106" s="57"/>
      <c r="V106" s="57"/>
      <c r="W106" s="57"/>
      <c r="X106" s="57"/>
      <c r="Y106" s="57"/>
    </row>
    <row r="107">
      <c r="C107" s="55"/>
      <c r="D107" s="55"/>
      <c r="E107" s="56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7"/>
      <c r="U107" s="57"/>
      <c r="V107" s="57"/>
      <c r="W107" s="57"/>
      <c r="X107" s="57"/>
      <c r="Y107" s="57"/>
    </row>
    <row r="108">
      <c r="C108" s="55"/>
      <c r="D108" s="55"/>
      <c r="E108" s="56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7"/>
      <c r="U108" s="57"/>
      <c r="V108" s="57"/>
      <c r="W108" s="57"/>
      <c r="X108" s="57"/>
      <c r="Y108" s="57"/>
    </row>
    <row r="109">
      <c r="C109" s="55"/>
      <c r="D109" s="55"/>
      <c r="E109" s="56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7"/>
      <c r="U109" s="57"/>
      <c r="V109" s="57"/>
      <c r="W109" s="57"/>
      <c r="X109" s="57"/>
      <c r="Y109" s="57"/>
    </row>
    <row r="110">
      <c r="C110" s="55"/>
      <c r="D110" s="55"/>
      <c r="E110" s="56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7"/>
      <c r="U110" s="57"/>
      <c r="V110" s="57"/>
      <c r="W110" s="57"/>
      <c r="X110" s="57"/>
      <c r="Y110" s="57"/>
    </row>
    <row r="111">
      <c r="C111" s="55"/>
      <c r="D111" s="55"/>
      <c r="E111" s="56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7"/>
      <c r="U111" s="57"/>
      <c r="V111" s="57"/>
      <c r="W111" s="57"/>
      <c r="X111" s="57"/>
      <c r="Y111" s="57"/>
    </row>
    <row r="112">
      <c r="C112" s="55"/>
      <c r="D112" s="55"/>
      <c r="E112" s="56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7"/>
      <c r="U112" s="57"/>
      <c r="V112" s="57"/>
      <c r="W112" s="57"/>
      <c r="X112" s="57"/>
      <c r="Y112" s="57"/>
    </row>
    <row r="113">
      <c r="C113" s="55"/>
      <c r="D113" s="55"/>
      <c r="E113" s="56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7"/>
      <c r="U113" s="57"/>
      <c r="V113" s="57"/>
      <c r="W113" s="57"/>
      <c r="X113" s="57"/>
      <c r="Y113" s="57"/>
    </row>
    <row r="114">
      <c r="C114" s="55"/>
      <c r="D114" s="55"/>
      <c r="E114" s="56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7"/>
      <c r="U114" s="57"/>
      <c r="V114" s="57"/>
      <c r="W114" s="57"/>
      <c r="X114" s="57"/>
      <c r="Y114" s="57"/>
    </row>
    <row r="115">
      <c r="C115" s="55"/>
      <c r="D115" s="55"/>
      <c r="E115" s="56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7"/>
      <c r="U115" s="57"/>
      <c r="V115" s="57"/>
      <c r="W115" s="57"/>
      <c r="X115" s="57"/>
      <c r="Y115" s="57"/>
    </row>
    <row r="116">
      <c r="C116" s="55"/>
      <c r="D116" s="55"/>
      <c r="E116" s="56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7"/>
      <c r="U116" s="57"/>
      <c r="V116" s="57"/>
      <c r="W116" s="57"/>
      <c r="X116" s="57"/>
      <c r="Y116" s="57"/>
    </row>
    <row r="117">
      <c r="C117" s="55"/>
      <c r="D117" s="55"/>
      <c r="E117" s="56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7"/>
      <c r="U117" s="57"/>
      <c r="V117" s="57"/>
      <c r="W117" s="57"/>
      <c r="X117" s="57"/>
      <c r="Y117" s="57"/>
    </row>
    <row r="118">
      <c r="C118" s="55"/>
      <c r="D118" s="55"/>
      <c r="E118" s="56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7"/>
      <c r="U118" s="57"/>
      <c r="V118" s="57"/>
      <c r="W118" s="57"/>
      <c r="X118" s="57"/>
      <c r="Y118" s="57"/>
    </row>
    <row r="119">
      <c r="C119" s="55"/>
      <c r="D119" s="55"/>
      <c r="E119" s="56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7"/>
      <c r="U119" s="57"/>
      <c r="V119" s="57"/>
      <c r="W119" s="57"/>
      <c r="X119" s="57"/>
      <c r="Y119" s="57"/>
    </row>
    <row r="120">
      <c r="C120" s="55"/>
      <c r="D120" s="55"/>
      <c r="E120" s="56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7"/>
      <c r="U120" s="57"/>
      <c r="V120" s="57"/>
      <c r="W120" s="57"/>
      <c r="X120" s="57"/>
      <c r="Y120" s="57"/>
    </row>
    <row r="121">
      <c r="C121" s="55"/>
      <c r="D121" s="55"/>
      <c r="E121" s="56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7"/>
      <c r="U121" s="57"/>
      <c r="V121" s="57"/>
      <c r="W121" s="57"/>
      <c r="X121" s="57"/>
      <c r="Y121" s="57"/>
    </row>
    <row r="122">
      <c r="C122" s="55"/>
      <c r="D122" s="55"/>
      <c r="E122" s="56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7"/>
      <c r="U122" s="57"/>
      <c r="V122" s="57"/>
      <c r="W122" s="57"/>
      <c r="X122" s="57"/>
      <c r="Y122" s="57"/>
    </row>
    <row r="123">
      <c r="C123" s="55"/>
      <c r="D123" s="55"/>
      <c r="E123" s="56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7"/>
      <c r="U123" s="57"/>
      <c r="V123" s="57"/>
      <c r="W123" s="57"/>
      <c r="X123" s="57"/>
      <c r="Y123" s="57"/>
    </row>
    <row r="124">
      <c r="C124" s="55"/>
      <c r="D124" s="55"/>
      <c r="E124" s="56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7"/>
      <c r="U124" s="57"/>
      <c r="V124" s="57"/>
      <c r="W124" s="57"/>
      <c r="X124" s="57"/>
      <c r="Y124" s="57"/>
    </row>
    <row r="125">
      <c r="C125" s="55"/>
      <c r="D125" s="55"/>
      <c r="E125" s="56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7"/>
      <c r="U125" s="57"/>
      <c r="V125" s="57"/>
      <c r="W125" s="57"/>
      <c r="X125" s="57"/>
      <c r="Y125" s="57"/>
    </row>
    <row r="126">
      <c r="C126" s="55"/>
      <c r="D126" s="55"/>
      <c r="E126" s="56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7"/>
      <c r="U126" s="57"/>
      <c r="V126" s="57"/>
      <c r="W126" s="57"/>
      <c r="X126" s="57"/>
      <c r="Y126" s="57"/>
    </row>
    <row r="127">
      <c r="C127" s="55"/>
      <c r="D127" s="55"/>
      <c r="E127" s="56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7"/>
      <c r="U127" s="57"/>
      <c r="V127" s="57"/>
      <c r="W127" s="57"/>
      <c r="X127" s="57"/>
      <c r="Y127" s="57"/>
    </row>
    <row r="128">
      <c r="C128" s="55"/>
      <c r="D128" s="55"/>
      <c r="E128" s="56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7"/>
      <c r="U128" s="57"/>
      <c r="V128" s="57"/>
      <c r="W128" s="57"/>
      <c r="X128" s="57"/>
      <c r="Y128" s="57"/>
    </row>
    <row r="129">
      <c r="C129" s="55"/>
      <c r="D129" s="55"/>
      <c r="E129" s="56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7"/>
      <c r="U129" s="57"/>
      <c r="V129" s="57"/>
      <c r="W129" s="57"/>
      <c r="X129" s="57"/>
      <c r="Y129" s="57"/>
    </row>
    <row r="130">
      <c r="C130" s="55"/>
      <c r="D130" s="55"/>
      <c r="E130" s="56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7"/>
      <c r="U130" s="57"/>
      <c r="V130" s="57"/>
      <c r="W130" s="57"/>
      <c r="X130" s="57"/>
      <c r="Y130" s="57"/>
    </row>
    <row r="131">
      <c r="C131" s="55"/>
      <c r="D131" s="55"/>
      <c r="E131" s="56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7"/>
      <c r="U131" s="57"/>
      <c r="V131" s="57"/>
      <c r="W131" s="57"/>
      <c r="X131" s="57"/>
      <c r="Y131" s="57"/>
    </row>
    <row r="132">
      <c r="C132" s="55"/>
      <c r="D132" s="55"/>
      <c r="E132" s="56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7"/>
      <c r="U132" s="57"/>
      <c r="V132" s="57"/>
      <c r="W132" s="57"/>
      <c r="X132" s="57"/>
      <c r="Y132" s="57"/>
    </row>
    <row r="133">
      <c r="C133" s="55"/>
      <c r="D133" s="55"/>
      <c r="E133" s="56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7"/>
      <c r="U133" s="57"/>
      <c r="V133" s="57"/>
      <c r="W133" s="57"/>
      <c r="X133" s="57"/>
      <c r="Y133" s="57"/>
    </row>
    <row r="134">
      <c r="C134" s="55"/>
      <c r="D134" s="55"/>
      <c r="E134" s="56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7"/>
      <c r="U134" s="57"/>
      <c r="V134" s="57"/>
      <c r="W134" s="57"/>
      <c r="X134" s="57"/>
      <c r="Y134" s="57"/>
    </row>
    <row r="135">
      <c r="C135" s="55"/>
      <c r="D135" s="55"/>
      <c r="E135" s="56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7"/>
      <c r="U135" s="57"/>
      <c r="V135" s="57"/>
      <c r="W135" s="57"/>
      <c r="X135" s="57"/>
      <c r="Y135" s="57"/>
    </row>
    <row r="136">
      <c r="C136" s="55"/>
      <c r="D136" s="55"/>
      <c r="E136" s="56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7"/>
      <c r="U136" s="57"/>
      <c r="V136" s="57"/>
      <c r="W136" s="57"/>
      <c r="X136" s="57"/>
      <c r="Y136" s="57"/>
    </row>
    <row r="137">
      <c r="C137" s="55"/>
      <c r="D137" s="55"/>
      <c r="E137" s="56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7"/>
      <c r="U137" s="57"/>
      <c r="V137" s="57"/>
      <c r="W137" s="57"/>
      <c r="X137" s="57"/>
      <c r="Y137" s="57"/>
    </row>
    <row r="138">
      <c r="C138" s="55"/>
      <c r="D138" s="55"/>
      <c r="E138" s="56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7"/>
      <c r="U138" s="57"/>
      <c r="V138" s="57"/>
      <c r="W138" s="57"/>
      <c r="X138" s="57"/>
      <c r="Y138" s="57"/>
    </row>
    <row r="139">
      <c r="C139" s="55"/>
      <c r="D139" s="55"/>
      <c r="E139" s="56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7"/>
      <c r="U139" s="57"/>
      <c r="V139" s="57"/>
      <c r="W139" s="57"/>
      <c r="X139" s="57"/>
      <c r="Y139" s="57"/>
    </row>
    <row r="140">
      <c r="C140" s="55"/>
      <c r="D140" s="55"/>
      <c r="E140" s="56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7"/>
      <c r="U140" s="57"/>
      <c r="V140" s="57"/>
      <c r="W140" s="57"/>
      <c r="X140" s="57"/>
      <c r="Y140" s="57"/>
    </row>
    <row r="141">
      <c r="C141" s="55"/>
      <c r="D141" s="55"/>
      <c r="E141" s="56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7"/>
      <c r="U141" s="57"/>
      <c r="V141" s="57"/>
      <c r="W141" s="57"/>
      <c r="X141" s="57"/>
      <c r="Y141" s="57"/>
    </row>
    <row r="142">
      <c r="C142" s="55"/>
      <c r="D142" s="55"/>
      <c r="E142" s="56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7"/>
      <c r="U142" s="57"/>
      <c r="V142" s="57"/>
      <c r="W142" s="57"/>
      <c r="X142" s="57"/>
      <c r="Y142" s="57"/>
    </row>
    <row r="143">
      <c r="C143" s="55"/>
      <c r="D143" s="55"/>
      <c r="E143" s="56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7"/>
      <c r="U143" s="57"/>
      <c r="V143" s="57"/>
      <c r="W143" s="57"/>
      <c r="X143" s="57"/>
      <c r="Y143" s="57"/>
    </row>
    <row r="144">
      <c r="C144" s="55"/>
      <c r="D144" s="55"/>
      <c r="E144" s="56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7"/>
      <c r="U144" s="57"/>
      <c r="V144" s="57"/>
      <c r="W144" s="57"/>
      <c r="X144" s="57"/>
      <c r="Y144" s="57"/>
    </row>
    <row r="145">
      <c r="C145" s="55"/>
      <c r="D145" s="55"/>
      <c r="E145" s="56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7"/>
      <c r="U145" s="57"/>
      <c r="V145" s="57"/>
      <c r="W145" s="57"/>
      <c r="X145" s="57"/>
      <c r="Y145" s="57"/>
    </row>
    <row r="146">
      <c r="C146" s="55"/>
      <c r="D146" s="55"/>
      <c r="E146" s="56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7"/>
      <c r="U146" s="57"/>
      <c r="V146" s="57"/>
      <c r="W146" s="57"/>
      <c r="X146" s="57"/>
      <c r="Y146" s="57"/>
    </row>
    <row r="147">
      <c r="C147" s="55"/>
      <c r="D147" s="55"/>
      <c r="E147" s="56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7"/>
      <c r="U147" s="57"/>
      <c r="V147" s="57"/>
      <c r="W147" s="57"/>
      <c r="X147" s="57"/>
      <c r="Y147" s="57"/>
    </row>
    <row r="148">
      <c r="C148" s="55"/>
      <c r="D148" s="55"/>
      <c r="E148" s="56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7"/>
      <c r="U148" s="57"/>
      <c r="V148" s="57"/>
      <c r="W148" s="57"/>
      <c r="X148" s="57"/>
      <c r="Y148" s="57"/>
    </row>
    <row r="149">
      <c r="C149" s="55"/>
      <c r="D149" s="55"/>
      <c r="E149" s="56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7"/>
      <c r="U149" s="57"/>
      <c r="V149" s="57"/>
      <c r="W149" s="57"/>
      <c r="X149" s="57"/>
      <c r="Y149" s="57"/>
    </row>
    <row r="150">
      <c r="C150" s="55"/>
      <c r="D150" s="55"/>
      <c r="E150" s="56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7"/>
      <c r="U150" s="57"/>
      <c r="V150" s="57"/>
      <c r="W150" s="57"/>
      <c r="X150" s="57"/>
      <c r="Y150" s="57"/>
    </row>
    <row r="151">
      <c r="C151" s="55"/>
      <c r="D151" s="55"/>
      <c r="E151" s="56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7"/>
      <c r="U151" s="57"/>
      <c r="V151" s="57"/>
      <c r="W151" s="57"/>
      <c r="X151" s="57"/>
      <c r="Y151" s="57"/>
    </row>
    <row r="152">
      <c r="C152" s="55"/>
      <c r="D152" s="55"/>
      <c r="E152" s="56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7"/>
      <c r="U152" s="57"/>
      <c r="V152" s="57"/>
      <c r="W152" s="57"/>
      <c r="X152" s="57"/>
      <c r="Y152" s="57"/>
    </row>
    <row r="153">
      <c r="C153" s="55"/>
      <c r="D153" s="55"/>
      <c r="E153" s="56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7"/>
      <c r="U153" s="57"/>
      <c r="V153" s="57"/>
      <c r="W153" s="57"/>
      <c r="X153" s="57"/>
      <c r="Y153" s="57"/>
    </row>
    <row r="154">
      <c r="C154" s="55"/>
      <c r="D154" s="55"/>
      <c r="E154" s="56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7"/>
      <c r="U154" s="57"/>
      <c r="V154" s="57"/>
      <c r="W154" s="57"/>
      <c r="X154" s="57"/>
      <c r="Y154" s="57"/>
    </row>
    <row r="155">
      <c r="C155" s="55"/>
      <c r="D155" s="55"/>
      <c r="E155" s="56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7"/>
      <c r="U155" s="57"/>
      <c r="V155" s="57"/>
      <c r="W155" s="57"/>
      <c r="X155" s="57"/>
      <c r="Y155" s="57"/>
    </row>
    <row r="156">
      <c r="C156" s="55"/>
      <c r="D156" s="55"/>
      <c r="E156" s="56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7"/>
      <c r="U156" s="57"/>
      <c r="V156" s="57"/>
      <c r="W156" s="57"/>
      <c r="X156" s="57"/>
      <c r="Y156" s="57"/>
    </row>
    <row r="157">
      <c r="C157" s="55"/>
      <c r="D157" s="55"/>
      <c r="E157" s="56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7"/>
      <c r="U157" s="57"/>
      <c r="V157" s="57"/>
      <c r="W157" s="57"/>
      <c r="X157" s="57"/>
      <c r="Y157" s="57"/>
    </row>
    <row r="158">
      <c r="C158" s="55"/>
      <c r="D158" s="55"/>
      <c r="E158" s="56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7"/>
      <c r="U158" s="57"/>
      <c r="V158" s="57"/>
      <c r="W158" s="57"/>
      <c r="X158" s="57"/>
      <c r="Y158" s="57"/>
    </row>
    <row r="159">
      <c r="C159" s="55"/>
      <c r="D159" s="55"/>
      <c r="E159" s="56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7"/>
      <c r="U159" s="57"/>
      <c r="V159" s="57"/>
      <c r="W159" s="57"/>
      <c r="X159" s="57"/>
      <c r="Y159" s="57"/>
    </row>
    <row r="160">
      <c r="C160" s="55"/>
      <c r="D160" s="55"/>
      <c r="E160" s="56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7"/>
      <c r="U160" s="57"/>
      <c r="V160" s="57"/>
      <c r="W160" s="57"/>
      <c r="X160" s="57"/>
      <c r="Y160" s="57"/>
    </row>
    <row r="161">
      <c r="C161" s="55"/>
      <c r="D161" s="55"/>
      <c r="E161" s="56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7"/>
      <c r="U161" s="57"/>
      <c r="V161" s="57"/>
      <c r="W161" s="57"/>
      <c r="X161" s="57"/>
      <c r="Y161" s="57"/>
    </row>
    <row r="162">
      <c r="C162" s="55"/>
      <c r="D162" s="55"/>
      <c r="E162" s="56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7"/>
      <c r="U162" s="57"/>
      <c r="V162" s="57"/>
      <c r="W162" s="57"/>
      <c r="X162" s="57"/>
      <c r="Y162" s="57"/>
    </row>
    <row r="163">
      <c r="C163" s="55"/>
      <c r="D163" s="55"/>
      <c r="E163" s="56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7"/>
      <c r="U163" s="57"/>
      <c r="V163" s="57"/>
      <c r="W163" s="57"/>
      <c r="X163" s="57"/>
      <c r="Y163" s="57"/>
    </row>
    <row r="164">
      <c r="C164" s="55"/>
      <c r="D164" s="55"/>
      <c r="E164" s="56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7"/>
      <c r="U164" s="57"/>
      <c r="V164" s="57"/>
      <c r="W164" s="57"/>
      <c r="X164" s="57"/>
      <c r="Y164" s="57"/>
    </row>
    <row r="165">
      <c r="C165" s="55"/>
      <c r="D165" s="55"/>
      <c r="E165" s="56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7"/>
      <c r="U165" s="57"/>
      <c r="V165" s="57"/>
      <c r="W165" s="57"/>
      <c r="X165" s="57"/>
      <c r="Y165" s="57"/>
    </row>
    <row r="166">
      <c r="C166" s="55"/>
      <c r="D166" s="55"/>
      <c r="E166" s="56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7"/>
      <c r="U166" s="57"/>
      <c r="V166" s="57"/>
      <c r="W166" s="57"/>
      <c r="X166" s="57"/>
      <c r="Y166" s="57"/>
    </row>
    <row r="167">
      <c r="C167" s="55"/>
      <c r="D167" s="55"/>
      <c r="E167" s="56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7"/>
      <c r="U167" s="57"/>
      <c r="V167" s="57"/>
      <c r="W167" s="57"/>
      <c r="X167" s="57"/>
      <c r="Y167" s="57"/>
    </row>
    <row r="168">
      <c r="C168" s="55"/>
      <c r="D168" s="55"/>
      <c r="E168" s="56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7"/>
      <c r="U168" s="57"/>
      <c r="V168" s="57"/>
      <c r="W168" s="57"/>
      <c r="X168" s="57"/>
      <c r="Y168" s="57"/>
    </row>
    <row r="169">
      <c r="C169" s="55"/>
      <c r="D169" s="55"/>
      <c r="E169" s="56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7"/>
      <c r="U169" s="57"/>
      <c r="V169" s="57"/>
      <c r="W169" s="57"/>
      <c r="X169" s="57"/>
      <c r="Y169" s="57"/>
    </row>
    <row r="170">
      <c r="C170" s="55"/>
      <c r="D170" s="55"/>
      <c r="E170" s="56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7"/>
      <c r="U170" s="57"/>
      <c r="V170" s="57"/>
      <c r="W170" s="57"/>
      <c r="X170" s="57"/>
      <c r="Y170" s="57"/>
    </row>
    <row r="171">
      <c r="C171" s="55"/>
      <c r="D171" s="55"/>
      <c r="E171" s="56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7"/>
      <c r="U171" s="57"/>
      <c r="V171" s="57"/>
      <c r="W171" s="57"/>
      <c r="X171" s="57"/>
      <c r="Y171" s="57"/>
    </row>
    <row r="172">
      <c r="C172" s="55"/>
      <c r="D172" s="55"/>
      <c r="E172" s="56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7"/>
      <c r="U172" s="57"/>
      <c r="V172" s="57"/>
      <c r="W172" s="57"/>
      <c r="X172" s="57"/>
      <c r="Y172" s="57"/>
    </row>
    <row r="173">
      <c r="C173" s="55"/>
      <c r="D173" s="55"/>
      <c r="E173" s="56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7"/>
      <c r="U173" s="57"/>
      <c r="V173" s="57"/>
      <c r="W173" s="57"/>
      <c r="X173" s="57"/>
      <c r="Y173" s="57"/>
    </row>
    <row r="174">
      <c r="C174" s="55"/>
      <c r="D174" s="55"/>
      <c r="E174" s="56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7"/>
      <c r="U174" s="57"/>
      <c r="V174" s="57"/>
      <c r="W174" s="57"/>
      <c r="X174" s="57"/>
      <c r="Y174" s="57"/>
    </row>
    <row r="175">
      <c r="C175" s="55"/>
      <c r="D175" s="55"/>
      <c r="E175" s="56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7"/>
      <c r="U175" s="57"/>
      <c r="V175" s="57"/>
      <c r="W175" s="57"/>
      <c r="X175" s="57"/>
      <c r="Y175" s="57"/>
    </row>
    <row r="176">
      <c r="C176" s="55"/>
      <c r="D176" s="55"/>
      <c r="E176" s="56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7"/>
      <c r="U176" s="57"/>
      <c r="V176" s="57"/>
      <c r="W176" s="57"/>
      <c r="X176" s="57"/>
      <c r="Y176" s="57"/>
    </row>
    <row r="177">
      <c r="C177" s="55"/>
      <c r="D177" s="55"/>
      <c r="E177" s="56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7"/>
      <c r="U177" s="57"/>
      <c r="V177" s="57"/>
      <c r="W177" s="57"/>
      <c r="X177" s="57"/>
      <c r="Y177" s="57"/>
    </row>
    <row r="178">
      <c r="C178" s="55"/>
      <c r="D178" s="55"/>
      <c r="E178" s="56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7"/>
      <c r="U178" s="57"/>
      <c r="V178" s="57"/>
      <c r="W178" s="57"/>
      <c r="X178" s="57"/>
      <c r="Y178" s="57"/>
    </row>
    <row r="179">
      <c r="C179" s="55"/>
      <c r="D179" s="55"/>
      <c r="E179" s="56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7"/>
      <c r="U179" s="57"/>
      <c r="V179" s="57"/>
      <c r="W179" s="57"/>
      <c r="X179" s="57"/>
      <c r="Y179" s="57"/>
    </row>
    <row r="180">
      <c r="C180" s="55"/>
      <c r="D180" s="55"/>
      <c r="E180" s="56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7"/>
      <c r="U180" s="57"/>
      <c r="V180" s="57"/>
      <c r="W180" s="57"/>
      <c r="X180" s="57"/>
      <c r="Y180" s="57"/>
    </row>
    <row r="181">
      <c r="C181" s="55"/>
      <c r="D181" s="55"/>
      <c r="E181" s="56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7"/>
      <c r="U181" s="57"/>
      <c r="V181" s="57"/>
      <c r="W181" s="57"/>
      <c r="X181" s="57"/>
      <c r="Y181" s="57"/>
    </row>
    <row r="182">
      <c r="C182" s="55"/>
      <c r="D182" s="55"/>
      <c r="E182" s="56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7"/>
      <c r="U182" s="57"/>
      <c r="V182" s="57"/>
      <c r="W182" s="57"/>
      <c r="X182" s="57"/>
      <c r="Y182" s="57"/>
    </row>
    <row r="183">
      <c r="C183" s="55"/>
      <c r="D183" s="55"/>
      <c r="E183" s="56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7"/>
      <c r="U183" s="57"/>
      <c r="V183" s="57"/>
      <c r="W183" s="57"/>
      <c r="X183" s="57"/>
      <c r="Y183" s="57"/>
    </row>
    <row r="184">
      <c r="C184" s="55"/>
      <c r="D184" s="55"/>
      <c r="E184" s="56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7"/>
      <c r="U184" s="57"/>
      <c r="V184" s="57"/>
      <c r="W184" s="57"/>
      <c r="X184" s="57"/>
      <c r="Y184" s="57"/>
    </row>
    <row r="185">
      <c r="C185" s="55"/>
      <c r="D185" s="55"/>
      <c r="E185" s="56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7"/>
      <c r="U185" s="57"/>
      <c r="V185" s="57"/>
      <c r="W185" s="57"/>
      <c r="X185" s="57"/>
      <c r="Y185" s="57"/>
    </row>
    <row r="186">
      <c r="C186" s="55"/>
      <c r="D186" s="55"/>
      <c r="E186" s="56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7"/>
      <c r="U186" s="57"/>
      <c r="V186" s="57"/>
      <c r="W186" s="57"/>
      <c r="X186" s="57"/>
      <c r="Y186" s="57"/>
    </row>
    <row r="187">
      <c r="C187" s="55"/>
      <c r="D187" s="55"/>
      <c r="E187" s="56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7"/>
      <c r="U187" s="57"/>
      <c r="V187" s="57"/>
      <c r="W187" s="57"/>
      <c r="X187" s="57"/>
      <c r="Y187" s="57"/>
    </row>
    <row r="188">
      <c r="C188" s="55"/>
      <c r="D188" s="55"/>
      <c r="E188" s="56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7"/>
      <c r="U188" s="57"/>
      <c r="V188" s="57"/>
      <c r="W188" s="57"/>
      <c r="X188" s="57"/>
      <c r="Y188" s="57"/>
    </row>
    <row r="189">
      <c r="C189" s="55"/>
      <c r="D189" s="55"/>
      <c r="E189" s="56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7"/>
      <c r="U189" s="57"/>
      <c r="V189" s="57"/>
      <c r="W189" s="57"/>
      <c r="X189" s="57"/>
      <c r="Y189" s="57"/>
    </row>
    <row r="190">
      <c r="C190" s="55"/>
      <c r="D190" s="55"/>
      <c r="E190" s="56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7"/>
      <c r="U190" s="57"/>
      <c r="V190" s="57"/>
      <c r="W190" s="57"/>
      <c r="X190" s="57"/>
      <c r="Y190" s="57"/>
    </row>
    <row r="191">
      <c r="C191" s="55"/>
      <c r="D191" s="55"/>
      <c r="E191" s="56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7"/>
      <c r="U191" s="57"/>
      <c r="V191" s="57"/>
      <c r="W191" s="57"/>
      <c r="X191" s="57"/>
      <c r="Y191" s="57"/>
    </row>
    <row r="192">
      <c r="C192" s="55"/>
      <c r="D192" s="55"/>
      <c r="E192" s="56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7"/>
      <c r="U192" s="57"/>
      <c r="V192" s="57"/>
      <c r="W192" s="57"/>
      <c r="X192" s="57"/>
      <c r="Y192" s="57"/>
    </row>
    <row r="193">
      <c r="C193" s="55"/>
      <c r="D193" s="55"/>
      <c r="E193" s="56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7"/>
      <c r="U193" s="57"/>
      <c r="V193" s="57"/>
      <c r="W193" s="57"/>
      <c r="X193" s="57"/>
      <c r="Y193" s="57"/>
    </row>
    <row r="194">
      <c r="C194" s="55"/>
      <c r="D194" s="55"/>
      <c r="E194" s="56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7"/>
      <c r="U194" s="57"/>
      <c r="V194" s="57"/>
      <c r="W194" s="57"/>
      <c r="X194" s="57"/>
      <c r="Y194" s="57"/>
    </row>
    <row r="195">
      <c r="C195" s="55"/>
      <c r="D195" s="55"/>
      <c r="E195" s="56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7"/>
      <c r="U195" s="57"/>
      <c r="V195" s="57"/>
      <c r="W195" s="57"/>
      <c r="X195" s="57"/>
      <c r="Y195" s="57"/>
    </row>
    <row r="196">
      <c r="C196" s="55"/>
      <c r="D196" s="55"/>
      <c r="E196" s="56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7"/>
      <c r="U196" s="57"/>
      <c r="V196" s="57"/>
      <c r="W196" s="57"/>
      <c r="X196" s="57"/>
      <c r="Y196" s="57"/>
    </row>
    <row r="197">
      <c r="C197" s="55"/>
      <c r="D197" s="55"/>
      <c r="E197" s="56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7"/>
      <c r="U197" s="57"/>
      <c r="V197" s="57"/>
      <c r="W197" s="57"/>
      <c r="X197" s="57"/>
      <c r="Y197" s="57"/>
    </row>
    <row r="198">
      <c r="C198" s="55"/>
      <c r="D198" s="55"/>
      <c r="E198" s="56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7"/>
      <c r="U198" s="57"/>
      <c r="V198" s="57"/>
      <c r="W198" s="57"/>
      <c r="X198" s="57"/>
      <c r="Y198" s="57"/>
    </row>
    <row r="199">
      <c r="C199" s="55"/>
      <c r="D199" s="55"/>
      <c r="E199" s="56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7"/>
      <c r="U199" s="57"/>
      <c r="V199" s="57"/>
      <c r="W199" s="57"/>
      <c r="X199" s="57"/>
      <c r="Y199" s="57"/>
    </row>
    <row r="200">
      <c r="C200" s="55"/>
      <c r="D200" s="55"/>
      <c r="E200" s="56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7"/>
      <c r="U200" s="57"/>
      <c r="V200" s="57"/>
      <c r="W200" s="57"/>
      <c r="X200" s="57"/>
      <c r="Y200" s="57"/>
    </row>
    <row r="201">
      <c r="C201" s="55"/>
      <c r="D201" s="55"/>
      <c r="E201" s="56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7"/>
      <c r="U201" s="57"/>
      <c r="V201" s="57"/>
      <c r="W201" s="57"/>
      <c r="X201" s="57"/>
      <c r="Y201" s="57"/>
    </row>
    <row r="202">
      <c r="C202" s="55"/>
      <c r="D202" s="55"/>
      <c r="E202" s="56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7"/>
      <c r="U202" s="57"/>
      <c r="V202" s="57"/>
      <c r="W202" s="57"/>
      <c r="X202" s="57"/>
      <c r="Y202" s="57"/>
    </row>
    <row r="203">
      <c r="C203" s="55"/>
      <c r="D203" s="55"/>
      <c r="E203" s="56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7"/>
      <c r="U203" s="57"/>
      <c r="V203" s="57"/>
      <c r="W203" s="57"/>
      <c r="X203" s="57"/>
      <c r="Y203" s="57"/>
    </row>
    <row r="204">
      <c r="C204" s="55"/>
      <c r="D204" s="55"/>
      <c r="E204" s="56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7"/>
      <c r="U204" s="57"/>
      <c r="V204" s="57"/>
      <c r="W204" s="57"/>
      <c r="X204" s="57"/>
      <c r="Y204" s="57"/>
    </row>
    <row r="205">
      <c r="C205" s="55"/>
      <c r="D205" s="55"/>
      <c r="E205" s="56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7"/>
      <c r="U205" s="57"/>
      <c r="V205" s="57"/>
      <c r="W205" s="57"/>
      <c r="X205" s="57"/>
      <c r="Y205" s="57"/>
    </row>
    <row r="206">
      <c r="C206" s="55"/>
      <c r="D206" s="55"/>
      <c r="E206" s="56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7"/>
      <c r="U206" s="57"/>
      <c r="V206" s="57"/>
      <c r="W206" s="57"/>
      <c r="X206" s="57"/>
      <c r="Y206" s="57"/>
    </row>
    <row r="207">
      <c r="C207" s="55"/>
      <c r="D207" s="55"/>
      <c r="E207" s="56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7"/>
      <c r="U207" s="57"/>
      <c r="V207" s="57"/>
      <c r="W207" s="57"/>
      <c r="X207" s="57"/>
      <c r="Y207" s="57"/>
    </row>
    <row r="208">
      <c r="C208" s="55"/>
      <c r="D208" s="55"/>
      <c r="E208" s="56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7"/>
      <c r="U208" s="57"/>
      <c r="V208" s="57"/>
      <c r="W208" s="57"/>
      <c r="X208" s="57"/>
      <c r="Y208" s="57"/>
    </row>
    <row r="209">
      <c r="C209" s="55"/>
      <c r="D209" s="55"/>
      <c r="E209" s="56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7"/>
      <c r="U209" s="57"/>
      <c r="V209" s="57"/>
      <c r="W209" s="57"/>
      <c r="X209" s="57"/>
      <c r="Y209" s="57"/>
    </row>
    <row r="210">
      <c r="C210" s="55"/>
      <c r="D210" s="55"/>
      <c r="E210" s="56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7"/>
      <c r="U210" s="57"/>
      <c r="V210" s="57"/>
      <c r="W210" s="57"/>
      <c r="X210" s="57"/>
      <c r="Y210" s="57"/>
    </row>
    <row r="211">
      <c r="C211" s="55"/>
      <c r="D211" s="55"/>
      <c r="E211" s="56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7"/>
      <c r="U211" s="57"/>
      <c r="V211" s="57"/>
      <c r="W211" s="57"/>
      <c r="X211" s="57"/>
      <c r="Y211" s="57"/>
    </row>
    <row r="212">
      <c r="C212" s="55"/>
      <c r="D212" s="55"/>
      <c r="E212" s="56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7"/>
      <c r="U212" s="57"/>
      <c r="V212" s="57"/>
      <c r="W212" s="57"/>
      <c r="X212" s="57"/>
      <c r="Y212" s="57"/>
    </row>
    <row r="213">
      <c r="C213" s="55"/>
      <c r="D213" s="55"/>
      <c r="E213" s="56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7"/>
      <c r="U213" s="57"/>
      <c r="V213" s="57"/>
      <c r="W213" s="57"/>
      <c r="X213" s="57"/>
      <c r="Y213" s="57"/>
    </row>
    <row r="214">
      <c r="C214" s="55"/>
      <c r="D214" s="55"/>
      <c r="E214" s="56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7"/>
      <c r="U214" s="57"/>
      <c r="V214" s="57"/>
      <c r="W214" s="57"/>
      <c r="X214" s="57"/>
      <c r="Y214" s="57"/>
    </row>
    <row r="215">
      <c r="C215" s="55"/>
      <c r="D215" s="55"/>
      <c r="E215" s="56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7"/>
      <c r="U215" s="57"/>
      <c r="V215" s="57"/>
      <c r="W215" s="57"/>
      <c r="X215" s="57"/>
      <c r="Y215" s="57"/>
    </row>
    <row r="216">
      <c r="C216" s="55"/>
      <c r="D216" s="55"/>
      <c r="E216" s="56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7"/>
      <c r="U216" s="57"/>
      <c r="V216" s="57"/>
      <c r="W216" s="57"/>
      <c r="X216" s="57"/>
      <c r="Y216" s="57"/>
    </row>
    <row r="217">
      <c r="C217" s="55"/>
      <c r="D217" s="55"/>
      <c r="E217" s="56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7"/>
      <c r="U217" s="57"/>
      <c r="V217" s="57"/>
      <c r="W217" s="57"/>
      <c r="X217" s="57"/>
      <c r="Y217" s="57"/>
    </row>
    <row r="218">
      <c r="C218" s="55"/>
      <c r="D218" s="55"/>
      <c r="E218" s="56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7"/>
      <c r="U218" s="57"/>
      <c r="V218" s="57"/>
      <c r="W218" s="57"/>
      <c r="X218" s="57"/>
      <c r="Y218" s="57"/>
    </row>
    <row r="219">
      <c r="C219" s="55"/>
      <c r="D219" s="55"/>
      <c r="E219" s="56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7"/>
      <c r="U219" s="57"/>
      <c r="V219" s="57"/>
      <c r="W219" s="57"/>
      <c r="X219" s="57"/>
      <c r="Y219" s="57"/>
    </row>
    <row r="220">
      <c r="C220" s="55"/>
      <c r="D220" s="55"/>
      <c r="E220" s="56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7"/>
      <c r="U220" s="57"/>
      <c r="V220" s="57"/>
      <c r="W220" s="57"/>
      <c r="X220" s="57"/>
      <c r="Y220" s="57"/>
    </row>
    <row r="221">
      <c r="C221" s="55"/>
      <c r="D221" s="55"/>
      <c r="E221" s="56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7"/>
      <c r="U221" s="57"/>
      <c r="V221" s="57"/>
      <c r="W221" s="57"/>
      <c r="X221" s="57"/>
      <c r="Y221" s="57"/>
    </row>
    <row r="222">
      <c r="C222" s="55"/>
      <c r="D222" s="55"/>
      <c r="E222" s="56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7"/>
      <c r="U222" s="57"/>
      <c r="V222" s="57"/>
      <c r="W222" s="57"/>
      <c r="X222" s="57"/>
      <c r="Y222" s="57"/>
    </row>
    <row r="223">
      <c r="C223" s="55"/>
      <c r="D223" s="55"/>
      <c r="E223" s="56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7"/>
      <c r="U223" s="57"/>
      <c r="V223" s="57"/>
      <c r="W223" s="57"/>
      <c r="X223" s="57"/>
      <c r="Y223" s="57"/>
    </row>
    <row r="224">
      <c r="C224" s="55"/>
      <c r="D224" s="55"/>
      <c r="E224" s="56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7"/>
      <c r="U224" s="57"/>
      <c r="V224" s="57"/>
      <c r="W224" s="57"/>
      <c r="X224" s="57"/>
      <c r="Y224" s="57"/>
    </row>
    <row r="225">
      <c r="C225" s="55"/>
      <c r="D225" s="55"/>
      <c r="E225" s="56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7"/>
      <c r="U225" s="57"/>
      <c r="V225" s="57"/>
      <c r="W225" s="57"/>
      <c r="X225" s="57"/>
      <c r="Y225" s="57"/>
    </row>
    <row r="226">
      <c r="C226" s="55"/>
      <c r="D226" s="55"/>
      <c r="E226" s="56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7"/>
      <c r="U226" s="57"/>
      <c r="V226" s="57"/>
      <c r="W226" s="57"/>
      <c r="X226" s="57"/>
      <c r="Y226" s="57"/>
    </row>
    <row r="227">
      <c r="C227" s="55"/>
      <c r="D227" s="55"/>
      <c r="E227" s="56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7"/>
      <c r="U227" s="57"/>
      <c r="V227" s="57"/>
      <c r="W227" s="57"/>
      <c r="X227" s="57"/>
      <c r="Y227" s="57"/>
    </row>
    <row r="228">
      <c r="C228" s="55"/>
      <c r="D228" s="55"/>
      <c r="E228" s="56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7"/>
      <c r="U228" s="57"/>
      <c r="V228" s="57"/>
      <c r="W228" s="57"/>
      <c r="X228" s="57"/>
      <c r="Y228" s="57"/>
    </row>
    <row r="229">
      <c r="C229" s="55"/>
      <c r="D229" s="55"/>
      <c r="E229" s="56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7"/>
      <c r="U229" s="57"/>
      <c r="V229" s="57"/>
      <c r="W229" s="57"/>
      <c r="X229" s="57"/>
      <c r="Y229" s="57"/>
    </row>
    <row r="230">
      <c r="C230" s="55"/>
      <c r="D230" s="55"/>
      <c r="E230" s="56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7"/>
      <c r="U230" s="57"/>
      <c r="V230" s="57"/>
      <c r="W230" s="57"/>
      <c r="X230" s="57"/>
      <c r="Y230" s="57"/>
    </row>
    <row r="231">
      <c r="C231" s="55"/>
      <c r="D231" s="55"/>
      <c r="E231" s="56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7"/>
      <c r="U231" s="57"/>
      <c r="V231" s="57"/>
      <c r="W231" s="57"/>
      <c r="X231" s="57"/>
      <c r="Y231" s="57"/>
    </row>
    <row r="232">
      <c r="C232" s="55"/>
      <c r="D232" s="55"/>
      <c r="E232" s="56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7"/>
      <c r="U232" s="57"/>
      <c r="V232" s="57"/>
      <c r="W232" s="57"/>
      <c r="X232" s="57"/>
      <c r="Y232" s="57"/>
    </row>
    <row r="233">
      <c r="C233" s="55"/>
      <c r="D233" s="55"/>
      <c r="E233" s="56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7"/>
      <c r="U233" s="57"/>
      <c r="V233" s="57"/>
      <c r="W233" s="57"/>
      <c r="X233" s="57"/>
      <c r="Y233" s="57"/>
    </row>
    <row r="234">
      <c r="C234" s="55"/>
      <c r="D234" s="55"/>
      <c r="E234" s="56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7"/>
      <c r="U234" s="57"/>
      <c r="V234" s="57"/>
      <c r="W234" s="57"/>
      <c r="X234" s="57"/>
      <c r="Y234" s="57"/>
    </row>
    <row r="235">
      <c r="C235" s="55"/>
      <c r="D235" s="55"/>
      <c r="E235" s="56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7"/>
      <c r="U235" s="57"/>
      <c r="V235" s="57"/>
      <c r="W235" s="57"/>
      <c r="X235" s="57"/>
      <c r="Y235" s="57"/>
    </row>
    <row r="236">
      <c r="C236" s="55"/>
      <c r="D236" s="55"/>
      <c r="E236" s="56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7"/>
      <c r="U236" s="57"/>
      <c r="V236" s="57"/>
      <c r="W236" s="57"/>
      <c r="X236" s="57"/>
      <c r="Y236" s="57"/>
    </row>
    <row r="237">
      <c r="C237" s="55"/>
      <c r="D237" s="55"/>
      <c r="E237" s="56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7"/>
      <c r="U237" s="57"/>
      <c r="V237" s="57"/>
      <c r="W237" s="57"/>
      <c r="X237" s="57"/>
      <c r="Y237" s="57"/>
    </row>
    <row r="238">
      <c r="C238" s="55"/>
      <c r="D238" s="55"/>
      <c r="E238" s="56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7"/>
      <c r="U238" s="57"/>
      <c r="V238" s="57"/>
      <c r="W238" s="57"/>
      <c r="X238" s="57"/>
      <c r="Y238" s="57"/>
    </row>
    <row r="239">
      <c r="C239" s="55"/>
      <c r="D239" s="55"/>
      <c r="E239" s="56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7"/>
      <c r="U239" s="57"/>
      <c r="V239" s="57"/>
      <c r="W239" s="57"/>
      <c r="X239" s="57"/>
      <c r="Y239" s="57"/>
    </row>
    <row r="240">
      <c r="C240" s="55"/>
      <c r="D240" s="55"/>
      <c r="E240" s="56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7"/>
      <c r="U240" s="57"/>
      <c r="V240" s="57"/>
      <c r="W240" s="57"/>
      <c r="X240" s="57"/>
      <c r="Y240" s="57"/>
    </row>
    <row r="241">
      <c r="C241" s="55"/>
      <c r="D241" s="55"/>
      <c r="E241" s="56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7"/>
      <c r="U241" s="57"/>
      <c r="V241" s="57"/>
      <c r="W241" s="57"/>
      <c r="X241" s="57"/>
      <c r="Y241" s="57"/>
    </row>
    <row r="242">
      <c r="C242" s="55"/>
      <c r="D242" s="55"/>
      <c r="E242" s="56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7"/>
      <c r="U242" s="57"/>
      <c r="V242" s="57"/>
      <c r="W242" s="57"/>
      <c r="X242" s="57"/>
      <c r="Y242" s="57"/>
    </row>
    <row r="243">
      <c r="C243" s="55"/>
      <c r="D243" s="55"/>
      <c r="E243" s="56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7"/>
      <c r="U243" s="57"/>
      <c r="V243" s="57"/>
      <c r="W243" s="57"/>
      <c r="X243" s="57"/>
      <c r="Y243" s="57"/>
    </row>
    <row r="244">
      <c r="C244" s="55"/>
      <c r="D244" s="55"/>
      <c r="E244" s="56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7"/>
      <c r="U244" s="57"/>
      <c r="V244" s="57"/>
      <c r="W244" s="57"/>
      <c r="X244" s="57"/>
      <c r="Y244" s="57"/>
    </row>
    <row r="245">
      <c r="C245" s="55"/>
      <c r="D245" s="55"/>
      <c r="E245" s="56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7"/>
      <c r="U245" s="57"/>
      <c r="V245" s="57"/>
      <c r="W245" s="57"/>
      <c r="X245" s="57"/>
      <c r="Y245" s="57"/>
    </row>
    <row r="246">
      <c r="C246" s="55"/>
      <c r="D246" s="55"/>
      <c r="E246" s="56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7"/>
      <c r="U246" s="57"/>
      <c r="V246" s="57"/>
      <c r="W246" s="57"/>
      <c r="X246" s="57"/>
      <c r="Y246" s="57"/>
    </row>
    <row r="247">
      <c r="C247" s="55"/>
      <c r="D247" s="55"/>
      <c r="E247" s="56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7"/>
      <c r="U247" s="57"/>
      <c r="V247" s="57"/>
      <c r="W247" s="57"/>
      <c r="X247" s="57"/>
      <c r="Y247" s="57"/>
    </row>
    <row r="248">
      <c r="C248" s="55"/>
      <c r="D248" s="55"/>
      <c r="E248" s="56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7"/>
      <c r="U248" s="57"/>
      <c r="V248" s="57"/>
      <c r="W248" s="57"/>
      <c r="X248" s="57"/>
      <c r="Y248" s="57"/>
    </row>
    <row r="249">
      <c r="C249" s="55"/>
      <c r="D249" s="55"/>
      <c r="E249" s="56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7"/>
      <c r="U249" s="57"/>
      <c r="V249" s="57"/>
      <c r="W249" s="57"/>
      <c r="X249" s="57"/>
      <c r="Y249" s="57"/>
    </row>
    <row r="250">
      <c r="C250" s="55"/>
      <c r="D250" s="55"/>
      <c r="E250" s="56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7"/>
      <c r="U250" s="57"/>
      <c r="V250" s="57"/>
      <c r="W250" s="57"/>
      <c r="X250" s="57"/>
      <c r="Y250" s="57"/>
    </row>
    <row r="251">
      <c r="C251" s="55"/>
      <c r="D251" s="55"/>
      <c r="E251" s="56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7"/>
      <c r="U251" s="57"/>
      <c r="V251" s="57"/>
      <c r="W251" s="57"/>
      <c r="X251" s="57"/>
      <c r="Y251" s="57"/>
    </row>
    <row r="252">
      <c r="C252" s="55"/>
      <c r="D252" s="55"/>
      <c r="E252" s="56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7"/>
      <c r="U252" s="57"/>
      <c r="V252" s="57"/>
      <c r="W252" s="57"/>
      <c r="X252" s="57"/>
      <c r="Y252" s="57"/>
    </row>
    <row r="253">
      <c r="C253" s="55"/>
      <c r="D253" s="55"/>
      <c r="E253" s="56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7"/>
      <c r="U253" s="57"/>
      <c r="V253" s="57"/>
      <c r="W253" s="57"/>
      <c r="X253" s="57"/>
      <c r="Y253" s="57"/>
    </row>
    <row r="254">
      <c r="C254" s="55"/>
      <c r="D254" s="55"/>
      <c r="E254" s="56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7"/>
      <c r="U254" s="57"/>
      <c r="V254" s="57"/>
      <c r="W254" s="57"/>
      <c r="X254" s="57"/>
      <c r="Y254" s="57"/>
    </row>
    <row r="255">
      <c r="C255" s="55"/>
      <c r="D255" s="55"/>
      <c r="E255" s="56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7"/>
      <c r="U255" s="57"/>
      <c r="V255" s="57"/>
      <c r="W255" s="57"/>
      <c r="X255" s="57"/>
      <c r="Y255" s="57"/>
    </row>
    <row r="256">
      <c r="C256" s="55"/>
      <c r="D256" s="55"/>
      <c r="E256" s="56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7"/>
      <c r="U256" s="57"/>
      <c r="V256" s="57"/>
      <c r="W256" s="57"/>
      <c r="X256" s="57"/>
      <c r="Y256" s="57"/>
    </row>
    <row r="257">
      <c r="C257" s="55"/>
      <c r="D257" s="55"/>
      <c r="E257" s="56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7"/>
      <c r="U257" s="57"/>
      <c r="V257" s="57"/>
      <c r="W257" s="57"/>
      <c r="X257" s="57"/>
      <c r="Y257" s="57"/>
    </row>
    <row r="258">
      <c r="C258" s="55"/>
      <c r="D258" s="55"/>
      <c r="E258" s="56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7"/>
      <c r="U258" s="57"/>
      <c r="V258" s="57"/>
      <c r="W258" s="57"/>
      <c r="X258" s="57"/>
      <c r="Y258" s="57"/>
    </row>
    <row r="259">
      <c r="C259" s="55"/>
      <c r="D259" s="55"/>
      <c r="E259" s="56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7"/>
      <c r="U259" s="57"/>
      <c r="V259" s="57"/>
      <c r="W259" s="57"/>
      <c r="X259" s="57"/>
      <c r="Y259" s="57"/>
    </row>
    <row r="260">
      <c r="C260" s="55"/>
      <c r="D260" s="55"/>
      <c r="E260" s="56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7"/>
      <c r="U260" s="57"/>
      <c r="V260" s="57"/>
      <c r="W260" s="57"/>
      <c r="X260" s="57"/>
      <c r="Y260" s="57"/>
    </row>
    <row r="261">
      <c r="C261" s="55"/>
      <c r="D261" s="55"/>
      <c r="E261" s="56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7"/>
      <c r="U261" s="57"/>
      <c r="V261" s="57"/>
      <c r="W261" s="57"/>
      <c r="X261" s="57"/>
      <c r="Y261" s="57"/>
    </row>
    <row r="262">
      <c r="C262" s="55"/>
      <c r="D262" s="55"/>
      <c r="E262" s="56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7"/>
      <c r="U262" s="57"/>
      <c r="V262" s="57"/>
      <c r="W262" s="57"/>
      <c r="X262" s="57"/>
      <c r="Y262" s="57"/>
    </row>
    <row r="263">
      <c r="C263" s="55"/>
      <c r="D263" s="55"/>
      <c r="E263" s="56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7"/>
      <c r="U263" s="57"/>
      <c r="V263" s="57"/>
      <c r="W263" s="57"/>
      <c r="X263" s="57"/>
      <c r="Y263" s="57"/>
    </row>
    <row r="264">
      <c r="C264" s="55"/>
      <c r="D264" s="55"/>
      <c r="E264" s="56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7"/>
      <c r="U264" s="57"/>
      <c r="V264" s="57"/>
      <c r="W264" s="57"/>
      <c r="X264" s="57"/>
      <c r="Y264" s="57"/>
    </row>
    <row r="265">
      <c r="C265" s="55"/>
      <c r="D265" s="55"/>
      <c r="E265" s="56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7"/>
      <c r="U265" s="57"/>
      <c r="V265" s="57"/>
      <c r="W265" s="57"/>
      <c r="X265" s="57"/>
      <c r="Y265" s="57"/>
    </row>
    <row r="266">
      <c r="C266" s="55"/>
      <c r="D266" s="55"/>
      <c r="E266" s="56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7"/>
      <c r="U266" s="57"/>
      <c r="V266" s="57"/>
      <c r="W266" s="57"/>
      <c r="X266" s="57"/>
      <c r="Y266" s="57"/>
    </row>
    <row r="267">
      <c r="C267" s="55"/>
      <c r="D267" s="55"/>
      <c r="E267" s="56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7"/>
      <c r="U267" s="57"/>
      <c r="V267" s="57"/>
      <c r="W267" s="57"/>
      <c r="X267" s="57"/>
      <c r="Y267" s="57"/>
    </row>
    <row r="268">
      <c r="C268" s="55"/>
      <c r="D268" s="55"/>
      <c r="E268" s="56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7"/>
      <c r="U268" s="57"/>
      <c r="V268" s="57"/>
      <c r="W268" s="57"/>
      <c r="X268" s="57"/>
      <c r="Y268" s="57"/>
    </row>
    <row r="269">
      <c r="C269" s="55"/>
      <c r="D269" s="55"/>
      <c r="E269" s="56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7"/>
      <c r="U269" s="57"/>
      <c r="V269" s="57"/>
      <c r="W269" s="57"/>
      <c r="X269" s="57"/>
      <c r="Y269" s="57"/>
    </row>
    <row r="270">
      <c r="C270" s="55"/>
      <c r="D270" s="55"/>
      <c r="E270" s="56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7"/>
      <c r="U270" s="57"/>
      <c r="V270" s="57"/>
      <c r="W270" s="57"/>
      <c r="X270" s="57"/>
      <c r="Y270" s="57"/>
    </row>
    <row r="271">
      <c r="C271" s="55"/>
      <c r="D271" s="55"/>
      <c r="E271" s="56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7"/>
      <c r="U271" s="57"/>
      <c r="V271" s="57"/>
      <c r="W271" s="57"/>
      <c r="X271" s="57"/>
      <c r="Y271" s="57"/>
    </row>
    <row r="272">
      <c r="C272" s="55"/>
      <c r="D272" s="55"/>
      <c r="E272" s="56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7"/>
      <c r="U272" s="57"/>
      <c r="V272" s="57"/>
      <c r="W272" s="57"/>
      <c r="X272" s="57"/>
      <c r="Y272" s="57"/>
    </row>
    <row r="273">
      <c r="C273" s="55"/>
      <c r="D273" s="55"/>
      <c r="E273" s="56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7"/>
      <c r="U273" s="57"/>
      <c r="V273" s="57"/>
      <c r="W273" s="57"/>
      <c r="X273" s="57"/>
      <c r="Y273" s="57"/>
    </row>
    <row r="274">
      <c r="C274" s="55"/>
      <c r="D274" s="55"/>
      <c r="E274" s="56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7"/>
      <c r="U274" s="57"/>
      <c r="V274" s="57"/>
      <c r="W274" s="57"/>
      <c r="X274" s="57"/>
      <c r="Y274" s="57"/>
    </row>
    <row r="275">
      <c r="C275" s="55"/>
      <c r="D275" s="55"/>
      <c r="E275" s="56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7"/>
      <c r="U275" s="57"/>
      <c r="V275" s="57"/>
      <c r="W275" s="57"/>
      <c r="X275" s="57"/>
      <c r="Y275" s="57"/>
    </row>
    <row r="276">
      <c r="C276" s="55"/>
      <c r="D276" s="55"/>
      <c r="E276" s="56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7"/>
      <c r="U276" s="57"/>
      <c r="V276" s="57"/>
      <c r="W276" s="57"/>
      <c r="X276" s="57"/>
      <c r="Y276" s="57"/>
    </row>
    <row r="277">
      <c r="C277" s="55"/>
      <c r="D277" s="55"/>
      <c r="E277" s="56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7"/>
      <c r="U277" s="57"/>
      <c r="V277" s="57"/>
      <c r="W277" s="57"/>
      <c r="X277" s="57"/>
      <c r="Y277" s="57"/>
    </row>
    <row r="278">
      <c r="C278" s="55"/>
      <c r="D278" s="55"/>
      <c r="E278" s="56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7"/>
      <c r="U278" s="57"/>
      <c r="V278" s="57"/>
      <c r="W278" s="57"/>
      <c r="X278" s="57"/>
      <c r="Y278" s="57"/>
    </row>
    <row r="279">
      <c r="C279" s="55"/>
      <c r="D279" s="55"/>
      <c r="E279" s="56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7"/>
      <c r="U279" s="57"/>
      <c r="V279" s="57"/>
      <c r="W279" s="57"/>
      <c r="X279" s="57"/>
      <c r="Y279" s="57"/>
    </row>
    <row r="280">
      <c r="C280" s="55"/>
      <c r="D280" s="55"/>
      <c r="E280" s="56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7"/>
      <c r="U280" s="57"/>
      <c r="V280" s="57"/>
      <c r="W280" s="57"/>
      <c r="X280" s="57"/>
      <c r="Y280" s="57"/>
    </row>
    <row r="281">
      <c r="C281" s="55"/>
      <c r="D281" s="55"/>
      <c r="E281" s="56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7"/>
      <c r="U281" s="57"/>
      <c r="V281" s="57"/>
      <c r="W281" s="57"/>
      <c r="X281" s="57"/>
      <c r="Y281" s="57"/>
    </row>
    <row r="282">
      <c r="C282" s="55"/>
      <c r="D282" s="55"/>
      <c r="E282" s="56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7"/>
      <c r="U282" s="57"/>
      <c r="V282" s="57"/>
      <c r="W282" s="57"/>
      <c r="X282" s="57"/>
      <c r="Y282" s="57"/>
    </row>
    <row r="283">
      <c r="C283" s="55"/>
      <c r="D283" s="55"/>
      <c r="E283" s="56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7"/>
      <c r="U283" s="57"/>
      <c r="V283" s="57"/>
      <c r="W283" s="57"/>
      <c r="X283" s="57"/>
      <c r="Y283" s="57"/>
    </row>
    <row r="284">
      <c r="C284" s="55"/>
      <c r="D284" s="55"/>
      <c r="E284" s="56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7"/>
      <c r="U284" s="57"/>
      <c r="V284" s="57"/>
      <c r="W284" s="57"/>
      <c r="X284" s="57"/>
      <c r="Y284" s="57"/>
    </row>
    <row r="285">
      <c r="C285" s="55"/>
      <c r="D285" s="55"/>
      <c r="E285" s="56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7"/>
      <c r="U285" s="57"/>
      <c r="V285" s="57"/>
      <c r="W285" s="57"/>
      <c r="X285" s="57"/>
      <c r="Y285" s="57"/>
    </row>
    <row r="286">
      <c r="C286" s="55"/>
      <c r="D286" s="55"/>
      <c r="E286" s="56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7"/>
      <c r="U286" s="57"/>
      <c r="V286" s="57"/>
      <c r="W286" s="57"/>
      <c r="X286" s="57"/>
      <c r="Y286" s="57"/>
    </row>
    <row r="287">
      <c r="C287" s="55"/>
      <c r="D287" s="55"/>
      <c r="E287" s="56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7"/>
      <c r="U287" s="57"/>
      <c r="V287" s="57"/>
      <c r="W287" s="57"/>
      <c r="X287" s="57"/>
      <c r="Y287" s="57"/>
    </row>
    <row r="288">
      <c r="C288" s="55"/>
      <c r="D288" s="55"/>
      <c r="E288" s="56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7"/>
      <c r="U288" s="57"/>
      <c r="V288" s="57"/>
      <c r="W288" s="57"/>
      <c r="X288" s="57"/>
      <c r="Y288" s="57"/>
    </row>
    <row r="289">
      <c r="C289" s="55"/>
      <c r="D289" s="55"/>
      <c r="E289" s="56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7"/>
      <c r="U289" s="57"/>
      <c r="V289" s="57"/>
      <c r="W289" s="57"/>
      <c r="X289" s="57"/>
      <c r="Y289" s="57"/>
    </row>
    <row r="290">
      <c r="C290" s="55"/>
      <c r="D290" s="55"/>
      <c r="E290" s="56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7"/>
      <c r="U290" s="57"/>
      <c r="V290" s="57"/>
      <c r="W290" s="57"/>
      <c r="X290" s="57"/>
      <c r="Y290" s="57"/>
    </row>
    <row r="291">
      <c r="C291" s="55"/>
      <c r="D291" s="55"/>
      <c r="E291" s="56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7"/>
      <c r="U291" s="57"/>
      <c r="V291" s="57"/>
      <c r="W291" s="57"/>
      <c r="X291" s="57"/>
      <c r="Y291" s="57"/>
    </row>
    <row r="292">
      <c r="C292" s="55"/>
      <c r="D292" s="55"/>
      <c r="E292" s="56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7"/>
      <c r="U292" s="57"/>
      <c r="V292" s="57"/>
      <c r="W292" s="57"/>
      <c r="X292" s="57"/>
      <c r="Y292" s="57"/>
    </row>
    <row r="293">
      <c r="C293" s="55"/>
      <c r="D293" s="55"/>
      <c r="E293" s="56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7"/>
      <c r="U293" s="57"/>
      <c r="V293" s="57"/>
      <c r="W293" s="57"/>
      <c r="X293" s="57"/>
      <c r="Y293" s="57"/>
    </row>
    <row r="294">
      <c r="C294" s="55"/>
      <c r="D294" s="55"/>
      <c r="E294" s="56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7"/>
      <c r="U294" s="57"/>
      <c r="V294" s="57"/>
      <c r="W294" s="57"/>
      <c r="X294" s="57"/>
      <c r="Y294" s="57"/>
    </row>
    <row r="295">
      <c r="C295" s="55"/>
      <c r="D295" s="55"/>
      <c r="E295" s="56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7"/>
      <c r="U295" s="57"/>
      <c r="V295" s="57"/>
      <c r="W295" s="57"/>
      <c r="X295" s="57"/>
      <c r="Y295" s="57"/>
    </row>
    <row r="296">
      <c r="C296" s="55"/>
      <c r="D296" s="55"/>
      <c r="E296" s="56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7"/>
      <c r="U296" s="57"/>
      <c r="V296" s="57"/>
      <c r="W296" s="57"/>
      <c r="X296" s="57"/>
      <c r="Y296" s="57"/>
    </row>
    <row r="297">
      <c r="C297" s="55"/>
      <c r="D297" s="55"/>
      <c r="E297" s="56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7"/>
      <c r="U297" s="57"/>
      <c r="V297" s="57"/>
      <c r="W297" s="57"/>
      <c r="X297" s="57"/>
      <c r="Y297" s="57"/>
    </row>
    <row r="298">
      <c r="C298" s="55"/>
      <c r="D298" s="55"/>
      <c r="E298" s="56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7"/>
      <c r="U298" s="57"/>
      <c r="V298" s="57"/>
      <c r="W298" s="57"/>
      <c r="X298" s="57"/>
      <c r="Y298" s="57"/>
    </row>
    <row r="299">
      <c r="C299" s="55"/>
      <c r="D299" s="55"/>
      <c r="E299" s="56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7"/>
      <c r="U299" s="57"/>
      <c r="V299" s="57"/>
      <c r="W299" s="57"/>
      <c r="X299" s="57"/>
      <c r="Y299" s="57"/>
    </row>
    <row r="300">
      <c r="C300" s="55"/>
      <c r="D300" s="55"/>
      <c r="E300" s="56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7"/>
      <c r="U300" s="57"/>
      <c r="V300" s="57"/>
      <c r="W300" s="57"/>
      <c r="X300" s="57"/>
      <c r="Y300" s="57"/>
    </row>
    <row r="301">
      <c r="C301" s="55"/>
      <c r="D301" s="55"/>
      <c r="E301" s="56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7"/>
      <c r="U301" s="57"/>
      <c r="V301" s="57"/>
      <c r="W301" s="57"/>
      <c r="X301" s="57"/>
      <c r="Y301" s="57"/>
    </row>
    <row r="302">
      <c r="C302" s="55"/>
      <c r="D302" s="55"/>
      <c r="E302" s="56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7"/>
      <c r="U302" s="57"/>
      <c r="V302" s="57"/>
      <c r="W302" s="57"/>
      <c r="X302" s="57"/>
      <c r="Y302" s="57"/>
    </row>
    <row r="303">
      <c r="C303" s="55"/>
      <c r="D303" s="55"/>
      <c r="E303" s="56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7"/>
      <c r="U303" s="57"/>
      <c r="V303" s="57"/>
      <c r="W303" s="57"/>
      <c r="X303" s="57"/>
      <c r="Y303" s="57"/>
    </row>
    <row r="304">
      <c r="C304" s="55"/>
      <c r="D304" s="55"/>
      <c r="E304" s="56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7"/>
      <c r="U304" s="57"/>
      <c r="V304" s="57"/>
      <c r="W304" s="57"/>
      <c r="X304" s="57"/>
      <c r="Y304" s="57"/>
    </row>
    <row r="305">
      <c r="C305" s="55"/>
      <c r="D305" s="55"/>
      <c r="E305" s="56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7"/>
      <c r="U305" s="57"/>
      <c r="V305" s="57"/>
      <c r="W305" s="57"/>
      <c r="X305" s="57"/>
      <c r="Y305" s="57"/>
    </row>
    <row r="306">
      <c r="C306" s="55"/>
      <c r="D306" s="55"/>
      <c r="E306" s="56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7"/>
      <c r="U306" s="57"/>
      <c r="V306" s="57"/>
      <c r="W306" s="57"/>
      <c r="X306" s="57"/>
      <c r="Y306" s="57"/>
    </row>
    <row r="307">
      <c r="C307" s="55"/>
      <c r="D307" s="55"/>
      <c r="E307" s="56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7"/>
      <c r="U307" s="57"/>
      <c r="V307" s="57"/>
      <c r="W307" s="57"/>
      <c r="X307" s="57"/>
      <c r="Y307" s="57"/>
    </row>
    <row r="308">
      <c r="C308" s="55"/>
      <c r="D308" s="55"/>
      <c r="E308" s="56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7"/>
      <c r="U308" s="57"/>
      <c r="V308" s="57"/>
      <c r="W308" s="57"/>
      <c r="X308" s="57"/>
      <c r="Y308" s="57"/>
    </row>
    <row r="309">
      <c r="C309" s="55"/>
      <c r="D309" s="55"/>
      <c r="E309" s="56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7"/>
      <c r="U309" s="57"/>
      <c r="V309" s="57"/>
      <c r="W309" s="57"/>
      <c r="X309" s="57"/>
      <c r="Y309" s="57"/>
    </row>
    <row r="310">
      <c r="C310" s="55"/>
      <c r="D310" s="55"/>
      <c r="E310" s="56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7"/>
      <c r="U310" s="57"/>
      <c r="V310" s="57"/>
      <c r="W310" s="57"/>
      <c r="X310" s="57"/>
      <c r="Y310" s="57"/>
    </row>
    <row r="311">
      <c r="C311" s="55"/>
      <c r="D311" s="55"/>
      <c r="E311" s="56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7"/>
      <c r="U311" s="57"/>
      <c r="V311" s="57"/>
      <c r="W311" s="57"/>
      <c r="X311" s="57"/>
      <c r="Y311" s="57"/>
    </row>
    <row r="312">
      <c r="C312" s="55"/>
      <c r="D312" s="55"/>
      <c r="E312" s="56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7"/>
      <c r="U312" s="57"/>
      <c r="V312" s="57"/>
      <c r="W312" s="57"/>
      <c r="X312" s="57"/>
      <c r="Y312" s="57"/>
    </row>
    <row r="313">
      <c r="C313" s="55"/>
      <c r="D313" s="55"/>
      <c r="E313" s="56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7"/>
      <c r="U313" s="57"/>
      <c r="V313" s="57"/>
      <c r="W313" s="57"/>
      <c r="X313" s="57"/>
      <c r="Y313" s="57"/>
    </row>
    <row r="314">
      <c r="C314" s="55"/>
      <c r="D314" s="55"/>
      <c r="E314" s="56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7"/>
      <c r="U314" s="57"/>
      <c r="V314" s="57"/>
      <c r="W314" s="57"/>
      <c r="X314" s="57"/>
      <c r="Y314" s="57"/>
    </row>
    <row r="315">
      <c r="C315" s="55"/>
      <c r="D315" s="55"/>
      <c r="E315" s="56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7"/>
      <c r="U315" s="57"/>
      <c r="V315" s="57"/>
      <c r="W315" s="57"/>
      <c r="X315" s="57"/>
      <c r="Y315" s="57"/>
    </row>
    <row r="316">
      <c r="C316" s="55"/>
      <c r="D316" s="55"/>
      <c r="E316" s="56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7"/>
      <c r="U316" s="57"/>
      <c r="V316" s="57"/>
      <c r="W316" s="57"/>
      <c r="X316" s="57"/>
      <c r="Y316" s="57"/>
    </row>
    <row r="317">
      <c r="C317" s="55"/>
      <c r="D317" s="55"/>
      <c r="E317" s="56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7"/>
      <c r="U317" s="57"/>
      <c r="V317" s="57"/>
      <c r="W317" s="57"/>
      <c r="X317" s="57"/>
      <c r="Y317" s="57"/>
    </row>
    <row r="318">
      <c r="C318" s="55"/>
      <c r="D318" s="55"/>
      <c r="E318" s="56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7"/>
      <c r="U318" s="57"/>
      <c r="V318" s="57"/>
      <c r="W318" s="57"/>
      <c r="X318" s="57"/>
      <c r="Y318" s="57"/>
    </row>
    <row r="319">
      <c r="C319" s="55"/>
      <c r="D319" s="55"/>
      <c r="E319" s="56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7"/>
      <c r="U319" s="57"/>
      <c r="V319" s="57"/>
      <c r="W319" s="57"/>
      <c r="X319" s="57"/>
      <c r="Y319" s="57"/>
    </row>
    <row r="320">
      <c r="C320" s="55"/>
      <c r="D320" s="55"/>
      <c r="E320" s="56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7"/>
      <c r="U320" s="57"/>
      <c r="V320" s="57"/>
      <c r="W320" s="57"/>
      <c r="X320" s="57"/>
      <c r="Y320" s="57"/>
    </row>
    <row r="321">
      <c r="C321" s="55"/>
      <c r="D321" s="55"/>
      <c r="E321" s="56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7"/>
      <c r="U321" s="57"/>
      <c r="V321" s="57"/>
      <c r="W321" s="57"/>
      <c r="X321" s="57"/>
      <c r="Y321" s="57"/>
    </row>
    <row r="322">
      <c r="C322" s="55"/>
      <c r="D322" s="55"/>
      <c r="E322" s="56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7"/>
      <c r="U322" s="57"/>
      <c r="V322" s="57"/>
      <c r="W322" s="57"/>
      <c r="X322" s="57"/>
      <c r="Y322" s="57"/>
    </row>
    <row r="323">
      <c r="C323" s="55"/>
      <c r="D323" s="55"/>
      <c r="E323" s="56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7"/>
      <c r="U323" s="57"/>
      <c r="V323" s="57"/>
      <c r="W323" s="57"/>
      <c r="X323" s="57"/>
      <c r="Y323" s="57"/>
    </row>
    <row r="324">
      <c r="C324" s="55"/>
      <c r="D324" s="55"/>
      <c r="E324" s="56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7"/>
      <c r="U324" s="57"/>
      <c r="V324" s="57"/>
      <c r="W324" s="57"/>
      <c r="X324" s="57"/>
      <c r="Y324" s="57"/>
    </row>
    <row r="325">
      <c r="C325" s="55"/>
      <c r="D325" s="55"/>
      <c r="E325" s="56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7"/>
      <c r="U325" s="57"/>
      <c r="V325" s="57"/>
      <c r="W325" s="57"/>
      <c r="X325" s="57"/>
      <c r="Y325" s="57"/>
    </row>
    <row r="326">
      <c r="C326" s="55"/>
      <c r="D326" s="55"/>
      <c r="E326" s="56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7"/>
      <c r="U326" s="57"/>
      <c r="V326" s="57"/>
      <c r="W326" s="57"/>
      <c r="X326" s="57"/>
      <c r="Y326" s="57"/>
    </row>
    <row r="327">
      <c r="C327" s="55"/>
      <c r="D327" s="55"/>
      <c r="E327" s="56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7"/>
      <c r="U327" s="57"/>
      <c r="V327" s="57"/>
      <c r="W327" s="57"/>
      <c r="X327" s="57"/>
      <c r="Y327" s="57"/>
    </row>
    <row r="328">
      <c r="C328" s="55"/>
      <c r="D328" s="55"/>
      <c r="E328" s="56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7"/>
      <c r="U328" s="57"/>
      <c r="V328" s="57"/>
      <c r="W328" s="57"/>
      <c r="X328" s="57"/>
      <c r="Y328" s="57"/>
    </row>
    <row r="329">
      <c r="C329" s="55"/>
      <c r="D329" s="55"/>
      <c r="E329" s="56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7"/>
      <c r="U329" s="57"/>
      <c r="V329" s="57"/>
      <c r="W329" s="57"/>
      <c r="X329" s="57"/>
      <c r="Y329" s="57"/>
    </row>
    <row r="330">
      <c r="C330" s="55"/>
      <c r="D330" s="55"/>
      <c r="E330" s="56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7"/>
      <c r="U330" s="57"/>
      <c r="V330" s="57"/>
      <c r="W330" s="57"/>
      <c r="X330" s="57"/>
      <c r="Y330" s="57"/>
    </row>
    <row r="331">
      <c r="C331" s="55"/>
      <c r="D331" s="55"/>
      <c r="E331" s="56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7"/>
      <c r="U331" s="57"/>
      <c r="V331" s="57"/>
      <c r="W331" s="57"/>
      <c r="X331" s="57"/>
      <c r="Y331" s="57"/>
    </row>
    <row r="332">
      <c r="C332" s="55"/>
      <c r="D332" s="55"/>
      <c r="E332" s="56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7"/>
      <c r="U332" s="57"/>
      <c r="V332" s="57"/>
      <c r="W332" s="57"/>
      <c r="X332" s="57"/>
      <c r="Y332" s="57"/>
    </row>
    <row r="333">
      <c r="C333" s="55"/>
      <c r="D333" s="55"/>
      <c r="E333" s="56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7"/>
      <c r="U333" s="57"/>
      <c r="V333" s="57"/>
      <c r="W333" s="57"/>
      <c r="X333" s="57"/>
      <c r="Y333" s="57"/>
    </row>
    <row r="334">
      <c r="C334" s="55"/>
      <c r="D334" s="55"/>
      <c r="E334" s="56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7"/>
      <c r="U334" s="57"/>
      <c r="V334" s="57"/>
      <c r="W334" s="57"/>
      <c r="X334" s="57"/>
      <c r="Y334" s="57"/>
    </row>
    <row r="335">
      <c r="C335" s="55"/>
      <c r="D335" s="55"/>
      <c r="E335" s="56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7"/>
      <c r="U335" s="57"/>
      <c r="V335" s="57"/>
      <c r="W335" s="57"/>
      <c r="X335" s="57"/>
      <c r="Y335" s="57"/>
    </row>
    <row r="336">
      <c r="C336" s="55"/>
      <c r="D336" s="55"/>
      <c r="E336" s="56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7"/>
      <c r="U336" s="57"/>
      <c r="V336" s="57"/>
      <c r="W336" s="57"/>
      <c r="X336" s="57"/>
      <c r="Y336" s="57"/>
    </row>
    <row r="337">
      <c r="C337" s="55"/>
      <c r="D337" s="55"/>
      <c r="E337" s="56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7"/>
      <c r="U337" s="57"/>
      <c r="V337" s="57"/>
      <c r="W337" s="57"/>
      <c r="X337" s="57"/>
      <c r="Y337" s="57"/>
    </row>
    <row r="338">
      <c r="C338" s="55"/>
      <c r="D338" s="55"/>
      <c r="E338" s="56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7"/>
      <c r="U338" s="57"/>
      <c r="V338" s="57"/>
      <c r="W338" s="57"/>
      <c r="X338" s="57"/>
      <c r="Y338" s="57"/>
    </row>
    <row r="339">
      <c r="C339" s="55"/>
      <c r="D339" s="55"/>
      <c r="E339" s="56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7"/>
      <c r="U339" s="57"/>
      <c r="V339" s="57"/>
      <c r="W339" s="57"/>
      <c r="X339" s="57"/>
      <c r="Y339" s="57"/>
    </row>
    <row r="340">
      <c r="C340" s="55"/>
      <c r="D340" s="55"/>
      <c r="E340" s="56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7"/>
      <c r="U340" s="57"/>
      <c r="V340" s="57"/>
      <c r="W340" s="57"/>
      <c r="X340" s="57"/>
      <c r="Y340" s="57"/>
    </row>
    <row r="341">
      <c r="C341" s="55"/>
      <c r="D341" s="55"/>
      <c r="E341" s="56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7"/>
      <c r="U341" s="57"/>
      <c r="V341" s="57"/>
      <c r="W341" s="57"/>
      <c r="X341" s="57"/>
      <c r="Y341" s="57"/>
    </row>
    <row r="342">
      <c r="C342" s="55"/>
      <c r="D342" s="55"/>
      <c r="E342" s="56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7"/>
      <c r="U342" s="57"/>
      <c r="V342" s="57"/>
      <c r="W342" s="57"/>
      <c r="X342" s="57"/>
      <c r="Y342" s="57"/>
    </row>
    <row r="343">
      <c r="C343" s="55"/>
      <c r="D343" s="55"/>
      <c r="E343" s="56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7"/>
      <c r="U343" s="57"/>
      <c r="V343" s="57"/>
      <c r="W343" s="57"/>
      <c r="X343" s="57"/>
      <c r="Y343" s="57"/>
    </row>
    <row r="344">
      <c r="C344" s="55"/>
      <c r="D344" s="55"/>
      <c r="E344" s="56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7"/>
      <c r="U344" s="57"/>
      <c r="V344" s="57"/>
      <c r="W344" s="57"/>
      <c r="X344" s="57"/>
      <c r="Y344" s="57"/>
    </row>
    <row r="345">
      <c r="C345" s="55"/>
      <c r="D345" s="55"/>
      <c r="E345" s="56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7"/>
      <c r="U345" s="57"/>
      <c r="V345" s="57"/>
      <c r="W345" s="57"/>
      <c r="X345" s="57"/>
      <c r="Y345" s="57"/>
    </row>
    <row r="346">
      <c r="C346" s="55"/>
      <c r="D346" s="55"/>
      <c r="E346" s="56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7"/>
      <c r="U346" s="57"/>
      <c r="V346" s="57"/>
      <c r="W346" s="57"/>
      <c r="X346" s="57"/>
      <c r="Y346" s="57"/>
    </row>
    <row r="347">
      <c r="C347" s="55"/>
      <c r="D347" s="55"/>
      <c r="E347" s="56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7"/>
      <c r="U347" s="57"/>
      <c r="V347" s="57"/>
      <c r="W347" s="57"/>
      <c r="X347" s="57"/>
      <c r="Y347" s="57"/>
    </row>
    <row r="348">
      <c r="C348" s="55"/>
      <c r="D348" s="55"/>
      <c r="E348" s="56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7"/>
      <c r="U348" s="57"/>
      <c r="V348" s="57"/>
      <c r="W348" s="57"/>
      <c r="X348" s="57"/>
      <c r="Y348" s="57"/>
    </row>
    <row r="349">
      <c r="C349" s="55"/>
      <c r="D349" s="55"/>
      <c r="E349" s="56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7"/>
      <c r="U349" s="57"/>
      <c r="V349" s="57"/>
      <c r="W349" s="57"/>
      <c r="X349" s="57"/>
      <c r="Y349" s="57"/>
    </row>
    <row r="350">
      <c r="C350" s="55"/>
      <c r="D350" s="55"/>
      <c r="E350" s="56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7"/>
      <c r="U350" s="57"/>
      <c r="V350" s="57"/>
      <c r="W350" s="57"/>
      <c r="X350" s="57"/>
      <c r="Y350" s="57"/>
    </row>
    <row r="351">
      <c r="C351" s="55"/>
      <c r="D351" s="55"/>
      <c r="E351" s="56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7"/>
      <c r="U351" s="57"/>
      <c r="V351" s="57"/>
      <c r="W351" s="57"/>
      <c r="X351" s="57"/>
      <c r="Y351" s="57"/>
    </row>
    <row r="352">
      <c r="C352" s="55"/>
      <c r="D352" s="55"/>
      <c r="E352" s="56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7"/>
      <c r="U352" s="57"/>
      <c r="V352" s="57"/>
      <c r="W352" s="57"/>
      <c r="X352" s="57"/>
      <c r="Y352" s="57"/>
    </row>
    <row r="353">
      <c r="C353" s="55"/>
      <c r="D353" s="55"/>
      <c r="E353" s="56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7"/>
      <c r="U353" s="57"/>
      <c r="V353" s="57"/>
      <c r="W353" s="57"/>
      <c r="X353" s="57"/>
      <c r="Y353" s="57"/>
    </row>
    <row r="354">
      <c r="C354" s="55"/>
      <c r="D354" s="55"/>
      <c r="E354" s="56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7"/>
      <c r="U354" s="57"/>
      <c r="V354" s="57"/>
      <c r="W354" s="57"/>
      <c r="X354" s="57"/>
      <c r="Y354" s="57"/>
    </row>
    <row r="355">
      <c r="C355" s="55"/>
      <c r="D355" s="55"/>
      <c r="E355" s="56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7"/>
      <c r="U355" s="57"/>
      <c r="V355" s="57"/>
      <c r="W355" s="57"/>
      <c r="X355" s="57"/>
      <c r="Y355" s="57"/>
    </row>
    <row r="356">
      <c r="C356" s="55"/>
      <c r="D356" s="55"/>
      <c r="E356" s="56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7"/>
      <c r="U356" s="57"/>
      <c r="V356" s="57"/>
      <c r="W356" s="57"/>
      <c r="X356" s="57"/>
      <c r="Y356" s="57"/>
    </row>
    <row r="357">
      <c r="C357" s="55"/>
      <c r="D357" s="55"/>
      <c r="E357" s="56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7"/>
      <c r="U357" s="57"/>
      <c r="V357" s="57"/>
      <c r="W357" s="57"/>
      <c r="X357" s="57"/>
      <c r="Y357" s="57"/>
    </row>
    <row r="358">
      <c r="C358" s="55"/>
      <c r="D358" s="55"/>
      <c r="E358" s="56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7"/>
      <c r="U358" s="57"/>
      <c r="V358" s="57"/>
      <c r="W358" s="57"/>
      <c r="X358" s="57"/>
      <c r="Y358" s="57"/>
    </row>
    <row r="359">
      <c r="C359" s="55"/>
      <c r="D359" s="55"/>
      <c r="E359" s="56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7"/>
      <c r="U359" s="57"/>
      <c r="V359" s="57"/>
      <c r="W359" s="57"/>
      <c r="X359" s="57"/>
      <c r="Y359" s="57"/>
    </row>
    <row r="360">
      <c r="C360" s="55"/>
      <c r="D360" s="55"/>
      <c r="E360" s="56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7"/>
      <c r="U360" s="57"/>
      <c r="V360" s="57"/>
      <c r="W360" s="57"/>
      <c r="X360" s="57"/>
      <c r="Y360" s="57"/>
    </row>
    <row r="361">
      <c r="C361" s="55"/>
      <c r="D361" s="55"/>
      <c r="E361" s="56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7"/>
      <c r="U361" s="57"/>
      <c r="V361" s="57"/>
      <c r="W361" s="57"/>
      <c r="X361" s="57"/>
      <c r="Y361" s="57"/>
    </row>
    <row r="362">
      <c r="C362" s="55"/>
      <c r="D362" s="55"/>
      <c r="E362" s="56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7"/>
      <c r="U362" s="57"/>
      <c r="V362" s="57"/>
      <c r="W362" s="57"/>
      <c r="X362" s="57"/>
      <c r="Y362" s="57"/>
    </row>
    <row r="363">
      <c r="C363" s="55"/>
      <c r="D363" s="55"/>
      <c r="E363" s="56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7"/>
      <c r="U363" s="57"/>
      <c r="V363" s="57"/>
      <c r="W363" s="57"/>
      <c r="X363" s="57"/>
      <c r="Y363" s="57"/>
    </row>
    <row r="364">
      <c r="C364" s="55"/>
      <c r="D364" s="55"/>
      <c r="E364" s="56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7"/>
      <c r="U364" s="57"/>
      <c r="V364" s="57"/>
      <c r="W364" s="57"/>
      <c r="X364" s="57"/>
      <c r="Y364" s="57"/>
    </row>
    <row r="365">
      <c r="C365" s="55"/>
      <c r="D365" s="55"/>
      <c r="E365" s="56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7"/>
      <c r="U365" s="57"/>
      <c r="V365" s="57"/>
      <c r="W365" s="57"/>
      <c r="X365" s="57"/>
      <c r="Y365" s="57"/>
    </row>
    <row r="366">
      <c r="C366" s="55"/>
      <c r="D366" s="55"/>
      <c r="E366" s="56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7"/>
      <c r="U366" s="57"/>
      <c r="V366" s="57"/>
      <c r="W366" s="57"/>
      <c r="X366" s="57"/>
      <c r="Y366" s="57"/>
    </row>
    <row r="367">
      <c r="C367" s="55"/>
      <c r="D367" s="55"/>
      <c r="E367" s="56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7"/>
      <c r="U367" s="57"/>
      <c r="V367" s="57"/>
      <c r="W367" s="57"/>
      <c r="X367" s="57"/>
      <c r="Y367" s="57"/>
    </row>
    <row r="368">
      <c r="C368" s="55"/>
      <c r="D368" s="55"/>
      <c r="E368" s="56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7"/>
      <c r="U368" s="57"/>
      <c r="V368" s="57"/>
      <c r="W368" s="57"/>
      <c r="X368" s="57"/>
      <c r="Y368" s="57"/>
    </row>
    <row r="369">
      <c r="C369" s="55"/>
      <c r="D369" s="55"/>
      <c r="E369" s="56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7"/>
      <c r="U369" s="57"/>
      <c r="V369" s="57"/>
      <c r="W369" s="57"/>
      <c r="X369" s="57"/>
      <c r="Y369" s="57"/>
    </row>
    <row r="370">
      <c r="C370" s="55"/>
      <c r="D370" s="55"/>
      <c r="E370" s="56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7"/>
      <c r="U370" s="57"/>
      <c r="V370" s="57"/>
      <c r="W370" s="57"/>
      <c r="X370" s="57"/>
      <c r="Y370" s="57"/>
    </row>
    <row r="371">
      <c r="C371" s="55"/>
      <c r="D371" s="55"/>
      <c r="E371" s="56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7"/>
      <c r="U371" s="57"/>
      <c r="V371" s="57"/>
      <c r="W371" s="57"/>
      <c r="X371" s="57"/>
      <c r="Y371" s="57"/>
    </row>
    <row r="372">
      <c r="C372" s="55"/>
      <c r="D372" s="55"/>
      <c r="E372" s="56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7"/>
      <c r="U372" s="57"/>
      <c r="V372" s="57"/>
      <c r="W372" s="57"/>
      <c r="X372" s="57"/>
      <c r="Y372" s="57"/>
    </row>
    <row r="373">
      <c r="C373" s="55"/>
      <c r="D373" s="55"/>
      <c r="E373" s="56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7"/>
      <c r="U373" s="57"/>
      <c r="V373" s="57"/>
      <c r="W373" s="57"/>
      <c r="X373" s="57"/>
      <c r="Y373" s="57"/>
    </row>
    <row r="374">
      <c r="C374" s="55"/>
      <c r="D374" s="55"/>
      <c r="E374" s="56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7"/>
      <c r="U374" s="57"/>
      <c r="V374" s="57"/>
      <c r="W374" s="57"/>
      <c r="X374" s="57"/>
      <c r="Y374" s="57"/>
    </row>
    <row r="375">
      <c r="C375" s="55"/>
      <c r="D375" s="55"/>
      <c r="E375" s="56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7"/>
      <c r="U375" s="57"/>
      <c r="V375" s="57"/>
      <c r="W375" s="57"/>
      <c r="X375" s="57"/>
      <c r="Y375" s="57"/>
    </row>
    <row r="376">
      <c r="C376" s="55"/>
      <c r="D376" s="55"/>
      <c r="E376" s="56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7"/>
      <c r="U376" s="57"/>
      <c r="V376" s="57"/>
      <c r="W376" s="57"/>
      <c r="X376" s="57"/>
      <c r="Y376" s="57"/>
    </row>
    <row r="377">
      <c r="C377" s="55"/>
      <c r="D377" s="55"/>
      <c r="E377" s="56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7"/>
      <c r="U377" s="57"/>
      <c r="V377" s="57"/>
      <c r="W377" s="57"/>
      <c r="X377" s="57"/>
      <c r="Y377" s="57"/>
    </row>
    <row r="378">
      <c r="C378" s="55"/>
      <c r="D378" s="55"/>
      <c r="E378" s="56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7"/>
      <c r="U378" s="57"/>
      <c r="V378" s="57"/>
      <c r="W378" s="57"/>
      <c r="X378" s="57"/>
      <c r="Y378" s="57"/>
    </row>
    <row r="379">
      <c r="C379" s="55"/>
      <c r="D379" s="55"/>
      <c r="E379" s="56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7"/>
      <c r="U379" s="57"/>
      <c r="V379" s="57"/>
      <c r="W379" s="57"/>
      <c r="X379" s="57"/>
      <c r="Y379" s="57"/>
    </row>
    <row r="380">
      <c r="C380" s="55"/>
      <c r="D380" s="55"/>
      <c r="E380" s="56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7"/>
      <c r="U380" s="57"/>
      <c r="V380" s="57"/>
      <c r="W380" s="57"/>
      <c r="X380" s="57"/>
      <c r="Y380" s="57"/>
    </row>
    <row r="381">
      <c r="C381" s="55"/>
      <c r="D381" s="55"/>
      <c r="E381" s="56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7"/>
      <c r="U381" s="57"/>
      <c r="V381" s="57"/>
      <c r="W381" s="57"/>
      <c r="X381" s="57"/>
      <c r="Y381" s="57"/>
    </row>
    <row r="382">
      <c r="C382" s="55"/>
      <c r="D382" s="55"/>
      <c r="E382" s="56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7"/>
      <c r="U382" s="57"/>
      <c r="V382" s="57"/>
      <c r="W382" s="57"/>
      <c r="X382" s="57"/>
      <c r="Y382" s="57"/>
    </row>
    <row r="383">
      <c r="C383" s="55"/>
      <c r="D383" s="55"/>
      <c r="E383" s="56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7"/>
      <c r="U383" s="57"/>
      <c r="V383" s="57"/>
      <c r="W383" s="57"/>
      <c r="X383" s="57"/>
      <c r="Y383" s="57"/>
    </row>
    <row r="384">
      <c r="C384" s="55"/>
      <c r="D384" s="55"/>
      <c r="E384" s="56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7"/>
      <c r="U384" s="57"/>
      <c r="V384" s="57"/>
      <c r="W384" s="57"/>
      <c r="X384" s="57"/>
      <c r="Y384" s="57"/>
    </row>
    <row r="385">
      <c r="C385" s="55"/>
      <c r="D385" s="55"/>
      <c r="E385" s="56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7"/>
      <c r="U385" s="57"/>
      <c r="V385" s="57"/>
      <c r="W385" s="57"/>
      <c r="X385" s="57"/>
      <c r="Y385" s="57"/>
    </row>
    <row r="386">
      <c r="C386" s="55"/>
      <c r="D386" s="55"/>
      <c r="E386" s="56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7"/>
      <c r="U386" s="57"/>
      <c r="V386" s="57"/>
      <c r="W386" s="57"/>
      <c r="X386" s="57"/>
      <c r="Y386" s="57"/>
    </row>
    <row r="387">
      <c r="C387" s="55"/>
      <c r="D387" s="55"/>
      <c r="E387" s="56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7"/>
      <c r="U387" s="57"/>
      <c r="V387" s="57"/>
      <c r="W387" s="57"/>
      <c r="X387" s="57"/>
      <c r="Y387" s="57"/>
    </row>
    <row r="388">
      <c r="C388" s="55"/>
      <c r="D388" s="55"/>
      <c r="E388" s="56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7"/>
      <c r="U388" s="57"/>
      <c r="V388" s="57"/>
      <c r="W388" s="57"/>
      <c r="X388" s="57"/>
      <c r="Y388" s="57"/>
    </row>
    <row r="389">
      <c r="C389" s="55"/>
      <c r="D389" s="55"/>
      <c r="E389" s="56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7"/>
      <c r="U389" s="57"/>
      <c r="V389" s="57"/>
      <c r="W389" s="57"/>
      <c r="X389" s="57"/>
      <c r="Y389" s="57"/>
    </row>
    <row r="390">
      <c r="C390" s="55"/>
      <c r="D390" s="55"/>
      <c r="E390" s="56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7"/>
      <c r="U390" s="57"/>
      <c r="V390" s="57"/>
      <c r="W390" s="57"/>
      <c r="X390" s="57"/>
      <c r="Y390" s="57"/>
    </row>
    <row r="391">
      <c r="C391" s="55"/>
      <c r="D391" s="55"/>
      <c r="E391" s="56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7"/>
      <c r="U391" s="57"/>
      <c r="V391" s="57"/>
      <c r="W391" s="57"/>
      <c r="X391" s="57"/>
      <c r="Y391" s="57"/>
    </row>
    <row r="392">
      <c r="C392" s="55"/>
      <c r="D392" s="55"/>
      <c r="E392" s="56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7"/>
      <c r="U392" s="57"/>
      <c r="V392" s="57"/>
      <c r="W392" s="57"/>
      <c r="X392" s="57"/>
      <c r="Y392" s="57"/>
    </row>
    <row r="393">
      <c r="C393" s="55"/>
      <c r="D393" s="55"/>
      <c r="E393" s="56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7"/>
      <c r="U393" s="57"/>
      <c r="V393" s="57"/>
      <c r="W393" s="57"/>
      <c r="X393" s="57"/>
      <c r="Y393" s="57"/>
    </row>
    <row r="394">
      <c r="C394" s="55"/>
      <c r="D394" s="55"/>
      <c r="E394" s="56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7"/>
      <c r="U394" s="57"/>
      <c r="V394" s="57"/>
      <c r="W394" s="57"/>
      <c r="X394" s="57"/>
      <c r="Y394" s="57"/>
    </row>
    <row r="395">
      <c r="C395" s="55"/>
      <c r="D395" s="55"/>
      <c r="E395" s="56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7"/>
      <c r="U395" s="57"/>
      <c r="V395" s="57"/>
      <c r="W395" s="57"/>
      <c r="X395" s="57"/>
      <c r="Y395" s="57"/>
    </row>
    <row r="396">
      <c r="C396" s="55"/>
      <c r="D396" s="55"/>
      <c r="E396" s="56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7"/>
      <c r="U396" s="57"/>
      <c r="V396" s="57"/>
      <c r="W396" s="57"/>
      <c r="X396" s="57"/>
      <c r="Y396" s="57"/>
    </row>
    <row r="397">
      <c r="C397" s="55"/>
      <c r="D397" s="55"/>
      <c r="E397" s="56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7"/>
      <c r="U397" s="57"/>
      <c r="V397" s="57"/>
      <c r="W397" s="57"/>
      <c r="X397" s="57"/>
      <c r="Y397" s="57"/>
    </row>
    <row r="398">
      <c r="C398" s="55"/>
      <c r="D398" s="55"/>
      <c r="E398" s="56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7"/>
      <c r="U398" s="57"/>
      <c r="V398" s="57"/>
      <c r="W398" s="57"/>
      <c r="X398" s="57"/>
      <c r="Y398" s="57"/>
    </row>
    <row r="399">
      <c r="C399" s="55"/>
      <c r="D399" s="55"/>
      <c r="E399" s="56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7"/>
      <c r="U399" s="57"/>
      <c r="V399" s="57"/>
      <c r="W399" s="57"/>
      <c r="X399" s="57"/>
      <c r="Y399" s="57"/>
    </row>
    <row r="400">
      <c r="C400" s="55"/>
      <c r="D400" s="55"/>
      <c r="E400" s="56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7"/>
      <c r="U400" s="57"/>
      <c r="V400" s="57"/>
      <c r="W400" s="57"/>
      <c r="X400" s="57"/>
      <c r="Y400" s="57"/>
    </row>
    <row r="401">
      <c r="C401" s="55"/>
      <c r="D401" s="55"/>
      <c r="E401" s="56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7"/>
      <c r="U401" s="57"/>
      <c r="V401" s="57"/>
      <c r="W401" s="57"/>
      <c r="X401" s="57"/>
      <c r="Y401" s="57"/>
    </row>
    <row r="402">
      <c r="C402" s="55"/>
      <c r="D402" s="55"/>
      <c r="E402" s="56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7"/>
      <c r="U402" s="57"/>
      <c r="V402" s="57"/>
      <c r="W402" s="57"/>
      <c r="X402" s="57"/>
      <c r="Y402" s="57"/>
    </row>
    <row r="403">
      <c r="C403" s="55"/>
      <c r="D403" s="55"/>
      <c r="E403" s="56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7"/>
      <c r="U403" s="57"/>
      <c r="V403" s="57"/>
      <c r="W403" s="57"/>
      <c r="X403" s="57"/>
      <c r="Y403" s="57"/>
    </row>
    <row r="404">
      <c r="C404" s="55"/>
      <c r="D404" s="55"/>
      <c r="E404" s="56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7"/>
      <c r="U404" s="57"/>
      <c r="V404" s="57"/>
      <c r="W404" s="57"/>
      <c r="X404" s="57"/>
      <c r="Y404" s="57"/>
    </row>
    <row r="405">
      <c r="C405" s="55"/>
      <c r="D405" s="55"/>
      <c r="E405" s="56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7"/>
      <c r="U405" s="57"/>
      <c r="V405" s="57"/>
      <c r="W405" s="57"/>
      <c r="X405" s="57"/>
      <c r="Y405" s="57"/>
    </row>
    <row r="406">
      <c r="C406" s="55"/>
      <c r="D406" s="55"/>
      <c r="E406" s="56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7"/>
      <c r="U406" s="57"/>
      <c r="V406" s="57"/>
      <c r="W406" s="57"/>
      <c r="X406" s="57"/>
      <c r="Y406" s="57"/>
    </row>
    <row r="407">
      <c r="C407" s="55"/>
      <c r="D407" s="55"/>
      <c r="E407" s="56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7"/>
      <c r="U407" s="57"/>
      <c r="V407" s="57"/>
      <c r="W407" s="57"/>
      <c r="X407" s="57"/>
      <c r="Y407" s="57"/>
    </row>
    <row r="408">
      <c r="C408" s="55"/>
      <c r="D408" s="55"/>
      <c r="E408" s="56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7"/>
      <c r="U408" s="57"/>
      <c r="V408" s="57"/>
      <c r="W408" s="57"/>
      <c r="X408" s="57"/>
      <c r="Y408" s="57"/>
    </row>
    <row r="409">
      <c r="C409" s="55"/>
      <c r="D409" s="55"/>
      <c r="E409" s="56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7"/>
      <c r="U409" s="57"/>
      <c r="V409" s="57"/>
      <c r="W409" s="57"/>
      <c r="X409" s="57"/>
      <c r="Y409" s="57"/>
    </row>
    <row r="410">
      <c r="C410" s="55"/>
      <c r="D410" s="55"/>
      <c r="E410" s="56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7"/>
      <c r="U410" s="57"/>
      <c r="V410" s="57"/>
      <c r="W410" s="57"/>
      <c r="X410" s="57"/>
      <c r="Y410" s="57"/>
    </row>
    <row r="411">
      <c r="C411" s="55"/>
      <c r="D411" s="55"/>
      <c r="E411" s="56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7"/>
      <c r="U411" s="57"/>
      <c r="V411" s="57"/>
      <c r="W411" s="57"/>
      <c r="X411" s="57"/>
      <c r="Y411" s="57"/>
    </row>
    <row r="412">
      <c r="C412" s="55"/>
      <c r="D412" s="55"/>
      <c r="E412" s="56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7"/>
      <c r="U412" s="57"/>
      <c r="V412" s="57"/>
      <c r="W412" s="57"/>
      <c r="X412" s="57"/>
      <c r="Y412" s="57"/>
    </row>
    <row r="413">
      <c r="C413" s="55"/>
      <c r="D413" s="55"/>
      <c r="E413" s="56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7"/>
      <c r="U413" s="57"/>
      <c r="V413" s="57"/>
      <c r="W413" s="57"/>
      <c r="X413" s="57"/>
      <c r="Y413" s="57"/>
    </row>
    <row r="414">
      <c r="C414" s="55"/>
      <c r="D414" s="55"/>
      <c r="E414" s="56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7"/>
      <c r="U414" s="57"/>
      <c r="V414" s="57"/>
      <c r="W414" s="57"/>
      <c r="X414" s="57"/>
      <c r="Y414" s="57"/>
    </row>
    <row r="415">
      <c r="C415" s="55"/>
      <c r="D415" s="55"/>
      <c r="E415" s="56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7"/>
      <c r="U415" s="57"/>
      <c r="V415" s="57"/>
      <c r="W415" s="57"/>
      <c r="X415" s="57"/>
      <c r="Y415" s="57"/>
    </row>
    <row r="416">
      <c r="C416" s="55"/>
      <c r="D416" s="55"/>
      <c r="E416" s="56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7"/>
      <c r="U416" s="57"/>
      <c r="V416" s="57"/>
      <c r="W416" s="57"/>
      <c r="X416" s="57"/>
      <c r="Y416" s="57"/>
    </row>
    <row r="417">
      <c r="C417" s="55"/>
      <c r="D417" s="55"/>
      <c r="E417" s="56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7"/>
      <c r="U417" s="57"/>
      <c r="V417" s="57"/>
      <c r="W417" s="57"/>
      <c r="X417" s="57"/>
      <c r="Y417" s="57"/>
    </row>
    <row r="418">
      <c r="C418" s="55"/>
      <c r="D418" s="55"/>
      <c r="E418" s="56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7"/>
      <c r="U418" s="57"/>
      <c r="V418" s="57"/>
      <c r="W418" s="57"/>
      <c r="X418" s="57"/>
      <c r="Y418" s="57"/>
    </row>
    <row r="419">
      <c r="C419" s="55"/>
      <c r="D419" s="55"/>
      <c r="E419" s="56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7"/>
      <c r="U419" s="57"/>
      <c r="V419" s="57"/>
      <c r="W419" s="57"/>
      <c r="X419" s="57"/>
      <c r="Y419" s="57"/>
    </row>
    <row r="420">
      <c r="C420" s="55"/>
      <c r="D420" s="55"/>
      <c r="E420" s="56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7"/>
      <c r="U420" s="57"/>
      <c r="V420" s="57"/>
      <c r="W420" s="57"/>
      <c r="X420" s="57"/>
      <c r="Y420" s="57"/>
    </row>
    <row r="421">
      <c r="C421" s="55"/>
      <c r="D421" s="55"/>
      <c r="E421" s="56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7"/>
      <c r="U421" s="57"/>
      <c r="V421" s="57"/>
      <c r="W421" s="57"/>
      <c r="X421" s="57"/>
      <c r="Y421" s="57"/>
    </row>
    <row r="422">
      <c r="C422" s="55"/>
      <c r="D422" s="55"/>
      <c r="E422" s="56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7"/>
      <c r="U422" s="57"/>
      <c r="V422" s="57"/>
      <c r="W422" s="57"/>
      <c r="X422" s="57"/>
      <c r="Y422" s="57"/>
    </row>
    <row r="423">
      <c r="C423" s="55"/>
      <c r="D423" s="55"/>
      <c r="E423" s="56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7"/>
      <c r="U423" s="57"/>
      <c r="V423" s="57"/>
      <c r="W423" s="57"/>
      <c r="X423" s="57"/>
      <c r="Y423" s="57"/>
    </row>
    <row r="424">
      <c r="C424" s="55"/>
      <c r="D424" s="55"/>
      <c r="E424" s="56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7"/>
      <c r="U424" s="57"/>
      <c r="V424" s="57"/>
      <c r="W424" s="57"/>
      <c r="X424" s="57"/>
      <c r="Y424" s="57"/>
    </row>
    <row r="425">
      <c r="C425" s="55"/>
      <c r="D425" s="55"/>
      <c r="E425" s="56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7"/>
      <c r="U425" s="57"/>
      <c r="V425" s="57"/>
      <c r="W425" s="57"/>
      <c r="X425" s="57"/>
      <c r="Y425" s="57"/>
    </row>
    <row r="426">
      <c r="C426" s="55"/>
      <c r="D426" s="55"/>
      <c r="E426" s="56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7"/>
      <c r="U426" s="57"/>
      <c r="V426" s="57"/>
      <c r="W426" s="57"/>
      <c r="X426" s="57"/>
      <c r="Y426" s="57"/>
    </row>
    <row r="427">
      <c r="C427" s="55"/>
      <c r="D427" s="55"/>
      <c r="E427" s="56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7"/>
      <c r="U427" s="57"/>
      <c r="V427" s="57"/>
      <c r="W427" s="57"/>
      <c r="X427" s="57"/>
      <c r="Y427" s="57"/>
    </row>
    <row r="428">
      <c r="C428" s="55"/>
      <c r="D428" s="55"/>
      <c r="E428" s="56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7"/>
      <c r="U428" s="57"/>
      <c r="V428" s="57"/>
      <c r="W428" s="57"/>
      <c r="X428" s="57"/>
      <c r="Y428" s="57"/>
    </row>
    <row r="429">
      <c r="C429" s="55"/>
      <c r="D429" s="55"/>
      <c r="E429" s="56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7"/>
      <c r="U429" s="57"/>
      <c r="V429" s="57"/>
      <c r="W429" s="57"/>
      <c r="X429" s="57"/>
      <c r="Y429" s="57"/>
    </row>
    <row r="430">
      <c r="C430" s="55"/>
      <c r="D430" s="55"/>
      <c r="E430" s="56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7"/>
      <c r="U430" s="57"/>
      <c r="V430" s="57"/>
      <c r="W430" s="57"/>
      <c r="X430" s="57"/>
      <c r="Y430" s="57"/>
    </row>
    <row r="431">
      <c r="C431" s="55"/>
      <c r="D431" s="55"/>
      <c r="E431" s="56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7"/>
      <c r="U431" s="57"/>
      <c r="V431" s="57"/>
      <c r="W431" s="57"/>
      <c r="X431" s="57"/>
      <c r="Y431" s="57"/>
    </row>
    <row r="432">
      <c r="C432" s="55"/>
      <c r="D432" s="55"/>
      <c r="E432" s="56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7"/>
      <c r="U432" s="57"/>
      <c r="V432" s="57"/>
      <c r="W432" s="57"/>
      <c r="X432" s="57"/>
      <c r="Y432" s="57"/>
    </row>
    <row r="433">
      <c r="C433" s="55"/>
      <c r="D433" s="55"/>
      <c r="E433" s="56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7"/>
      <c r="U433" s="57"/>
      <c r="V433" s="57"/>
      <c r="W433" s="57"/>
      <c r="X433" s="57"/>
      <c r="Y433" s="57"/>
    </row>
    <row r="434">
      <c r="C434" s="55"/>
      <c r="D434" s="55"/>
      <c r="E434" s="56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7"/>
      <c r="U434" s="57"/>
      <c r="V434" s="57"/>
      <c r="W434" s="57"/>
      <c r="X434" s="57"/>
      <c r="Y434" s="57"/>
    </row>
    <row r="435">
      <c r="C435" s="55"/>
      <c r="D435" s="55"/>
      <c r="E435" s="56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7"/>
      <c r="U435" s="57"/>
      <c r="V435" s="57"/>
      <c r="W435" s="57"/>
      <c r="X435" s="57"/>
      <c r="Y435" s="57"/>
    </row>
    <row r="436">
      <c r="C436" s="55"/>
      <c r="D436" s="55"/>
      <c r="E436" s="56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7"/>
      <c r="U436" s="57"/>
      <c r="V436" s="57"/>
      <c r="W436" s="57"/>
      <c r="X436" s="57"/>
      <c r="Y436" s="57"/>
    </row>
    <row r="437">
      <c r="C437" s="55"/>
      <c r="D437" s="55"/>
      <c r="E437" s="56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7"/>
      <c r="U437" s="57"/>
      <c r="V437" s="57"/>
      <c r="W437" s="57"/>
      <c r="X437" s="57"/>
      <c r="Y437" s="57"/>
    </row>
    <row r="438">
      <c r="C438" s="55"/>
      <c r="D438" s="55"/>
      <c r="E438" s="56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7"/>
      <c r="U438" s="57"/>
      <c r="V438" s="57"/>
      <c r="W438" s="57"/>
      <c r="X438" s="57"/>
      <c r="Y438" s="57"/>
    </row>
    <row r="439">
      <c r="C439" s="55"/>
      <c r="D439" s="55"/>
      <c r="E439" s="56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7"/>
      <c r="U439" s="57"/>
      <c r="V439" s="57"/>
      <c r="W439" s="57"/>
      <c r="X439" s="57"/>
      <c r="Y439" s="57"/>
    </row>
    <row r="440">
      <c r="C440" s="55"/>
      <c r="D440" s="55"/>
      <c r="E440" s="56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7"/>
      <c r="U440" s="57"/>
      <c r="V440" s="57"/>
      <c r="W440" s="57"/>
      <c r="X440" s="57"/>
      <c r="Y440" s="57"/>
    </row>
    <row r="441">
      <c r="C441" s="55"/>
      <c r="D441" s="55"/>
      <c r="E441" s="56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7"/>
      <c r="U441" s="57"/>
      <c r="V441" s="57"/>
      <c r="W441" s="57"/>
      <c r="X441" s="57"/>
      <c r="Y441" s="57"/>
    </row>
    <row r="442">
      <c r="C442" s="55"/>
      <c r="D442" s="55"/>
      <c r="E442" s="56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7"/>
      <c r="U442" s="57"/>
      <c r="V442" s="57"/>
      <c r="W442" s="57"/>
      <c r="X442" s="57"/>
      <c r="Y442" s="57"/>
    </row>
    <row r="443">
      <c r="C443" s="55"/>
      <c r="D443" s="55"/>
      <c r="E443" s="56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7"/>
      <c r="U443" s="57"/>
      <c r="V443" s="57"/>
      <c r="W443" s="57"/>
      <c r="X443" s="57"/>
      <c r="Y443" s="57"/>
    </row>
    <row r="444">
      <c r="C444" s="55"/>
      <c r="D444" s="55"/>
      <c r="E444" s="56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7"/>
      <c r="U444" s="57"/>
      <c r="V444" s="57"/>
      <c r="W444" s="57"/>
      <c r="X444" s="57"/>
      <c r="Y444" s="57"/>
    </row>
    <row r="445">
      <c r="C445" s="55"/>
      <c r="D445" s="55"/>
      <c r="E445" s="56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7"/>
      <c r="U445" s="57"/>
      <c r="V445" s="57"/>
      <c r="W445" s="57"/>
      <c r="X445" s="57"/>
      <c r="Y445" s="57"/>
    </row>
    <row r="446">
      <c r="C446" s="55"/>
      <c r="D446" s="55"/>
      <c r="E446" s="56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7"/>
      <c r="U446" s="57"/>
      <c r="V446" s="57"/>
      <c r="W446" s="57"/>
      <c r="X446" s="57"/>
      <c r="Y446" s="57"/>
    </row>
    <row r="447">
      <c r="C447" s="55"/>
      <c r="D447" s="55"/>
      <c r="E447" s="56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7"/>
      <c r="U447" s="57"/>
      <c r="V447" s="57"/>
      <c r="W447" s="57"/>
      <c r="X447" s="57"/>
      <c r="Y447" s="57"/>
    </row>
    <row r="448">
      <c r="C448" s="55"/>
      <c r="D448" s="55"/>
      <c r="E448" s="56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7"/>
      <c r="U448" s="57"/>
      <c r="V448" s="57"/>
      <c r="W448" s="57"/>
      <c r="X448" s="57"/>
      <c r="Y448" s="57"/>
    </row>
    <row r="449">
      <c r="C449" s="55"/>
      <c r="D449" s="55"/>
      <c r="E449" s="56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7"/>
      <c r="U449" s="57"/>
      <c r="V449" s="57"/>
      <c r="W449" s="57"/>
      <c r="X449" s="57"/>
      <c r="Y449" s="57"/>
    </row>
    <row r="450">
      <c r="C450" s="55"/>
      <c r="D450" s="55"/>
      <c r="E450" s="56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7"/>
      <c r="U450" s="57"/>
      <c r="V450" s="57"/>
      <c r="W450" s="57"/>
      <c r="X450" s="57"/>
      <c r="Y450" s="57"/>
    </row>
    <row r="451">
      <c r="C451" s="55"/>
      <c r="D451" s="55"/>
      <c r="E451" s="56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7"/>
      <c r="U451" s="57"/>
      <c r="V451" s="57"/>
      <c r="W451" s="57"/>
      <c r="X451" s="57"/>
      <c r="Y451" s="57"/>
    </row>
    <row r="452">
      <c r="C452" s="55"/>
      <c r="D452" s="55"/>
      <c r="E452" s="56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7"/>
      <c r="U452" s="57"/>
      <c r="V452" s="57"/>
      <c r="W452" s="57"/>
      <c r="X452" s="57"/>
      <c r="Y452" s="57"/>
    </row>
    <row r="453">
      <c r="C453" s="55"/>
      <c r="D453" s="55"/>
      <c r="E453" s="56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7"/>
      <c r="U453" s="57"/>
      <c r="V453" s="57"/>
      <c r="W453" s="57"/>
      <c r="X453" s="57"/>
      <c r="Y453" s="57"/>
    </row>
    <row r="454">
      <c r="C454" s="55"/>
      <c r="D454" s="55"/>
      <c r="E454" s="56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7"/>
      <c r="U454" s="57"/>
      <c r="V454" s="57"/>
      <c r="W454" s="57"/>
      <c r="X454" s="57"/>
      <c r="Y454" s="57"/>
    </row>
    <row r="455">
      <c r="C455" s="55"/>
      <c r="D455" s="55"/>
      <c r="E455" s="56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7"/>
      <c r="U455" s="57"/>
      <c r="V455" s="57"/>
      <c r="W455" s="57"/>
      <c r="X455" s="57"/>
      <c r="Y455" s="57"/>
    </row>
    <row r="456">
      <c r="C456" s="55"/>
      <c r="D456" s="55"/>
      <c r="E456" s="56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7"/>
      <c r="U456" s="57"/>
      <c r="V456" s="57"/>
      <c r="W456" s="57"/>
      <c r="X456" s="57"/>
      <c r="Y456" s="57"/>
    </row>
    <row r="457">
      <c r="C457" s="55"/>
      <c r="D457" s="55"/>
      <c r="E457" s="56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7"/>
      <c r="U457" s="57"/>
      <c r="V457" s="57"/>
      <c r="W457" s="57"/>
      <c r="X457" s="57"/>
      <c r="Y457" s="57"/>
    </row>
    <row r="458">
      <c r="C458" s="55"/>
      <c r="D458" s="55"/>
      <c r="E458" s="56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7"/>
      <c r="U458" s="57"/>
      <c r="V458" s="57"/>
      <c r="W458" s="57"/>
      <c r="X458" s="57"/>
      <c r="Y458" s="57"/>
    </row>
    <row r="459">
      <c r="C459" s="55"/>
      <c r="D459" s="55"/>
      <c r="E459" s="56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7"/>
      <c r="U459" s="57"/>
      <c r="V459" s="57"/>
      <c r="W459" s="57"/>
      <c r="X459" s="57"/>
      <c r="Y459" s="57"/>
    </row>
    <row r="460">
      <c r="C460" s="55"/>
      <c r="D460" s="55"/>
      <c r="E460" s="56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7"/>
      <c r="U460" s="57"/>
      <c r="V460" s="57"/>
      <c r="W460" s="57"/>
      <c r="X460" s="57"/>
      <c r="Y460" s="57"/>
    </row>
    <row r="461">
      <c r="C461" s="55"/>
      <c r="D461" s="55"/>
      <c r="E461" s="56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7"/>
      <c r="U461" s="57"/>
      <c r="V461" s="57"/>
      <c r="W461" s="57"/>
      <c r="X461" s="57"/>
      <c r="Y461" s="57"/>
    </row>
    <row r="462">
      <c r="C462" s="55"/>
      <c r="D462" s="55"/>
      <c r="E462" s="56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7"/>
      <c r="U462" s="57"/>
      <c r="V462" s="57"/>
      <c r="W462" s="57"/>
      <c r="X462" s="57"/>
      <c r="Y462" s="57"/>
    </row>
    <row r="463">
      <c r="C463" s="55"/>
      <c r="D463" s="55"/>
      <c r="E463" s="56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7"/>
      <c r="U463" s="57"/>
      <c r="V463" s="57"/>
      <c r="W463" s="57"/>
      <c r="X463" s="57"/>
      <c r="Y463" s="57"/>
    </row>
    <row r="464">
      <c r="C464" s="55"/>
      <c r="D464" s="55"/>
      <c r="E464" s="56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7"/>
      <c r="U464" s="57"/>
      <c r="V464" s="57"/>
      <c r="W464" s="57"/>
      <c r="X464" s="57"/>
      <c r="Y464" s="57"/>
    </row>
    <row r="465">
      <c r="C465" s="55"/>
      <c r="D465" s="55"/>
      <c r="E465" s="56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7"/>
      <c r="U465" s="57"/>
      <c r="V465" s="57"/>
      <c r="W465" s="57"/>
      <c r="X465" s="57"/>
      <c r="Y465" s="57"/>
    </row>
    <row r="466">
      <c r="C466" s="55"/>
      <c r="D466" s="55"/>
      <c r="E466" s="56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7"/>
      <c r="U466" s="57"/>
      <c r="V466" s="57"/>
      <c r="W466" s="57"/>
      <c r="X466" s="57"/>
      <c r="Y466" s="57"/>
    </row>
    <row r="467">
      <c r="C467" s="55"/>
      <c r="D467" s="55"/>
      <c r="E467" s="56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7"/>
      <c r="U467" s="57"/>
      <c r="V467" s="57"/>
      <c r="W467" s="57"/>
      <c r="X467" s="57"/>
      <c r="Y467" s="57"/>
    </row>
    <row r="468">
      <c r="C468" s="55"/>
      <c r="D468" s="55"/>
      <c r="E468" s="56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7"/>
      <c r="U468" s="57"/>
      <c r="V468" s="57"/>
      <c r="W468" s="57"/>
      <c r="X468" s="57"/>
      <c r="Y468" s="57"/>
    </row>
    <row r="469">
      <c r="C469" s="55"/>
      <c r="D469" s="55"/>
      <c r="E469" s="56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7"/>
      <c r="U469" s="57"/>
      <c r="V469" s="57"/>
      <c r="W469" s="57"/>
      <c r="X469" s="57"/>
      <c r="Y469" s="57"/>
    </row>
    <row r="470">
      <c r="C470" s="55"/>
      <c r="D470" s="55"/>
      <c r="E470" s="56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7"/>
      <c r="U470" s="57"/>
      <c r="V470" s="57"/>
      <c r="W470" s="57"/>
      <c r="X470" s="57"/>
      <c r="Y470" s="57"/>
    </row>
    <row r="471">
      <c r="C471" s="55"/>
      <c r="D471" s="55"/>
      <c r="E471" s="56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7"/>
      <c r="U471" s="57"/>
      <c r="V471" s="57"/>
      <c r="W471" s="57"/>
      <c r="X471" s="57"/>
      <c r="Y471" s="57"/>
    </row>
    <row r="472">
      <c r="C472" s="55"/>
      <c r="D472" s="55"/>
      <c r="E472" s="56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7"/>
      <c r="U472" s="57"/>
      <c r="V472" s="57"/>
      <c r="W472" s="57"/>
      <c r="X472" s="57"/>
      <c r="Y472" s="57"/>
    </row>
    <row r="473">
      <c r="C473" s="55"/>
      <c r="D473" s="55"/>
      <c r="E473" s="56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7"/>
      <c r="U473" s="57"/>
      <c r="V473" s="57"/>
      <c r="W473" s="57"/>
      <c r="X473" s="57"/>
      <c r="Y473" s="57"/>
    </row>
    <row r="474">
      <c r="C474" s="55"/>
      <c r="D474" s="55"/>
      <c r="E474" s="56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7"/>
      <c r="U474" s="57"/>
      <c r="V474" s="57"/>
      <c r="W474" s="57"/>
      <c r="X474" s="57"/>
      <c r="Y474" s="57"/>
    </row>
    <row r="475">
      <c r="C475" s="55"/>
      <c r="D475" s="55"/>
      <c r="E475" s="56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7"/>
      <c r="U475" s="57"/>
      <c r="V475" s="57"/>
      <c r="W475" s="57"/>
      <c r="X475" s="57"/>
      <c r="Y475" s="57"/>
    </row>
    <row r="476">
      <c r="C476" s="55"/>
      <c r="D476" s="55"/>
      <c r="E476" s="56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7"/>
      <c r="U476" s="57"/>
      <c r="V476" s="57"/>
      <c r="W476" s="57"/>
      <c r="X476" s="57"/>
      <c r="Y476" s="57"/>
    </row>
    <row r="477">
      <c r="C477" s="55"/>
      <c r="D477" s="55"/>
      <c r="E477" s="56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7"/>
      <c r="U477" s="57"/>
      <c r="V477" s="57"/>
      <c r="W477" s="57"/>
      <c r="X477" s="57"/>
      <c r="Y477" s="57"/>
    </row>
    <row r="478">
      <c r="C478" s="55"/>
      <c r="D478" s="55"/>
      <c r="E478" s="56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7"/>
      <c r="U478" s="57"/>
      <c r="V478" s="57"/>
      <c r="W478" s="57"/>
      <c r="X478" s="57"/>
      <c r="Y478" s="57"/>
    </row>
    <row r="479">
      <c r="C479" s="55"/>
      <c r="D479" s="55"/>
      <c r="E479" s="56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7"/>
      <c r="U479" s="57"/>
      <c r="V479" s="57"/>
      <c r="W479" s="57"/>
      <c r="X479" s="57"/>
      <c r="Y479" s="57"/>
    </row>
    <row r="480">
      <c r="C480" s="55"/>
      <c r="D480" s="55"/>
      <c r="E480" s="56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7"/>
      <c r="U480" s="57"/>
      <c r="V480" s="57"/>
      <c r="W480" s="57"/>
      <c r="X480" s="57"/>
      <c r="Y480" s="57"/>
    </row>
    <row r="481">
      <c r="C481" s="55"/>
      <c r="D481" s="55"/>
      <c r="E481" s="56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7"/>
      <c r="U481" s="57"/>
      <c r="V481" s="57"/>
      <c r="W481" s="57"/>
      <c r="X481" s="57"/>
      <c r="Y481" s="57"/>
    </row>
    <row r="482">
      <c r="C482" s="55"/>
      <c r="D482" s="55"/>
      <c r="E482" s="56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7"/>
      <c r="U482" s="57"/>
      <c r="V482" s="57"/>
      <c r="W482" s="57"/>
      <c r="X482" s="57"/>
      <c r="Y482" s="57"/>
    </row>
    <row r="483">
      <c r="C483" s="55"/>
      <c r="D483" s="55"/>
      <c r="E483" s="56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7"/>
      <c r="U483" s="57"/>
      <c r="V483" s="57"/>
      <c r="W483" s="57"/>
      <c r="X483" s="57"/>
      <c r="Y483" s="57"/>
    </row>
    <row r="484">
      <c r="C484" s="55"/>
      <c r="D484" s="55"/>
      <c r="E484" s="56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7"/>
      <c r="U484" s="57"/>
      <c r="V484" s="57"/>
      <c r="W484" s="57"/>
      <c r="X484" s="57"/>
      <c r="Y484" s="57"/>
    </row>
    <row r="485">
      <c r="C485" s="55"/>
      <c r="D485" s="55"/>
      <c r="E485" s="56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7"/>
      <c r="U485" s="57"/>
      <c r="V485" s="57"/>
      <c r="W485" s="57"/>
      <c r="X485" s="57"/>
      <c r="Y485" s="57"/>
    </row>
    <row r="486">
      <c r="C486" s="55"/>
      <c r="D486" s="55"/>
      <c r="E486" s="56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7"/>
      <c r="U486" s="57"/>
      <c r="V486" s="57"/>
      <c r="W486" s="57"/>
      <c r="X486" s="57"/>
      <c r="Y486" s="57"/>
    </row>
    <row r="487">
      <c r="C487" s="55"/>
      <c r="D487" s="55"/>
      <c r="E487" s="56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7"/>
      <c r="U487" s="57"/>
      <c r="V487" s="57"/>
      <c r="W487" s="57"/>
      <c r="X487" s="57"/>
      <c r="Y487" s="57"/>
    </row>
    <row r="488">
      <c r="C488" s="55"/>
      <c r="D488" s="55"/>
      <c r="E488" s="56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7"/>
      <c r="U488" s="57"/>
      <c r="V488" s="57"/>
      <c r="W488" s="57"/>
      <c r="X488" s="57"/>
      <c r="Y488" s="57"/>
    </row>
    <row r="489">
      <c r="C489" s="55"/>
      <c r="D489" s="55"/>
      <c r="E489" s="56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7"/>
      <c r="U489" s="57"/>
      <c r="V489" s="57"/>
      <c r="W489" s="57"/>
      <c r="X489" s="57"/>
      <c r="Y489" s="57"/>
    </row>
    <row r="490">
      <c r="C490" s="55"/>
      <c r="D490" s="55"/>
      <c r="E490" s="56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7"/>
      <c r="U490" s="57"/>
      <c r="V490" s="57"/>
      <c r="W490" s="57"/>
      <c r="X490" s="57"/>
      <c r="Y490" s="57"/>
    </row>
    <row r="491">
      <c r="C491" s="55"/>
      <c r="D491" s="55"/>
      <c r="E491" s="56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7"/>
      <c r="U491" s="57"/>
      <c r="V491" s="57"/>
      <c r="W491" s="57"/>
      <c r="X491" s="57"/>
      <c r="Y491" s="57"/>
    </row>
    <row r="492">
      <c r="C492" s="55"/>
      <c r="D492" s="55"/>
      <c r="E492" s="56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7"/>
      <c r="U492" s="57"/>
      <c r="V492" s="57"/>
      <c r="W492" s="57"/>
      <c r="X492" s="57"/>
      <c r="Y492" s="57"/>
    </row>
    <row r="493">
      <c r="C493" s="55"/>
      <c r="D493" s="55"/>
      <c r="E493" s="56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7"/>
      <c r="U493" s="57"/>
      <c r="V493" s="57"/>
      <c r="W493" s="57"/>
      <c r="X493" s="57"/>
      <c r="Y493" s="57"/>
    </row>
    <row r="494">
      <c r="C494" s="55"/>
      <c r="D494" s="55"/>
      <c r="E494" s="56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7"/>
      <c r="U494" s="57"/>
      <c r="V494" s="57"/>
      <c r="W494" s="57"/>
      <c r="X494" s="57"/>
      <c r="Y494" s="57"/>
    </row>
    <row r="495">
      <c r="C495" s="55"/>
      <c r="D495" s="55"/>
      <c r="E495" s="56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7"/>
      <c r="U495" s="57"/>
      <c r="V495" s="57"/>
      <c r="W495" s="57"/>
      <c r="X495" s="57"/>
      <c r="Y495" s="57"/>
    </row>
    <row r="496">
      <c r="C496" s="55"/>
      <c r="D496" s="55"/>
      <c r="E496" s="56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7"/>
      <c r="U496" s="57"/>
      <c r="V496" s="57"/>
      <c r="W496" s="57"/>
      <c r="X496" s="57"/>
      <c r="Y496" s="57"/>
    </row>
    <row r="497">
      <c r="C497" s="55"/>
      <c r="D497" s="55"/>
      <c r="E497" s="56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7"/>
      <c r="U497" s="57"/>
      <c r="V497" s="57"/>
      <c r="W497" s="57"/>
      <c r="X497" s="57"/>
      <c r="Y497" s="57"/>
    </row>
    <row r="498">
      <c r="C498" s="55"/>
      <c r="D498" s="55"/>
      <c r="E498" s="56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7"/>
      <c r="U498" s="57"/>
      <c r="V498" s="57"/>
      <c r="W498" s="57"/>
      <c r="X498" s="57"/>
      <c r="Y498" s="57"/>
    </row>
    <row r="499">
      <c r="C499" s="55"/>
      <c r="D499" s="55"/>
      <c r="E499" s="56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7"/>
      <c r="U499" s="57"/>
      <c r="V499" s="57"/>
      <c r="W499" s="57"/>
      <c r="X499" s="57"/>
      <c r="Y499" s="57"/>
    </row>
    <row r="500">
      <c r="C500" s="55"/>
      <c r="D500" s="55"/>
      <c r="E500" s="56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7"/>
      <c r="U500" s="57"/>
      <c r="V500" s="57"/>
      <c r="W500" s="57"/>
      <c r="X500" s="57"/>
      <c r="Y500" s="57"/>
    </row>
    <row r="501">
      <c r="C501" s="55"/>
      <c r="D501" s="55"/>
      <c r="E501" s="56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7"/>
      <c r="U501" s="57"/>
      <c r="V501" s="57"/>
      <c r="W501" s="57"/>
      <c r="X501" s="57"/>
      <c r="Y501" s="57"/>
    </row>
    <row r="502">
      <c r="C502" s="55"/>
      <c r="D502" s="55"/>
      <c r="E502" s="56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7"/>
      <c r="U502" s="57"/>
      <c r="V502" s="57"/>
      <c r="W502" s="57"/>
      <c r="X502" s="57"/>
      <c r="Y502" s="57"/>
    </row>
    <row r="503">
      <c r="C503" s="55"/>
      <c r="D503" s="55"/>
      <c r="E503" s="56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7"/>
      <c r="U503" s="57"/>
      <c r="V503" s="57"/>
      <c r="W503" s="57"/>
      <c r="X503" s="57"/>
      <c r="Y503" s="57"/>
    </row>
    <row r="504">
      <c r="C504" s="55"/>
      <c r="D504" s="55"/>
      <c r="E504" s="56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7"/>
      <c r="U504" s="57"/>
      <c r="V504" s="57"/>
      <c r="W504" s="57"/>
      <c r="X504" s="57"/>
      <c r="Y504" s="57"/>
    </row>
    <row r="505">
      <c r="C505" s="55"/>
      <c r="D505" s="55"/>
      <c r="E505" s="56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7"/>
      <c r="U505" s="57"/>
      <c r="V505" s="57"/>
      <c r="W505" s="57"/>
      <c r="X505" s="57"/>
      <c r="Y505" s="57"/>
    </row>
    <row r="506">
      <c r="C506" s="55"/>
      <c r="D506" s="55"/>
      <c r="E506" s="56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7"/>
      <c r="U506" s="57"/>
      <c r="V506" s="57"/>
      <c r="W506" s="57"/>
      <c r="X506" s="57"/>
      <c r="Y506" s="57"/>
    </row>
    <row r="507">
      <c r="C507" s="55"/>
      <c r="D507" s="55"/>
      <c r="E507" s="56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7"/>
      <c r="U507" s="57"/>
      <c r="V507" s="57"/>
      <c r="W507" s="57"/>
      <c r="X507" s="57"/>
      <c r="Y507" s="57"/>
    </row>
    <row r="508">
      <c r="C508" s="55"/>
      <c r="D508" s="55"/>
      <c r="E508" s="56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7"/>
      <c r="U508" s="57"/>
      <c r="V508" s="57"/>
      <c r="W508" s="57"/>
      <c r="X508" s="57"/>
      <c r="Y508" s="57"/>
    </row>
    <row r="509">
      <c r="C509" s="55"/>
      <c r="D509" s="55"/>
      <c r="E509" s="56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7"/>
      <c r="U509" s="57"/>
      <c r="V509" s="57"/>
      <c r="W509" s="57"/>
      <c r="X509" s="57"/>
      <c r="Y509" s="57"/>
    </row>
    <row r="510">
      <c r="C510" s="55"/>
      <c r="D510" s="55"/>
      <c r="E510" s="56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7"/>
      <c r="U510" s="57"/>
      <c r="V510" s="57"/>
      <c r="W510" s="57"/>
      <c r="X510" s="57"/>
      <c r="Y510" s="57"/>
    </row>
    <row r="511">
      <c r="C511" s="55"/>
      <c r="D511" s="55"/>
      <c r="E511" s="56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7"/>
      <c r="U511" s="57"/>
      <c r="V511" s="57"/>
      <c r="W511" s="57"/>
      <c r="X511" s="57"/>
      <c r="Y511" s="57"/>
    </row>
    <row r="512">
      <c r="C512" s="55"/>
      <c r="D512" s="55"/>
      <c r="E512" s="56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7"/>
      <c r="U512" s="57"/>
      <c r="V512" s="57"/>
      <c r="W512" s="57"/>
      <c r="X512" s="57"/>
      <c r="Y512" s="57"/>
    </row>
    <row r="513">
      <c r="C513" s="55"/>
      <c r="D513" s="55"/>
      <c r="E513" s="56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7"/>
      <c r="U513" s="57"/>
      <c r="V513" s="57"/>
      <c r="W513" s="57"/>
      <c r="X513" s="57"/>
      <c r="Y513" s="57"/>
    </row>
    <row r="514">
      <c r="C514" s="55"/>
      <c r="D514" s="55"/>
      <c r="E514" s="56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7"/>
      <c r="U514" s="57"/>
      <c r="V514" s="57"/>
      <c r="W514" s="57"/>
      <c r="X514" s="57"/>
      <c r="Y514" s="57"/>
    </row>
    <row r="515">
      <c r="C515" s="55"/>
      <c r="D515" s="55"/>
      <c r="E515" s="56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7"/>
      <c r="U515" s="57"/>
      <c r="V515" s="57"/>
      <c r="W515" s="57"/>
      <c r="X515" s="57"/>
      <c r="Y515" s="57"/>
    </row>
    <row r="516">
      <c r="C516" s="55"/>
      <c r="D516" s="55"/>
      <c r="E516" s="56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7"/>
      <c r="U516" s="57"/>
      <c r="V516" s="57"/>
      <c r="W516" s="57"/>
      <c r="X516" s="57"/>
      <c r="Y516" s="57"/>
    </row>
    <row r="517">
      <c r="C517" s="55"/>
      <c r="D517" s="55"/>
      <c r="E517" s="56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7"/>
      <c r="U517" s="57"/>
      <c r="V517" s="57"/>
      <c r="W517" s="57"/>
      <c r="X517" s="57"/>
      <c r="Y517" s="57"/>
    </row>
    <row r="518">
      <c r="C518" s="55"/>
      <c r="D518" s="55"/>
      <c r="E518" s="56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7"/>
      <c r="U518" s="57"/>
      <c r="V518" s="57"/>
      <c r="W518" s="57"/>
      <c r="X518" s="57"/>
      <c r="Y518" s="57"/>
    </row>
    <row r="519">
      <c r="C519" s="55"/>
      <c r="D519" s="55"/>
      <c r="E519" s="56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7"/>
      <c r="U519" s="57"/>
      <c r="V519" s="57"/>
      <c r="W519" s="57"/>
      <c r="X519" s="57"/>
      <c r="Y519" s="57"/>
    </row>
    <row r="520">
      <c r="C520" s="55"/>
      <c r="D520" s="55"/>
      <c r="E520" s="56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7"/>
      <c r="U520" s="57"/>
      <c r="V520" s="57"/>
      <c r="W520" s="57"/>
      <c r="X520" s="57"/>
      <c r="Y520" s="57"/>
    </row>
    <row r="521">
      <c r="C521" s="55"/>
      <c r="D521" s="55"/>
      <c r="E521" s="56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7"/>
      <c r="U521" s="57"/>
      <c r="V521" s="57"/>
      <c r="W521" s="57"/>
      <c r="X521" s="57"/>
      <c r="Y521" s="57"/>
    </row>
    <row r="522">
      <c r="C522" s="55"/>
      <c r="D522" s="55"/>
      <c r="E522" s="56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7"/>
      <c r="U522" s="57"/>
      <c r="V522" s="57"/>
      <c r="W522" s="57"/>
      <c r="X522" s="57"/>
      <c r="Y522" s="57"/>
    </row>
    <row r="523">
      <c r="C523" s="55"/>
      <c r="D523" s="55"/>
      <c r="E523" s="56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7"/>
      <c r="U523" s="57"/>
      <c r="V523" s="57"/>
      <c r="W523" s="57"/>
      <c r="X523" s="57"/>
      <c r="Y523" s="57"/>
    </row>
    <row r="524">
      <c r="C524" s="55"/>
      <c r="D524" s="55"/>
      <c r="E524" s="56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7"/>
      <c r="U524" s="57"/>
      <c r="V524" s="57"/>
      <c r="W524" s="57"/>
      <c r="X524" s="57"/>
      <c r="Y524" s="57"/>
    </row>
    <row r="525">
      <c r="C525" s="55"/>
      <c r="D525" s="55"/>
      <c r="E525" s="56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7"/>
      <c r="U525" s="57"/>
      <c r="V525" s="57"/>
      <c r="W525" s="57"/>
      <c r="X525" s="57"/>
      <c r="Y525" s="57"/>
    </row>
    <row r="526">
      <c r="C526" s="55"/>
      <c r="D526" s="55"/>
      <c r="E526" s="56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7"/>
      <c r="U526" s="57"/>
      <c r="V526" s="57"/>
      <c r="W526" s="57"/>
      <c r="X526" s="57"/>
      <c r="Y526" s="57"/>
    </row>
    <row r="527">
      <c r="C527" s="55"/>
      <c r="D527" s="55"/>
      <c r="E527" s="56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7"/>
      <c r="U527" s="57"/>
      <c r="V527" s="57"/>
      <c r="W527" s="57"/>
      <c r="X527" s="57"/>
      <c r="Y527" s="57"/>
    </row>
    <row r="528">
      <c r="C528" s="55"/>
      <c r="D528" s="55"/>
      <c r="E528" s="56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7"/>
      <c r="U528" s="57"/>
      <c r="V528" s="57"/>
      <c r="W528" s="57"/>
      <c r="X528" s="57"/>
      <c r="Y528" s="57"/>
    </row>
    <row r="529">
      <c r="C529" s="55"/>
      <c r="D529" s="55"/>
      <c r="E529" s="56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7"/>
      <c r="U529" s="57"/>
      <c r="V529" s="57"/>
      <c r="W529" s="57"/>
      <c r="X529" s="57"/>
      <c r="Y529" s="57"/>
    </row>
    <row r="530">
      <c r="C530" s="55"/>
      <c r="D530" s="55"/>
      <c r="E530" s="56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7"/>
      <c r="U530" s="57"/>
      <c r="V530" s="57"/>
      <c r="W530" s="57"/>
      <c r="X530" s="57"/>
      <c r="Y530" s="57"/>
    </row>
    <row r="531">
      <c r="C531" s="55"/>
      <c r="D531" s="55"/>
      <c r="E531" s="56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7"/>
      <c r="U531" s="57"/>
      <c r="V531" s="57"/>
      <c r="W531" s="57"/>
      <c r="X531" s="57"/>
      <c r="Y531" s="57"/>
    </row>
    <row r="532">
      <c r="C532" s="55"/>
      <c r="D532" s="55"/>
      <c r="E532" s="56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7"/>
      <c r="U532" s="57"/>
      <c r="V532" s="57"/>
      <c r="W532" s="57"/>
      <c r="X532" s="57"/>
      <c r="Y532" s="57"/>
    </row>
    <row r="533">
      <c r="C533" s="55"/>
      <c r="D533" s="55"/>
      <c r="E533" s="56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7"/>
      <c r="U533" s="57"/>
      <c r="V533" s="57"/>
      <c r="W533" s="57"/>
      <c r="X533" s="57"/>
      <c r="Y533" s="57"/>
    </row>
    <row r="534">
      <c r="C534" s="55"/>
      <c r="D534" s="55"/>
      <c r="E534" s="56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7"/>
      <c r="U534" s="57"/>
      <c r="V534" s="57"/>
      <c r="W534" s="57"/>
      <c r="X534" s="57"/>
      <c r="Y534" s="57"/>
    </row>
    <row r="535">
      <c r="C535" s="55"/>
      <c r="D535" s="55"/>
      <c r="E535" s="56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7"/>
      <c r="U535" s="57"/>
      <c r="V535" s="57"/>
      <c r="W535" s="57"/>
      <c r="X535" s="57"/>
      <c r="Y535" s="57"/>
    </row>
    <row r="536">
      <c r="C536" s="55"/>
      <c r="D536" s="55"/>
      <c r="E536" s="56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7"/>
      <c r="U536" s="57"/>
      <c r="V536" s="57"/>
      <c r="W536" s="57"/>
      <c r="X536" s="57"/>
      <c r="Y536" s="57"/>
    </row>
    <row r="537">
      <c r="C537" s="55"/>
      <c r="D537" s="55"/>
      <c r="E537" s="56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7"/>
      <c r="U537" s="57"/>
      <c r="V537" s="57"/>
      <c r="W537" s="57"/>
      <c r="X537" s="57"/>
      <c r="Y537" s="57"/>
    </row>
    <row r="538">
      <c r="C538" s="55"/>
      <c r="D538" s="55"/>
      <c r="E538" s="56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7"/>
      <c r="U538" s="57"/>
      <c r="V538" s="57"/>
      <c r="W538" s="57"/>
      <c r="X538" s="57"/>
      <c r="Y538" s="57"/>
    </row>
    <row r="539">
      <c r="C539" s="55"/>
      <c r="D539" s="55"/>
      <c r="E539" s="56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7"/>
      <c r="U539" s="57"/>
      <c r="V539" s="57"/>
      <c r="W539" s="57"/>
      <c r="X539" s="57"/>
      <c r="Y539" s="57"/>
    </row>
    <row r="540">
      <c r="C540" s="55"/>
      <c r="D540" s="55"/>
      <c r="E540" s="56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7"/>
      <c r="U540" s="57"/>
      <c r="V540" s="57"/>
      <c r="W540" s="57"/>
      <c r="X540" s="57"/>
      <c r="Y540" s="57"/>
    </row>
    <row r="541">
      <c r="C541" s="55"/>
      <c r="D541" s="55"/>
      <c r="E541" s="56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7"/>
      <c r="U541" s="57"/>
      <c r="V541" s="57"/>
      <c r="W541" s="57"/>
      <c r="X541" s="57"/>
      <c r="Y541" s="57"/>
    </row>
    <row r="542">
      <c r="C542" s="55"/>
      <c r="D542" s="55"/>
      <c r="E542" s="56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7"/>
      <c r="U542" s="57"/>
      <c r="V542" s="57"/>
      <c r="W542" s="57"/>
      <c r="X542" s="57"/>
      <c r="Y542" s="57"/>
    </row>
    <row r="543">
      <c r="C543" s="55"/>
      <c r="D543" s="55"/>
      <c r="E543" s="56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7"/>
      <c r="U543" s="57"/>
      <c r="V543" s="57"/>
      <c r="W543" s="57"/>
      <c r="X543" s="57"/>
      <c r="Y543" s="57"/>
    </row>
    <row r="544">
      <c r="C544" s="55"/>
      <c r="D544" s="55"/>
      <c r="E544" s="56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7"/>
      <c r="U544" s="57"/>
      <c r="V544" s="57"/>
      <c r="W544" s="57"/>
      <c r="X544" s="57"/>
      <c r="Y544" s="57"/>
    </row>
    <row r="545">
      <c r="C545" s="55"/>
      <c r="D545" s="55"/>
      <c r="E545" s="56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7"/>
      <c r="U545" s="57"/>
      <c r="V545" s="57"/>
      <c r="W545" s="57"/>
      <c r="X545" s="57"/>
      <c r="Y545" s="57"/>
    </row>
    <row r="546">
      <c r="C546" s="55"/>
      <c r="D546" s="55"/>
      <c r="E546" s="56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7"/>
      <c r="U546" s="57"/>
      <c r="V546" s="57"/>
      <c r="W546" s="57"/>
      <c r="X546" s="57"/>
      <c r="Y546" s="57"/>
    </row>
    <row r="547">
      <c r="C547" s="55"/>
      <c r="D547" s="55"/>
      <c r="E547" s="56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7"/>
      <c r="U547" s="57"/>
      <c r="V547" s="57"/>
      <c r="W547" s="57"/>
      <c r="X547" s="57"/>
      <c r="Y547" s="57"/>
    </row>
    <row r="548">
      <c r="C548" s="55"/>
      <c r="D548" s="55"/>
      <c r="E548" s="56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7"/>
      <c r="U548" s="57"/>
      <c r="V548" s="57"/>
      <c r="W548" s="57"/>
      <c r="X548" s="57"/>
      <c r="Y548" s="57"/>
    </row>
    <row r="549">
      <c r="C549" s="55"/>
      <c r="D549" s="55"/>
      <c r="E549" s="56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7"/>
      <c r="U549" s="57"/>
      <c r="V549" s="57"/>
      <c r="W549" s="57"/>
      <c r="X549" s="57"/>
      <c r="Y549" s="57"/>
    </row>
    <row r="550">
      <c r="C550" s="55"/>
      <c r="D550" s="55"/>
      <c r="E550" s="56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7"/>
      <c r="U550" s="57"/>
      <c r="V550" s="57"/>
      <c r="W550" s="57"/>
      <c r="X550" s="57"/>
      <c r="Y550" s="57"/>
    </row>
    <row r="551">
      <c r="C551" s="55"/>
      <c r="D551" s="55"/>
      <c r="E551" s="56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7"/>
      <c r="U551" s="57"/>
      <c r="V551" s="57"/>
      <c r="W551" s="57"/>
      <c r="X551" s="57"/>
      <c r="Y551" s="57"/>
    </row>
    <row r="552">
      <c r="C552" s="55"/>
      <c r="D552" s="55"/>
      <c r="E552" s="56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7"/>
      <c r="U552" s="57"/>
      <c r="V552" s="57"/>
      <c r="W552" s="57"/>
      <c r="X552" s="57"/>
      <c r="Y552" s="57"/>
    </row>
    <row r="553">
      <c r="C553" s="55"/>
      <c r="D553" s="55"/>
      <c r="E553" s="56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7"/>
      <c r="U553" s="57"/>
      <c r="V553" s="57"/>
      <c r="W553" s="57"/>
      <c r="X553" s="57"/>
      <c r="Y553" s="57"/>
    </row>
    <row r="554">
      <c r="C554" s="55"/>
      <c r="D554" s="55"/>
      <c r="E554" s="56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7"/>
      <c r="U554" s="57"/>
      <c r="V554" s="57"/>
      <c r="W554" s="57"/>
      <c r="X554" s="57"/>
      <c r="Y554" s="57"/>
    </row>
    <row r="555">
      <c r="C555" s="55"/>
      <c r="D555" s="55"/>
      <c r="E555" s="56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7"/>
      <c r="U555" s="57"/>
      <c r="V555" s="57"/>
      <c r="W555" s="57"/>
      <c r="X555" s="57"/>
      <c r="Y555" s="57"/>
    </row>
    <row r="556">
      <c r="C556" s="55"/>
      <c r="D556" s="55"/>
      <c r="E556" s="56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7"/>
      <c r="U556" s="57"/>
      <c r="V556" s="57"/>
      <c r="W556" s="57"/>
      <c r="X556" s="57"/>
      <c r="Y556" s="57"/>
    </row>
    <row r="557">
      <c r="C557" s="55"/>
      <c r="D557" s="55"/>
      <c r="E557" s="56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7"/>
      <c r="U557" s="57"/>
      <c r="V557" s="57"/>
      <c r="W557" s="57"/>
      <c r="X557" s="57"/>
      <c r="Y557" s="57"/>
    </row>
    <row r="558">
      <c r="C558" s="55"/>
      <c r="D558" s="55"/>
      <c r="E558" s="56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7"/>
      <c r="U558" s="57"/>
      <c r="V558" s="57"/>
      <c r="W558" s="57"/>
      <c r="X558" s="57"/>
      <c r="Y558" s="57"/>
    </row>
    <row r="559">
      <c r="C559" s="55"/>
      <c r="D559" s="55"/>
      <c r="E559" s="56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7"/>
      <c r="U559" s="57"/>
      <c r="V559" s="57"/>
      <c r="W559" s="57"/>
      <c r="X559" s="57"/>
      <c r="Y559" s="57"/>
    </row>
    <row r="560">
      <c r="C560" s="55"/>
      <c r="D560" s="55"/>
      <c r="E560" s="56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7"/>
      <c r="U560" s="57"/>
      <c r="V560" s="57"/>
      <c r="W560" s="57"/>
      <c r="X560" s="57"/>
      <c r="Y560" s="57"/>
    </row>
    <row r="561">
      <c r="C561" s="55"/>
      <c r="D561" s="55"/>
      <c r="E561" s="56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7"/>
      <c r="U561" s="57"/>
      <c r="V561" s="57"/>
      <c r="W561" s="57"/>
      <c r="X561" s="57"/>
      <c r="Y561" s="57"/>
    </row>
    <row r="562">
      <c r="C562" s="55"/>
      <c r="D562" s="55"/>
      <c r="E562" s="56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7"/>
      <c r="U562" s="57"/>
      <c r="V562" s="57"/>
      <c r="W562" s="57"/>
      <c r="X562" s="57"/>
      <c r="Y562" s="57"/>
    </row>
    <row r="563">
      <c r="C563" s="55"/>
      <c r="D563" s="55"/>
      <c r="E563" s="56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7"/>
      <c r="U563" s="57"/>
      <c r="V563" s="57"/>
      <c r="W563" s="57"/>
      <c r="X563" s="57"/>
      <c r="Y563" s="57"/>
    </row>
    <row r="564">
      <c r="C564" s="55"/>
      <c r="D564" s="55"/>
      <c r="E564" s="56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7"/>
      <c r="U564" s="57"/>
      <c r="V564" s="57"/>
      <c r="W564" s="57"/>
      <c r="X564" s="57"/>
      <c r="Y564" s="57"/>
    </row>
    <row r="565">
      <c r="C565" s="55"/>
      <c r="D565" s="55"/>
      <c r="E565" s="56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7"/>
      <c r="U565" s="57"/>
      <c r="V565" s="57"/>
      <c r="W565" s="57"/>
      <c r="X565" s="57"/>
      <c r="Y565" s="57"/>
    </row>
    <row r="566">
      <c r="C566" s="55"/>
      <c r="D566" s="55"/>
      <c r="E566" s="56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7"/>
      <c r="U566" s="57"/>
      <c r="V566" s="57"/>
      <c r="W566" s="57"/>
      <c r="X566" s="57"/>
      <c r="Y566" s="57"/>
    </row>
    <row r="567">
      <c r="C567" s="55"/>
      <c r="D567" s="55"/>
      <c r="E567" s="56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7"/>
      <c r="U567" s="57"/>
      <c r="V567" s="57"/>
      <c r="W567" s="57"/>
      <c r="X567" s="57"/>
      <c r="Y567" s="57"/>
    </row>
    <row r="568">
      <c r="C568" s="55"/>
      <c r="D568" s="55"/>
      <c r="E568" s="56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7"/>
      <c r="U568" s="57"/>
      <c r="V568" s="57"/>
      <c r="W568" s="57"/>
      <c r="X568" s="57"/>
      <c r="Y568" s="57"/>
    </row>
    <row r="569">
      <c r="C569" s="55"/>
      <c r="D569" s="55"/>
      <c r="E569" s="56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7"/>
      <c r="U569" s="57"/>
      <c r="V569" s="57"/>
      <c r="W569" s="57"/>
      <c r="X569" s="57"/>
      <c r="Y569" s="57"/>
    </row>
    <row r="570">
      <c r="C570" s="55"/>
      <c r="D570" s="55"/>
      <c r="E570" s="56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7"/>
      <c r="U570" s="57"/>
      <c r="V570" s="57"/>
      <c r="W570" s="57"/>
      <c r="X570" s="57"/>
      <c r="Y570" s="57"/>
    </row>
    <row r="571">
      <c r="C571" s="55"/>
      <c r="D571" s="55"/>
      <c r="E571" s="56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7"/>
      <c r="U571" s="57"/>
      <c r="V571" s="57"/>
      <c r="W571" s="57"/>
      <c r="X571" s="57"/>
      <c r="Y571" s="57"/>
    </row>
    <row r="572">
      <c r="C572" s="55"/>
      <c r="D572" s="55"/>
      <c r="E572" s="56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7"/>
      <c r="U572" s="57"/>
      <c r="V572" s="57"/>
      <c r="W572" s="57"/>
      <c r="X572" s="57"/>
      <c r="Y572" s="57"/>
    </row>
    <row r="573">
      <c r="C573" s="55"/>
      <c r="D573" s="55"/>
      <c r="E573" s="56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7"/>
      <c r="U573" s="57"/>
      <c r="V573" s="57"/>
      <c r="W573" s="57"/>
      <c r="X573" s="57"/>
      <c r="Y573" s="57"/>
    </row>
    <row r="574">
      <c r="C574" s="55"/>
      <c r="D574" s="55"/>
      <c r="E574" s="56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7"/>
      <c r="U574" s="57"/>
      <c r="V574" s="57"/>
      <c r="W574" s="57"/>
      <c r="X574" s="57"/>
      <c r="Y574" s="57"/>
    </row>
    <row r="575">
      <c r="C575" s="55"/>
      <c r="D575" s="55"/>
      <c r="E575" s="56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7"/>
      <c r="U575" s="57"/>
      <c r="V575" s="57"/>
      <c r="W575" s="57"/>
      <c r="X575" s="57"/>
      <c r="Y575" s="57"/>
    </row>
    <row r="576">
      <c r="C576" s="55"/>
      <c r="D576" s="55"/>
      <c r="E576" s="56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7"/>
      <c r="U576" s="57"/>
      <c r="V576" s="57"/>
      <c r="W576" s="57"/>
      <c r="X576" s="57"/>
      <c r="Y576" s="57"/>
    </row>
    <row r="577">
      <c r="C577" s="55"/>
      <c r="D577" s="55"/>
      <c r="E577" s="56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7"/>
      <c r="U577" s="57"/>
      <c r="V577" s="57"/>
      <c r="W577" s="57"/>
      <c r="X577" s="57"/>
      <c r="Y577" s="57"/>
    </row>
    <row r="578">
      <c r="C578" s="55"/>
      <c r="D578" s="55"/>
      <c r="E578" s="56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7"/>
      <c r="U578" s="57"/>
      <c r="V578" s="57"/>
      <c r="W578" s="57"/>
      <c r="X578" s="57"/>
      <c r="Y578" s="57"/>
    </row>
    <row r="579">
      <c r="C579" s="55"/>
      <c r="D579" s="55"/>
      <c r="E579" s="56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7"/>
      <c r="U579" s="57"/>
      <c r="V579" s="57"/>
      <c r="W579" s="57"/>
      <c r="X579" s="57"/>
      <c r="Y579" s="57"/>
    </row>
    <row r="580">
      <c r="C580" s="55"/>
      <c r="D580" s="55"/>
      <c r="E580" s="56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7"/>
      <c r="U580" s="57"/>
      <c r="V580" s="57"/>
      <c r="W580" s="57"/>
      <c r="X580" s="57"/>
      <c r="Y580" s="57"/>
    </row>
    <row r="581">
      <c r="C581" s="55"/>
      <c r="D581" s="55"/>
      <c r="E581" s="56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7"/>
      <c r="U581" s="57"/>
      <c r="V581" s="57"/>
      <c r="W581" s="57"/>
      <c r="X581" s="57"/>
      <c r="Y581" s="57"/>
    </row>
    <row r="582">
      <c r="C582" s="55"/>
      <c r="D582" s="55"/>
      <c r="E582" s="56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7"/>
      <c r="U582" s="57"/>
      <c r="V582" s="57"/>
      <c r="W582" s="57"/>
      <c r="X582" s="57"/>
      <c r="Y582" s="57"/>
    </row>
    <row r="583">
      <c r="C583" s="55"/>
      <c r="D583" s="55"/>
      <c r="E583" s="56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7"/>
      <c r="U583" s="57"/>
      <c r="V583" s="57"/>
      <c r="W583" s="57"/>
      <c r="X583" s="57"/>
      <c r="Y583" s="57"/>
    </row>
    <row r="584">
      <c r="C584" s="55"/>
      <c r="D584" s="55"/>
      <c r="E584" s="56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7"/>
      <c r="U584" s="57"/>
      <c r="V584" s="57"/>
      <c r="W584" s="57"/>
      <c r="X584" s="57"/>
      <c r="Y584" s="57"/>
    </row>
    <row r="585">
      <c r="C585" s="55"/>
      <c r="D585" s="55"/>
      <c r="E585" s="56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7"/>
      <c r="U585" s="57"/>
      <c r="V585" s="57"/>
      <c r="W585" s="57"/>
      <c r="X585" s="57"/>
      <c r="Y585" s="57"/>
    </row>
    <row r="586">
      <c r="C586" s="55"/>
      <c r="D586" s="55"/>
      <c r="E586" s="56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7"/>
      <c r="U586" s="57"/>
      <c r="V586" s="57"/>
      <c r="W586" s="57"/>
      <c r="X586" s="57"/>
      <c r="Y586" s="57"/>
    </row>
    <row r="587">
      <c r="C587" s="55"/>
      <c r="D587" s="55"/>
      <c r="E587" s="56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7"/>
      <c r="U587" s="57"/>
      <c r="V587" s="57"/>
      <c r="W587" s="57"/>
      <c r="X587" s="57"/>
      <c r="Y587" s="57"/>
    </row>
    <row r="588">
      <c r="C588" s="55"/>
      <c r="D588" s="55"/>
      <c r="E588" s="56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7"/>
      <c r="U588" s="57"/>
      <c r="V588" s="57"/>
      <c r="W588" s="57"/>
      <c r="X588" s="57"/>
      <c r="Y588" s="57"/>
    </row>
    <row r="589">
      <c r="C589" s="55"/>
      <c r="D589" s="55"/>
      <c r="E589" s="56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7"/>
      <c r="U589" s="57"/>
      <c r="V589" s="57"/>
      <c r="W589" s="57"/>
      <c r="X589" s="57"/>
      <c r="Y589" s="57"/>
    </row>
    <row r="590">
      <c r="C590" s="55"/>
      <c r="D590" s="55"/>
      <c r="E590" s="56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7"/>
      <c r="U590" s="57"/>
      <c r="V590" s="57"/>
      <c r="W590" s="57"/>
      <c r="X590" s="57"/>
      <c r="Y590" s="57"/>
    </row>
    <row r="591">
      <c r="C591" s="55"/>
      <c r="D591" s="55"/>
      <c r="E591" s="56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7"/>
      <c r="U591" s="57"/>
      <c r="V591" s="57"/>
      <c r="W591" s="57"/>
      <c r="X591" s="57"/>
      <c r="Y591" s="57"/>
    </row>
    <row r="592">
      <c r="C592" s="55"/>
      <c r="D592" s="55"/>
      <c r="E592" s="56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7"/>
      <c r="U592" s="57"/>
      <c r="V592" s="57"/>
      <c r="W592" s="57"/>
      <c r="X592" s="57"/>
      <c r="Y592" s="57"/>
    </row>
    <row r="593">
      <c r="C593" s="55"/>
      <c r="D593" s="55"/>
      <c r="E593" s="56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7"/>
      <c r="U593" s="57"/>
      <c r="V593" s="57"/>
      <c r="W593" s="57"/>
      <c r="X593" s="57"/>
      <c r="Y593" s="57"/>
    </row>
    <row r="594">
      <c r="C594" s="55"/>
      <c r="D594" s="55"/>
      <c r="E594" s="56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7"/>
      <c r="U594" s="57"/>
      <c r="V594" s="57"/>
      <c r="W594" s="57"/>
      <c r="X594" s="57"/>
      <c r="Y594" s="57"/>
    </row>
    <row r="595">
      <c r="C595" s="55"/>
      <c r="D595" s="55"/>
      <c r="E595" s="56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7"/>
      <c r="U595" s="57"/>
      <c r="V595" s="57"/>
      <c r="W595" s="57"/>
      <c r="X595" s="57"/>
      <c r="Y595" s="57"/>
    </row>
    <row r="596">
      <c r="C596" s="55"/>
      <c r="D596" s="55"/>
      <c r="E596" s="56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7"/>
      <c r="U596" s="57"/>
      <c r="V596" s="57"/>
      <c r="W596" s="57"/>
      <c r="X596" s="57"/>
      <c r="Y596" s="57"/>
    </row>
    <row r="597">
      <c r="C597" s="55"/>
      <c r="D597" s="55"/>
      <c r="E597" s="56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7"/>
      <c r="U597" s="57"/>
      <c r="V597" s="57"/>
      <c r="W597" s="57"/>
      <c r="X597" s="57"/>
      <c r="Y597" s="57"/>
    </row>
    <row r="598">
      <c r="C598" s="55"/>
      <c r="D598" s="55"/>
      <c r="E598" s="56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7"/>
      <c r="U598" s="57"/>
      <c r="V598" s="57"/>
      <c r="W598" s="57"/>
      <c r="X598" s="57"/>
      <c r="Y598" s="57"/>
    </row>
    <row r="599">
      <c r="C599" s="55"/>
      <c r="D599" s="55"/>
      <c r="E599" s="56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7"/>
      <c r="U599" s="57"/>
      <c r="V599" s="57"/>
      <c r="W599" s="57"/>
      <c r="X599" s="57"/>
      <c r="Y599" s="57"/>
    </row>
    <row r="600">
      <c r="C600" s="55"/>
      <c r="D600" s="55"/>
      <c r="E600" s="56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7"/>
      <c r="U600" s="57"/>
      <c r="V600" s="57"/>
      <c r="W600" s="57"/>
      <c r="X600" s="57"/>
      <c r="Y600" s="57"/>
    </row>
    <row r="601">
      <c r="C601" s="55"/>
      <c r="D601" s="55"/>
      <c r="E601" s="56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7"/>
      <c r="U601" s="57"/>
      <c r="V601" s="57"/>
      <c r="W601" s="57"/>
      <c r="X601" s="57"/>
      <c r="Y601" s="57"/>
    </row>
    <row r="602">
      <c r="C602" s="55"/>
      <c r="D602" s="55"/>
      <c r="E602" s="56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7"/>
      <c r="U602" s="57"/>
      <c r="V602" s="57"/>
      <c r="W602" s="57"/>
      <c r="X602" s="57"/>
      <c r="Y602" s="57"/>
    </row>
    <row r="603">
      <c r="C603" s="55"/>
      <c r="D603" s="55"/>
      <c r="E603" s="56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7"/>
      <c r="U603" s="57"/>
      <c r="V603" s="57"/>
      <c r="W603" s="57"/>
      <c r="X603" s="57"/>
      <c r="Y603" s="57"/>
    </row>
    <row r="604">
      <c r="C604" s="55"/>
      <c r="D604" s="55"/>
      <c r="E604" s="56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7"/>
      <c r="U604" s="57"/>
      <c r="V604" s="57"/>
      <c r="W604" s="57"/>
      <c r="X604" s="57"/>
      <c r="Y604" s="57"/>
    </row>
    <row r="605">
      <c r="C605" s="55"/>
      <c r="D605" s="55"/>
      <c r="E605" s="56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7"/>
      <c r="U605" s="57"/>
      <c r="V605" s="57"/>
      <c r="W605" s="57"/>
      <c r="X605" s="57"/>
      <c r="Y605" s="57"/>
    </row>
    <row r="606">
      <c r="C606" s="55"/>
      <c r="D606" s="55"/>
      <c r="E606" s="56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7"/>
      <c r="U606" s="57"/>
      <c r="V606" s="57"/>
      <c r="W606" s="57"/>
      <c r="X606" s="57"/>
      <c r="Y606" s="57"/>
    </row>
    <row r="607">
      <c r="C607" s="55"/>
      <c r="D607" s="55"/>
      <c r="E607" s="56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7"/>
      <c r="U607" s="57"/>
      <c r="V607" s="57"/>
      <c r="W607" s="57"/>
      <c r="X607" s="57"/>
      <c r="Y607" s="57"/>
    </row>
    <row r="608">
      <c r="C608" s="55"/>
      <c r="D608" s="55"/>
      <c r="E608" s="56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7"/>
      <c r="U608" s="57"/>
      <c r="V608" s="57"/>
      <c r="W608" s="57"/>
      <c r="X608" s="57"/>
      <c r="Y608" s="57"/>
    </row>
    <row r="609">
      <c r="C609" s="55"/>
      <c r="D609" s="55"/>
      <c r="E609" s="56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7"/>
      <c r="U609" s="57"/>
      <c r="V609" s="57"/>
      <c r="W609" s="57"/>
      <c r="X609" s="57"/>
      <c r="Y609" s="57"/>
    </row>
    <row r="610">
      <c r="C610" s="55"/>
      <c r="D610" s="55"/>
      <c r="E610" s="56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7"/>
      <c r="U610" s="57"/>
      <c r="V610" s="57"/>
      <c r="W610" s="57"/>
      <c r="X610" s="57"/>
      <c r="Y610" s="57"/>
    </row>
    <row r="611">
      <c r="C611" s="55"/>
      <c r="D611" s="55"/>
      <c r="E611" s="56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7"/>
      <c r="U611" s="57"/>
      <c r="V611" s="57"/>
      <c r="W611" s="57"/>
      <c r="X611" s="57"/>
      <c r="Y611" s="57"/>
    </row>
    <row r="612">
      <c r="C612" s="55"/>
      <c r="D612" s="55"/>
      <c r="E612" s="56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7"/>
      <c r="U612" s="57"/>
      <c r="V612" s="57"/>
      <c r="W612" s="57"/>
      <c r="X612" s="57"/>
      <c r="Y612" s="57"/>
    </row>
    <row r="613">
      <c r="C613" s="55"/>
      <c r="D613" s="55"/>
      <c r="E613" s="56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7"/>
      <c r="U613" s="57"/>
      <c r="V613" s="57"/>
      <c r="W613" s="57"/>
      <c r="X613" s="57"/>
      <c r="Y613" s="57"/>
    </row>
    <row r="614">
      <c r="C614" s="55"/>
      <c r="D614" s="55"/>
      <c r="E614" s="56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7"/>
      <c r="U614" s="57"/>
      <c r="V614" s="57"/>
      <c r="W614" s="57"/>
      <c r="X614" s="57"/>
      <c r="Y614" s="57"/>
    </row>
    <row r="615">
      <c r="C615" s="55"/>
      <c r="D615" s="55"/>
      <c r="E615" s="56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7"/>
      <c r="U615" s="57"/>
      <c r="V615" s="57"/>
      <c r="W615" s="57"/>
      <c r="X615" s="57"/>
      <c r="Y615" s="57"/>
    </row>
    <row r="616">
      <c r="C616" s="55"/>
      <c r="D616" s="55"/>
      <c r="E616" s="56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7"/>
      <c r="U616" s="57"/>
      <c r="V616" s="57"/>
      <c r="W616" s="57"/>
      <c r="X616" s="57"/>
      <c r="Y616" s="57"/>
    </row>
    <row r="617">
      <c r="C617" s="55"/>
      <c r="D617" s="55"/>
      <c r="E617" s="56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7"/>
      <c r="U617" s="57"/>
      <c r="V617" s="57"/>
      <c r="W617" s="57"/>
      <c r="X617" s="57"/>
      <c r="Y617" s="57"/>
    </row>
    <row r="618">
      <c r="C618" s="55"/>
      <c r="D618" s="55"/>
      <c r="E618" s="56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7"/>
      <c r="U618" s="57"/>
      <c r="V618" s="57"/>
      <c r="W618" s="57"/>
      <c r="X618" s="57"/>
      <c r="Y618" s="57"/>
    </row>
    <row r="619">
      <c r="C619" s="55"/>
      <c r="D619" s="55"/>
      <c r="E619" s="56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7"/>
      <c r="U619" s="57"/>
      <c r="V619" s="57"/>
      <c r="W619" s="57"/>
      <c r="X619" s="57"/>
      <c r="Y619" s="57"/>
    </row>
    <row r="620">
      <c r="C620" s="55"/>
      <c r="D620" s="55"/>
      <c r="E620" s="56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7"/>
      <c r="U620" s="57"/>
      <c r="V620" s="57"/>
      <c r="W620" s="57"/>
      <c r="X620" s="57"/>
      <c r="Y620" s="57"/>
    </row>
    <row r="621">
      <c r="C621" s="55"/>
      <c r="D621" s="55"/>
      <c r="E621" s="56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7"/>
      <c r="U621" s="57"/>
      <c r="V621" s="57"/>
      <c r="W621" s="57"/>
      <c r="X621" s="57"/>
      <c r="Y621" s="57"/>
    </row>
    <row r="622">
      <c r="C622" s="55"/>
      <c r="D622" s="55"/>
      <c r="E622" s="56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7"/>
      <c r="U622" s="57"/>
      <c r="V622" s="57"/>
      <c r="W622" s="57"/>
      <c r="X622" s="57"/>
      <c r="Y622" s="57"/>
    </row>
    <row r="623">
      <c r="C623" s="55"/>
      <c r="D623" s="55"/>
      <c r="E623" s="56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7"/>
      <c r="U623" s="57"/>
      <c r="V623" s="57"/>
      <c r="W623" s="57"/>
      <c r="X623" s="57"/>
      <c r="Y623" s="57"/>
    </row>
    <row r="624">
      <c r="C624" s="55"/>
      <c r="D624" s="55"/>
      <c r="E624" s="56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7"/>
      <c r="U624" s="57"/>
      <c r="V624" s="57"/>
      <c r="W624" s="57"/>
      <c r="X624" s="57"/>
      <c r="Y624" s="57"/>
    </row>
    <row r="625">
      <c r="C625" s="55"/>
      <c r="D625" s="55"/>
      <c r="E625" s="56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7"/>
      <c r="U625" s="57"/>
      <c r="V625" s="57"/>
      <c r="W625" s="57"/>
      <c r="X625" s="57"/>
      <c r="Y625" s="57"/>
    </row>
    <row r="626">
      <c r="C626" s="55"/>
      <c r="D626" s="55"/>
      <c r="E626" s="56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7"/>
      <c r="U626" s="57"/>
      <c r="V626" s="57"/>
      <c r="W626" s="57"/>
      <c r="X626" s="57"/>
      <c r="Y626" s="57"/>
    </row>
    <row r="627">
      <c r="C627" s="55"/>
      <c r="D627" s="55"/>
      <c r="E627" s="56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7"/>
      <c r="U627" s="57"/>
      <c r="V627" s="57"/>
      <c r="W627" s="57"/>
      <c r="X627" s="57"/>
      <c r="Y627" s="57"/>
    </row>
    <row r="628">
      <c r="C628" s="55"/>
      <c r="D628" s="55"/>
      <c r="E628" s="56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7"/>
      <c r="U628" s="57"/>
      <c r="V628" s="57"/>
      <c r="W628" s="57"/>
      <c r="X628" s="57"/>
      <c r="Y628" s="57"/>
    </row>
    <row r="629">
      <c r="C629" s="55"/>
      <c r="D629" s="55"/>
      <c r="E629" s="56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7"/>
      <c r="U629" s="57"/>
      <c r="V629" s="57"/>
      <c r="W629" s="57"/>
      <c r="X629" s="57"/>
      <c r="Y629" s="57"/>
    </row>
    <row r="630">
      <c r="C630" s="55"/>
      <c r="D630" s="55"/>
      <c r="E630" s="56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7"/>
      <c r="U630" s="57"/>
      <c r="V630" s="57"/>
      <c r="W630" s="57"/>
      <c r="X630" s="57"/>
      <c r="Y630" s="57"/>
    </row>
    <row r="631">
      <c r="C631" s="55"/>
      <c r="D631" s="55"/>
      <c r="E631" s="56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7"/>
      <c r="U631" s="57"/>
      <c r="V631" s="57"/>
      <c r="W631" s="57"/>
      <c r="X631" s="57"/>
      <c r="Y631" s="57"/>
    </row>
    <row r="632">
      <c r="C632" s="55"/>
      <c r="D632" s="55"/>
      <c r="E632" s="56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7"/>
      <c r="U632" s="57"/>
      <c r="V632" s="57"/>
      <c r="W632" s="57"/>
      <c r="X632" s="57"/>
      <c r="Y632" s="57"/>
    </row>
    <row r="633">
      <c r="C633" s="55"/>
      <c r="D633" s="55"/>
      <c r="E633" s="56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7"/>
      <c r="U633" s="57"/>
      <c r="V633" s="57"/>
      <c r="W633" s="57"/>
      <c r="X633" s="57"/>
      <c r="Y633" s="57"/>
    </row>
    <row r="634">
      <c r="C634" s="55"/>
      <c r="D634" s="55"/>
      <c r="E634" s="56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7"/>
      <c r="U634" s="57"/>
      <c r="V634" s="57"/>
      <c r="W634" s="57"/>
      <c r="X634" s="57"/>
      <c r="Y634" s="57"/>
    </row>
    <row r="635">
      <c r="C635" s="55"/>
      <c r="D635" s="55"/>
      <c r="E635" s="56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7"/>
      <c r="U635" s="57"/>
      <c r="V635" s="57"/>
      <c r="W635" s="57"/>
      <c r="X635" s="57"/>
      <c r="Y635" s="57"/>
    </row>
    <row r="636">
      <c r="C636" s="55"/>
      <c r="D636" s="55"/>
      <c r="E636" s="56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7"/>
      <c r="U636" s="57"/>
      <c r="V636" s="57"/>
      <c r="W636" s="57"/>
      <c r="X636" s="57"/>
      <c r="Y636" s="57"/>
    </row>
    <row r="637">
      <c r="C637" s="55"/>
      <c r="D637" s="55"/>
      <c r="E637" s="56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7"/>
      <c r="U637" s="57"/>
      <c r="V637" s="57"/>
      <c r="W637" s="57"/>
      <c r="X637" s="57"/>
      <c r="Y637" s="57"/>
    </row>
    <row r="638">
      <c r="C638" s="55"/>
      <c r="D638" s="55"/>
      <c r="E638" s="56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7"/>
      <c r="U638" s="57"/>
      <c r="V638" s="57"/>
      <c r="W638" s="57"/>
      <c r="X638" s="57"/>
      <c r="Y638" s="57"/>
    </row>
    <row r="639">
      <c r="C639" s="55"/>
      <c r="D639" s="55"/>
      <c r="E639" s="56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7"/>
      <c r="U639" s="57"/>
      <c r="V639" s="57"/>
      <c r="W639" s="57"/>
      <c r="X639" s="57"/>
      <c r="Y639" s="57"/>
    </row>
    <row r="640">
      <c r="C640" s="55"/>
      <c r="D640" s="55"/>
      <c r="E640" s="56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7"/>
      <c r="U640" s="57"/>
      <c r="V640" s="57"/>
      <c r="W640" s="57"/>
      <c r="X640" s="57"/>
      <c r="Y640" s="57"/>
    </row>
    <row r="641">
      <c r="C641" s="55"/>
      <c r="D641" s="55"/>
      <c r="E641" s="56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7"/>
      <c r="U641" s="57"/>
      <c r="V641" s="57"/>
      <c r="W641" s="57"/>
      <c r="X641" s="57"/>
      <c r="Y641" s="57"/>
    </row>
    <row r="642">
      <c r="C642" s="55"/>
      <c r="D642" s="55"/>
      <c r="E642" s="56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7"/>
      <c r="U642" s="57"/>
      <c r="V642" s="57"/>
      <c r="W642" s="57"/>
      <c r="X642" s="57"/>
      <c r="Y642" s="57"/>
    </row>
    <row r="643">
      <c r="C643" s="55"/>
      <c r="D643" s="55"/>
      <c r="E643" s="56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7"/>
      <c r="U643" s="57"/>
      <c r="V643" s="57"/>
      <c r="W643" s="57"/>
      <c r="X643" s="57"/>
      <c r="Y643" s="57"/>
    </row>
    <row r="644">
      <c r="C644" s="55"/>
      <c r="D644" s="55"/>
      <c r="E644" s="56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7"/>
      <c r="U644" s="57"/>
      <c r="V644" s="57"/>
      <c r="W644" s="57"/>
      <c r="X644" s="57"/>
      <c r="Y644" s="57"/>
    </row>
    <row r="645">
      <c r="C645" s="55"/>
      <c r="D645" s="55"/>
      <c r="E645" s="56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7"/>
      <c r="U645" s="57"/>
      <c r="V645" s="57"/>
      <c r="W645" s="57"/>
      <c r="X645" s="57"/>
      <c r="Y645" s="57"/>
    </row>
    <row r="646">
      <c r="C646" s="55"/>
      <c r="D646" s="55"/>
      <c r="E646" s="56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7"/>
      <c r="U646" s="57"/>
      <c r="V646" s="57"/>
      <c r="W646" s="57"/>
      <c r="X646" s="57"/>
      <c r="Y646" s="57"/>
    </row>
    <row r="647">
      <c r="C647" s="55"/>
      <c r="D647" s="55"/>
      <c r="E647" s="56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7"/>
      <c r="U647" s="57"/>
      <c r="V647" s="57"/>
      <c r="W647" s="57"/>
      <c r="X647" s="57"/>
      <c r="Y647" s="57"/>
    </row>
    <row r="648">
      <c r="C648" s="55"/>
      <c r="D648" s="55"/>
      <c r="E648" s="56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7"/>
      <c r="U648" s="57"/>
      <c r="V648" s="57"/>
      <c r="W648" s="57"/>
      <c r="X648" s="57"/>
      <c r="Y648" s="57"/>
    </row>
    <row r="649">
      <c r="C649" s="55"/>
      <c r="D649" s="55"/>
      <c r="E649" s="56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7"/>
      <c r="U649" s="57"/>
      <c r="V649" s="57"/>
      <c r="W649" s="57"/>
      <c r="X649" s="57"/>
      <c r="Y649" s="57"/>
    </row>
    <row r="650">
      <c r="C650" s="55"/>
      <c r="D650" s="55"/>
      <c r="E650" s="56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7"/>
      <c r="U650" s="57"/>
      <c r="V650" s="57"/>
      <c r="W650" s="57"/>
      <c r="X650" s="57"/>
      <c r="Y650" s="57"/>
    </row>
    <row r="651">
      <c r="C651" s="55"/>
      <c r="D651" s="55"/>
      <c r="E651" s="56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7"/>
      <c r="U651" s="57"/>
      <c r="V651" s="57"/>
      <c r="W651" s="57"/>
      <c r="X651" s="57"/>
      <c r="Y651" s="57"/>
    </row>
    <row r="652">
      <c r="C652" s="55"/>
      <c r="D652" s="55"/>
      <c r="E652" s="56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7"/>
      <c r="U652" s="57"/>
      <c r="V652" s="57"/>
      <c r="W652" s="57"/>
      <c r="X652" s="57"/>
      <c r="Y652" s="57"/>
    </row>
    <row r="653">
      <c r="C653" s="55"/>
      <c r="D653" s="55"/>
      <c r="E653" s="56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7"/>
      <c r="U653" s="57"/>
      <c r="V653" s="57"/>
      <c r="W653" s="57"/>
      <c r="X653" s="57"/>
      <c r="Y653" s="57"/>
    </row>
    <row r="654">
      <c r="C654" s="55"/>
      <c r="D654" s="55"/>
      <c r="E654" s="56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7"/>
      <c r="U654" s="57"/>
      <c r="V654" s="57"/>
      <c r="W654" s="57"/>
      <c r="X654" s="57"/>
      <c r="Y654" s="57"/>
    </row>
    <row r="655">
      <c r="C655" s="55"/>
      <c r="D655" s="55"/>
      <c r="E655" s="56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7"/>
      <c r="U655" s="57"/>
      <c r="V655" s="57"/>
      <c r="W655" s="57"/>
      <c r="X655" s="57"/>
      <c r="Y655" s="57"/>
    </row>
    <row r="656">
      <c r="C656" s="55"/>
      <c r="D656" s="55"/>
      <c r="E656" s="56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7"/>
      <c r="U656" s="57"/>
      <c r="V656" s="57"/>
      <c r="W656" s="57"/>
      <c r="X656" s="57"/>
      <c r="Y656" s="57"/>
    </row>
    <row r="657">
      <c r="C657" s="55"/>
      <c r="D657" s="55"/>
      <c r="E657" s="56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7"/>
      <c r="U657" s="57"/>
      <c r="V657" s="57"/>
      <c r="W657" s="57"/>
      <c r="X657" s="57"/>
      <c r="Y657" s="57"/>
    </row>
    <row r="658">
      <c r="C658" s="55"/>
      <c r="D658" s="55"/>
      <c r="E658" s="56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7"/>
      <c r="U658" s="57"/>
      <c r="V658" s="57"/>
      <c r="W658" s="57"/>
      <c r="X658" s="57"/>
      <c r="Y658" s="57"/>
    </row>
    <row r="659">
      <c r="C659" s="55"/>
      <c r="D659" s="55"/>
      <c r="E659" s="56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7"/>
      <c r="U659" s="57"/>
      <c r="V659" s="57"/>
      <c r="W659" s="57"/>
      <c r="X659" s="57"/>
      <c r="Y659" s="57"/>
    </row>
    <row r="660">
      <c r="C660" s="55"/>
      <c r="D660" s="55"/>
      <c r="E660" s="56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7"/>
      <c r="U660" s="57"/>
      <c r="V660" s="57"/>
      <c r="W660" s="57"/>
      <c r="X660" s="57"/>
      <c r="Y660" s="57"/>
    </row>
    <row r="661">
      <c r="C661" s="55"/>
      <c r="D661" s="55"/>
      <c r="E661" s="56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7"/>
      <c r="U661" s="57"/>
      <c r="V661" s="57"/>
      <c r="W661" s="57"/>
      <c r="X661" s="57"/>
      <c r="Y661" s="57"/>
    </row>
    <row r="662">
      <c r="C662" s="55"/>
      <c r="D662" s="55"/>
      <c r="E662" s="56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7"/>
      <c r="U662" s="57"/>
      <c r="V662" s="57"/>
      <c r="W662" s="57"/>
      <c r="X662" s="57"/>
      <c r="Y662" s="57"/>
    </row>
    <row r="663">
      <c r="C663" s="55"/>
      <c r="D663" s="55"/>
      <c r="E663" s="56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7"/>
      <c r="U663" s="57"/>
      <c r="V663" s="57"/>
      <c r="W663" s="57"/>
      <c r="X663" s="57"/>
      <c r="Y663" s="57"/>
    </row>
    <row r="664">
      <c r="C664" s="55"/>
      <c r="D664" s="55"/>
      <c r="E664" s="56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7"/>
      <c r="U664" s="57"/>
      <c r="V664" s="57"/>
      <c r="W664" s="57"/>
      <c r="X664" s="57"/>
      <c r="Y664" s="57"/>
    </row>
    <row r="665">
      <c r="C665" s="55"/>
      <c r="D665" s="55"/>
      <c r="E665" s="56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7"/>
      <c r="U665" s="57"/>
      <c r="V665" s="57"/>
      <c r="W665" s="57"/>
      <c r="X665" s="57"/>
      <c r="Y665" s="57"/>
    </row>
    <row r="666">
      <c r="C666" s="55"/>
      <c r="D666" s="55"/>
      <c r="E666" s="56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7"/>
      <c r="U666" s="57"/>
      <c r="V666" s="57"/>
      <c r="W666" s="57"/>
      <c r="X666" s="57"/>
      <c r="Y666" s="57"/>
    </row>
    <row r="667">
      <c r="C667" s="55"/>
      <c r="D667" s="55"/>
      <c r="E667" s="56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7"/>
      <c r="U667" s="57"/>
      <c r="V667" s="57"/>
      <c r="W667" s="57"/>
      <c r="X667" s="57"/>
      <c r="Y667" s="57"/>
    </row>
    <row r="668">
      <c r="C668" s="55"/>
      <c r="D668" s="55"/>
      <c r="E668" s="56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7"/>
      <c r="U668" s="57"/>
      <c r="V668" s="57"/>
      <c r="W668" s="57"/>
      <c r="X668" s="57"/>
      <c r="Y668" s="57"/>
    </row>
    <row r="669">
      <c r="C669" s="55"/>
      <c r="D669" s="55"/>
      <c r="E669" s="56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7"/>
      <c r="U669" s="57"/>
      <c r="V669" s="57"/>
      <c r="W669" s="57"/>
      <c r="X669" s="57"/>
      <c r="Y669" s="57"/>
    </row>
    <row r="670">
      <c r="C670" s="55"/>
      <c r="D670" s="55"/>
      <c r="E670" s="56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7"/>
      <c r="U670" s="57"/>
      <c r="V670" s="57"/>
      <c r="W670" s="57"/>
      <c r="X670" s="57"/>
      <c r="Y670" s="57"/>
    </row>
    <row r="671">
      <c r="C671" s="55"/>
      <c r="D671" s="55"/>
      <c r="E671" s="56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7"/>
      <c r="U671" s="57"/>
      <c r="V671" s="57"/>
      <c r="W671" s="57"/>
      <c r="X671" s="57"/>
      <c r="Y671" s="57"/>
    </row>
    <row r="672">
      <c r="C672" s="55"/>
      <c r="D672" s="55"/>
      <c r="E672" s="56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7"/>
      <c r="U672" s="57"/>
      <c r="V672" s="57"/>
      <c r="W672" s="57"/>
      <c r="X672" s="57"/>
      <c r="Y672" s="57"/>
    </row>
    <row r="673">
      <c r="C673" s="55"/>
      <c r="D673" s="55"/>
      <c r="E673" s="56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7"/>
      <c r="U673" s="57"/>
      <c r="V673" s="57"/>
      <c r="W673" s="57"/>
      <c r="X673" s="57"/>
      <c r="Y673" s="57"/>
    </row>
    <row r="674">
      <c r="C674" s="55"/>
      <c r="D674" s="55"/>
      <c r="E674" s="56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7"/>
      <c r="U674" s="57"/>
      <c r="V674" s="57"/>
      <c r="W674" s="57"/>
      <c r="X674" s="57"/>
      <c r="Y674" s="57"/>
    </row>
    <row r="675">
      <c r="C675" s="55"/>
      <c r="D675" s="55"/>
      <c r="E675" s="56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7"/>
      <c r="U675" s="57"/>
      <c r="V675" s="57"/>
      <c r="W675" s="57"/>
      <c r="X675" s="57"/>
      <c r="Y675" s="57"/>
    </row>
    <row r="676">
      <c r="C676" s="55"/>
      <c r="D676" s="55"/>
      <c r="E676" s="56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7"/>
      <c r="U676" s="57"/>
      <c r="V676" s="57"/>
      <c r="W676" s="57"/>
      <c r="X676" s="57"/>
      <c r="Y676" s="57"/>
    </row>
    <row r="677">
      <c r="C677" s="55"/>
      <c r="D677" s="55"/>
      <c r="E677" s="56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7"/>
      <c r="U677" s="57"/>
      <c r="V677" s="57"/>
      <c r="W677" s="57"/>
      <c r="X677" s="57"/>
      <c r="Y677" s="57"/>
    </row>
    <row r="678">
      <c r="C678" s="55"/>
      <c r="D678" s="55"/>
      <c r="E678" s="56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7"/>
      <c r="U678" s="57"/>
      <c r="V678" s="57"/>
      <c r="W678" s="57"/>
      <c r="X678" s="57"/>
      <c r="Y678" s="57"/>
    </row>
    <row r="679">
      <c r="C679" s="55"/>
      <c r="D679" s="55"/>
      <c r="E679" s="56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7"/>
      <c r="U679" s="57"/>
      <c r="V679" s="57"/>
      <c r="W679" s="57"/>
      <c r="X679" s="57"/>
      <c r="Y679" s="57"/>
    </row>
    <row r="680">
      <c r="C680" s="55"/>
      <c r="D680" s="55"/>
      <c r="E680" s="56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7"/>
      <c r="U680" s="57"/>
      <c r="V680" s="57"/>
      <c r="W680" s="57"/>
      <c r="X680" s="57"/>
      <c r="Y680" s="57"/>
    </row>
    <row r="681">
      <c r="C681" s="55"/>
      <c r="D681" s="55"/>
      <c r="E681" s="56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7"/>
      <c r="U681" s="57"/>
      <c r="V681" s="57"/>
      <c r="W681" s="57"/>
      <c r="X681" s="57"/>
      <c r="Y681" s="57"/>
    </row>
    <row r="682">
      <c r="C682" s="55"/>
      <c r="D682" s="55"/>
      <c r="E682" s="56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7"/>
      <c r="U682" s="57"/>
      <c r="V682" s="57"/>
      <c r="W682" s="57"/>
      <c r="X682" s="57"/>
      <c r="Y682" s="57"/>
    </row>
    <row r="683">
      <c r="C683" s="55"/>
      <c r="D683" s="55"/>
      <c r="E683" s="56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7"/>
      <c r="U683" s="57"/>
      <c r="V683" s="57"/>
      <c r="W683" s="57"/>
      <c r="X683" s="57"/>
      <c r="Y683" s="57"/>
    </row>
    <row r="684">
      <c r="C684" s="55"/>
      <c r="D684" s="55"/>
      <c r="E684" s="56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7"/>
      <c r="U684" s="57"/>
      <c r="V684" s="57"/>
      <c r="W684" s="57"/>
      <c r="X684" s="57"/>
      <c r="Y684" s="57"/>
    </row>
    <row r="685">
      <c r="C685" s="55"/>
      <c r="D685" s="55"/>
      <c r="E685" s="56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7"/>
      <c r="U685" s="57"/>
      <c r="V685" s="57"/>
      <c r="W685" s="57"/>
      <c r="X685" s="57"/>
      <c r="Y685" s="57"/>
    </row>
    <row r="686">
      <c r="C686" s="55"/>
      <c r="D686" s="55"/>
      <c r="E686" s="56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7"/>
      <c r="U686" s="57"/>
      <c r="V686" s="57"/>
      <c r="W686" s="57"/>
      <c r="X686" s="57"/>
      <c r="Y686" s="57"/>
    </row>
    <row r="687">
      <c r="C687" s="55"/>
      <c r="D687" s="55"/>
      <c r="E687" s="56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7"/>
      <c r="U687" s="57"/>
      <c r="V687" s="57"/>
      <c r="W687" s="57"/>
      <c r="X687" s="57"/>
      <c r="Y687" s="57"/>
    </row>
    <row r="688">
      <c r="C688" s="55"/>
      <c r="D688" s="55"/>
      <c r="E688" s="56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7"/>
      <c r="U688" s="57"/>
      <c r="V688" s="57"/>
      <c r="W688" s="57"/>
      <c r="X688" s="57"/>
      <c r="Y688" s="57"/>
    </row>
    <row r="689">
      <c r="C689" s="55"/>
      <c r="D689" s="55"/>
      <c r="E689" s="56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7"/>
      <c r="U689" s="57"/>
      <c r="V689" s="57"/>
      <c r="W689" s="57"/>
      <c r="X689" s="57"/>
      <c r="Y689" s="57"/>
    </row>
    <row r="690">
      <c r="C690" s="55"/>
      <c r="D690" s="55"/>
      <c r="E690" s="56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7"/>
      <c r="U690" s="57"/>
      <c r="V690" s="57"/>
      <c r="W690" s="57"/>
      <c r="X690" s="57"/>
      <c r="Y690" s="57"/>
    </row>
    <row r="691">
      <c r="C691" s="55"/>
      <c r="D691" s="55"/>
      <c r="E691" s="56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7"/>
      <c r="U691" s="57"/>
      <c r="V691" s="57"/>
      <c r="W691" s="57"/>
      <c r="X691" s="57"/>
      <c r="Y691" s="57"/>
    </row>
    <row r="692">
      <c r="C692" s="55"/>
      <c r="D692" s="55"/>
      <c r="E692" s="56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7"/>
      <c r="U692" s="57"/>
      <c r="V692" s="57"/>
      <c r="W692" s="57"/>
      <c r="X692" s="57"/>
      <c r="Y692" s="57"/>
    </row>
    <row r="693">
      <c r="C693" s="55"/>
      <c r="D693" s="55"/>
      <c r="E693" s="56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7"/>
      <c r="U693" s="57"/>
      <c r="V693" s="57"/>
      <c r="W693" s="57"/>
      <c r="X693" s="57"/>
      <c r="Y693" s="57"/>
    </row>
    <row r="694">
      <c r="C694" s="55"/>
      <c r="D694" s="55"/>
      <c r="E694" s="56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7"/>
      <c r="U694" s="57"/>
      <c r="V694" s="57"/>
      <c r="W694" s="57"/>
      <c r="X694" s="57"/>
      <c r="Y694" s="57"/>
    </row>
    <row r="695">
      <c r="C695" s="55"/>
      <c r="D695" s="55"/>
      <c r="E695" s="56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7"/>
      <c r="U695" s="57"/>
      <c r="V695" s="57"/>
      <c r="W695" s="57"/>
      <c r="X695" s="57"/>
      <c r="Y695" s="57"/>
    </row>
    <row r="696">
      <c r="C696" s="55"/>
      <c r="D696" s="55"/>
      <c r="E696" s="56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7"/>
      <c r="U696" s="57"/>
      <c r="V696" s="57"/>
      <c r="W696" s="57"/>
      <c r="X696" s="57"/>
      <c r="Y696" s="57"/>
    </row>
    <row r="697">
      <c r="C697" s="55"/>
      <c r="D697" s="55"/>
      <c r="E697" s="56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7"/>
      <c r="U697" s="57"/>
      <c r="V697" s="57"/>
      <c r="W697" s="57"/>
      <c r="X697" s="57"/>
      <c r="Y697" s="57"/>
    </row>
    <row r="698">
      <c r="C698" s="55"/>
      <c r="D698" s="55"/>
      <c r="E698" s="56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7"/>
      <c r="U698" s="57"/>
      <c r="V698" s="57"/>
      <c r="W698" s="57"/>
      <c r="X698" s="57"/>
      <c r="Y698" s="57"/>
    </row>
    <row r="699">
      <c r="C699" s="55"/>
      <c r="D699" s="55"/>
      <c r="E699" s="56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7"/>
      <c r="U699" s="57"/>
      <c r="V699" s="57"/>
      <c r="W699" s="57"/>
      <c r="X699" s="57"/>
      <c r="Y699" s="57"/>
    </row>
    <row r="700">
      <c r="C700" s="55"/>
      <c r="D700" s="55"/>
      <c r="E700" s="56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7"/>
      <c r="U700" s="57"/>
      <c r="V700" s="57"/>
      <c r="W700" s="57"/>
      <c r="X700" s="57"/>
      <c r="Y700" s="57"/>
    </row>
    <row r="701">
      <c r="C701" s="55"/>
      <c r="D701" s="55"/>
      <c r="E701" s="56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7"/>
      <c r="U701" s="57"/>
      <c r="V701" s="57"/>
      <c r="W701" s="57"/>
      <c r="X701" s="57"/>
      <c r="Y701" s="57"/>
    </row>
    <row r="702">
      <c r="C702" s="55"/>
      <c r="D702" s="55"/>
      <c r="E702" s="56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7"/>
      <c r="U702" s="57"/>
      <c r="V702" s="57"/>
      <c r="W702" s="57"/>
      <c r="X702" s="57"/>
      <c r="Y702" s="57"/>
    </row>
    <row r="703">
      <c r="C703" s="55"/>
      <c r="D703" s="55"/>
      <c r="E703" s="56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7"/>
      <c r="U703" s="57"/>
      <c r="V703" s="57"/>
      <c r="W703" s="57"/>
      <c r="X703" s="57"/>
      <c r="Y703" s="57"/>
    </row>
    <row r="704">
      <c r="C704" s="55"/>
      <c r="D704" s="55"/>
      <c r="E704" s="56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7"/>
      <c r="U704" s="57"/>
      <c r="V704" s="57"/>
      <c r="W704" s="57"/>
      <c r="X704" s="57"/>
      <c r="Y704" s="57"/>
    </row>
    <row r="705">
      <c r="C705" s="55"/>
      <c r="D705" s="55"/>
      <c r="E705" s="56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7"/>
      <c r="U705" s="57"/>
      <c r="V705" s="57"/>
      <c r="W705" s="57"/>
      <c r="X705" s="57"/>
      <c r="Y705" s="57"/>
    </row>
    <row r="706">
      <c r="C706" s="55"/>
      <c r="D706" s="55"/>
      <c r="E706" s="56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7"/>
      <c r="U706" s="57"/>
      <c r="V706" s="57"/>
      <c r="W706" s="57"/>
      <c r="X706" s="57"/>
      <c r="Y706" s="57"/>
    </row>
    <row r="707">
      <c r="C707" s="55"/>
      <c r="D707" s="55"/>
      <c r="E707" s="56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7"/>
      <c r="U707" s="57"/>
      <c r="V707" s="57"/>
      <c r="W707" s="57"/>
      <c r="X707" s="57"/>
      <c r="Y707" s="57"/>
    </row>
    <row r="708">
      <c r="C708" s="55"/>
      <c r="D708" s="55"/>
      <c r="E708" s="56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7"/>
      <c r="U708" s="57"/>
      <c r="V708" s="57"/>
      <c r="W708" s="57"/>
      <c r="X708" s="57"/>
      <c r="Y708" s="57"/>
    </row>
    <row r="709">
      <c r="C709" s="55"/>
      <c r="D709" s="55"/>
      <c r="E709" s="56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7"/>
      <c r="U709" s="57"/>
      <c r="V709" s="57"/>
      <c r="W709" s="57"/>
      <c r="X709" s="57"/>
      <c r="Y709" s="57"/>
    </row>
    <row r="710">
      <c r="C710" s="55"/>
      <c r="D710" s="55"/>
      <c r="E710" s="56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7"/>
      <c r="U710" s="57"/>
      <c r="V710" s="57"/>
      <c r="W710" s="57"/>
      <c r="X710" s="57"/>
      <c r="Y710" s="57"/>
    </row>
    <row r="711">
      <c r="C711" s="55"/>
      <c r="D711" s="55"/>
      <c r="E711" s="56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7"/>
      <c r="U711" s="57"/>
      <c r="V711" s="57"/>
      <c r="W711" s="57"/>
      <c r="X711" s="57"/>
      <c r="Y711" s="57"/>
    </row>
    <row r="712">
      <c r="C712" s="55"/>
      <c r="D712" s="55"/>
      <c r="E712" s="56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7"/>
      <c r="U712" s="57"/>
      <c r="V712" s="57"/>
      <c r="W712" s="57"/>
      <c r="X712" s="57"/>
      <c r="Y712" s="57"/>
    </row>
    <row r="713">
      <c r="C713" s="55"/>
      <c r="D713" s="55"/>
      <c r="E713" s="56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7"/>
      <c r="U713" s="57"/>
      <c r="V713" s="57"/>
      <c r="W713" s="57"/>
      <c r="X713" s="57"/>
      <c r="Y713" s="57"/>
    </row>
    <row r="714">
      <c r="C714" s="55"/>
      <c r="D714" s="55"/>
      <c r="E714" s="56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7"/>
      <c r="U714" s="57"/>
      <c r="V714" s="57"/>
      <c r="W714" s="57"/>
      <c r="X714" s="57"/>
      <c r="Y714" s="57"/>
    </row>
    <row r="715">
      <c r="C715" s="55"/>
      <c r="D715" s="55"/>
      <c r="E715" s="56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7"/>
      <c r="U715" s="57"/>
      <c r="V715" s="57"/>
      <c r="W715" s="57"/>
      <c r="X715" s="57"/>
      <c r="Y715" s="57"/>
    </row>
    <row r="716">
      <c r="C716" s="55"/>
      <c r="D716" s="55"/>
      <c r="E716" s="56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7"/>
      <c r="U716" s="57"/>
      <c r="V716" s="57"/>
      <c r="W716" s="57"/>
      <c r="X716" s="57"/>
      <c r="Y716" s="57"/>
    </row>
    <row r="717">
      <c r="C717" s="55"/>
      <c r="D717" s="55"/>
      <c r="E717" s="56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7"/>
      <c r="U717" s="57"/>
      <c r="V717" s="57"/>
      <c r="W717" s="57"/>
      <c r="X717" s="57"/>
      <c r="Y717" s="57"/>
    </row>
    <row r="718">
      <c r="C718" s="55"/>
      <c r="D718" s="55"/>
      <c r="E718" s="56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7"/>
      <c r="U718" s="57"/>
      <c r="V718" s="57"/>
      <c r="W718" s="57"/>
      <c r="X718" s="57"/>
      <c r="Y718" s="57"/>
    </row>
    <row r="719">
      <c r="C719" s="55"/>
      <c r="D719" s="55"/>
      <c r="E719" s="56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7"/>
      <c r="U719" s="57"/>
      <c r="V719" s="57"/>
      <c r="W719" s="57"/>
      <c r="X719" s="57"/>
      <c r="Y719" s="57"/>
    </row>
    <row r="720">
      <c r="C720" s="55"/>
      <c r="D720" s="55"/>
      <c r="E720" s="56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7"/>
      <c r="U720" s="57"/>
      <c r="V720" s="57"/>
      <c r="W720" s="57"/>
      <c r="X720" s="57"/>
      <c r="Y720" s="57"/>
    </row>
    <row r="721">
      <c r="C721" s="55"/>
      <c r="D721" s="55"/>
      <c r="E721" s="56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7"/>
      <c r="U721" s="57"/>
      <c r="V721" s="57"/>
      <c r="W721" s="57"/>
      <c r="X721" s="57"/>
      <c r="Y721" s="57"/>
    </row>
    <row r="722">
      <c r="C722" s="55"/>
      <c r="D722" s="55"/>
      <c r="E722" s="56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7"/>
      <c r="U722" s="57"/>
      <c r="V722" s="57"/>
      <c r="W722" s="57"/>
      <c r="X722" s="57"/>
      <c r="Y722" s="57"/>
    </row>
    <row r="723">
      <c r="C723" s="55"/>
      <c r="D723" s="55"/>
      <c r="E723" s="56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7"/>
      <c r="U723" s="57"/>
      <c r="V723" s="57"/>
      <c r="W723" s="57"/>
      <c r="X723" s="57"/>
      <c r="Y723" s="57"/>
    </row>
    <row r="724">
      <c r="C724" s="55"/>
      <c r="D724" s="55"/>
      <c r="E724" s="56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7"/>
      <c r="U724" s="57"/>
      <c r="V724" s="57"/>
      <c r="W724" s="57"/>
      <c r="X724" s="57"/>
      <c r="Y724" s="57"/>
    </row>
    <row r="725">
      <c r="C725" s="55"/>
      <c r="D725" s="55"/>
      <c r="E725" s="56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7"/>
      <c r="U725" s="57"/>
      <c r="V725" s="57"/>
      <c r="W725" s="57"/>
      <c r="X725" s="57"/>
      <c r="Y725" s="57"/>
    </row>
    <row r="726">
      <c r="C726" s="55"/>
      <c r="D726" s="55"/>
      <c r="E726" s="56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7"/>
      <c r="U726" s="57"/>
      <c r="V726" s="57"/>
      <c r="W726" s="57"/>
      <c r="X726" s="57"/>
      <c r="Y726" s="57"/>
    </row>
    <row r="727">
      <c r="C727" s="55"/>
      <c r="D727" s="55"/>
      <c r="E727" s="56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7"/>
      <c r="U727" s="57"/>
      <c r="V727" s="57"/>
      <c r="W727" s="57"/>
      <c r="X727" s="57"/>
      <c r="Y727" s="57"/>
    </row>
    <row r="728">
      <c r="C728" s="55"/>
      <c r="D728" s="55"/>
      <c r="E728" s="56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7"/>
      <c r="U728" s="57"/>
      <c r="V728" s="57"/>
      <c r="W728" s="57"/>
      <c r="X728" s="57"/>
      <c r="Y728" s="57"/>
    </row>
    <row r="729">
      <c r="C729" s="55"/>
      <c r="D729" s="55"/>
      <c r="E729" s="56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7"/>
      <c r="U729" s="57"/>
      <c r="V729" s="57"/>
      <c r="W729" s="57"/>
      <c r="X729" s="57"/>
      <c r="Y729" s="57"/>
    </row>
    <row r="730">
      <c r="C730" s="55"/>
      <c r="D730" s="55"/>
      <c r="E730" s="56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7"/>
      <c r="U730" s="57"/>
      <c r="V730" s="57"/>
      <c r="W730" s="57"/>
      <c r="X730" s="57"/>
      <c r="Y730" s="57"/>
    </row>
    <row r="731">
      <c r="C731" s="55"/>
      <c r="D731" s="55"/>
      <c r="E731" s="56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7"/>
      <c r="U731" s="57"/>
      <c r="V731" s="57"/>
      <c r="W731" s="57"/>
      <c r="X731" s="57"/>
      <c r="Y731" s="57"/>
    </row>
    <row r="732">
      <c r="C732" s="55"/>
      <c r="D732" s="55"/>
      <c r="E732" s="56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7"/>
      <c r="U732" s="57"/>
      <c r="V732" s="57"/>
      <c r="W732" s="57"/>
      <c r="X732" s="57"/>
      <c r="Y732" s="57"/>
    </row>
    <row r="733">
      <c r="C733" s="55"/>
      <c r="D733" s="55"/>
      <c r="E733" s="56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7"/>
      <c r="U733" s="57"/>
      <c r="V733" s="57"/>
      <c r="W733" s="57"/>
      <c r="X733" s="57"/>
      <c r="Y733" s="57"/>
    </row>
    <row r="734">
      <c r="C734" s="55"/>
      <c r="D734" s="55"/>
      <c r="E734" s="56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7"/>
      <c r="U734" s="57"/>
      <c r="V734" s="57"/>
      <c r="W734" s="57"/>
      <c r="X734" s="57"/>
      <c r="Y734" s="57"/>
    </row>
    <row r="735">
      <c r="C735" s="55"/>
      <c r="D735" s="55"/>
      <c r="E735" s="56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7"/>
      <c r="U735" s="57"/>
      <c r="V735" s="57"/>
      <c r="W735" s="57"/>
      <c r="X735" s="57"/>
      <c r="Y735" s="57"/>
    </row>
    <row r="736">
      <c r="C736" s="55"/>
      <c r="D736" s="55"/>
      <c r="E736" s="56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7"/>
      <c r="U736" s="57"/>
      <c r="V736" s="57"/>
      <c r="W736" s="57"/>
      <c r="X736" s="57"/>
      <c r="Y736" s="57"/>
    </row>
    <row r="737">
      <c r="C737" s="55"/>
      <c r="D737" s="55"/>
      <c r="E737" s="56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7"/>
      <c r="U737" s="57"/>
      <c r="V737" s="57"/>
      <c r="W737" s="57"/>
      <c r="X737" s="57"/>
      <c r="Y737" s="57"/>
    </row>
    <row r="738">
      <c r="C738" s="55"/>
      <c r="D738" s="55"/>
      <c r="E738" s="56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7"/>
      <c r="U738" s="57"/>
      <c r="V738" s="57"/>
      <c r="W738" s="57"/>
      <c r="X738" s="57"/>
      <c r="Y738" s="57"/>
    </row>
    <row r="739">
      <c r="C739" s="55"/>
      <c r="D739" s="55"/>
      <c r="E739" s="56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7"/>
      <c r="U739" s="57"/>
      <c r="V739" s="57"/>
      <c r="W739" s="57"/>
      <c r="X739" s="57"/>
      <c r="Y739" s="57"/>
    </row>
    <row r="740">
      <c r="C740" s="55"/>
      <c r="D740" s="55"/>
      <c r="E740" s="56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7"/>
      <c r="U740" s="57"/>
      <c r="V740" s="57"/>
      <c r="W740" s="57"/>
      <c r="X740" s="57"/>
      <c r="Y740" s="57"/>
    </row>
    <row r="741">
      <c r="C741" s="55"/>
      <c r="D741" s="55"/>
      <c r="E741" s="56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7"/>
      <c r="U741" s="57"/>
      <c r="V741" s="57"/>
      <c r="W741" s="57"/>
      <c r="X741" s="57"/>
      <c r="Y741" s="57"/>
    </row>
    <row r="742">
      <c r="C742" s="55"/>
      <c r="D742" s="55"/>
      <c r="E742" s="56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7"/>
      <c r="U742" s="57"/>
      <c r="V742" s="57"/>
      <c r="W742" s="57"/>
      <c r="X742" s="57"/>
      <c r="Y742" s="57"/>
    </row>
    <row r="743">
      <c r="C743" s="55"/>
      <c r="D743" s="55"/>
      <c r="E743" s="56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7"/>
      <c r="U743" s="57"/>
      <c r="V743" s="57"/>
      <c r="W743" s="57"/>
      <c r="X743" s="57"/>
      <c r="Y743" s="57"/>
    </row>
    <row r="744">
      <c r="C744" s="55"/>
      <c r="D744" s="55"/>
      <c r="E744" s="56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7"/>
      <c r="U744" s="57"/>
      <c r="V744" s="57"/>
      <c r="W744" s="57"/>
      <c r="X744" s="57"/>
      <c r="Y744" s="57"/>
    </row>
    <row r="745">
      <c r="C745" s="55"/>
      <c r="D745" s="55"/>
      <c r="E745" s="56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7"/>
      <c r="U745" s="57"/>
      <c r="V745" s="57"/>
      <c r="W745" s="57"/>
      <c r="X745" s="57"/>
      <c r="Y745" s="57"/>
    </row>
    <row r="746">
      <c r="C746" s="55"/>
      <c r="D746" s="55"/>
      <c r="E746" s="56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7"/>
      <c r="U746" s="57"/>
      <c r="V746" s="57"/>
      <c r="W746" s="57"/>
      <c r="X746" s="57"/>
      <c r="Y746" s="57"/>
    </row>
    <row r="747">
      <c r="C747" s="55"/>
      <c r="D747" s="55"/>
      <c r="E747" s="56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7"/>
      <c r="U747" s="57"/>
      <c r="V747" s="57"/>
      <c r="W747" s="57"/>
      <c r="X747" s="57"/>
      <c r="Y747" s="57"/>
    </row>
    <row r="748">
      <c r="C748" s="55"/>
      <c r="D748" s="55"/>
      <c r="E748" s="56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7"/>
      <c r="U748" s="57"/>
      <c r="V748" s="57"/>
      <c r="W748" s="57"/>
      <c r="X748" s="57"/>
      <c r="Y748" s="57"/>
    </row>
    <row r="749">
      <c r="C749" s="55"/>
      <c r="D749" s="55"/>
      <c r="E749" s="56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7"/>
      <c r="U749" s="57"/>
      <c r="V749" s="57"/>
      <c r="W749" s="57"/>
      <c r="X749" s="57"/>
      <c r="Y749" s="57"/>
    </row>
    <row r="750">
      <c r="C750" s="55"/>
      <c r="D750" s="55"/>
      <c r="E750" s="56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7"/>
      <c r="U750" s="57"/>
      <c r="V750" s="57"/>
      <c r="W750" s="57"/>
      <c r="X750" s="57"/>
      <c r="Y750" s="57"/>
    </row>
    <row r="751">
      <c r="C751" s="55"/>
      <c r="D751" s="55"/>
      <c r="E751" s="56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7"/>
      <c r="U751" s="57"/>
      <c r="V751" s="57"/>
      <c r="W751" s="57"/>
      <c r="X751" s="57"/>
      <c r="Y751" s="57"/>
    </row>
    <row r="752">
      <c r="C752" s="55"/>
      <c r="D752" s="55"/>
      <c r="E752" s="56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7"/>
      <c r="U752" s="57"/>
      <c r="V752" s="57"/>
      <c r="W752" s="57"/>
      <c r="X752" s="57"/>
      <c r="Y752" s="57"/>
    </row>
    <row r="753">
      <c r="C753" s="55"/>
      <c r="D753" s="55"/>
      <c r="E753" s="56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7"/>
      <c r="U753" s="57"/>
      <c r="V753" s="57"/>
      <c r="W753" s="57"/>
      <c r="X753" s="57"/>
      <c r="Y753" s="57"/>
    </row>
    <row r="754">
      <c r="C754" s="55"/>
      <c r="D754" s="55"/>
      <c r="E754" s="56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7"/>
      <c r="U754" s="57"/>
      <c r="V754" s="57"/>
      <c r="W754" s="57"/>
      <c r="X754" s="57"/>
      <c r="Y754" s="57"/>
    </row>
    <row r="755">
      <c r="C755" s="55"/>
      <c r="D755" s="55"/>
      <c r="E755" s="56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7"/>
      <c r="U755" s="57"/>
      <c r="V755" s="57"/>
      <c r="W755" s="57"/>
      <c r="X755" s="57"/>
      <c r="Y755" s="57"/>
    </row>
    <row r="756">
      <c r="C756" s="55"/>
      <c r="D756" s="55"/>
      <c r="E756" s="56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7"/>
      <c r="U756" s="57"/>
      <c r="V756" s="57"/>
      <c r="W756" s="57"/>
      <c r="X756" s="57"/>
      <c r="Y756" s="57"/>
    </row>
    <row r="757">
      <c r="C757" s="55"/>
      <c r="D757" s="55"/>
      <c r="E757" s="56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7"/>
      <c r="U757" s="57"/>
      <c r="V757" s="57"/>
      <c r="W757" s="57"/>
      <c r="X757" s="57"/>
      <c r="Y757" s="57"/>
    </row>
    <row r="758">
      <c r="C758" s="55"/>
      <c r="D758" s="55"/>
      <c r="E758" s="56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7"/>
      <c r="U758" s="57"/>
      <c r="V758" s="57"/>
      <c r="W758" s="57"/>
      <c r="X758" s="57"/>
      <c r="Y758" s="57"/>
    </row>
    <row r="759">
      <c r="C759" s="55"/>
      <c r="D759" s="55"/>
      <c r="E759" s="56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7"/>
      <c r="U759" s="57"/>
      <c r="V759" s="57"/>
      <c r="W759" s="57"/>
      <c r="X759" s="57"/>
      <c r="Y759" s="57"/>
    </row>
    <row r="760">
      <c r="C760" s="55"/>
      <c r="D760" s="55"/>
      <c r="E760" s="56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7"/>
      <c r="U760" s="57"/>
      <c r="V760" s="57"/>
      <c r="W760" s="57"/>
      <c r="X760" s="57"/>
      <c r="Y760" s="57"/>
    </row>
    <row r="761">
      <c r="C761" s="55"/>
      <c r="D761" s="55"/>
      <c r="E761" s="56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7"/>
      <c r="U761" s="57"/>
      <c r="V761" s="57"/>
      <c r="W761" s="57"/>
      <c r="X761" s="57"/>
      <c r="Y761" s="57"/>
    </row>
    <row r="762">
      <c r="C762" s="55"/>
      <c r="D762" s="55"/>
      <c r="E762" s="56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7"/>
      <c r="U762" s="57"/>
      <c r="V762" s="57"/>
      <c r="W762" s="57"/>
      <c r="X762" s="57"/>
      <c r="Y762" s="57"/>
    </row>
    <row r="763">
      <c r="C763" s="55"/>
      <c r="D763" s="55"/>
      <c r="E763" s="56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7"/>
      <c r="U763" s="57"/>
      <c r="V763" s="57"/>
      <c r="W763" s="57"/>
      <c r="X763" s="57"/>
      <c r="Y763" s="57"/>
    </row>
    <row r="764">
      <c r="C764" s="55"/>
      <c r="D764" s="55"/>
      <c r="E764" s="56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7"/>
      <c r="U764" s="57"/>
      <c r="V764" s="57"/>
      <c r="W764" s="57"/>
      <c r="X764" s="57"/>
      <c r="Y764" s="57"/>
    </row>
    <row r="765">
      <c r="C765" s="55"/>
      <c r="D765" s="55"/>
      <c r="E765" s="56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7"/>
      <c r="U765" s="57"/>
      <c r="V765" s="57"/>
      <c r="W765" s="57"/>
      <c r="X765" s="57"/>
      <c r="Y765" s="57"/>
    </row>
    <row r="766">
      <c r="C766" s="55"/>
      <c r="D766" s="55"/>
      <c r="E766" s="56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7"/>
      <c r="U766" s="57"/>
      <c r="V766" s="57"/>
      <c r="W766" s="57"/>
      <c r="X766" s="57"/>
      <c r="Y766" s="57"/>
    </row>
    <row r="767">
      <c r="C767" s="55"/>
      <c r="D767" s="55"/>
      <c r="E767" s="56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7"/>
      <c r="U767" s="57"/>
      <c r="V767" s="57"/>
      <c r="W767" s="57"/>
      <c r="X767" s="57"/>
      <c r="Y767" s="57"/>
    </row>
    <row r="768">
      <c r="C768" s="55"/>
      <c r="D768" s="55"/>
      <c r="E768" s="56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7"/>
      <c r="U768" s="57"/>
      <c r="V768" s="57"/>
      <c r="W768" s="57"/>
      <c r="X768" s="57"/>
      <c r="Y768" s="57"/>
    </row>
    <row r="769">
      <c r="C769" s="55"/>
      <c r="D769" s="55"/>
      <c r="E769" s="56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7"/>
      <c r="U769" s="57"/>
      <c r="V769" s="57"/>
      <c r="W769" s="57"/>
      <c r="X769" s="57"/>
      <c r="Y769" s="57"/>
    </row>
    <row r="770">
      <c r="C770" s="55"/>
      <c r="D770" s="55"/>
      <c r="E770" s="56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7"/>
      <c r="U770" s="57"/>
      <c r="V770" s="57"/>
      <c r="W770" s="57"/>
      <c r="X770" s="57"/>
      <c r="Y770" s="57"/>
    </row>
    <row r="771">
      <c r="C771" s="55"/>
      <c r="D771" s="55"/>
      <c r="E771" s="56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7"/>
      <c r="U771" s="57"/>
      <c r="V771" s="57"/>
      <c r="W771" s="57"/>
      <c r="X771" s="57"/>
      <c r="Y771" s="57"/>
    </row>
    <row r="772">
      <c r="C772" s="55"/>
      <c r="D772" s="55"/>
      <c r="E772" s="56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7"/>
      <c r="U772" s="57"/>
      <c r="V772" s="57"/>
      <c r="W772" s="57"/>
      <c r="X772" s="57"/>
      <c r="Y772" s="57"/>
    </row>
    <row r="773">
      <c r="C773" s="55"/>
      <c r="D773" s="55"/>
      <c r="E773" s="56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7"/>
      <c r="U773" s="57"/>
      <c r="V773" s="57"/>
      <c r="W773" s="57"/>
      <c r="X773" s="57"/>
      <c r="Y773" s="57"/>
    </row>
    <row r="774">
      <c r="C774" s="55"/>
      <c r="D774" s="55"/>
      <c r="E774" s="56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7"/>
      <c r="U774" s="57"/>
      <c r="V774" s="57"/>
      <c r="W774" s="57"/>
      <c r="X774" s="57"/>
      <c r="Y774" s="57"/>
    </row>
    <row r="775">
      <c r="C775" s="55"/>
      <c r="D775" s="55"/>
      <c r="E775" s="56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7"/>
      <c r="U775" s="57"/>
      <c r="V775" s="57"/>
      <c r="W775" s="57"/>
      <c r="X775" s="57"/>
      <c r="Y775" s="57"/>
    </row>
    <row r="776">
      <c r="C776" s="55"/>
      <c r="D776" s="55"/>
      <c r="E776" s="56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7"/>
      <c r="U776" s="57"/>
      <c r="V776" s="57"/>
      <c r="W776" s="57"/>
      <c r="X776" s="57"/>
      <c r="Y776" s="57"/>
    </row>
    <row r="777">
      <c r="C777" s="55"/>
      <c r="D777" s="55"/>
      <c r="E777" s="56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7"/>
      <c r="U777" s="57"/>
      <c r="V777" s="57"/>
      <c r="W777" s="57"/>
      <c r="X777" s="57"/>
      <c r="Y777" s="57"/>
    </row>
    <row r="778">
      <c r="C778" s="55"/>
      <c r="D778" s="55"/>
      <c r="E778" s="56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7"/>
      <c r="U778" s="57"/>
      <c r="V778" s="57"/>
      <c r="W778" s="57"/>
      <c r="X778" s="57"/>
      <c r="Y778" s="57"/>
    </row>
    <row r="779">
      <c r="C779" s="55"/>
      <c r="D779" s="55"/>
      <c r="E779" s="56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7"/>
      <c r="U779" s="57"/>
      <c r="V779" s="57"/>
      <c r="W779" s="57"/>
      <c r="X779" s="57"/>
      <c r="Y779" s="57"/>
    </row>
    <row r="780">
      <c r="C780" s="55"/>
      <c r="D780" s="55"/>
      <c r="E780" s="56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7"/>
      <c r="U780" s="57"/>
      <c r="V780" s="57"/>
      <c r="W780" s="57"/>
      <c r="X780" s="57"/>
      <c r="Y780" s="57"/>
    </row>
    <row r="781">
      <c r="C781" s="55"/>
      <c r="D781" s="55"/>
      <c r="E781" s="56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7"/>
      <c r="U781" s="57"/>
      <c r="V781" s="57"/>
      <c r="W781" s="57"/>
      <c r="X781" s="57"/>
      <c r="Y781" s="57"/>
    </row>
    <row r="782">
      <c r="C782" s="55"/>
      <c r="D782" s="55"/>
      <c r="E782" s="56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7"/>
      <c r="U782" s="57"/>
      <c r="V782" s="57"/>
      <c r="W782" s="57"/>
      <c r="X782" s="57"/>
      <c r="Y782" s="57"/>
    </row>
    <row r="783">
      <c r="C783" s="55"/>
      <c r="D783" s="55"/>
      <c r="E783" s="56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7"/>
      <c r="U783" s="57"/>
      <c r="V783" s="57"/>
      <c r="W783" s="57"/>
      <c r="X783" s="57"/>
      <c r="Y783" s="57"/>
    </row>
    <row r="784">
      <c r="C784" s="55"/>
      <c r="D784" s="55"/>
      <c r="E784" s="56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7"/>
      <c r="U784" s="57"/>
      <c r="V784" s="57"/>
      <c r="W784" s="57"/>
      <c r="X784" s="57"/>
      <c r="Y784" s="57"/>
    </row>
    <row r="785">
      <c r="C785" s="55"/>
      <c r="D785" s="55"/>
      <c r="E785" s="56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7"/>
      <c r="U785" s="57"/>
      <c r="V785" s="57"/>
      <c r="W785" s="57"/>
      <c r="X785" s="57"/>
      <c r="Y785" s="57"/>
    </row>
    <row r="786">
      <c r="C786" s="55"/>
      <c r="D786" s="55"/>
      <c r="E786" s="56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7"/>
      <c r="U786" s="57"/>
      <c r="V786" s="57"/>
      <c r="W786" s="57"/>
      <c r="X786" s="57"/>
      <c r="Y786" s="57"/>
    </row>
    <row r="787">
      <c r="C787" s="55"/>
      <c r="D787" s="55"/>
      <c r="E787" s="56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7"/>
      <c r="U787" s="57"/>
      <c r="V787" s="57"/>
      <c r="W787" s="57"/>
      <c r="X787" s="57"/>
      <c r="Y787" s="57"/>
    </row>
    <row r="788">
      <c r="C788" s="55"/>
      <c r="D788" s="55"/>
      <c r="E788" s="56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7"/>
      <c r="U788" s="57"/>
      <c r="V788" s="57"/>
      <c r="W788" s="57"/>
      <c r="X788" s="57"/>
      <c r="Y788" s="57"/>
    </row>
    <row r="789">
      <c r="C789" s="55"/>
      <c r="D789" s="55"/>
      <c r="E789" s="56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7"/>
      <c r="U789" s="57"/>
      <c r="V789" s="57"/>
      <c r="W789" s="57"/>
      <c r="X789" s="57"/>
      <c r="Y789" s="57"/>
    </row>
    <row r="790">
      <c r="C790" s="55"/>
      <c r="D790" s="55"/>
      <c r="E790" s="56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7"/>
      <c r="U790" s="57"/>
      <c r="V790" s="57"/>
      <c r="W790" s="57"/>
      <c r="X790" s="57"/>
      <c r="Y790" s="57"/>
    </row>
    <row r="791">
      <c r="C791" s="55"/>
      <c r="D791" s="55"/>
      <c r="E791" s="56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7"/>
      <c r="U791" s="57"/>
      <c r="V791" s="57"/>
      <c r="W791" s="57"/>
      <c r="X791" s="57"/>
      <c r="Y791" s="57"/>
    </row>
    <row r="792">
      <c r="C792" s="55"/>
      <c r="D792" s="55"/>
      <c r="E792" s="56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7"/>
      <c r="U792" s="57"/>
      <c r="V792" s="57"/>
      <c r="W792" s="57"/>
      <c r="X792" s="57"/>
      <c r="Y792" s="57"/>
    </row>
    <row r="793">
      <c r="C793" s="55"/>
      <c r="D793" s="55"/>
      <c r="E793" s="56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7"/>
      <c r="U793" s="57"/>
      <c r="V793" s="57"/>
      <c r="W793" s="57"/>
      <c r="X793" s="57"/>
      <c r="Y793" s="57"/>
    </row>
    <row r="794">
      <c r="C794" s="55"/>
      <c r="D794" s="55"/>
      <c r="E794" s="56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7"/>
      <c r="U794" s="57"/>
      <c r="V794" s="57"/>
      <c r="W794" s="57"/>
      <c r="X794" s="57"/>
      <c r="Y794" s="57"/>
    </row>
    <row r="795">
      <c r="C795" s="55"/>
      <c r="D795" s="55"/>
      <c r="E795" s="56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7"/>
      <c r="U795" s="57"/>
      <c r="V795" s="57"/>
      <c r="W795" s="57"/>
      <c r="X795" s="57"/>
      <c r="Y795" s="57"/>
    </row>
    <row r="796">
      <c r="C796" s="55"/>
      <c r="D796" s="55"/>
      <c r="E796" s="56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7"/>
      <c r="U796" s="57"/>
      <c r="V796" s="57"/>
      <c r="W796" s="57"/>
      <c r="X796" s="57"/>
      <c r="Y796" s="57"/>
    </row>
    <row r="797">
      <c r="C797" s="55"/>
      <c r="D797" s="55"/>
      <c r="E797" s="56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7"/>
      <c r="U797" s="57"/>
      <c r="V797" s="57"/>
      <c r="W797" s="57"/>
      <c r="X797" s="57"/>
      <c r="Y797" s="57"/>
    </row>
    <row r="798">
      <c r="C798" s="55"/>
      <c r="D798" s="55"/>
      <c r="E798" s="56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7"/>
      <c r="U798" s="57"/>
      <c r="V798" s="57"/>
      <c r="W798" s="57"/>
      <c r="X798" s="57"/>
      <c r="Y798" s="57"/>
    </row>
    <row r="799">
      <c r="C799" s="55"/>
      <c r="D799" s="55"/>
      <c r="E799" s="56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7"/>
      <c r="U799" s="57"/>
      <c r="V799" s="57"/>
      <c r="W799" s="57"/>
      <c r="X799" s="57"/>
      <c r="Y799" s="57"/>
    </row>
    <row r="800">
      <c r="C800" s="55"/>
      <c r="D800" s="55"/>
      <c r="E800" s="56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7"/>
      <c r="U800" s="57"/>
      <c r="V800" s="57"/>
      <c r="W800" s="57"/>
      <c r="X800" s="57"/>
      <c r="Y800" s="57"/>
    </row>
    <row r="801">
      <c r="C801" s="55"/>
      <c r="D801" s="55"/>
      <c r="E801" s="56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7"/>
      <c r="U801" s="57"/>
      <c r="V801" s="57"/>
      <c r="W801" s="57"/>
      <c r="X801" s="57"/>
      <c r="Y801" s="57"/>
    </row>
    <row r="802">
      <c r="C802" s="55"/>
      <c r="D802" s="55"/>
      <c r="E802" s="56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7"/>
      <c r="U802" s="57"/>
      <c r="V802" s="57"/>
      <c r="W802" s="57"/>
      <c r="X802" s="57"/>
      <c r="Y802" s="57"/>
    </row>
    <row r="803">
      <c r="C803" s="55"/>
      <c r="D803" s="55"/>
      <c r="E803" s="56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7"/>
      <c r="U803" s="57"/>
      <c r="V803" s="57"/>
      <c r="W803" s="57"/>
      <c r="X803" s="57"/>
      <c r="Y803" s="57"/>
    </row>
    <row r="804">
      <c r="C804" s="55"/>
      <c r="D804" s="55"/>
      <c r="E804" s="56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7"/>
      <c r="U804" s="57"/>
      <c r="V804" s="57"/>
      <c r="W804" s="57"/>
      <c r="X804" s="57"/>
      <c r="Y804" s="57"/>
    </row>
    <row r="805">
      <c r="C805" s="55"/>
      <c r="D805" s="55"/>
      <c r="E805" s="56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7"/>
      <c r="U805" s="57"/>
      <c r="V805" s="57"/>
      <c r="W805" s="57"/>
      <c r="X805" s="57"/>
      <c r="Y805" s="57"/>
    </row>
    <row r="806">
      <c r="C806" s="55"/>
      <c r="D806" s="55"/>
      <c r="E806" s="56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7"/>
      <c r="U806" s="57"/>
      <c r="V806" s="57"/>
      <c r="W806" s="57"/>
      <c r="X806" s="57"/>
      <c r="Y806" s="57"/>
    </row>
    <row r="807">
      <c r="C807" s="55"/>
      <c r="D807" s="55"/>
      <c r="E807" s="56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7"/>
      <c r="U807" s="57"/>
      <c r="V807" s="57"/>
      <c r="W807" s="57"/>
      <c r="X807" s="57"/>
      <c r="Y807" s="57"/>
    </row>
    <row r="808">
      <c r="C808" s="55"/>
      <c r="D808" s="55"/>
      <c r="E808" s="56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7"/>
      <c r="U808" s="57"/>
      <c r="V808" s="57"/>
      <c r="W808" s="57"/>
      <c r="X808" s="57"/>
      <c r="Y808" s="57"/>
    </row>
    <row r="809">
      <c r="C809" s="55"/>
      <c r="D809" s="55"/>
      <c r="E809" s="56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7"/>
      <c r="U809" s="57"/>
      <c r="V809" s="57"/>
      <c r="W809" s="57"/>
      <c r="X809" s="57"/>
      <c r="Y809" s="57"/>
    </row>
    <row r="810">
      <c r="C810" s="55"/>
      <c r="D810" s="55"/>
      <c r="E810" s="56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7"/>
      <c r="U810" s="57"/>
      <c r="V810" s="57"/>
      <c r="W810" s="57"/>
      <c r="X810" s="57"/>
      <c r="Y810" s="57"/>
    </row>
    <row r="811">
      <c r="C811" s="55"/>
      <c r="D811" s="55"/>
      <c r="E811" s="56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7"/>
      <c r="U811" s="57"/>
      <c r="V811" s="57"/>
      <c r="W811" s="57"/>
      <c r="X811" s="57"/>
      <c r="Y811" s="57"/>
    </row>
    <row r="812">
      <c r="C812" s="55"/>
      <c r="D812" s="55"/>
      <c r="E812" s="56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7"/>
      <c r="U812" s="57"/>
      <c r="V812" s="57"/>
      <c r="W812" s="57"/>
      <c r="X812" s="57"/>
      <c r="Y812" s="57"/>
    </row>
    <row r="813">
      <c r="C813" s="55"/>
      <c r="D813" s="55"/>
      <c r="E813" s="56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7"/>
      <c r="U813" s="57"/>
      <c r="V813" s="57"/>
      <c r="W813" s="57"/>
      <c r="X813" s="57"/>
      <c r="Y813" s="57"/>
    </row>
    <row r="814">
      <c r="C814" s="55"/>
      <c r="D814" s="55"/>
      <c r="E814" s="56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7"/>
      <c r="U814" s="57"/>
      <c r="V814" s="57"/>
      <c r="W814" s="57"/>
      <c r="X814" s="57"/>
      <c r="Y814" s="57"/>
    </row>
    <row r="815">
      <c r="C815" s="55"/>
      <c r="D815" s="55"/>
      <c r="E815" s="56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7"/>
      <c r="U815" s="57"/>
      <c r="V815" s="57"/>
      <c r="W815" s="57"/>
      <c r="X815" s="57"/>
      <c r="Y815" s="57"/>
    </row>
    <row r="816">
      <c r="C816" s="55"/>
      <c r="D816" s="55"/>
      <c r="E816" s="56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7"/>
      <c r="U816" s="57"/>
      <c r="V816" s="57"/>
      <c r="W816" s="57"/>
      <c r="X816" s="57"/>
      <c r="Y816" s="57"/>
    </row>
    <row r="817">
      <c r="C817" s="55"/>
      <c r="D817" s="55"/>
      <c r="E817" s="56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7"/>
      <c r="U817" s="57"/>
      <c r="V817" s="57"/>
      <c r="W817" s="57"/>
      <c r="X817" s="57"/>
      <c r="Y817" s="57"/>
    </row>
    <row r="818">
      <c r="C818" s="55"/>
      <c r="D818" s="55"/>
      <c r="E818" s="56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7"/>
      <c r="U818" s="57"/>
      <c r="V818" s="57"/>
      <c r="W818" s="57"/>
      <c r="X818" s="57"/>
      <c r="Y818" s="57"/>
    </row>
    <row r="819">
      <c r="C819" s="55"/>
      <c r="D819" s="55"/>
      <c r="E819" s="56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7"/>
      <c r="U819" s="57"/>
      <c r="V819" s="57"/>
      <c r="W819" s="57"/>
      <c r="X819" s="57"/>
      <c r="Y819" s="57"/>
    </row>
    <row r="820">
      <c r="C820" s="55"/>
      <c r="D820" s="55"/>
      <c r="E820" s="56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7"/>
      <c r="U820" s="57"/>
      <c r="V820" s="57"/>
      <c r="W820" s="57"/>
      <c r="X820" s="57"/>
      <c r="Y820" s="57"/>
    </row>
    <row r="821">
      <c r="C821" s="55"/>
      <c r="D821" s="55"/>
      <c r="E821" s="56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7"/>
      <c r="U821" s="57"/>
      <c r="V821" s="57"/>
      <c r="W821" s="57"/>
      <c r="X821" s="57"/>
      <c r="Y821" s="57"/>
    </row>
    <row r="822">
      <c r="C822" s="55"/>
      <c r="D822" s="55"/>
      <c r="E822" s="56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7"/>
      <c r="U822" s="57"/>
      <c r="V822" s="57"/>
      <c r="W822" s="57"/>
      <c r="X822" s="57"/>
      <c r="Y822" s="57"/>
    </row>
    <row r="823">
      <c r="C823" s="55"/>
      <c r="D823" s="55"/>
      <c r="E823" s="56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7"/>
      <c r="U823" s="57"/>
      <c r="V823" s="57"/>
      <c r="W823" s="57"/>
      <c r="X823" s="57"/>
      <c r="Y823" s="57"/>
    </row>
    <row r="824">
      <c r="C824" s="55"/>
      <c r="D824" s="55"/>
      <c r="E824" s="56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7"/>
      <c r="U824" s="57"/>
      <c r="V824" s="57"/>
      <c r="W824" s="57"/>
      <c r="X824" s="57"/>
      <c r="Y824" s="57"/>
    </row>
    <row r="825">
      <c r="C825" s="55"/>
      <c r="D825" s="55"/>
      <c r="E825" s="56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7"/>
      <c r="U825" s="57"/>
      <c r="V825" s="57"/>
      <c r="W825" s="57"/>
      <c r="X825" s="57"/>
      <c r="Y825" s="57"/>
    </row>
    <row r="826">
      <c r="C826" s="55"/>
      <c r="D826" s="55"/>
      <c r="E826" s="56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7"/>
      <c r="U826" s="57"/>
      <c r="V826" s="57"/>
      <c r="W826" s="57"/>
      <c r="X826" s="57"/>
      <c r="Y826" s="57"/>
    </row>
    <row r="827">
      <c r="C827" s="55"/>
      <c r="D827" s="55"/>
      <c r="E827" s="56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7"/>
      <c r="U827" s="57"/>
      <c r="V827" s="57"/>
      <c r="W827" s="57"/>
      <c r="X827" s="57"/>
      <c r="Y827" s="57"/>
    </row>
    <row r="828">
      <c r="C828" s="55"/>
      <c r="D828" s="55"/>
      <c r="E828" s="56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7"/>
      <c r="U828" s="57"/>
      <c r="V828" s="57"/>
      <c r="W828" s="57"/>
      <c r="X828" s="57"/>
      <c r="Y828" s="57"/>
    </row>
    <row r="829">
      <c r="C829" s="55"/>
      <c r="D829" s="55"/>
      <c r="E829" s="56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7"/>
      <c r="U829" s="57"/>
      <c r="V829" s="57"/>
      <c r="W829" s="57"/>
      <c r="X829" s="57"/>
      <c r="Y829" s="57"/>
    </row>
    <row r="830">
      <c r="C830" s="55"/>
      <c r="D830" s="55"/>
      <c r="E830" s="56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7"/>
      <c r="U830" s="57"/>
      <c r="V830" s="57"/>
      <c r="W830" s="57"/>
      <c r="X830" s="57"/>
      <c r="Y830" s="57"/>
    </row>
    <row r="831">
      <c r="C831" s="55"/>
      <c r="D831" s="55"/>
      <c r="E831" s="56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7"/>
      <c r="U831" s="57"/>
      <c r="V831" s="57"/>
      <c r="W831" s="57"/>
      <c r="X831" s="57"/>
      <c r="Y831" s="57"/>
    </row>
    <row r="832">
      <c r="C832" s="55"/>
      <c r="D832" s="55"/>
      <c r="E832" s="56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7"/>
      <c r="U832" s="57"/>
      <c r="V832" s="57"/>
      <c r="W832" s="57"/>
      <c r="X832" s="57"/>
      <c r="Y832" s="57"/>
    </row>
    <row r="833">
      <c r="C833" s="55"/>
      <c r="D833" s="55"/>
      <c r="E833" s="56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7"/>
      <c r="U833" s="57"/>
      <c r="V833" s="57"/>
      <c r="W833" s="57"/>
      <c r="X833" s="57"/>
      <c r="Y833" s="57"/>
    </row>
    <row r="834">
      <c r="C834" s="55"/>
      <c r="D834" s="55"/>
      <c r="E834" s="56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7"/>
      <c r="U834" s="57"/>
      <c r="V834" s="57"/>
      <c r="W834" s="57"/>
      <c r="X834" s="57"/>
      <c r="Y834" s="57"/>
    </row>
    <row r="835">
      <c r="C835" s="55"/>
      <c r="D835" s="55"/>
      <c r="E835" s="56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7"/>
      <c r="U835" s="57"/>
      <c r="V835" s="57"/>
      <c r="W835" s="57"/>
      <c r="X835" s="57"/>
      <c r="Y835" s="57"/>
    </row>
    <row r="836">
      <c r="C836" s="55"/>
      <c r="D836" s="55"/>
      <c r="E836" s="56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7"/>
      <c r="U836" s="57"/>
      <c r="V836" s="57"/>
      <c r="W836" s="57"/>
      <c r="X836" s="57"/>
      <c r="Y836" s="57"/>
    </row>
    <row r="837">
      <c r="C837" s="55"/>
      <c r="D837" s="55"/>
      <c r="E837" s="56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7"/>
      <c r="U837" s="57"/>
      <c r="V837" s="57"/>
      <c r="W837" s="57"/>
      <c r="X837" s="57"/>
      <c r="Y837" s="57"/>
    </row>
    <row r="838">
      <c r="C838" s="55"/>
      <c r="D838" s="55"/>
      <c r="E838" s="56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7"/>
      <c r="U838" s="57"/>
      <c r="V838" s="57"/>
      <c r="W838" s="57"/>
      <c r="X838" s="57"/>
      <c r="Y838" s="57"/>
    </row>
    <row r="839">
      <c r="C839" s="55"/>
      <c r="D839" s="55"/>
      <c r="E839" s="56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7"/>
      <c r="U839" s="57"/>
      <c r="V839" s="57"/>
      <c r="W839" s="57"/>
      <c r="X839" s="57"/>
      <c r="Y839" s="57"/>
    </row>
    <row r="840">
      <c r="C840" s="55"/>
      <c r="D840" s="55"/>
      <c r="E840" s="56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7"/>
      <c r="U840" s="57"/>
      <c r="V840" s="57"/>
      <c r="W840" s="57"/>
      <c r="X840" s="57"/>
      <c r="Y840" s="57"/>
    </row>
    <row r="841">
      <c r="C841" s="55"/>
      <c r="D841" s="55"/>
      <c r="E841" s="56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7"/>
      <c r="U841" s="57"/>
      <c r="V841" s="57"/>
      <c r="W841" s="57"/>
      <c r="X841" s="57"/>
      <c r="Y841" s="57"/>
    </row>
    <row r="842">
      <c r="C842" s="55"/>
      <c r="D842" s="55"/>
      <c r="E842" s="56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7"/>
      <c r="U842" s="57"/>
      <c r="V842" s="57"/>
      <c r="W842" s="57"/>
      <c r="X842" s="57"/>
      <c r="Y842" s="57"/>
    </row>
    <row r="843">
      <c r="C843" s="55"/>
      <c r="D843" s="55"/>
      <c r="E843" s="56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7"/>
      <c r="U843" s="57"/>
      <c r="V843" s="57"/>
      <c r="W843" s="57"/>
      <c r="X843" s="57"/>
      <c r="Y843" s="57"/>
    </row>
    <row r="844">
      <c r="C844" s="55"/>
      <c r="D844" s="55"/>
      <c r="E844" s="56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7"/>
      <c r="U844" s="57"/>
      <c r="V844" s="57"/>
      <c r="W844" s="57"/>
      <c r="X844" s="57"/>
      <c r="Y844" s="57"/>
    </row>
    <row r="845">
      <c r="C845" s="55"/>
      <c r="D845" s="55"/>
      <c r="E845" s="56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7"/>
      <c r="U845" s="57"/>
      <c r="V845" s="57"/>
      <c r="W845" s="57"/>
      <c r="X845" s="57"/>
      <c r="Y845" s="57"/>
    </row>
    <row r="846">
      <c r="C846" s="55"/>
      <c r="D846" s="55"/>
      <c r="E846" s="56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7"/>
      <c r="U846" s="57"/>
      <c r="V846" s="57"/>
      <c r="W846" s="57"/>
      <c r="X846" s="57"/>
      <c r="Y846" s="57"/>
    </row>
    <row r="847">
      <c r="C847" s="55"/>
      <c r="D847" s="55"/>
      <c r="E847" s="56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7"/>
      <c r="U847" s="57"/>
      <c r="V847" s="57"/>
      <c r="W847" s="57"/>
      <c r="X847" s="57"/>
      <c r="Y847" s="57"/>
    </row>
    <row r="848">
      <c r="C848" s="55"/>
      <c r="D848" s="55"/>
      <c r="E848" s="56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7"/>
      <c r="U848" s="57"/>
      <c r="V848" s="57"/>
      <c r="W848" s="57"/>
      <c r="X848" s="57"/>
      <c r="Y848" s="57"/>
    </row>
    <row r="849">
      <c r="C849" s="55"/>
      <c r="D849" s="55"/>
      <c r="E849" s="56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7"/>
      <c r="U849" s="57"/>
      <c r="V849" s="57"/>
      <c r="W849" s="57"/>
      <c r="X849" s="57"/>
      <c r="Y849" s="57"/>
    </row>
    <row r="850">
      <c r="C850" s="55"/>
      <c r="D850" s="55"/>
      <c r="E850" s="56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7"/>
      <c r="U850" s="57"/>
      <c r="V850" s="57"/>
      <c r="W850" s="57"/>
      <c r="X850" s="57"/>
      <c r="Y850" s="57"/>
    </row>
    <row r="851">
      <c r="C851" s="55"/>
      <c r="D851" s="55"/>
      <c r="E851" s="56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7"/>
      <c r="U851" s="57"/>
      <c r="V851" s="57"/>
      <c r="W851" s="57"/>
      <c r="X851" s="57"/>
      <c r="Y851" s="57"/>
    </row>
    <row r="852">
      <c r="C852" s="55"/>
      <c r="D852" s="55"/>
      <c r="E852" s="56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7"/>
      <c r="U852" s="57"/>
      <c r="V852" s="57"/>
      <c r="W852" s="57"/>
      <c r="X852" s="57"/>
      <c r="Y852" s="57"/>
    </row>
    <row r="853">
      <c r="C853" s="55"/>
      <c r="D853" s="55"/>
      <c r="E853" s="56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7"/>
      <c r="U853" s="57"/>
      <c r="V853" s="57"/>
      <c r="W853" s="57"/>
      <c r="X853" s="57"/>
      <c r="Y853" s="57"/>
    </row>
    <row r="854">
      <c r="C854" s="55"/>
      <c r="D854" s="55"/>
      <c r="E854" s="56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7"/>
      <c r="U854" s="57"/>
      <c r="V854" s="57"/>
      <c r="W854" s="57"/>
      <c r="X854" s="57"/>
      <c r="Y854" s="57"/>
    </row>
    <row r="855">
      <c r="C855" s="55"/>
      <c r="D855" s="55"/>
      <c r="E855" s="56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7"/>
      <c r="U855" s="57"/>
      <c r="V855" s="57"/>
      <c r="W855" s="57"/>
      <c r="X855" s="57"/>
      <c r="Y855" s="57"/>
    </row>
    <row r="856">
      <c r="C856" s="55"/>
      <c r="D856" s="55"/>
      <c r="E856" s="56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7"/>
      <c r="U856" s="57"/>
      <c r="V856" s="57"/>
      <c r="W856" s="57"/>
      <c r="X856" s="57"/>
      <c r="Y856" s="57"/>
    </row>
    <row r="857">
      <c r="C857" s="55"/>
      <c r="D857" s="55"/>
      <c r="E857" s="56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7"/>
      <c r="U857" s="57"/>
      <c r="V857" s="57"/>
      <c r="W857" s="57"/>
      <c r="X857" s="57"/>
      <c r="Y857" s="57"/>
    </row>
    <row r="858">
      <c r="C858" s="55"/>
      <c r="D858" s="55"/>
      <c r="E858" s="56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7"/>
      <c r="U858" s="57"/>
      <c r="V858" s="57"/>
      <c r="W858" s="57"/>
      <c r="X858" s="57"/>
      <c r="Y858" s="57"/>
    </row>
    <row r="859">
      <c r="C859" s="55"/>
      <c r="D859" s="55"/>
      <c r="E859" s="56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7"/>
      <c r="U859" s="57"/>
      <c r="V859" s="57"/>
      <c r="W859" s="57"/>
      <c r="X859" s="57"/>
      <c r="Y859" s="57"/>
    </row>
    <row r="860">
      <c r="C860" s="55"/>
      <c r="D860" s="55"/>
      <c r="E860" s="56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7"/>
      <c r="U860" s="57"/>
      <c r="V860" s="57"/>
      <c r="W860" s="57"/>
      <c r="X860" s="57"/>
      <c r="Y860" s="57"/>
    </row>
    <row r="861">
      <c r="C861" s="55"/>
      <c r="D861" s="55"/>
      <c r="E861" s="56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7"/>
      <c r="U861" s="57"/>
      <c r="V861" s="57"/>
      <c r="W861" s="57"/>
      <c r="X861" s="57"/>
      <c r="Y861" s="57"/>
    </row>
    <row r="862">
      <c r="C862" s="55"/>
      <c r="D862" s="55"/>
      <c r="E862" s="56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7"/>
      <c r="U862" s="57"/>
      <c r="V862" s="57"/>
      <c r="W862" s="57"/>
      <c r="X862" s="57"/>
      <c r="Y862" s="57"/>
    </row>
    <row r="863">
      <c r="C863" s="55"/>
      <c r="D863" s="55"/>
      <c r="E863" s="56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7"/>
      <c r="U863" s="57"/>
      <c r="V863" s="57"/>
      <c r="W863" s="57"/>
      <c r="X863" s="57"/>
      <c r="Y863" s="57"/>
    </row>
    <row r="864">
      <c r="C864" s="55"/>
      <c r="D864" s="55"/>
      <c r="E864" s="56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7"/>
      <c r="U864" s="57"/>
      <c r="V864" s="57"/>
      <c r="W864" s="57"/>
      <c r="X864" s="57"/>
      <c r="Y864" s="57"/>
    </row>
    <row r="865">
      <c r="C865" s="55"/>
      <c r="D865" s="55"/>
      <c r="E865" s="56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7"/>
      <c r="U865" s="57"/>
      <c r="V865" s="57"/>
      <c r="W865" s="57"/>
      <c r="X865" s="57"/>
      <c r="Y865" s="57"/>
    </row>
    <row r="866">
      <c r="C866" s="55"/>
      <c r="D866" s="55"/>
      <c r="E866" s="56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7"/>
      <c r="U866" s="57"/>
      <c r="V866" s="57"/>
      <c r="W866" s="57"/>
      <c r="X866" s="57"/>
      <c r="Y866" s="57"/>
    </row>
    <row r="867">
      <c r="C867" s="55"/>
      <c r="D867" s="55"/>
      <c r="E867" s="56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7"/>
      <c r="U867" s="57"/>
      <c r="V867" s="57"/>
      <c r="W867" s="57"/>
      <c r="X867" s="57"/>
      <c r="Y867" s="57"/>
    </row>
    <row r="868">
      <c r="C868" s="55"/>
      <c r="D868" s="55"/>
      <c r="E868" s="56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7"/>
      <c r="U868" s="57"/>
      <c r="V868" s="57"/>
      <c r="W868" s="57"/>
      <c r="X868" s="57"/>
      <c r="Y868" s="57"/>
    </row>
    <row r="869">
      <c r="C869" s="55"/>
      <c r="D869" s="55"/>
      <c r="E869" s="56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7"/>
      <c r="U869" s="57"/>
      <c r="V869" s="57"/>
      <c r="W869" s="57"/>
      <c r="X869" s="57"/>
      <c r="Y869" s="57"/>
    </row>
    <row r="870">
      <c r="C870" s="55"/>
      <c r="D870" s="55"/>
      <c r="E870" s="56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7"/>
      <c r="U870" s="57"/>
      <c r="V870" s="57"/>
      <c r="W870" s="57"/>
      <c r="X870" s="57"/>
      <c r="Y870" s="57"/>
    </row>
    <row r="871">
      <c r="C871" s="55"/>
      <c r="D871" s="55"/>
      <c r="E871" s="56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7"/>
      <c r="U871" s="57"/>
      <c r="V871" s="57"/>
      <c r="W871" s="57"/>
      <c r="X871" s="57"/>
      <c r="Y871" s="57"/>
    </row>
    <row r="872">
      <c r="C872" s="55"/>
      <c r="D872" s="55"/>
      <c r="E872" s="56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7"/>
      <c r="U872" s="57"/>
      <c r="V872" s="57"/>
      <c r="W872" s="57"/>
      <c r="X872" s="57"/>
      <c r="Y872" s="57"/>
    </row>
    <row r="873">
      <c r="C873" s="55"/>
      <c r="D873" s="55"/>
      <c r="E873" s="56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7"/>
      <c r="U873" s="57"/>
      <c r="V873" s="57"/>
      <c r="W873" s="57"/>
      <c r="X873" s="57"/>
      <c r="Y873" s="57"/>
    </row>
    <row r="874">
      <c r="C874" s="55"/>
      <c r="D874" s="55"/>
      <c r="E874" s="56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7"/>
      <c r="U874" s="57"/>
      <c r="V874" s="57"/>
      <c r="W874" s="57"/>
      <c r="X874" s="57"/>
      <c r="Y874" s="57"/>
    </row>
    <row r="875">
      <c r="C875" s="55"/>
      <c r="D875" s="55"/>
      <c r="E875" s="56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7"/>
      <c r="U875" s="57"/>
      <c r="V875" s="57"/>
      <c r="W875" s="57"/>
      <c r="X875" s="57"/>
      <c r="Y875" s="57"/>
    </row>
    <row r="876">
      <c r="C876" s="55"/>
      <c r="D876" s="55"/>
      <c r="E876" s="56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7"/>
      <c r="U876" s="57"/>
      <c r="V876" s="57"/>
      <c r="W876" s="57"/>
      <c r="X876" s="57"/>
      <c r="Y876" s="57"/>
    </row>
    <row r="877">
      <c r="C877" s="55"/>
      <c r="D877" s="55"/>
      <c r="E877" s="56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7"/>
      <c r="U877" s="57"/>
      <c r="V877" s="57"/>
      <c r="W877" s="57"/>
      <c r="X877" s="57"/>
      <c r="Y877" s="57"/>
    </row>
    <row r="878">
      <c r="C878" s="55"/>
      <c r="D878" s="55"/>
      <c r="E878" s="56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7"/>
      <c r="U878" s="57"/>
      <c r="V878" s="57"/>
      <c r="W878" s="57"/>
      <c r="X878" s="57"/>
      <c r="Y878" s="57"/>
    </row>
    <row r="879">
      <c r="C879" s="55"/>
      <c r="D879" s="55"/>
      <c r="E879" s="56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7"/>
      <c r="U879" s="57"/>
      <c r="V879" s="57"/>
      <c r="W879" s="57"/>
      <c r="X879" s="57"/>
      <c r="Y879" s="57"/>
    </row>
    <row r="880">
      <c r="C880" s="55"/>
      <c r="D880" s="55"/>
      <c r="E880" s="56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7"/>
      <c r="U880" s="57"/>
      <c r="V880" s="57"/>
      <c r="W880" s="57"/>
      <c r="X880" s="57"/>
      <c r="Y880" s="57"/>
    </row>
    <row r="881">
      <c r="C881" s="55"/>
      <c r="D881" s="55"/>
      <c r="E881" s="56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7"/>
      <c r="U881" s="57"/>
      <c r="V881" s="57"/>
      <c r="W881" s="57"/>
      <c r="X881" s="57"/>
      <c r="Y881" s="57"/>
    </row>
    <row r="882">
      <c r="C882" s="55"/>
      <c r="D882" s="55"/>
      <c r="E882" s="56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7"/>
      <c r="U882" s="57"/>
      <c r="V882" s="57"/>
      <c r="W882" s="57"/>
      <c r="X882" s="57"/>
      <c r="Y882" s="57"/>
    </row>
    <row r="883">
      <c r="C883" s="55"/>
      <c r="D883" s="55"/>
      <c r="E883" s="56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7"/>
      <c r="U883" s="57"/>
      <c r="V883" s="57"/>
      <c r="W883" s="57"/>
      <c r="X883" s="57"/>
      <c r="Y883" s="57"/>
    </row>
    <row r="884">
      <c r="C884" s="55"/>
      <c r="D884" s="55"/>
      <c r="E884" s="56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7"/>
      <c r="U884" s="57"/>
      <c r="V884" s="57"/>
      <c r="W884" s="57"/>
      <c r="X884" s="57"/>
      <c r="Y884" s="57"/>
    </row>
    <row r="885">
      <c r="C885" s="55"/>
      <c r="D885" s="55"/>
      <c r="E885" s="56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7"/>
      <c r="U885" s="57"/>
      <c r="V885" s="57"/>
      <c r="W885" s="57"/>
      <c r="X885" s="57"/>
      <c r="Y885" s="57"/>
    </row>
    <row r="886">
      <c r="C886" s="55"/>
      <c r="D886" s="55"/>
      <c r="E886" s="56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7"/>
      <c r="U886" s="57"/>
      <c r="V886" s="57"/>
      <c r="W886" s="57"/>
      <c r="X886" s="57"/>
      <c r="Y886" s="57"/>
    </row>
    <row r="887">
      <c r="C887" s="55"/>
      <c r="D887" s="55"/>
      <c r="E887" s="56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7"/>
      <c r="U887" s="57"/>
      <c r="V887" s="57"/>
      <c r="W887" s="57"/>
      <c r="X887" s="57"/>
      <c r="Y887" s="57"/>
    </row>
    <row r="888">
      <c r="C888" s="55"/>
      <c r="D888" s="55"/>
      <c r="E888" s="56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7"/>
      <c r="U888" s="57"/>
      <c r="V888" s="57"/>
      <c r="W888" s="57"/>
      <c r="X888" s="57"/>
      <c r="Y888" s="57"/>
    </row>
    <row r="889">
      <c r="C889" s="55"/>
      <c r="D889" s="55"/>
      <c r="E889" s="56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7"/>
      <c r="U889" s="57"/>
      <c r="V889" s="57"/>
      <c r="W889" s="57"/>
      <c r="X889" s="57"/>
      <c r="Y889" s="57"/>
    </row>
    <row r="890">
      <c r="C890" s="55"/>
      <c r="D890" s="55"/>
      <c r="E890" s="56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7"/>
      <c r="U890" s="57"/>
      <c r="V890" s="57"/>
      <c r="W890" s="57"/>
      <c r="X890" s="57"/>
      <c r="Y890" s="57"/>
    </row>
    <row r="891">
      <c r="C891" s="55"/>
      <c r="D891" s="55"/>
      <c r="E891" s="56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7"/>
      <c r="U891" s="57"/>
      <c r="V891" s="57"/>
      <c r="W891" s="57"/>
      <c r="X891" s="57"/>
      <c r="Y891" s="57"/>
    </row>
    <row r="892">
      <c r="C892" s="55"/>
      <c r="D892" s="55"/>
      <c r="E892" s="56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7"/>
      <c r="U892" s="57"/>
      <c r="V892" s="57"/>
      <c r="W892" s="57"/>
      <c r="X892" s="57"/>
      <c r="Y892" s="57"/>
    </row>
    <row r="893">
      <c r="C893" s="55"/>
      <c r="D893" s="55"/>
      <c r="E893" s="56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7"/>
      <c r="U893" s="57"/>
      <c r="V893" s="57"/>
      <c r="W893" s="57"/>
      <c r="X893" s="57"/>
      <c r="Y893" s="57"/>
    </row>
    <row r="894">
      <c r="C894" s="55"/>
      <c r="D894" s="55"/>
      <c r="E894" s="56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7"/>
      <c r="U894" s="57"/>
      <c r="V894" s="57"/>
      <c r="W894" s="57"/>
      <c r="X894" s="57"/>
      <c r="Y894" s="57"/>
    </row>
    <row r="895">
      <c r="C895" s="55"/>
      <c r="D895" s="55"/>
      <c r="E895" s="56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7"/>
      <c r="U895" s="57"/>
      <c r="V895" s="57"/>
      <c r="W895" s="57"/>
      <c r="X895" s="57"/>
      <c r="Y895" s="57"/>
    </row>
    <row r="896">
      <c r="C896" s="55"/>
      <c r="D896" s="55"/>
      <c r="E896" s="56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7"/>
      <c r="U896" s="57"/>
      <c r="V896" s="57"/>
      <c r="W896" s="57"/>
      <c r="X896" s="57"/>
      <c r="Y896" s="57"/>
    </row>
    <row r="897">
      <c r="C897" s="55"/>
      <c r="D897" s="55"/>
      <c r="E897" s="56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7"/>
      <c r="U897" s="57"/>
      <c r="V897" s="57"/>
      <c r="W897" s="57"/>
      <c r="X897" s="57"/>
      <c r="Y897" s="57"/>
    </row>
    <row r="898">
      <c r="C898" s="55"/>
      <c r="D898" s="55"/>
      <c r="E898" s="56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7"/>
      <c r="U898" s="57"/>
      <c r="V898" s="57"/>
      <c r="W898" s="57"/>
      <c r="X898" s="57"/>
      <c r="Y898" s="57"/>
    </row>
    <row r="899">
      <c r="C899" s="55"/>
      <c r="D899" s="55"/>
      <c r="E899" s="56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7"/>
      <c r="U899" s="57"/>
      <c r="V899" s="57"/>
      <c r="W899" s="57"/>
      <c r="X899" s="57"/>
      <c r="Y899" s="57"/>
    </row>
    <row r="900">
      <c r="C900" s="55"/>
      <c r="D900" s="55"/>
      <c r="E900" s="56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7"/>
      <c r="U900" s="57"/>
      <c r="V900" s="57"/>
      <c r="W900" s="57"/>
      <c r="X900" s="57"/>
      <c r="Y900" s="57"/>
    </row>
    <row r="901">
      <c r="C901" s="55"/>
      <c r="D901" s="55"/>
      <c r="E901" s="56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7"/>
      <c r="U901" s="57"/>
      <c r="V901" s="57"/>
      <c r="W901" s="57"/>
      <c r="X901" s="57"/>
      <c r="Y901" s="57"/>
    </row>
    <row r="902">
      <c r="C902" s="55"/>
      <c r="D902" s="55"/>
      <c r="E902" s="56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7"/>
      <c r="U902" s="57"/>
      <c r="V902" s="57"/>
      <c r="W902" s="57"/>
      <c r="X902" s="57"/>
      <c r="Y902" s="57"/>
    </row>
    <row r="903">
      <c r="C903" s="55"/>
      <c r="D903" s="55"/>
      <c r="E903" s="56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7"/>
      <c r="U903" s="57"/>
      <c r="V903" s="57"/>
      <c r="W903" s="57"/>
      <c r="X903" s="57"/>
      <c r="Y903" s="57"/>
    </row>
    <row r="904">
      <c r="C904" s="55"/>
      <c r="D904" s="55"/>
      <c r="E904" s="56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7"/>
      <c r="U904" s="57"/>
      <c r="V904" s="57"/>
      <c r="W904" s="57"/>
      <c r="X904" s="57"/>
      <c r="Y904" s="57"/>
    </row>
    <row r="905">
      <c r="C905" s="55"/>
      <c r="D905" s="55"/>
      <c r="E905" s="56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7"/>
      <c r="U905" s="57"/>
      <c r="V905" s="57"/>
      <c r="W905" s="57"/>
      <c r="X905" s="57"/>
      <c r="Y905" s="57"/>
    </row>
    <row r="906">
      <c r="C906" s="55"/>
      <c r="D906" s="55"/>
      <c r="E906" s="56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7"/>
      <c r="U906" s="57"/>
      <c r="V906" s="57"/>
      <c r="W906" s="57"/>
      <c r="X906" s="57"/>
      <c r="Y906" s="57"/>
    </row>
    <row r="907">
      <c r="C907" s="55"/>
      <c r="D907" s="55"/>
      <c r="E907" s="56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7"/>
      <c r="U907" s="57"/>
      <c r="V907" s="57"/>
      <c r="W907" s="57"/>
      <c r="X907" s="57"/>
      <c r="Y907" s="57"/>
    </row>
    <row r="908">
      <c r="C908" s="55"/>
      <c r="D908" s="55"/>
      <c r="E908" s="56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7"/>
      <c r="U908" s="57"/>
      <c r="V908" s="57"/>
      <c r="W908" s="57"/>
      <c r="X908" s="57"/>
      <c r="Y908" s="57"/>
    </row>
    <row r="909">
      <c r="C909" s="55"/>
      <c r="D909" s="55"/>
      <c r="E909" s="56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7"/>
      <c r="U909" s="57"/>
      <c r="V909" s="57"/>
      <c r="W909" s="57"/>
      <c r="X909" s="57"/>
      <c r="Y909" s="57"/>
    </row>
    <row r="910">
      <c r="C910" s="55"/>
      <c r="D910" s="55"/>
      <c r="E910" s="56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7"/>
      <c r="U910" s="57"/>
      <c r="V910" s="57"/>
      <c r="W910" s="57"/>
      <c r="X910" s="57"/>
      <c r="Y910" s="57"/>
    </row>
    <row r="911">
      <c r="C911" s="55"/>
      <c r="D911" s="55"/>
      <c r="E911" s="56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7"/>
      <c r="U911" s="57"/>
      <c r="V911" s="57"/>
      <c r="W911" s="57"/>
      <c r="X911" s="57"/>
      <c r="Y911" s="57"/>
    </row>
    <row r="912">
      <c r="C912" s="55"/>
      <c r="D912" s="55"/>
      <c r="E912" s="56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7"/>
      <c r="U912" s="57"/>
      <c r="V912" s="57"/>
      <c r="W912" s="57"/>
      <c r="X912" s="57"/>
      <c r="Y912" s="57"/>
    </row>
    <row r="913">
      <c r="C913" s="55"/>
      <c r="D913" s="55"/>
      <c r="E913" s="56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7"/>
      <c r="U913" s="57"/>
      <c r="V913" s="57"/>
      <c r="W913" s="57"/>
      <c r="X913" s="57"/>
      <c r="Y913" s="57"/>
    </row>
    <row r="914">
      <c r="C914" s="55"/>
      <c r="D914" s="55"/>
      <c r="E914" s="56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7"/>
      <c r="U914" s="57"/>
      <c r="V914" s="57"/>
      <c r="W914" s="57"/>
      <c r="X914" s="57"/>
      <c r="Y914" s="57"/>
    </row>
    <row r="915">
      <c r="C915" s="55"/>
      <c r="D915" s="55"/>
      <c r="E915" s="56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7"/>
      <c r="U915" s="57"/>
      <c r="V915" s="57"/>
      <c r="W915" s="57"/>
      <c r="X915" s="57"/>
      <c r="Y915" s="57"/>
    </row>
    <row r="916">
      <c r="C916" s="55"/>
      <c r="D916" s="55"/>
      <c r="E916" s="56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7"/>
      <c r="U916" s="57"/>
      <c r="V916" s="57"/>
      <c r="W916" s="57"/>
      <c r="X916" s="57"/>
      <c r="Y916" s="57"/>
    </row>
    <row r="917">
      <c r="C917" s="55"/>
      <c r="D917" s="55"/>
      <c r="E917" s="56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7"/>
      <c r="U917" s="57"/>
      <c r="V917" s="57"/>
      <c r="W917" s="57"/>
      <c r="X917" s="57"/>
      <c r="Y917" s="57"/>
    </row>
    <row r="918">
      <c r="C918" s="55"/>
      <c r="D918" s="55"/>
      <c r="E918" s="56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7"/>
      <c r="U918" s="57"/>
      <c r="V918" s="57"/>
      <c r="W918" s="57"/>
      <c r="X918" s="57"/>
      <c r="Y918" s="57"/>
    </row>
    <row r="919">
      <c r="C919" s="55"/>
      <c r="D919" s="55"/>
      <c r="E919" s="56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7"/>
      <c r="U919" s="57"/>
      <c r="V919" s="57"/>
      <c r="W919" s="57"/>
      <c r="X919" s="57"/>
      <c r="Y919" s="57"/>
    </row>
    <row r="920">
      <c r="C920" s="55"/>
      <c r="D920" s="55"/>
      <c r="E920" s="56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7"/>
      <c r="U920" s="57"/>
      <c r="V920" s="57"/>
      <c r="W920" s="57"/>
      <c r="X920" s="57"/>
      <c r="Y920" s="57"/>
    </row>
    <row r="921">
      <c r="C921" s="55"/>
      <c r="D921" s="55"/>
      <c r="E921" s="56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7"/>
      <c r="U921" s="57"/>
      <c r="V921" s="57"/>
      <c r="W921" s="57"/>
      <c r="X921" s="57"/>
      <c r="Y921" s="57"/>
    </row>
    <row r="922">
      <c r="C922" s="55"/>
      <c r="D922" s="55"/>
      <c r="E922" s="56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7"/>
      <c r="U922" s="57"/>
      <c r="V922" s="57"/>
      <c r="W922" s="57"/>
      <c r="X922" s="57"/>
      <c r="Y922" s="57"/>
    </row>
    <row r="923">
      <c r="C923" s="55"/>
      <c r="D923" s="55"/>
      <c r="E923" s="56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7"/>
      <c r="U923" s="57"/>
      <c r="V923" s="57"/>
      <c r="W923" s="57"/>
      <c r="X923" s="57"/>
      <c r="Y923" s="57"/>
    </row>
    <row r="924">
      <c r="C924" s="55"/>
      <c r="D924" s="55"/>
      <c r="E924" s="56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7"/>
      <c r="U924" s="57"/>
      <c r="V924" s="57"/>
      <c r="W924" s="57"/>
      <c r="X924" s="57"/>
      <c r="Y924" s="57"/>
    </row>
    <row r="925">
      <c r="C925" s="55"/>
      <c r="D925" s="55"/>
      <c r="E925" s="56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7"/>
      <c r="U925" s="57"/>
      <c r="V925" s="57"/>
      <c r="W925" s="57"/>
      <c r="X925" s="57"/>
      <c r="Y925" s="57"/>
    </row>
    <row r="926">
      <c r="C926" s="55"/>
      <c r="D926" s="55"/>
      <c r="E926" s="56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5"/>
      <c r="T926" s="57"/>
      <c r="U926" s="57"/>
      <c r="V926" s="57"/>
      <c r="W926" s="57"/>
      <c r="X926" s="57"/>
      <c r="Y926" s="57"/>
    </row>
    <row r="927">
      <c r="C927" s="55"/>
      <c r="D927" s="55"/>
      <c r="E927" s="56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7"/>
      <c r="U927" s="57"/>
      <c r="V927" s="57"/>
      <c r="W927" s="57"/>
      <c r="X927" s="57"/>
      <c r="Y927" s="57"/>
    </row>
    <row r="928">
      <c r="C928" s="55"/>
      <c r="D928" s="55"/>
      <c r="E928" s="56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5"/>
      <c r="T928" s="57"/>
      <c r="U928" s="57"/>
      <c r="V928" s="57"/>
      <c r="W928" s="57"/>
      <c r="X928" s="57"/>
      <c r="Y928" s="57"/>
    </row>
    <row r="929">
      <c r="C929" s="55"/>
      <c r="D929" s="55"/>
      <c r="E929" s="56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7"/>
      <c r="U929" s="57"/>
      <c r="V929" s="57"/>
      <c r="W929" s="57"/>
      <c r="X929" s="57"/>
      <c r="Y929" s="57"/>
    </row>
    <row r="930">
      <c r="C930" s="55"/>
      <c r="D930" s="55"/>
      <c r="E930" s="56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5"/>
      <c r="T930" s="57"/>
      <c r="U930" s="57"/>
      <c r="V930" s="57"/>
      <c r="W930" s="57"/>
      <c r="X930" s="57"/>
      <c r="Y930" s="57"/>
    </row>
    <row r="931">
      <c r="C931" s="55"/>
      <c r="D931" s="55"/>
      <c r="E931" s="56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7"/>
      <c r="U931" s="57"/>
      <c r="V931" s="57"/>
      <c r="W931" s="57"/>
      <c r="X931" s="57"/>
      <c r="Y931" s="57"/>
    </row>
    <row r="932">
      <c r="C932" s="55"/>
      <c r="D932" s="55"/>
      <c r="E932" s="56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5"/>
      <c r="T932" s="57"/>
      <c r="U932" s="57"/>
      <c r="V932" s="57"/>
      <c r="W932" s="57"/>
      <c r="X932" s="57"/>
      <c r="Y932" s="57"/>
    </row>
    <row r="933">
      <c r="C933" s="55"/>
      <c r="D933" s="55"/>
      <c r="E933" s="56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7"/>
      <c r="U933" s="57"/>
      <c r="V933" s="57"/>
      <c r="W933" s="57"/>
      <c r="X933" s="57"/>
      <c r="Y933" s="57"/>
    </row>
    <row r="934">
      <c r="C934" s="55"/>
      <c r="D934" s="55"/>
      <c r="E934" s="56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5"/>
      <c r="T934" s="57"/>
      <c r="U934" s="57"/>
      <c r="V934" s="57"/>
      <c r="W934" s="57"/>
      <c r="X934" s="57"/>
      <c r="Y934" s="57"/>
    </row>
    <row r="935">
      <c r="C935" s="55"/>
      <c r="D935" s="55"/>
      <c r="E935" s="56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7"/>
      <c r="U935" s="57"/>
      <c r="V935" s="57"/>
      <c r="W935" s="57"/>
      <c r="X935" s="57"/>
      <c r="Y935" s="57"/>
    </row>
    <row r="936">
      <c r="C936" s="55"/>
      <c r="D936" s="55"/>
      <c r="E936" s="56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5"/>
      <c r="S936" s="55"/>
      <c r="T936" s="57"/>
      <c r="U936" s="57"/>
      <c r="V936" s="57"/>
      <c r="W936" s="57"/>
      <c r="X936" s="57"/>
      <c r="Y936" s="57"/>
    </row>
    <row r="937">
      <c r="C937" s="55"/>
      <c r="D937" s="55"/>
      <c r="E937" s="56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5"/>
      <c r="T937" s="57"/>
      <c r="U937" s="57"/>
      <c r="V937" s="57"/>
      <c r="W937" s="57"/>
      <c r="X937" s="57"/>
      <c r="Y937" s="57"/>
    </row>
    <row r="938">
      <c r="C938" s="55"/>
      <c r="D938" s="55"/>
      <c r="E938" s="56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5"/>
      <c r="S938" s="55"/>
      <c r="T938" s="57"/>
      <c r="U938" s="57"/>
      <c r="V938" s="57"/>
      <c r="W938" s="57"/>
      <c r="X938" s="57"/>
      <c r="Y938" s="57"/>
    </row>
    <row r="939">
      <c r="C939" s="55"/>
      <c r="D939" s="55"/>
      <c r="E939" s="56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5"/>
      <c r="T939" s="57"/>
      <c r="U939" s="57"/>
      <c r="V939" s="57"/>
      <c r="W939" s="57"/>
      <c r="X939" s="57"/>
      <c r="Y939" s="57"/>
    </row>
    <row r="940">
      <c r="C940" s="55"/>
      <c r="D940" s="55"/>
      <c r="E940" s="56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5"/>
      <c r="S940" s="55"/>
      <c r="T940" s="57"/>
      <c r="U940" s="57"/>
      <c r="V940" s="57"/>
      <c r="W940" s="57"/>
      <c r="X940" s="57"/>
      <c r="Y940" s="57"/>
    </row>
    <row r="941">
      <c r="C941" s="55"/>
      <c r="D941" s="55"/>
      <c r="E941" s="56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5"/>
      <c r="T941" s="57"/>
      <c r="U941" s="57"/>
      <c r="V941" s="57"/>
      <c r="W941" s="57"/>
      <c r="X941" s="57"/>
      <c r="Y941" s="57"/>
    </row>
    <row r="942">
      <c r="C942" s="55"/>
      <c r="D942" s="55"/>
      <c r="E942" s="56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5"/>
      <c r="S942" s="55"/>
      <c r="T942" s="57"/>
      <c r="U942" s="57"/>
      <c r="V942" s="57"/>
      <c r="W942" s="57"/>
      <c r="X942" s="57"/>
      <c r="Y942" s="57"/>
    </row>
    <row r="943">
      <c r="C943" s="55"/>
      <c r="D943" s="55"/>
      <c r="E943" s="56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7"/>
      <c r="U943" s="57"/>
      <c r="V943" s="57"/>
      <c r="W943" s="57"/>
      <c r="X943" s="57"/>
      <c r="Y943" s="57"/>
    </row>
    <row r="944">
      <c r="C944" s="55"/>
      <c r="D944" s="55"/>
      <c r="E944" s="56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7"/>
      <c r="U944" s="57"/>
      <c r="V944" s="57"/>
      <c r="W944" s="57"/>
      <c r="X944" s="57"/>
      <c r="Y944" s="57"/>
    </row>
    <row r="945">
      <c r="C945" s="55"/>
      <c r="D945" s="55"/>
      <c r="E945" s="56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7"/>
      <c r="U945" s="57"/>
      <c r="V945" s="57"/>
      <c r="W945" s="57"/>
      <c r="X945" s="57"/>
      <c r="Y945" s="57"/>
    </row>
    <row r="946">
      <c r="C946" s="55"/>
      <c r="D946" s="55"/>
      <c r="E946" s="56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7"/>
      <c r="U946" s="57"/>
      <c r="V946" s="57"/>
      <c r="W946" s="57"/>
      <c r="X946" s="57"/>
      <c r="Y946" s="57"/>
    </row>
    <row r="947">
      <c r="C947" s="55"/>
      <c r="D947" s="55"/>
      <c r="E947" s="56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7"/>
      <c r="U947" s="57"/>
      <c r="V947" s="57"/>
      <c r="W947" s="57"/>
      <c r="X947" s="57"/>
      <c r="Y947" s="57"/>
    </row>
    <row r="948">
      <c r="C948" s="55"/>
      <c r="D948" s="55"/>
      <c r="E948" s="56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7"/>
      <c r="U948" s="57"/>
      <c r="V948" s="57"/>
      <c r="W948" s="57"/>
      <c r="X948" s="57"/>
      <c r="Y948" s="57"/>
    </row>
    <row r="949">
      <c r="C949" s="55"/>
      <c r="D949" s="55"/>
      <c r="E949" s="56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7"/>
      <c r="U949" s="57"/>
      <c r="V949" s="57"/>
      <c r="W949" s="57"/>
      <c r="X949" s="57"/>
      <c r="Y949" s="57"/>
    </row>
    <row r="950">
      <c r="C950" s="55"/>
      <c r="D950" s="55"/>
      <c r="E950" s="56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7"/>
      <c r="U950" s="57"/>
      <c r="V950" s="57"/>
      <c r="W950" s="57"/>
      <c r="X950" s="57"/>
      <c r="Y950" s="57"/>
    </row>
    <row r="951">
      <c r="C951" s="55"/>
      <c r="D951" s="55"/>
      <c r="E951" s="56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7"/>
      <c r="U951" s="57"/>
      <c r="V951" s="57"/>
      <c r="W951" s="57"/>
      <c r="X951" s="57"/>
      <c r="Y951" s="57"/>
    </row>
    <row r="952">
      <c r="C952" s="55"/>
      <c r="D952" s="55"/>
      <c r="E952" s="56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7"/>
      <c r="U952" s="57"/>
      <c r="V952" s="57"/>
      <c r="W952" s="57"/>
      <c r="X952" s="57"/>
      <c r="Y952" s="57"/>
    </row>
    <row r="953">
      <c r="C953" s="55"/>
      <c r="D953" s="55"/>
      <c r="E953" s="56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7"/>
      <c r="U953" s="57"/>
      <c r="V953" s="57"/>
      <c r="W953" s="57"/>
      <c r="X953" s="57"/>
      <c r="Y953" s="57"/>
    </row>
    <row r="954">
      <c r="C954" s="55"/>
      <c r="D954" s="55"/>
      <c r="E954" s="56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7"/>
      <c r="U954" s="57"/>
      <c r="V954" s="57"/>
      <c r="W954" s="57"/>
      <c r="X954" s="57"/>
      <c r="Y954" s="57"/>
    </row>
    <row r="955">
      <c r="C955" s="55"/>
      <c r="D955" s="55"/>
      <c r="E955" s="56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7"/>
      <c r="U955" s="57"/>
      <c r="V955" s="57"/>
      <c r="W955" s="57"/>
      <c r="X955" s="57"/>
      <c r="Y955" s="57"/>
    </row>
    <row r="956">
      <c r="C956" s="55"/>
      <c r="D956" s="55"/>
      <c r="E956" s="56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7"/>
      <c r="U956" s="57"/>
      <c r="V956" s="57"/>
      <c r="W956" s="57"/>
      <c r="X956" s="57"/>
      <c r="Y956" s="57"/>
    </row>
    <row r="957">
      <c r="C957" s="55"/>
      <c r="D957" s="55"/>
      <c r="E957" s="56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7"/>
      <c r="U957" s="57"/>
      <c r="V957" s="57"/>
      <c r="W957" s="57"/>
      <c r="X957" s="57"/>
      <c r="Y957" s="57"/>
    </row>
    <row r="958">
      <c r="C958" s="55"/>
      <c r="D958" s="55"/>
      <c r="E958" s="56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7"/>
      <c r="U958" s="57"/>
      <c r="V958" s="57"/>
      <c r="W958" s="57"/>
      <c r="X958" s="57"/>
      <c r="Y958" s="57"/>
    </row>
    <row r="959">
      <c r="C959" s="55"/>
      <c r="D959" s="55"/>
      <c r="E959" s="56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7"/>
      <c r="U959" s="57"/>
      <c r="V959" s="57"/>
      <c r="W959" s="57"/>
      <c r="X959" s="57"/>
      <c r="Y959" s="57"/>
    </row>
    <row r="960">
      <c r="C960" s="55"/>
      <c r="D960" s="55"/>
      <c r="E960" s="56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7"/>
      <c r="U960" s="57"/>
      <c r="V960" s="57"/>
      <c r="W960" s="57"/>
      <c r="X960" s="57"/>
      <c r="Y960" s="57"/>
    </row>
    <row r="961">
      <c r="C961" s="55"/>
      <c r="D961" s="55"/>
      <c r="E961" s="56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7"/>
      <c r="U961" s="57"/>
      <c r="V961" s="57"/>
      <c r="W961" s="57"/>
      <c r="X961" s="57"/>
      <c r="Y961" s="57"/>
    </row>
    <row r="962">
      <c r="C962" s="55"/>
      <c r="D962" s="55"/>
      <c r="E962" s="56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7"/>
      <c r="U962" s="57"/>
      <c r="V962" s="57"/>
      <c r="W962" s="57"/>
      <c r="X962" s="57"/>
      <c r="Y962" s="57"/>
    </row>
    <row r="963">
      <c r="C963" s="55"/>
      <c r="D963" s="55"/>
      <c r="E963" s="56"/>
      <c r="F963" s="55"/>
      <c r="G963" s="55"/>
      <c r="H963" s="55"/>
      <c r="I963" s="55"/>
      <c r="J963" s="55"/>
      <c r="K963" s="55"/>
      <c r="L963" s="55"/>
      <c r="M963" s="55"/>
      <c r="N963" s="55"/>
      <c r="O963" s="55"/>
      <c r="P963" s="55"/>
      <c r="Q963" s="55"/>
      <c r="R963" s="55"/>
      <c r="S963" s="55"/>
      <c r="T963" s="57"/>
      <c r="U963" s="57"/>
      <c r="V963" s="57"/>
      <c r="W963" s="57"/>
      <c r="X963" s="57"/>
      <c r="Y963" s="57"/>
    </row>
    <row r="964">
      <c r="C964" s="55"/>
      <c r="D964" s="55"/>
      <c r="E964" s="56"/>
      <c r="F964" s="55"/>
      <c r="G964" s="55"/>
      <c r="H964" s="55"/>
      <c r="I964" s="55"/>
      <c r="J964" s="55"/>
      <c r="K964" s="55"/>
      <c r="L964" s="55"/>
      <c r="M964" s="55"/>
      <c r="N964" s="55"/>
      <c r="O964" s="55"/>
      <c r="P964" s="55"/>
      <c r="Q964" s="55"/>
      <c r="R964" s="55"/>
      <c r="S964" s="55"/>
      <c r="T964" s="57"/>
      <c r="U964" s="57"/>
      <c r="V964" s="57"/>
      <c r="W964" s="57"/>
      <c r="X964" s="57"/>
      <c r="Y964" s="57"/>
    </row>
    <row r="965">
      <c r="C965" s="55"/>
      <c r="D965" s="55"/>
      <c r="E965" s="56"/>
      <c r="F965" s="55"/>
      <c r="G965" s="55"/>
      <c r="H965" s="55"/>
      <c r="I965" s="55"/>
      <c r="J965" s="55"/>
      <c r="K965" s="55"/>
      <c r="L965" s="55"/>
      <c r="M965" s="55"/>
      <c r="N965" s="55"/>
      <c r="O965" s="55"/>
      <c r="P965" s="55"/>
      <c r="Q965" s="55"/>
      <c r="R965" s="55"/>
      <c r="S965" s="55"/>
      <c r="T965" s="57"/>
      <c r="U965" s="57"/>
      <c r="V965" s="57"/>
      <c r="W965" s="57"/>
      <c r="X965" s="57"/>
      <c r="Y965" s="57"/>
    </row>
    <row r="966">
      <c r="C966" s="55"/>
      <c r="D966" s="55"/>
      <c r="E966" s="56"/>
      <c r="F966" s="55"/>
      <c r="G966" s="55"/>
      <c r="H966" s="55"/>
      <c r="I966" s="55"/>
      <c r="J966" s="55"/>
      <c r="K966" s="55"/>
      <c r="L966" s="55"/>
      <c r="M966" s="55"/>
      <c r="N966" s="55"/>
      <c r="O966" s="55"/>
      <c r="P966" s="55"/>
      <c r="Q966" s="55"/>
      <c r="R966" s="55"/>
      <c r="S966" s="55"/>
      <c r="T966" s="57"/>
      <c r="U966" s="57"/>
      <c r="V966" s="57"/>
      <c r="W966" s="57"/>
      <c r="X966" s="57"/>
      <c r="Y966" s="57"/>
    </row>
    <row r="967">
      <c r="C967" s="55"/>
      <c r="D967" s="55"/>
      <c r="E967" s="56"/>
      <c r="F967" s="55"/>
      <c r="G967" s="55"/>
      <c r="H967" s="55"/>
      <c r="I967" s="55"/>
      <c r="J967" s="55"/>
      <c r="K967" s="55"/>
      <c r="L967" s="55"/>
      <c r="M967" s="55"/>
      <c r="N967" s="55"/>
      <c r="O967" s="55"/>
      <c r="P967" s="55"/>
      <c r="Q967" s="55"/>
      <c r="R967" s="55"/>
      <c r="S967" s="55"/>
      <c r="T967" s="57"/>
      <c r="U967" s="57"/>
      <c r="V967" s="57"/>
      <c r="W967" s="57"/>
      <c r="X967" s="57"/>
      <c r="Y967" s="57"/>
    </row>
    <row r="968">
      <c r="C968" s="55"/>
      <c r="D968" s="55"/>
      <c r="E968" s="56"/>
      <c r="F968" s="55"/>
      <c r="G968" s="55"/>
      <c r="H968" s="55"/>
      <c r="I968" s="55"/>
      <c r="J968" s="55"/>
      <c r="K968" s="55"/>
      <c r="L968" s="55"/>
      <c r="M968" s="55"/>
      <c r="N968" s="55"/>
      <c r="O968" s="55"/>
      <c r="P968" s="55"/>
      <c r="Q968" s="55"/>
      <c r="R968" s="55"/>
      <c r="S968" s="55"/>
      <c r="T968" s="57"/>
      <c r="U968" s="57"/>
      <c r="V968" s="57"/>
      <c r="W968" s="57"/>
      <c r="X968" s="57"/>
      <c r="Y968" s="57"/>
    </row>
    <row r="969">
      <c r="C969" s="55"/>
      <c r="D969" s="55"/>
      <c r="E969" s="56"/>
      <c r="F969" s="55"/>
      <c r="G969" s="55"/>
      <c r="H969" s="55"/>
      <c r="I969" s="55"/>
      <c r="J969" s="55"/>
      <c r="K969" s="55"/>
      <c r="L969" s="55"/>
      <c r="M969" s="55"/>
      <c r="N969" s="55"/>
      <c r="O969" s="55"/>
      <c r="P969" s="55"/>
      <c r="Q969" s="55"/>
      <c r="R969" s="55"/>
      <c r="S969" s="55"/>
      <c r="T969" s="57"/>
      <c r="U969" s="57"/>
      <c r="V969" s="57"/>
      <c r="W969" s="57"/>
      <c r="X969" s="57"/>
      <c r="Y969" s="57"/>
    </row>
    <row r="970">
      <c r="C970" s="55"/>
      <c r="D970" s="55"/>
      <c r="E970" s="56"/>
      <c r="F970" s="55"/>
      <c r="G970" s="55"/>
      <c r="H970" s="55"/>
      <c r="I970" s="55"/>
      <c r="J970" s="55"/>
      <c r="K970" s="55"/>
      <c r="L970" s="55"/>
      <c r="M970" s="55"/>
      <c r="N970" s="55"/>
      <c r="O970" s="55"/>
      <c r="P970" s="55"/>
      <c r="Q970" s="55"/>
      <c r="R970" s="55"/>
      <c r="S970" s="55"/>
      <c r="T970" s="57"/>
      <c r="U970" s="57"/>
      <c r="V970" s="57"/>
      <c r="W970" s="57"/>
      <c r="X970" s="57"/>
      <c r="Y970" s="57"/>
    </row>
    <row r="971">
      <c r="C971" s="55"/>
      <c r="D971" s="55"/>
      <c r="E971" s="56"/>
      <c r="F971" s="55"/>
      <c r="G971" s="55"/>
      <c r="H971" s="55"/>
      <c r="I971" s="55"/>
      <c r="J971" s="55"/>
      <c r="K971" s="55"/>
      <c r="L971" s="55"/>
      <c r="M971" s="55"/>
      <c r="N971" s="55"/>
      <c r="O971" s="55"/>
      <c r="P971" s="55"/>
      <c r="Q971" s="55"/>
      <c r="R971" s="55"/>
      <c r="S971" s="55"/>
      <c r="T971" s="57"/>
      <c r="U971" s="57"/>
      <c r="V971" s="57"/>
      <c r="W971" s="57"/>
      <c r="X971" s="57"/>
      <c r="Y971" s="57"/>
    </row>
    <row r="972">
      <c r="C972" s="55"/>
      <c r="D972" s="55"/>
      <c r="E972" s="56"/>
      <c r="F972" s="55"/>
      <c r="G972" s="55"/>
      <c r="H972" s="55"/>
      <c r="I972" s="55"/>
      <c r="J972" s="55"/>
      <c r="K972" s="55"/>
      <c r="L972" s="55"/>
      <c r="M972" s="55"/>
      <c r="N972" s="55"/>
      <c r="O972" s="55"/>
      <c r="P972" s="55"/>
      <c r="Q972" s="55"/>
      <c r="R972" s="55"/>
      <c r="S972" s="55"/>
      <c r="T972" s="57"/>
      <c r="U972" s="57"/>
      <c r="V972" s="57"/>
      <c r="W972" s="57"/>
      <c r="X972" s="57"/>
      <c r="Y972" s="57"/>
    </row>
    <row r="973">
      <c r="C973" s="55"/>
      <c r="D973" s="55"/>
      <c r="E973" s="56"/>
      <c r="F973" s="55"/>
      <c r="G973" s="55"/>
      <c r="H973" s="55"/>
      <c r="I973" s="55"/>
      <c r="J973" s="55"/>
      <c r="K973" s="55"/>
      <c r="L973" s="55"/>
      <c r="M973" s="55"/>
      <c r="N973" s="55"/>
      <c r="O973" s="55"/>
      <c r="P973" s="55"/>
      <c r="Q973" s="55"/>
      <c r="R973" s="55"/>
      <c r="S973" s="55"/>
      <c r="T973" s="57"/>
      <c r="U973" s="57"/>
      <c r="V973" s="57"/>
      <c r="W973" s="57"/>
      <c r="X973" s="57"/>
      <c r="Y973" s="57"/>
    </row>
    <row r="974">
      <c r="C974" s="55"/>
      <c r="D974" s="55"/>
      <c r="E974" s="56"/>
      <c r="F974" s="55"/>
      <c r="G974" s="55"/>
      <c r="H974" s="55"/>
      <c r="I974" s="55"/>
      <c r="J974" s="55"/>
      <c r="K974" s="55"/>
      <c r="L974" s="55"/>
      <c r="M974" s="55"/>
      <c r="N974" s="55"/>
      <c r="O974" s="55"/>
      <c r="P974" s="55"/>
      <c r="Q974" s="55"/>
      <c r="R974" s="55"/>
      <c r="S974" s="55"/>
      <c r="T974" s="57"/>
      <c r="U974" s="57"/>
      <c r="V974" s="57"/>
      <c r="W974" s="57"/>
      <c r="X974" s="57"/>
      <c r="Y974" s="57"/>
    </row>
    <row r="975">
      <c r="C975" s="55"/>
      <c r="D975" s="55"/>
      <c r="E975" s="56"/>
      <c r="F975" s="55"/>
      <c r="G975" s="55"/>
      <c r="H975" s="55"/>
      <c r="I975" s="55"/>
      <c r="J975" s="55"/>
      <c r="K975" s="55"/>
      <c r="L975" s="55"/>
      <c r="M975" s="55"/>
      <c r="N975" s="55"/>
      <c r="O975" s="55"/>
      <c r="P975" s="55"/>
      <c r="Q975" s="55"/>
      <c r="R975" s="55"/>
      <c r="S975" s="55"/>
      <c r="T975" s="57"/>
      <c r="U975" s="57"/>
      <c r="V975" s="57"/>
      <c r="W975" s="57"/>
      <c r="X975" s="57"/>
      <c r="Y975" s="57"/>
    </row>
    <row r="976">
      <c r="C976" s="55"/>
      <c r="D976" s="55"/>
      <c r="E976" s="56"/>
      <c r="F976" s="55"/>
      <c r="G976" s="55"/>
      <c r="H976" s="55"/>
      <c r="I976" s="55"/>
      <c r="J976" s="55"/>
      <c r="K976" s="55"/>
      <c r="L976" s="55"/>
      <c r="M976" s="55"/>
      <c r="N976" s="55"/>
      <c r="O976" s="55"/>
      <c r="P976" s="55"/>
      <c r="Q976" s="55"/>
      <c r="R976" s="55"/>
      <c r="S976" s="55"/>
      <c r="T976" s="57"/>
      <c r="U976" s="57"/>
      <c r="V976" s="57"/>
      <c r="W976" s="57"/>
      <c r="X976" s="57"/>
      <c r="Y976" s="57"/>
    </row>
    <row r="977">
      <c r="C977" s="55"/>
      <c r="D977" s="55"/>
      <c r="E977" s="56"/>
      <c r="F977" s="55"/>
      <c r="G977" s="55"/>
      <c r="H977" s="55"/>
      <c r="I977" s="55"/>
      <c r="J977" s="55"/>
      <c r="K977" s="55"/>
      <c r="L977" s="55"/>
      <c r="M977" s="55"/>
      <c r="N977" s="55"/>
      <c r="O977" s="55"/>
      <c r="P977" s="55"/>
      <c r="Q977" s="55"/>
      <c r="R977" s="55"/>
      <c r="S977" s="55"/>
      <c r="T977" s="57"/>
      <c r="U977" s="57"/>
      <c r="V977" s="57"/>
      <c r="W977" s="57"/>
      <c r="X977" s="57"/>
      <c r="Y977" s="57"/>
    </row>
    <row r="978">
      <c r="C978" s="55"/>
      <c r="D978" s="55"/>
      <c r="E978" s="56"/>
      <c r="F978" s="55"/>
      <c r="G978" s="55"/>
      <c r="H978" s="55"/>
      <c r="I978" s="55"/>
      <c r="J978" s="55"/>
      <c r="K978" s="55"/>
      <c r="L978" s="55"/>
      <c r="M978" s="55"/>
      <c r="N978" s="55"/>
      <c r="O978" s="55"/>
      <c r="P978" s="55"/>
      <c r="Q978" s="55"/>
      <c r="R978" s="55"/>
      <c r="S978" s="55"/>
      <c r="T978" s="57"/>
      <c r="U978" s="57"/>
      <c r="V978" s="57"/>
      <c r="W978" s="57"/>
      <c r="X978" s="57"/>
      <c r="Y978" s="57"/>
    </row>
    <row r="979">
      <c r="C979" s="55"/>
      <c r="D979" s="55"/>
      <c r="E979" s="56"/>
      <c r="F979" s="55"/>
      <c r="G979" s="55"/>
      <c r="H979" s="55"/>
      <c r="I979" s="55"/>
      <c r="J979" s="55"/>
      <c r="K979" s="55"/>
      <c r="L979" s="55"/>
      <c r="M979" s="55"/>
      <c r="N979" s="55"/>
      <c r="O979" s="55"/>
      <c r="P979" s="55"/>
      <c r="Q979" s="55"/>
      <c r="R979" s="55"/>
      <c r="S979" s="55"/>
      <c r="T979" s="57"/>
      <c r="U979" s="57"/>
      <c r="V979" s="57"/>
      <c r="W979" s="57"/>
      <c r="X979" s="57"/>
      <c r="Y979" s="57"/>
    </row>
    <row r="980">
      <c r="C980" s="55"/>
      <c r="D980" s="55"/>
      <c r="E980" s="56"/>
      <c r="F980" s="55"/>
      <c r="G980" s="55"/>
      <c r="H980" s="55"/>
      <c r="I980" s="55"/>
      <c r="J980" s="55"/>
      <c r="K980" s="55"/>
      <c r="L980" s="55"/>
      <c r="M980" s="55"/>
      <c r="N980" s="55"/>
      <c r="O980" s="55"/>
      <c r="P980" s="55"/>
      <c r="Q980" s="55"/>
      <c r="R980" s="55"/>
      <c r="S980" s="55"/>
      <c r="T980" s="57"/>
      <c r="U980" s="57"/>
      <c r="V980" s="57"/>
      <c r="W980" s="57"/>
      <c r="X980" s="57"/>
      <c r="Y980" s="57"/>
    </row>
    <row r="981">
      <c r="C981" s="55"/>
      <c r="D981" s="55"/>
      <c r="E981" s="56"/>
      <c r="F981" s="55"/>
      <c r="G981" s="55"/>
      <c r="H981" s="55"/>
      <c r="I981" s="55"/>
      <c r="J981" s="55"/>
      <c r="K981" s="55"/>
      <c r="L981" s="55"/>
      <c r="M981" s="55"/>
      <c r="N981" s="55"/>
      <c r="O981" s="55"/>
      <c r="P981" s="55"/>
      <c r="Q981" s="55"/>
      <c r="R981" s="55"/>
      <c r="S981" s="55"/>
      <c r="T981" s="57"/>
      <c r="U981" s="57"/>
      <c r="V981" s="57"/>
      <c r="W981" s="57"/>
      <c r="X981" s="57"/>
      <c r="Y981" s="57"/>
    </row>
    <row r="982">
      <c r="C982" s="55"/>
      <c r="D982" s="55"/>
      <c r="E982" s="56"/>
      <c r="F982" s="55"/>
      <c r="G982" s="55"/>
      <c r="H982" s="55"/>
      <c r="I982" s="55"/>
      <c r="J982" s="55"/>
      <c r="K982" s="55"/>
      <c r="L982" s="55"/>
      <c r="M982" s="55"/>
      <c r="N982" s="55"/>
      <c r="O982" s="55"/>
      <c r="P982" s="55"/>
      <c r="Q982" s="55"/>
      <c r="R982" s="55"/>
      <c r="S982" s="55"/>
      <c r="T982" s="57"/>
      <c r="U982" s="57"/>
      <c r="V982" s="57"/>
      <c r="W982" s="57"/>
      <c r="X982" s="57"/>
      <c r="Y982" s="57"/>
    </row>
    <row r="983">
      <c r="C983" s="55"/>
      <c r="D983" s="55"/>
      <c r="E983" s="56"/>
      <c r="F983" s="55"/>
      <c r="G983" s="55"/>
      <c r="H983" s="55"/>
      <c r="I983" s="55"/>
      <c r="J983" s="55"/>
      <c r="K983" s="55"/>
      <c r="L983" s="55"/>
      <c r="M983" s="55"/>
      <c r="N983" s="55"/>
      <c r="O983" s="55"/>
      <c r="P983" s="55"/>
      <c r="Q983" s="55"/>
      <c r="R983" s="55"/>
      <c r="S983" s="55"/>
      <c r="T983" s="57"/>
      <c r="U983" s="57"/>
      <c r="V983" s="57"/>
      <c r="W983" s="57"/>
      <c r="X983" s="57"/>
      <c r="Y983" s="57"/>
    </row>
    <row r="984">
      <c r="C984" s="55"/>
      <c r="D984" s="55"/>
      <c r="E984" s="56"/>
      <c r="F984" s="55"/>
      <c r="G984" s="55"/>
      <c r="H984" s="55"/>
      <c r="I984" s="55"/>
      <c r="J984" s="55"/>
      <c r="K984" s="55"/>
      <c r="L984" s="55"/>
      <c r="M984" s="55"/>
      <c r="N984" s="55"/>
      <c r="O984" s="55"/>
      <c r="P984" s="55"/>
      <c r="Q984" s="55"/>
      <c r="R984" s="55"/>
      <c r="S984" s="55"/>
      <c r="T984" s="57"/>
      <c r="U984" s="57"/>
      <c r="V984" s="57"/>
      <c r="W984" s="57"/>
      <c r="X984" s="57"/>
      <c r="Y984" s="57"/>
    </row>
    <row r="985">
      <c r="C985" s="55"/>
      <c r="D985" s="55"/>
      <c r="E985" s="56"/>
      <c r="F985" s="55"/>
      <c r="G985" s="55"/>
      <c r="H985" s="55"/>
      <c r="I985" s="55"/>
      <c r="J985" s="55"/>
      <c r="K985" s="55"/>
      <c r="L985" s="55"/>
      <c r="M985" s="55"/>
      <c r="N985" s="55"/>
      <c r="O985" s="55"/>
      <c r="P985" s="55"/>
      <c r="Q985" s="55"/>
      <c r="R985" s="55"/>
      <c r="S985" s="55"/>
      <c r="T985" s="57"/>
      <c r="U985" s="57"/>
      <c r="V985" s="57"/>
      <c r="W985" s="57"/>
      <c r="X985" s="57"/>
      <c r="Y985" s="57"/>
    </row>
    <row r="986">
      <c r="C986" s="55"/>
      <c r="D986" s="55"/>
      <c r="E986" s="56"/>
      <c r="F986" s="55"/>
      <c r="G986" s="55"/>
      <c r="H986" s="55"/>
      <c r="I986" s="55"/>
      <c r="J986" s="55"/>
      <c r="K986" s="55"/>
      <c r="L986" s="55"/>
      <c r="M986" s="55"/>
      <c r="N986" s="55"/>
      <c r="O986" s="55"/>
      <c r="P986" s="55"/>
      <c r="Q986" s="55"/>
      <c r="R986" s="55"/>
      <c r="S986" s="55"/>
      <c r="T986" s="57"/>
      <c r="U986" s="57"/>
      <c r="V986" s="57"/>
      <c r="W986" s="57"/>
      <c r="X986" s="57"/>
      <c r="Y986" s="57"/>
    </row>
    <row r="987">
      <c r="C987" s="55"/>
      <c r="D987" s="55"/>
      <c r="E987" s="56"/>
      <c r="F987" s="55"/>
      <c r="G987" s="55"/>
      <c r="H987" s="55"/>
      <c r="I987" s="55"/>
      <c r="J987" s="55"/>
      <c r="K987" s="55"/>
      <c r="L987" s="55"/>
      <c r="M987" s="55"/>
      <c r="N987" s="55"/>
      <c r="O987" s="55"/>
      <c r="P987" s="55"/>
      <c r="Q987" s="55"/>
      <c r="R987" s="55"/>
      <c r="S987" s="55"/>
      <c r="T987" s="57"/>
      <c r="U987" s="57"/>
      <c r="V987" s="57"/>
      <c r="W987" s="57"/>
      <c r="X987" s="57"/>
      <c r="Y987" s="57"/>
    </row>
    <row r="988">
      <c r="C988" s="55"/>
      <c r="D988" s="55"/>
      <c r="E988" s="56"/>
      <c r="F988" s="55"/>
      <c r="G988" s="55"/>
      <c r="H988" s="55"/>
      <c r="I988" s="55"/>
      <c r="J988" s="55"/>
      <c r="K988" s="55"/>
      <c r="L988" s="55"/>
      <c r="M988" s="55"/>
      <c r="N988" s="55"/>
      <c r="O988" s="55"/>
      <c r="P988" s="55"/>
      <c r="Q988" s="55"/>
      <c r="R988" s="55"/>
      <c r="S988" s="55"/>
      <c r="T988" s="57"/>
      <c r="U988" s="57"/>
      <c r="V988" s="57"/>
      <c r="W988" s="57"/>
      <c r="X988" s="57"/>
      <c r="Y988" s="57"/>
    </row>
    <row r="989">
      <c r="C989" s="55"/>
      <c r="D989" s="55"/>
      <c r="E989" s="56"/>
      <c r="F989" s="55"/>
      <c r="G989" s="55"/>
      <c r="H989" s="55"/>
      <c r="I989" s="55"/>
      <c r="J989" s="55"/>
      <c r="K989" s="55"/>
      <c r="L989" s="55"/>
      <c r="M989" s="55"/>
      <c r="N989" s="55"/>
      <c r="O989" s="55"/>
      <c r="P989" s="55"/>
      <c r="Q989" s="55"/>
      <c r="R989" s="55"/>
      <c r="S989" s="55"/>
      <c r="T989" s="57"/>
      <c r="U989" s="57"/>
      <c r="V989" s="57"/>
      <c r="W989" s="57"/>
      <c r="X989" s="57"/>
      <c r="Y989" s="57"/>
    </row>
    <row r="990">
      <c r="C990" s="55"/>
      <c r="D990" s="55"/>
      <c r="E990" s="56"/>
      <c r="F990" s="55"/>
      <c r="G990" s="55"/>
      <c r="H990" s="55"/>
      <c r="I990" s="55"/>
      <c r="J990" s="55"/>
      <c r="K990" s="55"/>
      <c r="L990" s="55"/>
      <c r="M990" s="55"/>
      <c r="N990" s="55"/>
      <c r="O990" s="55"/>
      <c r="P990" s="55"/>
      <c r="Q990" s="55"/>
      <c r="R990" s="55"/>
      <c r="S990" s="55"/>
      <c r="T990" s="57"/>
      <c r="U990" s="57"/>
      <c r="V990" s="57"/>
      <c r="W990" s="57"/>
      <c r="X990" s="57"/>
      <c r="Y990" s="57"/>
    </row>
    <row r="991">
      <c r="C991" s="55"/>
      <c r="D991" s="55"/>
      <c r="E991" s="56"/>
      <c r="F991" s="55"/>
      <c r="G991" s="55"/>
      <c r="H991" s="55"/>
      <c r="I991" s="55"/>
      <c r="J991" s="55"/>
      <c r="K991" s="55"/>
      <c r="L991" s="55"/>
      <c r="M991" s="55"/>
      <c r="N991" s="55"/>
      <c r="O991" s="55"/>
      <c r="P991" s="55"/>
      <c r="Q991" s="55"/>
      <c r="R991" s="55"/>
      <c r="S991" s="55"/>
      <c r="T991" s="57"/>
      <c r="U991" s="57"/>
      <c r="V991" s="57"/>
      <c r="W991" s="57"/>
      <c r="X991" s="57"/>
      <c r="Y991" s="57"/>
    </row>
    <row r="992">
      <c r="C992" s="55"/>
      <c r="D992" s="55"/>
      <c r="E992" s="56"/>
      <c r="F992" s="55"/>
      <c r="G992" s="55"/>
      <c r="H992" s="55"/>
      <c r="I992" s="55"/>
      <c r="J992" s="55"/>
      <c r="K992" s="55"/>
      <c r="L992" s="55"/>
      <c r="M992" s="55"/>
      <c r="N992" s="55"/>
      <c r="O992" s="55"/>
      <c r="P992" s="55"/>
      <c r="Q992" s="55"/>
      <c r="R992" s="55"/>
      <c r="S992" s="55"/>
      <c r="T992" s="57"/>
      <c r="U992" s="57"/>
      <c r="V992" s="57"/>
      <c r="W992" s="57"/>
      <c r="X992" s="57"/>
      <c r="Y992" s="57"/>
    </row>
    <row r="993">
      <c r="C993" s="55"/>
      <c r="D993" s="55"/>
      <c r="E993" s="56"/>
      <c r="F993" s="55"/>
      <c r="G993" s="55"/>
      <c r="H993" s="55"/>
      <c r="I993" s="55"/>
      <c r="J993" s="55"/>
      <c r="K993" s="55"/>
      <c r="L993" s="55"/>
      <c r="M993" s="55"/>
      <c r="N993" s="55"/>
      <c r="O993" s="55"/>
      <c r="P993" s="55"/>
      <c r="Q993" s="55"/>
      <c r="R993" s="55"/>
      <c r="S993" s="55"/>
      <c r="T993" s="57"/>
      <c r="U993" s="57"/>
      <c r="V993" s="57"/>
      <c r="W993" s="57"/>
      <c r="X993" s="57"/>
      <c r="Y993" s="57"/>
    </row>
    <row r="994">
      <c r="C994" s="55"/>
      <c r="D994" s="55"/>
      <c r="E994" s="56"/>
      <c r="F994" s="55"/>
      <c r="G994" s="55"/>
      <c r="H994" s="55"/>
      <c r="I994" s="55"/>
      <c r="J994" s="55"/>
      <c r="K994" s="55"/>
      <c r="L994" s="55"/>
      <c r="M994" s="55"/>
      <c r="N994" s="55"/>
      <c r="O994" s="55"/>
      <c r="P994" s="55"/>
      <c r="Q994" s="55"/>
      <c r="R994" s="55"/>
      <c r="S994" s="55"/>
      <c r="T994" s="57"/>
      <c r="U994" s="57"/>
      <c r="V994" s="57"/>
      <c r="W994" s="57"/>
      <c r="X994" s="57"/>
      <c r="Y994" s="57"/>
    </row>
    <row r="995">
      <c r="C995" s="55"/>
      <c r="D995" s="55"/>
      <c r="E995" s="56"/>
      <c r="F995" s="55"/>
      <c r="G995" s="55"/>
      <c r="H995" s="55"/>
      <c r="I995" s="55"/>
      <c r="J995" s="55"/>
      <c r="K995" s="55"/>
      <c r="L995" s="55"/>
      <c r="M995" s="55"/>
      <c r="N995" s="55"/>
      <c r="O995" s="55"/>
      <c r="P995" s="55"/>
      <c r="Q995" s="55"/>
      <c r="R995" s="55"/>
      <c r="S995" s="55"/>
      <c r="T995" s="57"/>
      <c r="U995" s="57"/>
      <c r="V995" s="57"/>
      <c r="W995" s="57"/>
      <c r="X995" s="57"/>
      <c r="Y995" s="57"/>
    </row>
    <row r="996">
      <c r="C996" s="55"/>
      <c r="D996" s="55"/>
      <c r="E996" s="56"/>
      <c r="F996" s="55"/>
      <c r="G996" s="55"/>
      <c r="H996" s="55"/>
      <c r="I996" s="55"/>
      <c r="J996" s="55"/>
      <c r="K996" s="55"/>
      <c r="L996" s="55"/>
      <c r="M996" s="55"/>
      <c r="N996" s="55"/>
      <c r="O996" s="55"/>
      <c r="P996" s="55"/>
      <c r="Q996" s="55"/>
      <c r="R996" s="55"/>
      <c r="S996" s="55"/>
      <c r="T996" s="57"/>
      <c r="U996" s="57"/>
      <c r="V996" s="57"/>
      <c r="W996" s="57"/>
      <c r="X996" s="57"/>
      <c r="Y996" s="57"/>
    </row>
    <row r="997">
      <c r="C997" s="55"/>
      <c r="D997" s="55"/>
      <c r="E997" s="56"/>
      <c r="F997" s="55"/>
      <c r="G997" s="55"/>
      <c r="H997" s="55"/>
      <c r="I997" s="55"/>
      <c r="J997" s="55"/>
      <c r="K997" s="55"/>
      <c r="L997" s="55"/>
      <c r="M997" s="55"/>
      <c r="N997" s="55"/>
      <c r="O997" s="55"/>
      <c r="P997" s="55"/>
      <c r="Q997" s="55"/>
      <c r="R997" s="55"/>
      <c r="S997" s="55"/>
      <c r="T997" s="57"/>
      <c r="U997" s="57"/>
      <c r="V997" s="57"/>
      <c r="W997" s="57"/>
      <c r="X997" s="57"/>
      <c r="Y997" s="57"/>
    </row>
    <row r="998">
      <c r="C998" s="55"/>
      <c r="D998" s="55"/>
      <c r="E998" s="56"/>
      <c r="F998" s="55"/>
      <c r="G998" s="55"/>
      <c r="H998" s="55"/>
      <c r="I998" s="55"/>
      <c r="J998" s="55"/>
      <c r="K998" s="55"/>
      <c r="L998" s="55"/>
      <c r="M998" s="55"/>
      <c r="N998" s="55"/>
      <c r="O998" s="55"/>
      <c r="P998" s="55"/>
      <c r="Q998" s="55"/>
      <c r="R998" s="55"/>
      <c r="S998" s="55"/>
      <c r="T998" s="57"/>
      <c r="U998" s="57"/>
      <c r="V998" s="57"/>
      <c r="W998" s="57"/>
      <c r="X998" s="57"/>
      <c r="Y998" s="57"/>
    </row>
    <row r="999">
      <c r="C999" s="55"/>
      <c r="D999" s="55"/>
      <c r="E999" s="56"/>
      <c r="F999" s="55"/>
      <c r="G999" s="55"/>
      <c r="H999" s="55"/>
      <c r="I999" s="55"/>
      <c r="J999" s="55"/>
      <c r="K999" s="55"/>
      <c r="L999" s="55"/>
      <c r="M999" s="55"/>
      <c r="N999" s="55"/>
      <c r="O999" s="55"/>
      <c r="P999" s="55"/>
      <c r="Q999" s="55"/>
      <c r="R999" s="55"/>
      <c r="S999" s="55"/>
      <c r="T999" s="57"/>
      <c r="U999" s="57"/>
      <c r="V999" s="57"/>
      <c r="W999" s="57"/>
      <c r="X999" s="57"/>
      <c r="Y999" s="57"/>
    </row>
    <row r="1000">
      <c r="C1000" s="55"/>
      <c r="D1000" s="55"/>
      <c r="E1000" s="56"/>
      <c r="F1000" s="55"/>
      <c r="G1000" s="55"/>
      <c r="H1000" s="55"/>
      <c r="I1000" s="55"/>
      <c r="J1000" s="55"/>
      <c r="K1000" s="55"/>
      <c r="L1000" s="55"/>
      <c r="M1000" s="55"/>
      <c r="N1000" s="55"/>
      <c r="O1000" s="55"/>
      <c r="P1000" s="55"/>
      <c r="Q1000" s="55"/>
      <c r="R1000" s="55"/>
      <c r="S1000" s="55"/>
      <c r="T1000" s="57"/>
      <c r="U1000" s="57"/>
      <c r="V1000" s="57"/>
      <c r="W1000" s="57"/>
      <c r="X1000" s="57"/>
      <c r="Y1000" s="57"/>
    </row>
    <row r="1001">
      <c r="C1001" s="55"/>
      <c r="D1001" s="55"/>
      <c r="E1001" s="56"/>
      <c r="F1001" s="55"/>
      <c r="G1001" s="55"/>
      <c r="H1001" s="55"/>
      <c r="I1001" s="55"/>
      <c r="J1001" s="55"/>
      <c r="K1001" s="55"/>
      <c r="L1001" s="55"/>
      <c r="M1001" s="55"/>
      <c r="N1001" s="55"/>
      <c r="O1001" s="55"/>
      <c r="P1001" s="55"/>
      <c r="Q1001" s="55"/>
      <c r="R1001" s="55"/>
      <c r="S1001" s="55"/>
      <c r="T1001" s="57"/>
      <c r="U1001" s="57"/>
      <c r="V1001" s="57"/>
      <c r="W1001" s="57"/>
      <c r="X1001" s="57"/>
      <c r="Y1001" s="57"/>
    </row>
    <row r="1002">
      <c r="C1002" s="55"/>
      <c r="D1002" s="55"/>
      <c r="E1002" s="56"/>
      <c r="F1002" s="55"/>
      <c r="G1002" s="55"/>
      <c r="H1002" s="55"/>
      <c r="I1002" s="55"/>
      <c r="J1002" s="55"/>
      <c r="K1002" s="55"/>
      <c r="L1002" s="55"/>
      <c r="M1002" s="55"/>
      <c r="N1002" s="55"/>
      <c r="O1002" s="55"/>
      <c r="P1002" s="55"/>
      <c r="Q1002" s="55"/>
      <c r="R1002" s="55"/>
      <c r="S1002" s="55"/>
      <c r="T1002" s="57"/>
      <c r="U1002" s="57"/>
      <c r="V1002" s="57"/>
      <c r="W1002" s="57"/>
      <c r="X1002" s="57"/>
      <c r="Y1002" s="57"/>
    </row>
    <row r="1003">
      <c r="C1003" s="55"/>
      <c r="D1003" s="55"/>
      <c r="E1003" s="56"/>
      <c r="F1003" s="55"/>
      <c r="G1003" s="55"/>
      <c r="H1003" s="55"/>
      <c r="I1003" s="55"/>
      <c r="J1003" s="55"/>
      <c r="K1003" s="55"/>
      <c r="L1003" s="55"/>
      <c r="M1003" s="55"/>
      <c r="N1003" s="55"/>
      <c r="O1003" s="55"/>
      <c r="P1003" s="55"/>
      <c r="Q1003" s="55"/>
      <c r="R1003" s="55"/>
      <c r="S1003" s="55"/>
      <c r="T1003" s="57"/>
      <c r="U1003" s="57"/>
      <c r="V1003" s="57"/>
      <c r="W1003" s="57"/>
      <c r="X1003" s="57"/>
      <c r="Y1003" s="57"/>
    </row>
    <row r="1004">
      <c r="C1004" s="55"/>
      <c r="D1004" s="55"/>
      <c r="E1004" s="56"/>
      <c r="F1004" s="55"/>
      <c r="G1004" s="55"/>
      <c r="H1004" s="55"/>
      <c r="I1004" s="55"/>
      <c r="J1004" s="55"/>
      <c r="K1004" s="55"/>
      <c r="L1004" s="55"/>
      <c r="M1004" s="55"/>
      <c r="N1004" s="55"/>
      <c r="O1004" s="55"/>
      <c r="P1004" s="55"/>
      <c r="Q1004" s="55"/>
      <c r="R1004" s="55"/>
      <c r="S1004" s="55"/>
      <c r="T1004" s="57"/>
      <c r="U1004" s="57"/>
      <c r="V1004" s="57"/>
      <c r="W1004" s="57"/>
      <c r="X1004" s="57"/>
      <c r="Y1004" s="57"/>
    </row>
    <row r="1005">
      <c r="C1005" s="55"/>
      <c r="D1005" s="55"/>
      <c r="E1005" s="56"/>
      <c r="F1005" s="55"/>
      <c r="G1005" s="55"/>
      <c r="H1005" s="55"/>
      <c r="I1005" s="55"/>
      <c r="J1005" s="55"/>
      <c r="K1005" s="55"/>
      <c r="L1005" s="55"/>
      <c r="M1005" s="55"/>
      <c r="N1005" s="55"/>
      <c r="O1005" s="55"/>
      <c r="P1005" s="55"/>
      <c r="Q1005" s="55"/>
      <c r="R1005" s="55"/>
      <c r="S1005" s="55"/>
      <c r="T1005" s="57"/>
      <c r="U1005" s="57"/>
      <c r="V1005" s="57"/>
      <c r="W1005" s="57"/>
      <c r="X1005" s="57"/>
      <c r="Y1005" s="57"/>
    </row>
    <row r="1006">
      <c r="C1006" s="55"/>
      <c r="D1006" s="55"/>
      <c r="E1006" s="56"/>
      <c r="F1006" s="55"/>
      <c r="G1006" s="55"/>
      <c r="H1006" s="55"/>
      <c r="I1006" s="55"/>
      <c r="J1006" s="55"/>
      <c r="K1006" s="55"/>
      <c r="L1006" s="55"/>
      <c r="M1006" s="55"/>
      <c r="N1006" s="55"/>
      <c r="O1006" s="55"/>
      <c r="P1006" s="55"/>
      <c r="Q1006" s="55"/>
      <c r="R1006" s="55"/>
      <c r="S1006" s="55"/>
      <c r="T1006" s="57"/>
      <c r="U1006" s="57"/>
      <c r="V1006" s="57"/>
      <c r="W1006" s="57"/>
      <c r="X1006" s="57"/>
      <c r="Y1006" s="57"/>
    </row>
    <row r="1007">
      <c r="C1007" s="55"/>
      <c r="D1007" s="55"/>
      <c r="E1007" s="56"/>
      <c r="F1007" s="55"/>
      <c r="G1007" s="55"/>
      <c r="H1007" s="55"/>
      <c r="I1007" s="55"/>
      <c r="J1007" s="55"/>
      <c r="K1007" s="55"/>
      <c r="L1007" s="55"/>
      <c r="M1007" s="55"/>
      <c r="N1007" s="55"/>
      <c r="O1007" s="55"/>
      <c r="P1007" s="55"/>
      <c r="Q1007" s="55"/>
      <c r="R1007" s="55"/>
      <c r="S1007" s="55"/>
      <c r="T1007" s="57"/>
      <c r="U1007" s="57"/>
      <c r="V1007" s="57"/>
      <c r="W1007" s="57"/>
      <c r="X1007" s="57"/>
      <c r="Y1007" s="57"/>
    </row>
    <row r="1008">
      <c r="C1008" s="55"/>
      <c r="D1008" s="55"/>
      <c r="E1008" s="56"/>
      <c r="F1008" s="55"/>
      <c r="G1008" s="55"/>
      <c r="H1008" s="55"/>
      <c r="I1008" s="55"/>
      <c r="J1008" s="55"/>
      <c r="K1008" s="55"/>
      <c r="L1008" s="55"/>
      <c r="M1008" s="55"/>
      <c r="N1008" s="55"/>
      <c r="O1008" s="55"/>
      <c r="P1008" s="55"/>
      <c r="Q1008" s="55"/>
      <c r="R1008" s="55"/>
      <c r="S1008" s="55"/>
      <c r="T1008" s="57"/>
      <c r="U1008" s="57"/>
      <c r="V1008" s="57"/>
      <c r="W1008" s="57"/>
      <c r="X1008" s="57"/>
      <c r="Y1008" s="57"/>
    </row>
    <row r="1009">
      <c r="C1009" s="55"/>
      <c r="D1009" s="55"/>
      <c r="E1009" s="56"/>
      <c r="F1009" s="55"/>
      <c r="G1009" s="55"/>
      <c r="H1009" s="55"/>
      <c r="I1009" s="55"/>
      <c r="J1009" s="55"/>
      <c r="K1009" s="55"/>
      <c r="L1009" s="55"/>
      <c r="M1009" s="55"/>
      <c r="N1009" s="55"/>
      <c r="O1009" s="55"/>
      <c r="P1009" s="55"/>
      <c r="Q1009" s="55"/>
      <c r="R1009" s="55"/>
      <c r="S1009" s="55"/>
      <c r="T1009" s="57"/>
      <c r="U1009" s="57"/>
      <c r="V1009" s="57"/>
      <c r="W1009" s="57"/>
      <c r="X1009" s="57"/>
      <c r="Y1009" s="57"/>
    </row>
    <row r="1010">
      <c r="C1010" s="55"/>
      <c r="D1010" s="55"/>
      <c r="E1010" s="56"/>
      <c r="F1010" s="55"/>
      <c r="G1010" s="55"/>
      <c r="H1010" s="55"/>
      <c r="I1010" s="55"/>
      <c r="J1010" s="55"/>
      <c r="K1010" s="55"/>
      <c r="L1010" s="55"/>
      <c r="M1010" s="55"/>
      <c r="N1010" s="55"/>
      <c r="O1010" s="55"/>
      <c r="P1010" s="55"/>
      <c r="Q1010" s="55"/>
      <c r="R1010" s="55"/>
      <c r="S1010" s="55"/>
      <c r="T1010" s="57"/>
      <c r="U1010" s="57"/>
      <c r="V1010" s="57"/>
      <c r="W1010" s="57"/>
      <c r="X1010" s="57"/>
      <c r="Y1010" s="57"/>
    </row>
    <row r="1011">
      <c r="C1011" s="55"/>
      <c r="D1011" s="55"/>
      <c r="E1011" s="56"/>
      <c r="F1011" s="55"/>
      <c r="G1011" s="55"/>
      <c r="H1011" s="55"/>
      <c r="I1011" s="55"/>
      <c r="J1011" s="55"/>
      <c r="K1011" s="55"/>
      <c r="L1011" s="55"/>
      <c r="M1011" s="55"/>
      <c r="N1011" s="55"/>
      <c r="O1011" s="55"/>
      <c r="P1011" s="55"/>
      <c r="Q1011" s="55"/>
      <c r="R1011" s="55"/>
      <c r="S1011" s="55"/>
      <c r="T1011" s="57"/>
      <c r="U1011" s="57"/>
      <c r="V1011" s="57"/>
      <c r="W1011" s="57"/>
      <c r="X1011" s="57"/>
      <c r="Y1011" s="5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5.38"/>
    <col customWidth="1" min="2" max="2" width="24.75"/>
    <col customWidth="1" min="7" max="18" width="14.25"/>
    <col customWidth="1" min="19" max="19" width="15.88"/>
  </cols>
  <sheetData>
    <row r="1">
      <c r="A1" s="38"/>
      <c r="B1" s="38"/>
      <c r="C1" s="38"/>
      <c r="D1" s="38" t="s">
        <v>0</v>
      </c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</row>
    <row r="2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</row>
    <row r="3">
      <c r="A3" s="41" t="s">
        <v>1</v>
      </c>
      <c r="B3" s="41" t="s">
        <v>2</v>
      </c>
      <c r="C3" s="58" t="s">
        <v>46</v>
      </c>
      <c r="D3" s="58" t="s">
        <v>47</v>
      </c>
      <c r="E3" s="58" t="s">
        <v>52</v>
      </c>
      <c r="F3" s="58" t="s">
        <v>53</v>
      </c>
      <c r="G3" s="58" t="s">
        <v>54</v>
      </c>
      <c r="H3" s="58" t="s">
        <v>55</v>
      </c>
      <c r="I3" s="58" t="s">
        <v>56</v>
      </c>
      <c r="J3" s="58" t="s">
        <v>45</v>
      </c>
      <c r="K3" s="58" t="s">
        <v>6</v>
      </c>
      <c r="L3" s="58" t="s">
        <v>7</v>
      </c>
      <c r="M3" s="58" t="s">
        <v>57</v>
      </c>
      <c r="N3" s="58" t="s">
        <v>9</v>
      </c>
      <c r="O3" s="58" t="s">
        <v>46</v>
      </c>
      <c r="P3" s="58" t="s">
        <v>47</v>
      </c>
      <c r="Q3" s="58" t="s">
        <v>52</v>
      </c>
      <c r="R3" s="41" t="s">
        <v>14</v>
      </c>
      <c r="S3" s="41" t="s">
        <v>58</v>
      </c>
      <c r="T3" s="41" t="s">
        <v>16</v>
      </c>
    </row>
    <row r="4">
      <c r="A4" s="10">
        <v>1.0</v>
      </c>
      <c r="B4" s="11" t="s">
        <v>17</v>
      </c>
      <c r="C4" s="59">
        <v>10450.0</v>
      </c>
      <c r="D4" s="59"/>
      <c r="E4" s="59"/>
      <c r="F4" s="59">
        <v>12100.0</v>
      </c>
      <c r="G4" s="59">
        <v>16300.0</v>
      </c>
      <c r="H4" s="59"/>
      <c r="I4" s="59"/>
      <c r="J4" s="59"/>
      <c r="K4" s="59">
        <v>39200.0</v>
      </c>
      <c r="L4" s="59"/>
      <c r="M4" s="59">
        <v>49400.0</v>
      </c>
      <c r="N4" s="59">
        <v>34650.0</v>
      </c>
      <c r="O4" s="59"/>
      <c r="P4" s="59">
        <v>22450.0</v>
      </c>
      <c r="Q4" s="59">
        <v>30400.0</v>
      </c>
      <c r="R4" s="59">
        <f>SUM(C4:Q4)</f>
        <v>214950</v>
      </c>
      <c r="S4" s="59">
        <v>150000.0</v>
      </c>
      <c r="T4" s="59">
        <f t="shared" ref="T4:T29" si="1">R4-S4</f>
        <v>64950</v>
      </c>
    </row>
    <row r="5">
      <c r="A5" s="10">
        <v>2.0</v>
      </c>
      <c r="B5" s="11" t="s">
        <v>18</v>
      </c>
      <c r="C5" s="59">
        <v>13750.0</v>
      </c>
      <c r="D5" s="59">
        <v>16100.0</v>
      </c>
      <c r="E5" s="59">
        <v>4900.0</v>
      </c>
      <c r="F5" s="59"/>
      <c r="G5" s="59"/>
      <c r="H5" s="59">
        <v>28000.0</v>
      </c>
      <c r="I5" s="59"/>
      <c r="J5" s="59">
        <v>16750.0</v>
      </c>
      <c r="K5" s="59"/>
      <c r="L5" s="59"/>
      <c r="M5" s="59"/>
      <c r="N5" s="59">
        <v>18750.0</v>
      </c>
      <c r="O5" s="59"/>
      <c r="P5" s="59"/>
      <c r="Q5" s="59"/>
      <c r="R5" s="59">
        <f>SUM(C5:O5)</f>
        <v>98250</v>
      </c>
      <c r="S5" s="59">
        <v>79000.0</v>
      </c>
      <c r="T5" s="59">
        <f t="shared" si="1"/>
        <v>19250</v>
      </c>
      <c r="U5" s="60" t="s">
        <v>59</v>
      </c>
    </row>
    <row r="6">
      <c r="A6" s="10">
        <v>3.0</v>
      </c>
      <c r="B6" s="11" t="s">
        <v>19</v>
      </c>
      <c r="C6" s="59">
        <v>39100.0</v>
      </c>
      <c r="D6" s="59">
        <v>24900.0</v>
      </c>
      <c r="E6" s="59"/>
      <c r="F6" s="59">
        <v>29800.0</v>
      </c>
      <c r="G6" s="59">
        <v>7800.0</v>
      </c>
      <c r="H6" s="59">
        <v>10200.0</v>
      </c>
      <c r="I6" s="59"/>
      <c r="J6" s="59">
        <v>27100.0</v>
      </c>
      <c r="K6" s="59"/>
      <c r="L6" s="59">
        <v>25350.0</v>
      </c>
      <c r="M6" s="59"/>
      <c r="N6" s="59"/>
      <c r="O6" s="59">
        <v>19450.0</v>
      </c>
      <c r="P6" s="59"/>
      <c r="Q6" s="59">
        <v>32750.0</v>
      </c>
      <c r="R6" s="59">
        <f>SUM(C6:Q6)</f>
        <v>216450</v>
      </c>
      <c r="S6" s="59">
        <v>130000.0</v>
      </c>
      <c r="T6" s="59">
        <f t="shared" si="1"/>
        <v>86450</v>
      </c>
      <c r="U6" s="60" t="s">
        <v>59</v>
      </c>
    </row>
    <row r="7">
      <c r="A7" s="10">
        <v>4.0</v>
      </c>
      <c r="B7" s="11" t="s">
        <v>20</v>
      </c>
      <c r="C7" s="59">
        <v>12000.0</v>
      </c>
      <c r="D7" s="59"/>
      <c r="E7" s="59">
        <v>55500.0</v>
      </c>
      <c r="F7" s="59">
        <v>94600.0</v>
      </c>
      <c r="G7" s="59"/>
      <c r="H7" s="59">
        <v>29000.0</v>
      </c>
      <c r="I7" s="59"/>
      <c r="J7" s="59"/>
      <c r="K7" s="59">
        <v>49250.0</v>
      </c>
      <c r="L7" s="59"/>
      <c r="M7" s="59"/>
      <c r="N7" s="59">
        <v>4500.0</v>
      </c>
      <c r="O7" s="59"/>
      <c r="P7" s="59">
        <v>37700.0</v>
      </c>
      <c r="Q7" s="59"/>
      <c r="R7" s="59">
        <f>SUM(C7:P7)</f>
        <v>282550</v>
      </c>
      <c r="S7" s="59"/>
      <c r="T7" s="59">
        <f t="shared" si="1"/>
        <v>282550</v>
      </c>
    </row>
    <row r="8">
      <c r="A8" s="10">
        <v>5.0</v>
      </c>
      <c r="B8" s="11" t="s">
        <v>21</v>
      </c>
      <c r="C8" s="59">
        <v>31250.0</v>
      </c>
      <c r="D8" s="59">
        <v>17500.0</v>
      </c>
      <c r="E8" s="59"/>
      <c r="F8" s="59">
        <v>18300.0</v>
      </c>
      <c r="G8" s="59"/>
      <c r="H8" s="59">
        <v>1900.0</v>
      </c>
      <c r="I8" s="59"/>
      <c r="J8" s="59"/>
      <c r="K8" s="59">
        <v>4000.0</v>
      </c>
      <c r="L8" s="59"/>
      <c r="M8" s="59"/>
      <c r="N8" s="59">
        <v>14100.0</v>
      </c>
      <c r="O8" s="59"/>
      <c r="P8" s="59"/>
      <c r="Q8" s="59"/>
      <c r="R8" s="59">
        <f t="shared" ref="R8:R10" si="2">SUM(C8:O8)</f>
        <v>87050</v>
      </c>
      <c r="S8" s="59">
        <v>60000.0</v>
      </c>
      <c r="T8" s="59">
        <f t="shared" si="1"/>
        <v>27050</v>
      </c>
    </row>
    <row r="9">
      <c r="A9" s="10">
        <v>6.0</v>
      </c>
      <c r="B9" s="11" t="s">
        <v>22</v>
      </c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>
        <f t="shared" si="2"/>
        <v>0</v>
      </c>
      <c r="S9" s="59"/>
      <c r="T9" s="59">
        <f t="shared" si="1"/>
        <v>0</v>
      </c>
    </row>
    <row r="10">
      <c r="A10" s="10">
        <v>7.0</v>
      </c>
      <c r="B10" s="11" t="s">
        <v>23</v>
      </c>
      <c r="C10" s="59"/>
      <c r="D10" s="59">
        <v>11000.0</v>
      </c>
      <c r="E10" s="59">
        <v>6000.0</v>
      </c>
      <c r="F10" s="59"/>
      <c r="G10" s="59"/>
      <c r="H10" s="59"/>
      <c r="I10" s="59"/>
      <c r="J10" s="59">
        <v>24000.0</v>
      </c>
      <c r="K10" s="59"/>
      <c r="L10" s="59"/>
      <c r="M10" s="59"/>
      <c r="N10" s="59"/>
      <c r="O10" s="59"/>
      <c r="P10" s="59"/>
      <c r="Q10" s="59"/>
      <c r="R10" s="59">
        <f t="shared" si="2"/>
        <v>41000</v>
      </c>
      <c r="S10" s="59">
        <v>41000.0</v>
      </c>
      <c r="T10" s="59">
        <f t="shared" si="1"/>
        <v>0</v>
      </c>
      <c r="U10" s="60" t="s">
        <v>59</v>
      </c>
    </row>
    <row r="11">
      <c r="A11" s="10">
        <v>8.0</v>
      </c>
      <c r="B11" s="11" t="s">
        <v>24</v>
      </c>
      <c r="C11" s="59"/>
      <c r="D11" s="59">
        <v>27000.0</v>
      </c>
      <c r="E11" s="59">
        <v>13500.0</v>
      </c>
      <c r="F11" s="59"/>
      <c r="G11" s="59">
        <v>39350.0</v>
      </c>
      <c r="H11" s="59">
        <v>25600.0</v>
      </c>
      <c r="I11" s="59">
        <v>13850.0</v>
      </c>
      <c r="J11" s="59"/>
      <c r="K11" s="59">
        <v>34200.0</v>
      </c>
      <c r="L11" s="59">
        <v>65600.0</v>
      </c>
      <c r="M11" s="59">
        <v>18400.0</v>
      </c>
      <c r="N11" s="59">
        <v>22400.0</v>
      </c>
      <c r="O11" s="59">
        <v>27900.0</v>
      </c>
      <c r="P11" s="59"/>
      <c r="Q11" s="59">
        <v>17900.0</v>
      </c>
      <c r="R11" s="59">
        <f t="shared" ref="R11:R12" si="3">SUM(C11:Q11)</f>
        <v>305700</v>
      </c>
      <c r="S11" s="59"/>
      <c r="T11" s="59">
        <f t="shared" si="1"/>
        <v>305700</v>
      </c>
    </row>
    <row r="12">
      <c r="A12" s="10">
        <v>9.0</v>
      </c>
      <c r="B12" s="11" t="s">
        <v>25</v>
      </c>
      <c r="C12" s="59">
        <v>30500.0</v>
      </c>
      <c r="D12" s="59">
        <v>28900.0</v>
      </c>
      <c r="E12" s="59">
        <v>17950.0</v>
      </c>
      <c r="F12" s="59">
        <v>15150.0</v>
      </c>
      <c r="G12" s="59">
        <v>12800.0</v>
      </c>
      <c r="H12" s="59">
        <v>13200.0</v>
      </c>
      <c r="I12" s="59">
        <v>12650.0</v>
      </c>
      <c r="J12" s="59">
        <v>24500.0</v>
      </c>
      <c r="K12" s="59">
        <v>93050.0</v>
      </c>
      <c r="L12" s="59">
        <v>6100.0</v>
      </c>
      <c r="M12" s="59">
        <v>15650.0</v>
      </c>
      <c r="N12" s="59">
        <v>24400.0</v>
      </c>
      <c r="O12" s="59">
        <v>15000.0</v>
      </c>
      <c r="P12" s="59">
        <v>11000.0</v>
      </c>
      <c r="Q12" s="59">
        <v>9350.0</v>
      </c>
      <c r="R12" s="59">
        <f t="shared" si="3"/>
        <v>330200</v>
      </c>
      <c r="S12" s="59">
        <v>250000.0</v>
      </c>
      <c r="T12" s="59">
        <f t="shared" si="1"/>
        <v>80200</v>
      </c>
    </row>
    <row r="13">
      <c r="A13" s="10">
        <v>10.0</v>
      </c>
      <c r="B13" s="11" t="s">
        <v>26</v>
      </c>
      <c r="C13" s="59">
        <v>29500.0</v>
      </c>
      <c r="D13" s="59"/>
      <c r="E13" s="59"/>
      <c r="F13" s="59">
        <v>10150.0</v>
      </c>
      <c r="G13" s="59"/>
      <c r="H13" s="59">
        <v>5900.0</v>
      </c>
      <c r="I13" s="59"/>
      <c r="J13" s="59"/>
      <c r="K13" s="59">
        <v>41500.0</v>
      </c>
      <c r="L13" s="59"/>
      <c r="M13" s="59">
        <v>12700.0</v>
      </c>
      <c r="N13" s="59"/>
      <c r="O13" s="59">
        <v>20400.0</v>
      </c>
      <c r="P13" s="59"/>
      <c r="Q13" s="59">
        <v>40650.0</v>
      </c>
      <c r="R13" s="59">
        <f t="shared" ref="R13:R24" si="4">SUM(C13:O13)</f>
        <v>120150</v>
      </c>
      <c r="S13" s="59"/>
      <c r="T13" s="59">
        <f t="shared" si="1"/>
        <v>120150</v>
      </c>
    </row>
    <row r="14">
      <c r="A14" s="10">
        <v>11.0</v>
      </c>
      <c r="B14" s="50" t="s">
        <v>27</v>
      </c>
      <c r="C14" s="59">
        <v>24400.0</v>
      </c>
      <c r="D14" s="59">
        <v>56350.0</v>
      </c>
      <c r="E14" s="59">
        <v>34400.0</v>
      </c>
      <c r="F14" s="59">
        <v>20150.0</v>
      </c>
      <c r="G14" s="59">
        <v>28300.0</v>
      </c>
      <c r="H14" s="59">
        <v>7500.0</v>
      </c>
      <c r="I14" s="59">
        <v>86200.0</v>
      </c>
      <c r="J14" s="59">
        <v>40400.0</v>
      </c>
      <c r="K14" s="59"/>
      <c r="L14" s="59"/>
      <c r="M14" s="59"/>
      <c r="N14" s="59"/>
      <c r="O14" s="59"/>
      <c r="P14" s="59"/>
      <c r="Q14" s="59"/>
      <c r="R14" s="59">
        <f t="shared" si="4"/>
        <v>297700</v>
      </c>
      <c r="S14" s="59">
        <v>290000.0</v>
      </c>
      <c r="T14" s="59">
        <f t="shared" si="1"/>
        <v>7700</v>
      </c>
      <c r="U14" s="60" t="s">
        <v>60</v>
      </c>
    </row>
    <row r="15">
      <c r="A15" s="10">
        <v>12.0</v>
      </c>
      <c r="B15" s="17" t="s">
        <v>28</v>
      </c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>
        <f t="shared" si="4"/>
        <v>0</v>
      </c>
      <c r="S15" s="59"/>
      <c r="T15" s="59">
        <f t="shared" si="1"/>
        <v>0</v>
      </c>
    </row>
    <row r="16">
      <c r="A16" s="10">
        <v>13.0</v>
      </c>
      <c r="B16" s="17" t="s">
        <v>29</v>
      </c>
      <c r="C16" s="59">
        <v>8600.0</v>
      </c>
      <c r="D16" s="59">
        <v>22300.0</v>
      </c>
      <c r="E16" s="59"/>
      <c r="F16" s="59">
        <v>4500.0</v>
      </c>
      <c r="G16" s="59"/>
      <c r="H16" s="59">
        <v>15600.0</v>
      </c>
      <c r="I16" s="59"/>
      <c r="J16" s="59"/>
      <c r="K16" s="59">
        <v>34350.0</v>
      </c>
      <c r="L16" s="59"/>
      <c r="M16" s="59">
        <v>7000.0</v>
      </c>
      <c r="N16" s="59">
        <v>24800.0</v>
      </c>
      <c r="O16" s="59"/>
      <c r="P16" s="59"/>
      <c r="Q16" s="59">
        <v>24250.0</v>
      </c>
      <c r="R16" s="59">
        <f t="shared" si="4"/>
        <v>117150</v>
      </c>
      <c r="S16" s="59"/>
      <c r="T16" s="59">
        <f t="shared" si="1"/>
        <v>117150</v>
      </c>
    </row>
    <row r="17">
      <c r="A17" s="10">
        <v>14.0</v>
      </c>
      <c r="B17" s="17" t="s">
        <v>30</v>
      </c>
      <c r="C17" s="59"/>
      <c r="D17" s="59"/>
      <c r="E17" s="59">
        <v>53800.0</v>
      </c>
      <c r="F17" s="59"/>
      <c r="G17" s="59"/>
      <c r="H17" s="59">
        <v>11500.0</v>
      </c>
      <c r="I17" s="59"/>
      <c r="J17" s="59"/>
      <c r="K17" s="59"/>
      <c r="L17" s="59"/>
      <c r="M17" s="59"/>
      <c r="N17" s="59"/>
      <c r="O17" s="59"/>
      <c r="P17" s="59"/>
      <c r="Q17" s="59"/>
      <c r="R17" s="59">
        <f t="shared" si="4"/>
        <v>65300</v>
      </c>
      <c r="S17" s="59"/>
      <c r="T17" s="59">
        <f t="shared" si="1"/>
        <v>65300</v>
      </c>
    </row>
    <row r="18">
      <c r="A18" s="10">
        <v>15.0</v>
      </c>
      <c r="B18" s="17" t="s">
        <v>31</v>
      </c>
      <c r="C18" s="59">
        <v>3200.0</v>
      </c>
      <c r="D18" s="59">
        <v>27600.0</v>
      </c>
      <c r="E18" s="59">
        <v>7500.0</v>
      </c>
      <c r="F18" s="59">
        <v>8000.0</v>
      </c>
      <c r="G18" s="59">
        <v>15800.0</v>
      </c>
      <c r="H18" s="59"/>
      <c r="I18" s="59"/>
      <c r="J18" s="59"/>
      <c r="K18" s="59">
        <v>17500.0</v>
      </c>
      <c r="L18" s="59">
        <v>30100.0</v>
      </c>
      <c r="M18" s="59"/>
      <c r="N18" s="59"/>
      <c r="O18" s="59">
        <v>7000.0</v>
      </c>
      <c r="P18" s="59"/>
      <c r="Q18" s="59"/>
      <c r="R18" s="59">
        <f t="shared" si="4"/>
        <v>116700</v>
      </c>
      <c r="S18" s="59"/>
      <c r="T18" s="59">
        <f t="shared" si="1"/>
        <v>116700</v>
      </c>
    </row>
    <row r="19">
      <c r="A19" s="10">
        <v>16.0</v>
      </c>
      <c r="B19" s="17" t="s">
        <v>32</v>
      </c>
      <c r="C19" s="59"/>
      <c r="D19" s="59">
        <v>36800.0</v>
      </c>
      <c r="E19" s="59">
        <v>107850.0</v>
      </c>
      <c r="F19" s="59"/>
      <c r="G19" s="59">
        <v>23200.0</v>
      </c>
      <c r="H19" s="59"/>
      <c r="I19" s="59">
        <v>50850.0</v>
      </c>
      <c r="J19" s="59">
        <v>24750.0</v>
      </c>
      <c r="K19" s="59">
        <v>18300.0</v>
      </c>
      <c r="L19" s="59">
        <v>22250.0</v>
      </c>
      <c r="M19" s="59"/>
      <c r="N19" s="59"/>
      <c r="O19" s="59">
        <v>28150.0</v>
      </c>
      <c r="P19" s="59"/>
      <c r="Q19" s="59"/>
      <c r="R19" s="59">
        <f t="shared" si="4"/>
        <v>312150</v>
      </c>
      <c r="S19" s="59"/>
      <c r="T19" s="59">
        <f t="shared" si="1"/>
        <v>312150</v>
      </c>
    </row>
    <row r="20">
      <c r="A20" s="10">
        <v>17.0</v>
      </c>
      <c r="B20" s="17" t="s">
        <v>33</v>
      </c>
      <c r="C20" s="59">
        <v>11000.0</v>
      </c>
      <c r="D20" s="59">
        <v>32000.0</v>
      </c>
      <c r="E20" s="59">
        <v>20275.0</v>
      </c>
      <c r="F20" s="59"/>
      <c r="G20" s="59"/>
      <c r="H20" s="59"/>
      <c r="I20" s="59">
        <v>13000.0</v>
      </c>
      <c r="J20" s="59"/>
      <c r="K20" s="59"/>
      <c r="L20" s="59"/>
      <c r="M20" s="59"/>
      <c r="N20" s="59"/>
      <c r="O20" s="59"/>
      <c r="P20" s="59"/>
      <c r="Q20" s="59"/>
      <c r="R20" s="59">
        <f t="shared" si="4"/>
        <v>76275</v>
      </c>
      <c r="S20" s="59">
        <v>70000.0</v>
      </c>
      <c r="T20" s="59">
        <f t="shared" si="1"/>
        <v>6275</v>
      </c>
      <c r="U20" s="60" t="s">
        <v>60</v>
      </c>
    </row>
    <row r="21">
      <c r="A21" s="10">
        <v>18.0</v>
      </c>
      <c r="B21" s="17" t="s">
        <v>34</v>
      </c>
      <c r="C21" s="59"/>
      <c r="D21" s="59"/>
      <c r="E21" s="59">
        <v>34050.0</v>
      </c>
      <c r="F21" s="59">
        <v>33450.0</v>
      </c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>
        <f t="shared" si="4"/>
        <v>67500</v>
      </c>
      <c r="S21" s="59">
        <v>65000.0</v>
      </c>
      <c r="T21" s="59">
        <f t="shared" si="1"/>
        <v>2500</v>
      </c>
      <c r="U21" s="51">
        <v>44844.0</v>
      </c>
    </row>
    <row r="22">
      <c r="A22" s="10">
        <v>19.0</v>
      </c>
      <c r="B22" s="17" t="s">
        <v>35</v>
      </c>
      <c r="C22" s="59">
        <v>22400.0</v>
      </c>
      <c r="D22" s="59">
        <v>22500.0</v>
      </c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>
        <f t="shared" si="4"/>
        <v>44900</v>
      </c>
      <c r="S22" s="59"/>
      <c r="T22" s="59">
        <f t="shared" si="1"/>
        <v>44900</v>
      </c>
    </row>
    <row r="23">
      <c r="A23" s="10">
        <v>20.0</v>
      </c>
      <c r="B23" s="17" t="s">
        <v>36</v>
      </c>
      <c r="C23" s="59">
        <v>7750.0</v>
      </c>
      <c r="D23" s="59">
        <v>13400.0</v>
      </c>
      <c r="E23" s="59">
        <v>15350.0</v>
      </c>
      <c r="F23" s="59"/>
      <c r="G23" s="59">
        <v>20800.0</v>
      </c>
      <c r="H23" s="59"/>
      <c r="I23" s="59">
        <v>16450.0</v>
      </c>
      <c r="J23" s="59"/>
      <c r="K23" s="59"/>
      <c r="L23" s="59"/>
      <c r="M23" s="59"/>
      <c r="N23" s="59"/>
      <c r="O23" s="59"/>
      <c r="P23" s="59"/>
      <c r="Q23" s="59"/>
      <c r="R23" s="59">
        <f t="shared" si="4"/>
        <v>73750</v>
      </c>
      <c r="S23" s="59">
        <v>70000.0</v>
      </c>
      <c r="T23" s="59">
        <f t="shared" si="1"/>
        <v>3750</v>
      </c>
      <c r="U23" s="51">
        <v>44844.0</v>
      </c>
    </row>
    <row r="24">
      <c r="A24" s="10">
        <v>21.0</v>
      </c>
      <c r="B24" s="52" t="s">
        <v>37</v>
      </c>
      <c r="C24" s="59"/>
      <c r="D24" s="59">
        <v>58000.0</v>
      </c>
      <c r="E24" s="59">
        <v>1000.0</v>
      </c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>
        <f t="shared" si="4"/>
        <v>59000</v>
      </c>
      <c r="S24" s="59">
        <v>59000.0</v>
      </c>
      <c r="T24" s="59">
        <f t="shared" si="1"/>
        <v>0</v>
      </c>
      <c r="U24" s="60" t="s">
        <v>59</v>
      </c>
    </row>
    <row r="25">
      <c r="A25" s="10">
        <v>22.0</v>
      </c>
      <c r="B25" s="52" t="s">
        <v>38</v>
      </c>
      <c r="C25" s="59"/>
      <c r="D25" s="59">
        <v>18000.0</v>
      </c>
      <c r="E25" s="59">
        <v>6500.0</v>
      </c>
      <c r="F25" s="59">
        <v>7300.0</v>
      </c>
      <c r="G25" s="59"/>
      <c r="H25" s="59">
        <v>11000.0</v>
      </c>
      <c r="I25" s="59"/>
      <c r="J25" s="59">
        <v>20500.0</v>
      </c>
      <c r="K25" s="59">
        <v>11000.0</v>
      </c>
      <c r="L25" s="59">
        <v>7500.0</v>
      </c>
      <c r="M25" s="59">
        <v>10000.0</v>
      </c>
      <c r="N25" s="59"/>
      <c r="O25" s="59">
        <v>13000.0</v>
      </c>
      <c r="P25" s="59">
        <v>7500.0</v>
      </c>
      <c r="Q25" s="59">
        <v>11000.0</v>
      </c>
      <c r="R25" s="59">
        <f>SUM(C25:Q25)</f>
        <v>123300</v>
      </c>
      <c r="S25" s="59"/>
      <c r="T25" s="59">
        <f t="shared" si="1"/>
        <v>123300</v>
      </c>
    </row>
    <row r="26">
      <c r="A26" s="10">
        <v>23.0</v>
      </c>
      <c r="B26" s="52" t="s">
        <v>39</v>
      </c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>
        <f t="shared" ref="R26:R28" si="5">SUM(C26:O26)</f>
        <v>0</v>
      </c>
      <c r="S26" s="59"/>
      <c r="T26" s="59">
        <f t="shared" si="1"/>
        <v>0</v>
      </c>
    </row>
    <row r="27">
      <c r="A27" s="10">
        <v>24.0</v>
      </c>
      <c r="B27" s="53" t="s">
        <v>40</v>
      </c>
      <c r="C27" s="59"/>
      <c r="D27" s="59">
        <v>4000.0</v>
      </c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>
        <f t="shared" si="5"/>
        <v>4000</v>
      </c>
      <c r="S27" s="59"/>
      <c r="T27" s="59">
        <f t="shared" si="1"/>
        <v>4000</v>
      </c>
    </row>
    <row r="28">
      <c r="A28" s="10">
        <v>25.0</v>
      </c>
      <c r="B28" s="53" t="s">
        <v>41</v>
      </c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>
        <f t="shared" si="5"/>
        <v>0</v>
      </c>
      <c r="S28" s="59"/>
      <c r="T28" s="59">
        <f t="shared" si="1"/>
        <v>0</v>
      </c>
    </row>
    <row r="29">
      <c r="A29" s="10"/>
      <c r="B29" s="52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>
        <f>SUM(C29:K29)</f>
        <v>0</v>
      </c>
      <c r="S29" s="59"/>
      <c r="T29" s="59">
        <f t="shared" si="1"/>
        <v>0</v>
      </c>
    </row>
    <row r="30">
      <c r="B30" s="54"/>
    </row>
    <row r="31">
      <c r="B31" s="61" t="s">
        <v>42</v>
      </c>
      <c r="C31" s="62">
        <v>13.0</v>
      </c>
      <c r="D31" s="62">
        <v>15.0</v>
      </c>
      <c r="E31" s="62">
        <v>14.0</v>
      </c>
      <c r="F31" s="60">
        <v>11.0</v>
      </c>
      <c r="G31" s="62">
        <v>8.0</v>
      </c>
      <c r="H31" s="62">
        <v>11.0</v>
      </c>
      <c r="I31" s="62">
        <v>6.0</v>
      </c>
      <c r="J31" s="62">
        <v>7.0</v>
      </c>
      <c r="K31" s="60">
        <v>10.0</v>
      </c>
      <c r="L31" s="60">
        <v>6.0</v>
      </c>
      <c r="M31" s="60">
        <v>6.0</v>
      </c>
      <c r="N31" s="60">
        <v>7.0</v>
      </c>
      <c r="O31" s="60">
        <v>7.0</v>
      </c>
      <c r="P31" s="60"/>
      <c r="Q31" s="60"/>
    </row>
    <row r="32">
      <c r="B32" s="63" t="s">
        <v>43</v>
      </c>
      <c r="C32" s="64">
        <f t="shared" ref="C32:P32" si="6">SUM(C4:C29)</f>
        <v>243900</v>
      </c>
      <c r="D32" s="64">
        <f t="shared" si="6"/>
        <v>416350</v>
      </c>
      <c r="E32" s="64">
        <f t="shared" si="6"/>
        <v>378575</v>
      </c>
      <c r="F32" s="64">
        <f t="shared" si="6"/>
        <v>253500</v>
      </c>
      <c r="G32" s="64">
        <f t="shared" si="6"/>
        <v>164350</v>
      </c>
      <c r="H32" s="64">
        <f t="shared" si="6"/>
        <v>159400</v>
      </c>
      <c r="I32" s="64">
        <f t="shared" si="6"/>
        <v>193000</v>
      </c>
      <c r="J32" s="64">
        <f t="shared" si="6"/>
        <v>178000</v>
      </c>
      <c r="K32" s="64">
        <f t="shared" si="6"/>
        <v>342350</v>
      </c>
      <c r="L32" s="64">
        <f t="shared" si="6"/>
        <v>156900</v>
      </c>
      <c r="M32" s="64">
        <f t="shared" si="6"/>
        <v>113150</v>
      </c>
      <c r="N32" s="64">
        <f t="shared" si="6"/>
        <v>143600</v>
      </c>
      <c r="O32" s="64">
        <f t="shared" si="6"/>
        <v>130900</v>
      </c>
      <c r="P32" s="64">
        <f t="shared" si="6"/>
        <v>78650</v>
      </c>
      <c r="Q32" s="64">
        <f>sum(Q4:Q29)</f>
        <v>166300</v>
      </c>
      <c r="R32" s="65">
        <f t="shared" ref="R32:T32" si="7">SUM(R4:R29)</f>
        <v>3054025</v>
      </c>
      <c r="S32" s="65">
        <f t="shared" si="7"/>
        <v>1264000</v>
      </c>
      <c r="T32" s="65">
        <f t="shared" si="7"/>
        <v>1790025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20.13"/>
    <col customWidth="1" min="3" max="4" width="22.88"/>
    <col customWidth="1" min="5" max="5" width="17.25"/>
    <col customWidth="1" min="6" max="6" width="45.63"/>
    <col customWidth="1" min="7" max="7" width="23.38"/>
  </cols>
  <sheetData>
    <row r="1">
      <c r="A1" s="66"/>
      <c r="B1" s="67" t="s">
        <v>61</v>
      </c>
      <c r="C1" s="68"/>
      <c r="D1" s="68"/>
      <c r="E1" s="69"/>
      <c r="F1" s="66"/>
    </row>
    <row r="2">
      <c r="A2" s="66"/>
      <c r="B2" s="67" t="s">
        <v>62</v>
      </c>
      <c r="C2" s="68"/>
      <c r="D2" s="68" t="s">
        <v>63</v>
      </c>
      <c r="E2" s="69"/>
      <c r="F2" s="66"/>
    </row>
    <row r="3">
      <c r="A3" s="66"/>
      <c r="B3" s="69"/>
      <c r="C3" s="68"/>
      <c r="D3" s="68"/>
      <c r="E3" s="69"/>
      <c r="F3" s="66"/>
    </row>
    <row r="4">
      <c r="A4" s="66"/>
      <c r="B4" s="69"/>
      <c r="C4" s="68"/>
      <c r="D4" s="68"/>
      <c r="E4" s="69"/>
      <c r="F4" s="66"/>
    </row>
    <row r="5">
      <c r="A5" s="70" t="s">
        <v>64</v>
      </c>
      <c r="B5" s="71" t="s">
        <v>65</v>
      </c>
      <c r="C5" s="58" t="s">
        <v>66</v>
      </c>
      <c r="D5" s="71" t="s">
        <v>67</v>
      </c>
      <c r="E5" s="71" t="s">
        <v>68</v>
      </c>
      <c r="F5" s="71" t="s">
        <v>69</v>
      </c>
      <c r="G5" s="72" t="s">
        <v>70</v>
      </c>
    </row>
    <row r="6">
      <c r="A6" s="10">
        <v>1.0</v>
      </c>
      <c r="B6" s="11" t="s">
        <v>17</v>
      </c>
      <c r="C6" s="10" t="s">
        <v>71</v>
      </c>
      <c r="D6" s="73" t="s">
        <v>72</v>
      </c>
      <c r="E6" s="10">
        <v>3.60430050464003E14</v>
      </c>
      <c r="F6" s="11" t="s">
        <v>73</v>
      </c>
      <c r="G6" s="74" t="s">
        <v>74</v>
      </c>
    </row>
    <row r="7">
      <c r="A7" s="10">
        <v>2.0</v>
      </c>
      <c r="B7" s="11" t="s">
        <v>18</v>
      </c>
      <c r="C7" s="10" t="s">
        <v>75</v>
      </c>
      <c r="D7" s="73" t="s">
        <v>76</v>
      </c>
      <c r="E7" s="10"/>
      <c r="F7" s="11" t="s">
        <v>73</v>
      </c>
      <c r="G7" s="74" t="s">
        <v>74</v>
      </c>
    </row>
    <row r="8">
      <c r="A8" s="10">
        <v>3.0</v>
      </c>
      <c r="B8" s="11" t="s">
        <v>19</v>
      </c>
      <c r="C8" s="10" t="s">
        <v>77</v>
      </c>
      <c r="D8" s="73" t="s">
        <v>78</v>
      </c>
      <c r="E8" s="10">
        <v>3.60430417660001E14</v>
      </c>
      <c r="F8" s="11" t="s">
        <v>73</v>
      </c>
      <c r="G8" s="74" t="s">
        <v>74</v>
      </c>
    </row>
    <row r="9">
      <c r="A9" s="10">
        <v>4.0</v>
      </c>
      <c r="B9" s="11" t="s">
        <v>20</v>
      </c>
      <c r="C9" s="10" t="s">
        <v>79</v>
      </c>
      <c r="D9" s="73" t="s">
        <v>80</v>
      </c>
      <c r="E9" s="10" t="s">
        <v>81</v>
      </c>
      <c r="F9" s="11" t="s">
        <v>82</v>
      </c>
      <c r="G9" s="74" t="s">
        <v>74</v>
      </c>
    </row>
    <row r="10">
      <c r="A10" s="10">
        <v>5.0</v>
      </c>
      <c r="B10" s="11" t="s">
        <v>21</v>
      </c>
      <c r="C10" s="10" t="s">
        <v>83</v>
      </c>
      <c r="D10" s="73" t="s">
        <v>84</v>
      </c>
      <c r="E10" s="10" t="s">
        <v>85</v>
      </c>
      <c r="F10" s="11" t="s">
        <v>73</v>
      </c>
      <c r="G10" s="74" t="s">
        <v>74</v>
      </c>
    </row>
    <row r="11">
      <c r="A11" s="10">
        <v>6.0</v>
      </c>
      <c r="B11" s="11" t="s">
        <v>22</v>
      </c>
      <c r="C11" s="10" t="s">
        <v>86</v>
      </c>
      <c r="D11" s="73" t="s">
        <v>87</v>
      </c>
      <c r="E11" s="10"/>
      <c r="F11" s="11" t="s">
        <v>88</v>
      </c>
      <c r="G11" s="74" t="s">
        <v>74</v>
      </c>
    </row>
    <row r="12">
      <c r="A12" s="10">
        <v>7.0</v>
      </c>
      <c r="B12" s="11" t="s">
        <v>23</v>
      </c>
      <c r="C12" s="10" t="s">
        <v>89</v>
      </c>
      <c r="D12" s="73" t="s">
        <v>90</v>
      </c>
      <c r="E12" s="10"/>
      <c r="F12" s="11" t="s">
        <v>73</v>
      </c>
      <c r="G12" s="74" t="s">
        <v>74</v>
      </c>
    </row>
    <row r="13">
      <c r="A13" s="10">
        <v>8.0</v>
      </c>
      <c r="B13" s="11" t="s">
        <v>24</v>
      </c>
      <c r="C13" s="10" t="s">
        <v>91</v>
      </c>
      <c r="D13" s="73" t="s">
        <v>92</v>
      </c>
      <c r="E13" s="10" t="s">
        <v>93</v>
      </c>
      <c r="F13" s="11" t="s">
        <v>94</v>
      </c>
      <c r="G13" s="74" t="s">
        <v>74</v>
      </c>
    </row>
    <row r="14">
      <c r="A14" s="10">
        <v>9.0</v>
      </c>
      <c r="B14" s="11" t="s">
        <v>25</v>
      </c>
      <c r="C14" s="10" t="s">
        <v>95</v>
      </c>
      <c r="D14" s="73" t="s">
        <v>96</v>
      </c>
      <c r="E14" s="10" t="s">
        <v>97</v>
      </c>
      <c r="F14" s="11" t="s">
        <v>98</v>
      </c>
      <c r="G14" s="74" t="s">
        <v>74</v>
      </c>
    </row>
    <row r="15">
      <c r="A15" s="10">
        <v>10.0</v>
      </c>
      <c r="B15" s="11" t="s">
        <v>26</v>
      </c>
      <c r="C15" s="10" t="s">
        <v>99</v>
      </c>
      <c r="D15" s="73" t="s">
        <v>100</v>
      </c>
      <c r="E15" s="10" t="s">
        <v>101</v>
      </c>
      <c r="F15" s="11" t="s">
        <v>102</v>
      </c>
      <c r="G15" s="74" t="s">
        <v>74</v>
      </c>
    </row>
    <row r="16">
      <c r="A16" s="75">
        <v>11.0</v>
      </c>
      <c r="B16" s="50" t="s">
        <v>27</v>
      </c>
      <c r="C16" s="10" t="s">
        <v>103</v>
      </c>
      <c r="D16" s="76" t="s">
        <v>104</v>
      </c>
      <c r="E16" s="74" t="s">
        <v>105</v>
      </c>
      <c r="F16" s="11" t="s">
        <v>102</v>
      </c>
      <c r="G16" s="74" t="s">
        <v>74</v>
      </c>
    </row>
    <row r="17">
      <c r="A17" s="10">
        <v>12.0</v>
      </c>
      <c r="B17" s="17" t="s">
        <v>28</v>
      </c>
      <c r="C17" s="10" t="s">
        <v>106</v>
      </c>
      <c r="D17" s="77" t="s">
        <v>107</v>
      </c>
      <c r="E17" s="77" t="s">
        <v>108</v>
      </c>
      <c r="F17" s="11" t="s">
        <v>102</v>
      </c>
      <c r="G17" s="74" t="s">
        <v>74</v>
      </c>
    </row>
    <row r="18">
      <c r="A18" s="75">
        <v>13.0</v>
      </c>
      <c r="B18" s="17" t="s">
        <v>29</v>
      </c>
      <c r="C18" s="10" t="s">
        <v>109</v>
      </c>
      <c r="D18" s="77" t="s">
        <v>110</v>
      </c>
      <c r="E18" s="78" t="s">
        <v>111</v>
      </c>
      <c r="F18" s="11" t="s">
        <v>102</v>
      </c>
      <c r="G18" s="74" t="s">
        <v>74</v>
      </c>
    </row>
    <row r="19">
      <c r="A19" s="10">
        <v>14.0</v>
      </c>
      <c r="B19" s="17" t="s">
        <v>30</v>
      </c>
      <c r="C19" s="10" t="s">
        <v>112</v>
      </c>
      <c r="D19" s="79"/>
      <c r="E19" s="78" t="s">
        <v>113</v>
      </c>
      <c r="F19" s="11" t="s">
        <v>102</v>
      </c>
      <c r="G19" s="74" t="s">
        <v>74</v>
      </c>
    </row>
    <row r="20">
      <c r="A20" s="75">
        <v>15.0</v>
      </c>
      <c r="B20" s="17" t="s">
        <v>31</v>
      </c>
      <c r="C20" s="10" t="s">
        <v>114</v>
      </c>
      <c r="D20" s="77" t="s">
        <v>115</v>
      </c>
      <c r="E20" s="78" t="s">
        <v>116</v>
      </c>
      <c r="F20" s="11" t="s">
        <v>102</v>
      </c>
      <c r="G20" s="74" t="s">
        <v>74</v>
      </c>
    </row>
    <row r="21">
      <c r="A21" s="10">
        <v>16.0</v>
      </c>
      <c r="B21" s="17" t="s">
        <v>32</v>
      </c>
      <c r="C21" s="10" t="s">
        <v>117</v>
      </c>
      <c r="D21" s="77" t="s">
        <v>118</v>
      </c>
      <c r="E21" s="78">
        <v>3.60430407730002E14</v>
      </c>
      <c r="F21" s="11" t="s">
        <v>102</v>
      </c>
      <c r="G21" s="74" t="s">
        <v>74</v>
      </c>
    </row>
    <row r="22">
      <c r="A22" s="75">
        <v>17.0</v>
      </c>
      <c r="B22" s="17" t="s">
        <v>33</v>
      </c>
      <c r="C22" s="10" t="s">
        <v>119</v>
      </c>
      <c r="D22" s="77" t="s">
        <v>120</v>
      </c>
      <c r="E22" s="78" t="s">
        <v>121</v>
      </c>
      <c r="F22" s="11" t="s">
        <v>102</v>
      </c>
      <c r="G22" s="74" t="s">
        <v>74</v>
      </c>
    </row>
    <row r="23">
      <c r="A23" s="10">
        <v>18.0</v>
      </c>
      <c r="B23" s="17" t="s">
        <v>34</v>
      </c>
      <c r="C23" s="10" t="s">
        <v>122</v>
      </c>
      <c r="D23" s="77" t="s">
        <v>123</v>
      </c>
      <c r="E23" s="78">
        <v>3.67204560980001E14</v>
      </c>
      <c r="F23" s="11" t="s">
        <v>102</v>
      </c>
      <c r="G23" s="74" t="s">
        <v>74</v>
      </c>
    </row>
    <row r="24">
      <c r="A24" s="75">
        <v>19.0</v>
      </c>
      <c r="B24" s="17" t="s">
        <v>35</v>
      </c>
      <c r="C24" s="10" t="s">
        <v>124</v>
      </c>
      <c r="D24" s="77" t="s">
        <v>125</v>
      </c>
      <c r="E24" s="78" t="s">
        <v>126</v>
      </c>
      <c r="F24" s="11" t="s">
        <v>102</v>
      </c>
      <c r="G24" s="74" t="s">
        <v>74</v>
      </c>
    </row>
    <row r="25">
      <c r="A25" s="10">
        <v>20.0</v>
      </c>
      <c r="B25" s="17" t="s">
        <v>36</v>
      </c>
      <c r="C25" s="10" t="s">
        <v>127</v>
      </c>
      <c r="D25" s="77" t="s">
        <v>128</v>
      </c>
      <c r="E25" s="78" t="s">
        <v>129</v>
      </c>
      <c r="F25" s="11" t="s">
        <v>102</v>
      </c>
      <c r="G25" s="74" t="s">
        <v>74</v>
      </c>
    </row>
    <row r="26">
      <c r="A26" s="10">
        <v>21.0</v>
      </c>
      <c r="B26" s="52" t="s">
        <v>37</v>
      </c>
      <c r="C26" s="10" t="s">
        <v>130</v>
      </c>
      <c r="D26" s="80" t="s">
        <v>131</v>
      </c>
      <c r="E26" s="81" t="s">
        <v>132</v>
      </c>
      <c r="F26" s="82" t="s">
        <v>133</v>
      </c>
      <c r="G26" s="74" t="s">
        <v>74</v>
      </c>
    </row>
    <row r="27">
      <c r="A27" s="75">
        <v>22.0</v>
      </c>
      <c r="B27" s="52" t="s">
        <v>38</v>
      </c>
      <c r="C27" s="10" t="s">
        <v>134</v>
      </c>
      <c r="D27" s="80" t="s">
        <v>135</v>
      </c>
      <c r="E27" s="81" t="s">
        <v>136</v>
      </c>
      <c r="F27" s="82" t="s">
        <v>133</v>
      </c>
      <c r="G27" s="74" t="s">
        <v>74</v>
      </c>
    </row>
    <row r="28">
      <c r="A28" s="10">
        <v>23.0</v>
      </c>
      <c r="B28" s="52" t="s">
        <v>39</v>
      </c>
      <c r="C28" s="10" t="s">
        <v>137</v>
      </c>
      <c r="D28" s="80" t="s">
        <v>138</v>
      </c>
      <c r="E28" s="81" t="s">
        <v>139</v>
      </c>
      <c r="F28" s="82" t="s">
        <v>133</v>
      </c>
      <c r="G28" s="74" t="s">
        <v>74</v>
      </c>
    </row>
    <row r="29">
      <c r="A29" s="75">
        <v>24.0</v>
      </c>
      <c r="B29" s="11" t="s">
        <v>40</v>
      </c>
      <c r="C29" s="10" t="s">
        <v>140</v>
      </c>
      <c r="D29" s="73" t="s">
        <v>141</v>
      </c>
      <c r="E29" s="83"/>
      <c r="F29" s="82" t="s">
        <v>133</v>
      </c>
      <c r="G29" s="74" t="s">
        <v>74</v>
      </c>
    </row>
    <row r="30">
      <c r="A30" s="10">
        <v>25.0</v>
      </c>
      <c r="B30" s="53" t="s">
        <v>41</v>
      </c>
      <c r="C30" s="10" t="s">
        <v>142</v>
      </c>
      <c r="D30" s="83"/>
      <c r="E30" s="83"/>
      <c r="F30" s="82" t="s">
        <v>133</v>
      </c>
      <c r="G30" s="74" t="s">
        <v>74</v>
      </c>
    </row>
  </sheetData>
  <drawing r:id="rId1"/>
</worksheet>
</file>