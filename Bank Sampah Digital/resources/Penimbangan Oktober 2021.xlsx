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 05" sheetId="1" r:id="rId4"/>
    <sheet state="visible" name="RT 4" sheetId="2" r:id="rId5"/>
    <sheet state="visible" name="RT 3 " sheetId="3" r:id="rId6"/>
    <sheet state="visible" name="RT 2" sheetId="4" r:id="rId7"/>
    <sheet state="visible" name="RT 1" sheetId="5" r:id="rId8"/>
    <sheet state="visible" name="TOTAL SAMPAH" sheetId="6" r:id="rId9"/>
  </sheets>
  <definedNames/>
  <calcPr/>
  <extLst>
    <ext uri="GoogleSheetsCustomDataVersion1">
      <go:sheetsCustomData xmlns:go="http://customooxmlschemas.google.com/" r:id="rId10" roundtripDataSignature="AMtx7mg64ee0mhdJ2Jrig94xZNs9CEimnA=="/>
    </ext>
  </extLst>
</workbook>
</file>

<file path=xl/sharedStrings.xml><?xml version="1.0" encoding="utf-8"?>
<sst xmlns="http://schemas.openxmlformats.org/spreadsheetml/2006/main" count="1812" uniqueCount="105">
  <si>
    <t>Data Penimbangan Bulan  2021</t>
  </si>
  <si>
    <t>Rekap Barang</t>
  </si>
  <si>
    <t>No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</si>
  <si>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</si>
  <si>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</si>
  <si>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</si>
  <si>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</si>
  <si>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</si>
  <si>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</si>
  <si>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</si>
  <si>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Muntadiroh</t>
  </si>
  <si>
    <t>Gelas bersih</t>
  </si>
  <si>
    <t>Botol bersih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</si>
  <si>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</si>
  <si>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</si>
  <si>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</si>
  <si>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</si>
  <si>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</si>
  <si>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</si>
  <si>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</si>
  <si>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</si>
  <si>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</si>
  <si>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</si>
  <si>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</si>
  <si>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</si>
  <si>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</si>
  <si>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</si>
  <si>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</si>
  <si>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</si>
  <si>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</si>
  <si>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</si>
  <si>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</si>
  <si>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</si>
  <si>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Beling</t>
  </si>
  <si>
    <t>Pecahan</t>
  </si>
  <si>
    <t>Sendal/Sepatu</t>
  </si>
  <si>
    <t>Paku</t>
  </si>
  <si>
    <t>Minyak Jelantah</t>
  </si>
  <si>
    <t>Lainnya</t>
  </si>
  <si>
    <t>tubagus heriyansah</t>
  </si>
  <si>
    <t>Plastik</t>
  </si>
  <si>
    <t>Kertas</t>
  </si>
  <si>
    <t>Logam</t>
  </si>
  <si>
    <t>Multilayer</t>
  </si>
  <si>
    <t>Nining Ispramiyanti</t>
  </si>
  <si>
    <t>Sri Sarjiyah</t>
  </si>
  <si>
    <t>Muhtani</t>
  </si>
  <si>
    <t>murnah</t>
  </si>
  <si>
    <t>herna</t>
  </si>
  <si>
    <t>hayanah</t>
  </si>
  <si>
    <t>surnah</t>
  </si>
  <si>
    <t>sanudin</t>
  </si>
  <si>
    <t>masruroh</t>
  </si>
  <si>
    <t>Ajis</t>
  </si>
  <si>
    <t>Khasiah</t>
  </si>
  <si>
    <t>Total Transaksi</t>
  </si>
  <si>
    <t>Fee</t>
  </si>
  <si>
    <t>Mulyanah</t>
  </si>
  <si>
    <t>Masroh</t>
  </si>
  <si>
    <t>Muhidin</t>
  </si>
  <si>
    <t>ibu wawan</t>
  </si>
  <si>
    <t>yusuf</t>
  </si>
  <si>
    <t>Rohanah</t>
  </si>
  <si>
    <t>Arifudin</t>
  </si>
  <si>
    <t>Eti</t>
  </si>
  <si>
    <t>Sutilah</t>
  </si>
  <si>
    <t>Hj. Mutmainah</t>
  </si>
  <si>
    <t>hafifah 3</t>
  </si>
  <si>
    <t>bayinah 3</t>
  </si>
  <si>
    <t>Hamidah</t>
  </si>
  <si>
    <t>hikmatur rochman 3</t>
  </si>
  <si>
    <t>Rosilawati</t>
  </si>
  <si>
    <t>hadijah 3</t>
  </si>
  <si>
    <t>mjuheri 3</t>
  </si>
  <si>
    <t>hasnawati</t>
  </si>
  <si>
    <t>ani maelani</t>
  </si>
  <si>
    <t>tuti aisyah 3</t>
  </si>
  <si>
    <t>nunung</t>
  </si>
  <si>
    <t>yesi rahmawati3</t>
  </si>
  <si>
    <t>Hidayatullah 3</t>
  </si>
  <si>
    <t>masfuah</t>
  </si>
  <si>
    <t>supri</t>
  </si>
  <si>
    <t>Neneng Hermawati 2</t>
  </si>
  <si>
    <t>Novariah 2</t>
  </si>
  <si>
    <t>Asmawati 2</t>
  </si>
  <si>
    <t>hernawati 2</t>
  </si>
  <si>
    <t>yuni oktafani 2</t>
  </si>
  <si>
    <t>Siti Aminah</t>
  </si>
  <si>
    <t>Bayinah</t>
  </si>
  <si>
    <t>Julehah</t>
  </si>
  <si>
    <t>Nursiyah</t>
  </si>
  <si>
    <t>Dede Yustiana</t>
  </si>
  <si>
    <t>khodiyah Baru</t>
  </si>
  <si>
    <t>TOTAL SAMPAH OKTOBER TERANGKUT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</si>
  <si>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</si>
  <si>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</si>
  <si>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</si>
  <si>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</si>
  <si>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</si>
  <si>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</si>
  <si>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</si>
  <si>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</si>
  <si>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</si>
  <si>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Botol bersih putih</t>
  </si>
  <si>
    <t>Botol Warna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</si>
</sst>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sz val="10.0"/>
      <color theme="1"/>
      <name val="Arial"/>
    </font>
    <font>
      <b/>
      <sz val="12.0"/>
      <color theme="1"/>
      <name val="Arial"/>
    </font>
    <font/>
    <font>
      <b/>
      <sz val="11.0"/>
      <color theme="1"/>
      <name val="Arial"/>
    </font>
    <font>
      <b/>
      <sz val="12.0"/>
      <color rgb="FF000000"/>
      <name val="Arial"/>
    </font>
    <font>
      <sz val="12.0"/>
      <color theme="1"/>
      <name val="Arial"/>
    </font>
    <font>
      <sz val="12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>
      <b/>
      <sz val="11.0"/>
      <color rgb="FF000000"/>
      <name val="Arial"/>
    </font>
    <font>
      <b/>
      <sz val="11.0"/>
      <color rgb="FF000000"/>
      <name val="Times New Roman"/>
    </font>
    <font>
      <sz val="11.0"/>
      <color rgb="FF000000"/>
      <name val="Times New Roman"/>
    </font>
    <font>
      <sz val="10.0"/>
      <color theme="1"/>
      <name val="Times New Roman"/>
    </font>
    <font>
      <sz val="10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4CCCC"/>
        <bgColor rgb="FFF4CCCC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</border>
    <border>
      <left style="medium">
        <color rgb="FFCCCCCC"/>
      </left>
      <top style="medium">
        <color rgb="FFCCCCCC"/>
      </top>
    </border>
    <border>
      <top style="medium">
        <color rgb="FFCCCCCC"/>
      </top>
    </border>
    <border>
      <right style="medium">
        <color rgb="FFCCCCCC"/>
      </right>
      <top style="medium">
        <color rgb="FFCCCCCC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</border>
    <border>
      <top style="medium">
        <color rgb="FFCCCCCC"/>
      </top>
      <bottom style="medium">
        <color rgb="FFCCCCCC"/>
      </bottom>
    </border>
    <border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Font="1"/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horizontal="center"/>
    </xf>
    <xf borderId="5" fillId="0" fontId="3" numFmtId="0" xfId="0" applyBorder="1" applyFont="1"/>
    <xf borderId="6" fillId="0" fontId="1" numFmtId="0" xfId="0" applyAlignment="1" applyBorder="1" applyFont="1">
      <alignment vertical="center"/>
    </xf>
    <xf borderId="6" fillId="0" fontId="1" numFmtId="0" xfId="0" applyBorder="1" applyFont="1"/>
    <xf borderId="7" fillId="0" fontId="3" numFmtId="0" xfId="0" applyBorder="1" applyFont="1"/>
    <xf borderId="8" fillId="0" fontId="3" numFmtId="0" xfId="0" applyBorder="1" applyFont="1"/>
    <xf borderId="6" fillId="0" fontId="5" numFmtId="0" xfId="0" applyAlignment="1" applyBorder="1" applyFont="1">
      <alignment horizontal="center" vertical="center"/>
    </xf>
    <xf borderId="6" fillId="0" fontId="5" numFmtId="0" xfId="0" applyBorder="1" applyFont="1"/>
    <xf borderId="6" fillId="0" fontId="5" numFmtId="0" xfId="0" applyAlignment="1" applyBorder="1" applyFont="1">
      <alignment horizontal="center"/>
    </xf>
    <xf borderId="6" fillId="0" fontId="6" numFmtId="0" xfId="0" applyAlignment="1" applyBorder="1" applyFont="1">
      <alignment horizontal="center"/>
    </xf>
    <xf borderId="9" fillId="0" fontId="7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6" fillId="0" fontId="7" numFmtId="0" xfId="0" applyBorder="1" applyFont="1"/>
    <xf borderId="6" fillId="0" fontId="1" numFmtId="0" xfId="0" applyAlignment="1" applyBorder="1" applyFont="1">
      <alignment horizontal="center"/>
    </xf>
    <xf borderId="6" fillId="0" fontId="8" numFmtId="0" xfId="0" applyAlignment="1" applyBorder="1" applyFont="1">
      <alignment horizontal="center"/>
    </xf>
    <xf borderId="6" fillId="0" fontId="7" numFmtId="0" xfId="0" applyAlignment="1" applyBorder="1" applyFont="1">
      <alignment horizontal="center"/>
    </xf>
    <xf borderId="9" fillId="0" fontId="8" numFmtId="0" xfId="0" applyAlignment="1" applyBorder="1" applyFont="1">
      <alignment horizontal="center" vertical="center"/>
    </xf>
    <xf borderId="10" fillId="0" fontId="3" numFmtId="0" xfId="0" applyBorder="1" applyFont="1"/>
    <xf borderId="6" fillId="0" fontId="9" numFmtId="0" xfId="0" applyAlignment="1" applyBorder="1" applyFont="1">
      <alignment horizontal="center"/>
    </xf>
    <xf borderId="11" fillId="0" fontId="3" numFmtId="0" xfId="0" applyBorder="1" applyFont="1"/>
    <xf borderId="6" fillId="0" fontId="10" numFmtId="0" xfId="0" applyAlignment="1" applyBorder="1" applyFont="1">
      <alignment horizontal="center" shrinkToFit="0" vertical="top" wrapText="1"/>
    </xf>
    <xf borderId="6" fillId="0" fontId="8" numFmtId="0" xfId="0" applyAlignment="1" applyBorder="1" applyFont="1">
      <alignment horizontal="center" shrinkToFit="0" vertical="top" wrapText="1"/>
    </xf>
    <xf borderId="9" fillId="2" fontId="1" numFmtId="0" xfId="0" applyAlignment="1" applyBorder="1" applyFill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9" fillId="0" fontId="1" numFmtId="0" xfId="0" applyAlignment="1" applyBorder="1" applyFont="1">
      <alignment vertical="center"/>
    </xf>
    <xf borderId="1" fillId="0" fontId="7" numFmtId="0" xfId="0" applyAlignment="1" applyBorder="1" applyFont="1">
      <alignment horizontal="center" vertical="center"/>
    </xf>
    <xf borderId="6" fillId="0" fontId="10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center" shrinkToFit="0" vertical="center" wrapText="1"/>
    </xf>
    <xf borderId="9" fillId="3" fontId="1" numFmtId="0" xfId="0" applyAlignment="1" applyBorder="1" applyFill="1" applyFont="1">
      <alignment horizontal="center" vertical="center"/>
    </xf>
    <xf borderId="12" fillId="0" fontId="3" numFmtId="0" xfId="0" applyBorder="1" applyFont="1"/>
    <xf borderId="9" fillId="0" fontId="7" numFmtId="0" xfId="0" applyBorder="1" applyFont="1"/>
    <xf borderId="9" fillId="0" fontId="1" numFmtId="0" xfId="0" applyAlignment="1" applyBorder="1" applyFont="1">
      <alignment horizontal="center"/>
    </xf>
    <xf borderId="9" fillId="0" fontId="8" numFmtId="0" xfId="0" applyAlignment="1" applyBorder="1" applyFont="1">
      <alignment horizontal="center"/>
    </xf>
    <xf borderId="9" fillId="0" fontId="7" numFmtId="0" xfId="0" applyAlignment="1" applyBorder="1" applyFont="1">
      <alignment horizontal="center"/>
    </xf>
    <xf borderId="13" fillId="0" fontId="1" numFmtId="0" xfId="0" applyBorder="1" applyFont="1"/>
    <xf borderId="9" fillId="0" fontId="8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shrinkToFit="0" wrapText="1"/>
    </xf>
    <xf borderId="6" fillId="0" fontId="8" numFmtId="0" xfId="0" applyAlignment="1" applyBorder="1" applyFont="1">
      <alignment shrinkToFit="0" wrapText="1"/>
    </xf>
    <xf borderId="6" fillId="0" fontId="8" numFmtId="0" xfId="0" applyAlignment="1" applyBorder="1" applyFont="1">
      <alignment horizontal="center" shrinkToFit="0" wrapText="1"/>
    </xf>
    <xf borderId="6" fillId="0" fontId="7" numFmtId="0" xfId="0" applyAlignment="1" applyBorder="1" applyFont="1">
      <alignment horizontal="center" shrinkToFit="0" wrapText="1"/>
    </xf>
    <xf borderId="4" fillId="0" fontId="7" numFmtId="0" xfId="0" applyAlignment="1" applyBorder="1" applyFont="1">
      <alignment horizontal="center" vertical="center"/>
    </xf>
    <xf borderId="10" fillId="0" fontId="8" numFmtId="0" xfId="0" applyAlignment="1" applyBorder="1" applyFont="1">
      <alignment horizontal="center" shrinkToFit="0" vertical="center" wrapText="1"/>
    </xf>
    <xf borderId="11" fillId="0" fontId="7" numFmtId="0" xfId="0" applyAlignment="1" applyBorder="1" applyFont="1">
      <alignment shrinkToFit="0" wrapText="1"/>
    </xf>
    <xf borderId="11" fillId="0" fontId="8" numFmtId="0" xfId="0" applyAlignment="1" applyBorder="1" applyFont="1">
      <alignment shrinkToFit="0" wrapText="1"/>
    </xf>
    <xf borderId="11" fillId="0" fontId="8" numFmtId="0" xfId="0" applyAlignment="1" applyBorder="1" applyFont="1">
      <alignment horizontal="center" shrinkToFit="0" wrapText="1"/>
    </xf>
    <xf borderId="11" fillId="0" fontId="7" numFmtId="0" xfId="0" applyAlignment="1" applyBorder="1" applyFont="1">
      <alignment horizontal="center" shrinkToFit="0" wrapText="1"/>
    </xf>
    <xf borderId="13" fillId="0" fontId="3" numFmtId="0" xfId="0" applyBorder="1" applyFont="1"/>
    <xf borderId="11" fillId="0" fontId="8" numFmtId="0" xfId="0" applyAlignment="1" applyBorder="1" applyFont="1">
      <alignment horizontal="center" vertical="center"/>
    </xf>
    <xf borderId="14" fillId="0" fontId="11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17" fillId="0" fontId="12" numFmtId="0" xfId="0" applyAlignment="1" applyBorder="1" applyFont="1">
      <alignment shrinkToFit="0" vertical="center" wrapText="1"/>
    </xf>
    <xf borderId="18" fillId="0" fontId="12" numFmtId="0" xfId="0" applyAlignment="1" applyBorder="1" applyFont="1">
      <alignment shrinkToFit="0" vertical="center" wrapText="1"/>
    </xf>
    <xf borderId="9" fillId="4" fontId="11" numFmtId="0" xfId="0" applyAlignment="1" applyBorder="1" applyFill="1" applyFont="1">
      <alignment horizontal="center" shrinkToFit="0" vertical="center" wrapText="1"/>
    </xf>
    <xf borderId="1" fillId="4" fontId="11" numFmtId="0" xfId="0" applyAlignment="1" applyBorder="1" applyFont="1">
      <alignment horizontal="center" shrinkToFit="0" vertical="center" wrapText="1"/>
    </xf>
    <xf borderId="19" fillId="0" fontId="12" numFmtId="0" xfId="0" applyAlignment="1" applyBorder="1" applyFont="1">
      <alignment shrinkToFit="0" vertical="center" wrapText="1"/>
    </xf>
    <xf borderId="6" fillId="4" fontId="11" numFmtId="0" xfId="0" applyAlignment="1" applyBorder="1" applyFont="1">
      <alignment horizontal="center" shrinkToFit="0" vertical="center" wrapText="1"/>
    </xf>
    <xf borderId="6" fillId="0" fontId="11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shrinkToFit="0" vertical="center" wrapText="1"/>
    </xf>
    <xf borderId="6" fillId="0" fontId="13" numFmtId="0" xfId="0" applyAlignment="1" applyBorder="1" applyFont="1">
      <alignment horizontal="center"/>
    </xf>
    <xf borderId="6" fillId="2" fontId="11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20" fillId="0" fontId="12" numFmtId="0" xfId="0" applyAlignment="1" applyBorder="1" applyFont="1">
      <alignment shrinkToFit="0" vertical="center" wrapText="1"/>
    </xf>
    <xf borderId="21" fillId="0" fontId="12" numFmtId="0" xfId="0" applyAlignment="1" applyBorder="1" applyFont="1">
      <alignment shrinkToFit="0" vertical="center" wrapText="1"/>
    </xf>
    <xf borderId="22" fillId="0" fontId="12" numFmtId="0" xfId="0" applyAlignment="1" applyBorder="1" applyFont="1">
      <alignment shrinkToFit="0" vertical="center" wrapText="1"/>
    </xf>
    <xf borderId="0" fillId="0" fontId="1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  <col customWidth="1" min="14" max="14" width="17.63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10</v>
      </c>
      <c r="C5" s="18" t="s">
        <v>11</v>
      </c>
      <c r="D5" s="19"/>
      <c r="E5" s="20">
        <v>5000.0</v>
      </c>
      <c r="F5" s="21">
        <f t="shared" ref="F5:F228" si="1">D5*E5</f>
        <v>0</v>
      </c>
      <c r="G5" s="22">
        <f>SUM(F5:F32)</f>
        <v>11800</v>
      </c>
      <c r="H5" s="2"/>
      <c r="I5" s="18" t="s">
        <v>11</v>
      </c>
      <c r="J5" s="15">
        <f>SUMIF(C5:C369,"Gelas bersih",D5:D369)</f>
        <v>0.5</v>
      </c>
      <c r="K5" s="2"/>
    </row>
    <row r="6" ht="15.75" customHeight="1">
      <c r="A6" s="23"/>
      <c r="B6" s="23"/>
      <c r="C6" s="18" t="s">
        <v>12</v>
      </c>
      <c r="D6" s="19"/>
      <c r="E6" s="20">
        <v>3000.0</v>
      </c>
      <c r="F6" s="21">
        <f t="shared" si="1"/>
        <v>0</v>
      </c>
      <c r="G6" s="23"/>
      <c r="H6" s="2"/>
      <c r="I6" s="18" t="s">
        <v>12</v>
      </c>
      <c r="J6" s="15">
        <f>SUMIF(C6:C370,"Botol bersih",D6:D370)</f>
        <v>1</v>
      </c>
      <c r="K6" s="2"/>
    </row>
    <row r="7" ht="15.75" customHeight="1">
      <c r="A7" s="23"/>
      <c r="B7" s="23"/>
      <c r="C7" s="18" t="s">
        <v>13</v>
      </c>
      <c r="D7" s="19"/>
      <c r="E7" s="20">
        <v>1000.0</v>
      </c>
      <c r="F7" s="21">
        <f t="shared" si="1"/>
        <v>0</v>
      </c>
      <c r="G7" s="23"/>
      <c r="H7" s="2"/>
      <c r="I7" s="18" t="s">
        <v>13</v>
      </c>
      <c r="J7" s="15">
        <f>SUMIF(C7:C371,"Botol Warna",D7:D371)</f>
        <v>0</v>
      </c>
      <c r="K7" s="2"/>
    </row>
    <row r="8" ht="15.75" customHeight="1">
      <c r="A8" s="23"/>
      <c r="B8" s="23"/>
      <c r="C8" s="18" t="s">
        <v>14</v>
      </c>
      <c r="D8" s="19"/>
      <c r="E8" s="20">
        <v>2800.0</v>
      </c>
      <c r="F8" s="21">
        <f t="shared" si="1"/>
        <v>0</v>
      </c>
      <c r="G8" s="23"/>
      <c r="H8" s="2"/>
      <c r="I8" s="18" t="s">
        <v>14</v>
      </c>
      <c r="J8" s="15">
        <f>SUMIF(C8:C372,"Tutup botol",D8:D372)</f>
        <v>0</v>
      </c>
      <c r="K8" s="2"/>
    </row>
    <row r="9" ht="15.75" customHeight="1">
      <c r="A9" s="23"/>
      <c r="B9" s="23"/>
      <c r="C9" s="18" t="s">
        <v>15</v>
      </c>
      <c r="D9" s="19"/>
      <c r="E9" s="20">
        <v>3500.0</v>
      </c>
      <c r="F9" s="21">
        <f t="shared" si="1"/>
        <v>0</v>
      </c>
      <c r="G9" s="23"/>
      <c r="H9" s="2"/>
      <c r="I9" s="18" t="s">
        <v>15</v>
      </c>
      <c r="J9" s="15">
        <f>SUMIF(C9:C373,"Tutup galon",D9:D373)</f>
        <v>0</v>
      </c>
      <c r="K9" s="2"/>
    </row>
    <row r="10" ht="15.75" customHeight="1">
      <c r="A10" s="23"/>
      <c r="B10" s="23"/>
      <c r="C10" s="18" t="s">
        <v>16</v>
      </c>
      <c r="D10" s="19">
        <v>3.0</v>
      </c>
      <c r="E10" s="20">
        <v>1000.0</v>
      </c>
      <c r="F10" s="21">
        <f t="shared" si="1"/>
        <v>3000</v>
      </c>
      <c r="G10" s="23"/>
      <c r="H10" s="2"/>
      <c r="I10" s="18" t="s">
        <v>16</v>
      </c>
      <c r="J10" s="15">
        <f>SUMIF(C10:C374,"Hitam",D10:D374)</f>
        <v>40</v>
      </c>
      <c r="K10" s="2"/>
    </row>
    <row r="11" ht="15.75" customHeight="1">
      <c r="A11" s="23"/>
      <c r="B11" s="23"/>
      <c r="C11" s="18" t="s">
        <v>17</v>
      </c>
      <c r="D11" s="19">
        <v>3.5</v>
      </c>
      <c r="E11" s="20">
        <v>2000.0</v>
      </c>
      <c r="F11" s="21">
        <f t="shared" si="1"/>
        <v>7000</v>
      </c>
      <c r="G11" s="23"/>
      <c r="H11" s="2"/>
      <c r="I11" s="18" t="s">
        <v>17</v>
      </c>
      <c r="J11" s="15">
        <f>SUMIF(C11:C375,"Plastik Campur",D11:D375)</f>
        <v>23</v>
      </c>
      <c r="K11" s="2"/>
    </row>
    <row r="12" ht="15.75" customHeight="1">
      <c r="A12" s="23"/>
      <c r="B12" s="23"/>
      <c r="C12" s="18" t="s">
        <v>18</v>
      </c>
      <c r="D12" s="19"/>
      <c r="E12" s="20">
        <v>2000.0</v>
      </c>
      <c r="F12" s="21">
        <f t="shared" si="1"/>
        <v>0</v>
      </c>
      <c r="G12" s="23"/>
      <c r="H12" s="2"/>
      <c r="I12" s="18" t="s">
        <v>18</v>
      </c>
      <c r="J12" s="15">
        <f>SUMIF(C12:C376,"Kardus",D12:D376)</f>
        <v>20.5</v>
      </c>
      <c r="K12" s="2"/>
    </row>
    <row r="13" ht="15.75" customHeight="1">
      <c r="A13" s="23"/>
      <c r="B13" s="23"/>
      <c r="C13" s="18" t="s">
        <v>19</v>
      </c>
      <c r="D13" s="19"/>
      <c r="E13" s="20">
        <v>1300.0</v>
      </c>
      <c r="F13" s="21">
        <f t="shared" si="1"/>
        <v>0</v>
      </c>
      <c r="G13" s="23"/>
      <c r="H13" s="2"/>
      <c r="I13" s="18" t="s">
        <v>19</v>
      </c>
      <c r="J13" s="15">
        <f>SUMIF(C13:C377,"Kertas Putihan/ HVS",D13:D377)</f>
        <v>0</v>
      </c>
      <c r="K13" s="2"/>
    </row>
    <row r="14" ht="15.75" customHeight="1">
      <c r="A14" s="23"/>
      <c r="B14" s="23"/>
      <c r="C14" s="18" t="s">
        <v>20</v>
      </c>
      <c r="D14" s="19"/>
      <c r="E14" s="20">
        <v>1000.0</v>
      </c>
      <c r="F14" s="21">
        <f t="shared" si="1"/>
        <v>0</v>
      </c>
      <c r="G14" s="23"/>
      <c r="H14" s="2"/>
      <c r="I14" s="18" t="s">
        <v>20</v>
      </c>
      <c r="J14" s="15">
        <f>SUMIF(C14:C378,"Koran/Buku",D14:D378)</f>
        <v>0</v>
      </c>
      <c r="K14" s="2"/>
    </row>
    <row r="15" ht="15.75" customHeight="1">
      <c r="A15" s="23"/>
      <c r="B15" s="23"/>
      <c r="C15" s="18" t="s">
        <v>21</v>
      </c>
      <c r="D15" s="19"/>
      <c r="E15" s="20">
        <v>400.0</v>
      </c>
      <c r="F15" s="21">
        <f t="shared" si="1"/>
        <v>0</v>
      </c>
      <c r="G15" s="23"/>
      <c r="H15" s="2"/>
      <c r="I15" s="18" t="s">
        <v>21</v>
      </c>
      <c r="J15" s="15">
        <f>SUMIF(C15:C379,"Duplex",D15:D379)</f>
        <v>1</v>
      </c>
      <c r="K15" s="2"/>
    </row>
    <row r="16" ht="15.75" customHeight="1">
      <c r="A16" s="23"/>
      <c r="B16" s="23"/>
      <c r="C16" s="18" t="s">
        <v>22</v>
      </c>
      <c r="D16" s="19"/>
      <c r="E16" s="20">
        <v>7500.0</v>
      </c>
      <c r="F16" s="21">
        <f t="shared" si="1"/>
        <v>0</v>
      </c>
      <c r="G16" s="23"/>
      <c r="H16" s="2"/>
      <c r="I16" s="18" t="s">
        <v>22</v>
      </c>
      <c r="J16" s="15">
        <f>SUMIF(C16:C380,"Alumunium",D16:D380)</f>
        <v>1.5</v>
      </c>
      <c r="K16" s="2"/>
    </row>
    <row r="17" ht="15.75" customHeight="1">
      <c r="A17" s="23"/>
      <c r="B17" s="23"/>
      <c r="C17" s="18" t="s">
        <v>23</v>
      </c>
      <c r="D17" s="19"/>
      <c r="E17" s="20">
        <v>2000.0</v>
      </c>
      <c r="F17" s="21">
        <f t="shared" si="1"/>
        <v>0</v>
      </c>
      <c r="G17" s="23"/>
      <c r="H17" s="2"/>
      <c r="I17" s="18" t="s">
        <v>23</v>
      </c>
      <c r="J17" s="15">
        <f>SUMIF(C17:C381,"Besi",D17:D381)</f>
        <v>0</v>
      </c>
      <c r="K17" s="2"/>
    </row>
    <row r="18" ht="15.75" customHeight="1">
      <c r="A18" s="23"/>
      <c r="B18" s="23"/>
      <c r="C18" s="18" t="s">
        <v>24</v>
      </c>
      <c r="D18" s="19"/>
      <c r="E18" s="20">
        <v>800.0</v>
      </c>
      <c r="F18" s="21">
        <f t="shared" si="1"/>
        <v>0</v>
      </c>
      <c r="G18" s="23"/>
      <c r="H18" s="2"/>
      <c r="I18" s="18" t="s">
        <v>24</v>
      </c>
      <c r="J18" s="15">
        <f>SUMIF(C18:C382,"Kaleng kue/susu",D18:D382)</f>
        <v>1</v>
      </c>
      <c r="K18" s="2"/>
    </row>
    <row r="19" ht="15.75" customHeight="1">
      <c r="A19" s="23"/>
      <c r="B19" s="23"/>
      <c r="C19" s="18" t="s">
        <v>25</v>
      </c>
      <c r="D19" s="19"/>
      <c r="E19" s="20">
        <v>5000.0</v>
      </c>
      <c r="F19" s="21">
        <f t="shared" si="1"/>
        <v>0</v>
      </c>
      <c r="G19" s="23"/>
      <c r="H19" s="2"/>
      <c r="I19" s="18" t="s">
        <v>25</v>
      </c>
      <c r="J19" s="15">
        <f>SUMIF(C19:C383,"Kaleng Minuman",D19:D383)</f>
        <v>0.5</v>
      </c>
      <c r="K19" s="2"/>
    </row>
    <row r="20" ht="15.75" customHeight="1">
      <c r="A20" s="23"/>
      <c r="B20" s="23"/>
      <c r="C20" s="18" t="s">
        <v>26</v>
      </c>
      <c r="D20" s="19"/>
      <c r="E20" s="20">
        <v>2700.0</v>
      </c>
      <c r="F20" s="21">
        <f t="shared" si="1"/>
        <v>0</v>
      </c>
      <c r="G20" s="23"/>
      <c r="H20" s="2"/>
      <c r="I20" s="18" t="s">
        <v>26</v>
      </c>
      <c r="J20" s="15">
        <f>SUMIF(C20:C384,"Stanless",D20:D384)</f>
        <v>0</v>
      </c>
      <c r="K20" s="2"/>
    </row>
    <row r="21" ht="15.75" customHeight="1">
      <c r="A21" s="23"/>
      <c r="B21" s="23"/>
      <c r="C21" s="18" t="s">
        <v>27</v>
      </c>
      <c r="D21" s="19"/>
      <c r="E21" s="20">
        <v>50000.0</v>
      </c>
      <c r="F21" s="21">
        <f t="shared" si="1"/>
        <v>0</v>
      </c>
      <c r="G21" s="23"/>
      <c r="H21" s="2"/>
      <c r="I21" s="18" t="s">
        <v>27</v>
      </c>
      <c r="J21" s="15">
        <f>SUMIF(C21:C385,"Tembaga",D21:D385)</f>
        <v>0</v>
      </c>
      <c r="K21" s="2"/>
    </row>
    <row r="22" ht="15.75" customHeight="1">
      <c r="A22" s="23"/>
      <c r="B22" s="23"/>
      <c r="C22" s="18" t="s">
        <v>28</v>
      </c>
      <c r="D22" s="19"/>
      <c r="E22" s="20">
        <v>10000.0</v>
      </c>
      <c r="F22" s="21">
        <f t="shared" si="1"/>
        <v>0</v>
      </c>
      <c r="G22" s="23"/>
      <c r="H22" s="2"/>
      <c r="I22" s="18" t="s">
        <v>28</v>
      </c>
      <c r="J22" s="15">
        <f>SUMIF(C22:C386,"Aki Motor",D22:D386)</f>
        <v>0</v>
      </c>
      <c r="K22" s="2"/>
    </row>
    <row r="23" ht="15.75" customHeight="1">
      <c r="A23" s="23"/>
      <c r="B23" s="23"/>
      <c r="C23" s="18" t="s">
        <v>29</v>
      </c>
      <c r="D23" s="19"/>
      <c r="E23" s="20">
        <v>1000.0</v>
      </c>
      <c r="F23" s="21">
        <f t="shared" si="1"/>
        <v>0</v>
      </c>
      <c r="G23" s="23"/>
      <c r="H23" s="2"/>
      <c r="I23" s="18" t="s">
        <v>29</v>
      </c>
      <c r="J23" s="15">
        <f>SUMIF(C23:C387,"Paralon",D23:D387)</f>
        <v>0</v>
      </c>
      <c r="K23" s="2"/>
    </row>
    <row r="24" ht="15.75" customHeight="1">
      <c r="A24" s="23"/>
      <c r="B24" s="23"/>
      <c r="C24" s="18" t="s">
        <v>30</v>
      </c>
      <c r="D24" s="19"/>
      <c r="E24" s="20">
        <v>500.0</v>
      </c>
      <c r="F24" s="21">
        <f t="shared" si="1"/>
        <v>0</v>
      </c>
      <c r="G24" s="23"/>
      <c r="H24" s="2"/>
      <c r="I24" s="18" t="s">
        <v>30</v>
      </c>
      <c r="J24" s="15">
        <f>SUMIF(C24:C388,"Plastik bening",D24:D388)</f>
        <v>0</v>
      </c>
      <c r="K24" s="2"/>
    </row>
    <row r="25" ht="15.75" customHeight="1">
      <c r="A25" s="23"/>
      <c r="B25" s="23"/>
      <c r="C25" s="18" t="s">
        <v>31</v>
      </c>
      <c r="D25" s="19"/>
      <c r="E25" s="20">
        <v>200.0</v>
      </c>
      <c r="F25" s="21">
        <f t="shared" si="1"/>
        <v>0</v>
      </c>
      <c r="G25" s="23"/>
      <c r="H25" s="2"/>
      <c r="I25" s="18" t="s">
        <v>31</v>
      </c>
      <c r="J25" s="15">
        <f>SUMIF(C25:C389,"Plastik Warna",D25:D389)</f>
        <v>0</v>
      </c>
      <c r="K25" s="2"/>
    </row>
    <row r="26" ht="15.75" customHeight="1">
      <c r="A26" s="23"/>
      <c r="B26" s="23"/>
      <c r="C26" s="18" t="s">
        <v>32</v>
      </c>
      <c r="D26" s="19"/>
      <c r="E26" s="20">
        <v>1000.0</v>
      </c>
      <c r="F26" s="21">
        <f t="shared" si="1"/>
        <v>0</v>
      </c>
      <c r="G26" s="23"/>
      <c r="H26" s="2"/>
      <c r="I26" s="18" t="s">
        <v>32</v>
      </c>
      <c r="J26" s="15">
        <f>SUMIF(C26:C390,"Selang",D26:D390)</f>
        <v>0</v>
      </c>
      <c r="K26" s="2"/>
    </row>
    <row r="27" ht="15.75" customHeight="1">
      <c r="A27" s="23"/>
      <c r="B27" s="23"/>
      <c r="C27" s="18" t="s">
        <v>33</v>
      </c>
      <c r="D27" s="19">
        <v>6.0</v>
      </c>
      <c r="E27" s="20">
        <v>300.0</v>
      </c>
      <c r="F27" s="21">
        <f t="shared" si="1"/>
        <v>1800</v>
      </c>
      <c r="G27" s="23"/>
      <c r="H27" s="2"/>
      <c r="I27" s="18" t="s">
        <v>33</v>
      </c>
      <c r="J27" s="15">
        <f>SUMIF(C27:C391,"Beling",D27:D391)</f>
        <v>32.5</v>
      </c>
      <c r="K27" s="2"/>
    </row>
    <row r="28" ht="15.75" customHeight="1">
      <c r="A28" s="23"/>
      <c r="B28" s="23"/>
      <c r="C28" s="18" t="s">
        <v>34</v>
      </c>
      <c r="D28" s="19"/>
      <c r="E28" s="20">
        <v>100.0</v>
      </c>
      <c r="F28" s="21">
        <f t="shared" si="1"/>
        <v>0</v>
      </c>
      <c r="G28" s="23"/>
      <c r="H28" s="2"/>
      <c r="I28" s="18" t="s">
        <v>34</v>
      </c>
      <c r="J28" s="15">
        <f>SUMIF(C28:C392,"Pecahan",D28:D392)</f>
        <v>2</v>
      </c>
      <c r="K28" s="2"/>
    </row>
    <row r="29" ht="15.75" customHeight="1">
      <c r="A29" s="23"/>
      <c r="B29" s="23"/>
      <c r="C29" s="18" t="s">
        <v>35</v>
      </c>
      <c r="D29" s="19"/>
      <c r="E29" s="20">
        <v>500.0</v>
      </c>
      <c r="F29" s="21">
        <f t="shared" si="1"/>
        <v>0</v>
      </c>
      <c r="G29" s="23"/>
      <c r="H29" s="2"/>
      <c r="I29" s="18" t="s">
        <v>35</v>
      </c>
      <c r="J29" s="15">
        <f>SUMIF(C29:C393,"Sendal/Sepatu",D29:D393)</f>
        <v>3.5</v>
      </c>
      <c r="K29" s="2"/>
    </row>
    <row r="30" ht="15.75" customHeight="1">
      <c r="A30" s="23"/>
      <c r="B30" s="23"/>
      <c r="C30" s="18" t="s">
        <v>36</v>
      </c>
      <c r="D30" s="19"/>
      <c r="E30" s="24">
        <v>1500.0</v>
      </c>
      <c r="F30" s="21">
        <f t="shared" si="1"/>
        <v>0</v>
      </c>
      <c r="G30" s="23"/>
      <c r="H30" s="2"/>
      <c r="I30" s="18" t="s">
        <v>36</v>
      </c>
      <c r="J30" s="15">
        <f>SUMIF(C30:C394,"Paku",D30:D394)</f>
        <v>8</v>
      </c>
      <c r="K30" s="2"/>
    </row>
    <row r="31" ht="15.75" customHeight="1">
      <c r="A31" s="23"/>
      <c r="B31" s="23"/>
      <c r="C31" s="18" t="s">
        <v>37</v>
      </c>
      <c r="D31" s="19"/>
      <c r="E31" s="20">
        <v>4000.0</v>
      </c>
      <c r="F31" s="21">
        <f t="shared" si="1"/>
        <v>0</v>
      </c>
      <c r="G31" s="23"/>
      <c r="H31" s="2"/>
      <c r="I31" s="18" t="s">
        <v>37</v>
      </c>
      <c r="J31" s="15">
        <f>SUMIF(C31:C395,"Minyak Jelantah",D31:D395)</f>
        <v>20.5</v>
      </c>
      <c r="K31" s="2"/>
    </row>
    <row r="32" ht="15.75" customHeight="1">
      <c r="A32" s="25"/>
      <c r="B32" s="25"/>
      <c r="C32" s="18" t="s">
        <v>38</v>
      </c>
      <c r="D32" s="19"/>
      <c r="E32" s="20">
        <v>0.0</v>
      </c>
      <c r="F32" s="21">
        <f t="shared" si="1"/>
        <v>0</v>
      </c>
      <c r="G32" s="25"/>
      <c r="H32" s="2"/>
      <c r="I32" s="18" t="s">
        <v>38</v>
      </c>
      <c r="J32" s="15">
        <f>SUMIF(C32:C396,"Lainnya",D32:D396)</f>
        <v>9.5</v>
      </c>
      <c r="K32" s="2"/>
    </row>
    <row r="33" ht="15.75" customHeight="1">
      <c r="A33" s="16">
        <v>2.0</v>
      </c>
      <c r="B33" s="17" t="s">
        <v>39</v>
      </c>
      <c r="C33" s="18" t="s">
        <v>11</v>
      </c>
      <c r="D33" s="19"/>
      <c r="E33" s="20">
        <v>5000.0</v>
      </c>
      <c r="F33" s="21">
        <f t="shared" si="1"/>
        <v>0</v>
      </c>
      <c r="G33" s="22">
        <f>SUM(F33:F60)</f>
        <v>15450</v>
      </c>
      <c r="H33" s="2"/>
      <c r="I33" s="2"/>
      <c r="J33" s="2"/>
      <c r="K33" s="2"/>
    </row>
    <row r="34" ht="15.75" customHeight="1">
      <c r="A34" s="23"/>
      <c r="B34" s="23"/>
      <c r="C34" s="18" t="s">
        <v>12</v>
      </c>
      <c r="D34" s="19"/>
      <c r="E34" s="20">
        <v>3000.0</v>
      </c>
      <c r="F34" s="21">
        <f t="shared" si="1"/>
        <v>0</v>
      </c>
      <c r="G34" s="23"/>
      <c r="H34" s="2"/>
      <c r="I34" s="26" t="s">
        <v>40</v>
      </c>
      <c r="J34" s="26" t="s">
        <v>41</v>
      </c>
      <c r="K34" s="26" t="s">
        <v>42</v>
      </c>
      <c r="L34" s="26" t="s">
        <v>33</v>
      </c>
      <c r="M34" s="26" t="s">
        <v>43</v>
      </c>
      <c r="N34" s="26" t="s">
        <v>37</v>
      </c>
    </row>
    <row r="35" ht="15.75" customHeight="1">
      <c r="A35" s="23"/>
      <c r="B35" s="23"/>
      <c r="C35" s="18" t="s">
        <v>13</v>
      </c>
      <c r="D35" s="19"/>
      <c r="E35" s="20">
        <v>1000.0</v>
      </c>
      <c r="F35" s="21">
        <f t="shared" si="1"/>
        <v>0</v>
      </c>
      <c r="G35" s="23"/>
      <c r="H35" s="2"/>
      <c r="I35" s="27">
        <f>J5+J6+J7+J8+J9+J10+J11+J23+J24+J25+J26</f>
        <v>64.5</v>
      </c>
      <c r="J35" s="27">
        <f>J12+J13+J14+J15</f>
        <v>21.5</v>
      </c>
      <c r="K35" s="27">
        <f>J19+J18+J20+J21+J30+J16+J17</f>
        <v>11</v>
      </c>
      <c r="L35" s="27">
        <f>J27+J28</f>
        <v>34.5</v>
      </c>
      <c r="M35" s="27">
        <f>J32</f>
        <v>9.5</v>
      </c>
      <c r="N35" s="27">
        <f>J31</f>
        <v>20.5</v>
      </c>
    </row>
    <row r="36" ht="15.75" customHeight="1">
      <c r="A36" s="23"/>
      <c r="B36" s="23"/>
      <c r="C36" s="18" t="s">
        <v>14</v>
      </c>
      <c r="D36" s="19"/>
      <c r="E36" s="20">
        <v>2800.0</v>
      </c>
      <c r="F36" s="21">
        <f t="shared" si="1"/>
        <v>0</v>
      </c>
      <c r="G36" s="23"/>
      <c r="H36" s="2"/>
      <c r="I36" s="2"/>
      <c r="J36" s="2"/>
      <c r="K36" s="2"/>
    </row>
    <row r="37" ht="15.75" customHeight="1">
      <c r="A37" s="23"/>
      <c r="B37" s="23"/>
      <c r="C37" s="18" t="s">
        <v>15</v>
      </c>
      <c r="D37" s="19"/>
      <c r="E37" s="20">
        <v>3500.0</v>
      </c>
      <c r="F37" s="21">
        <f t="shared" si="1"/>
        <v>0</v>
      </c>
      <c r="G37" s="23"/>
      <c r="H37" s="2"/>
      <c r="I37" s="2"/>
      <c r="J37" s="2"/>
      <c r="K37" s="2"/>
    </row>
    <row r="38" ht="15.75" customHeight="1">
      <c r="A38" s="23"/>
      <c r="B38" s="23"/>
      <c r="C38" s="18" t="s">
        <v>16</v>
      </c>
      <c r="D38" s="19">
        <v>6.0</v>
      </c>
      <c r="E38" s="20">
        <v>1000.0</v>
      </c>
      <c r="F38" s="21">
        <f t="shared" si="1"/>
        <v>6000</v>
      </c>
      <c r="G38" s="23"/>
      <c r="H38" s="2"/>
      <c r="I38" s="2"/>
      <c r="J38" s="2"/>
      <c r="K38" s="2"/>
    </row>
    <row r="39" ht="15.75" customHeight="1">
      <c r="A39" s="23"/>
      <c r="B39" s="23"/>
      <c r="C39" s="18" t="s">
        <v>17</v>
      </c>
      <c r="D39" s="19"/>
      <c r="E39" s="20">
        <v>2000.0</v>
      </c>
      <c r="F39" s="21">
        <f t="shared" si="1"/>
        <v>0</v>
      </c>
      <c r="G39" s="23"/>
      <c r="H39" s="2"/>
      <c r="I39" s="2"/>
      <c r="J39" s="2"/>
      <c r="K39" s="2"/>
    </row>
    <row r="40" ht="15.75" customHeight="1">
      <c r="A40" s="23"/>
      <c r="B40" s="23"/>
      <c r="C40" s="18" t="s">
        <v>18</v>
      </c>
      <c r="D40" s="19"/>
      <c r="E40" s="20">
        <v>2000.0</v>
      </c>
      <c r="F40" s="21">
        <f t="shared" si="1"/>
        <v>0</v>
      </c>
      <c r="G40" s="23"/>
      <c r="H40" s="2"/>
      <c r="I40" s="2"/>
      <c r="J40" s="2"/>
      <c r="K40" s="2"/>
    </row>
    <row r="41" ht="15.75" customHeight="1">
      <c r="A41" s="23"/>
      <c r="B41" s="23"/>
      <c r="C41" s="18" t="s">
        <v>19</v>
      </c>
      <c r="D41" s="19"/>
      <c r="E41" s="20">
        <v>1300.0</v>
      </c>
      <c r="F41" s="21">
        <f t="shared" si="1"/>
        <v>0</v>
      </c>
      <c r="G41" s="23"/>
      <c r="H41" s="2"/>
      <c r="I41" s="2"/>
      <c r="J41" s="2"/>
      <c r="K41" s="2"/>
    </row>
    <row r="42" ht="15.75" customHeight="1">
      <c r="A42" s="23"/>
      <c r="B42" s="23"/>
      <c r="C42" s="18" t="s">
        <v>20</v>
      </c>
      <c r="D42" s="19"/>
      <c r="E42" s="20">
        <v>1000.0</v>
      </c>
      <c r="F42" s="21">
        <f t="shared" si="1"/>
        <v>0</v>
      </c>
      <c r="G42" s="23"/>
      <c r="H42" s="2"/>
      <c r="I42" s="2"/>
      <c r="J42" s="2"/>
      <c r="K42" s="2"/>
    </row>
    <row r="43" ht="15.75" customHeight="1">
      <c r="A43" s="23"/>
      <c r="B43" s="23"/>
      <c r="C43" s="18" t="s">
        <v>21</v>
      </c>
      <c r="D43" s="19"/>
      <c r="E43" s="20">
        <v>400.0</v>
      </c>
      <c r="F43" s="21">
        <f t="shared" si="1"/>
        <v>0</v>
      </c>
      <c r="G43" s="23"/>
      <c r="H43" s="2"/>
      <c r="I43" s="2"/>
      <c r="J43" s="2"/>
      <c r="K43" s="2"/>
    </row>
    <row r="44" ht="15.75" customHeight="1">
      <c r="A44" s="23"/>
      <c r="B44" s="23"/>
      <c r="C44" s="18" t="s">
        <v>22</v>
      </c>
      <c r="D44" s="19"/>
      <c r="E44" s="20">
        <v>7500.0</v>
      </c>
      <c r="F44" s="21">
        <f t="shared" si="1"/>
        <v>0</v>
      </c>
      <c r="G44" s="23"/>
      <c r="H44" s="2"/>
      <c r="I44" s="2"/>
      <c r="J44" s="2"/>
      <c r="K44" s="2"/>
    </row>
    <row r="45" ht="15.75" customHeight="1">
      <c r="A45" s="23"/>
      <c r="B45" s="23"/>
      <c r="C45" s="18" t="s">
        <v>23</v>
      </c>
      <c r="D45" s="19"/>
      <c r="E45" s="20">
        <v>2000.0</v>
      </c>
      <c r="F45" s="21">
        <f t="shared" si="1"/>
        <v>0</v>
      </c>
      <c r="G45" s="23"/>
      <c r="H45" s="2"/>
      <c r="I45" s="2"/>
      <c r="J45" s="2"/>
      <c r="K45" s="2"/>
    </row>
    <row r="46" ht="15.75" customHeight="1">
      <c r="A46" s="23"/>
      <c r="B46" s="23"/>
      <c r="C46" s="18" t="s">
        <v>24</v>
      </c>
      <c r="D46" s="19">
        <v>0.5</v>
      </c>
      <c r="E46" s="20">
        <v>800.0</v>
      </c>
      <c r="F46" s="21">
        <f t="shared" si="1"/>
        <v>400</v>
      </c>
      <c r="G46" s="23"/>
      <c r="H46" s="2"/>
      <c r="I46" s="2"/>
      <c r="J46" s="2"/>
      <c r="K46" s="2"/>
    </row>
    <row r="47" ht="15.75" customHeight="1">
      <c r="A47" s="23"/>
      <c r="B47" s="23"/>
      <c r="C47" s="18" t="s">
        <v>25</v>
      </c>
      <c r="D47" s="19"/>
      <c r="E47" s="20">
        <v>5000.0</v>
      </c>
      <c r="F47" s="21">
        <f t="shared" si="1"/>
        <v>0</v>
      </c>
      <c r="G47" s="23"/>
      <c r="H47" s="2"/>
      <c r="I47" s="2"/>
      <c r="J47" s="2"/>
      <c r="K47" s="2"/>
    </row>
    <row r="48" ht="15.75" customHeight="1">
      <c r="A48" s="23"/>
      <c r="B48" s="23"/>
      <c r="C48" s="18" t="s">
        <v>26</v>
      </c>
      <c r="D48" s="19"/>
      <c r="E48" s="20">
        <v>2700.0</v>
      </c>
      <c r="F48" s="21">
        <f t="shared" si="1"/>
        <v>0</v>
      </c>
      <c r="G48" s="23"/>
      <c r="H48" s="2"/>
      <c r="I48" s="2"/>
      <c r="J48" s="2"/>
      <c r="K48" s="2"/>
    </row>
    <row r="49" ht="15.75" customHeight="1">
      <c r="A49" s="23"/>
      <c r="B49" s="23"/>
      <c r="C49" s="18" t="s">
        <v>27</v>
      </c>
      <c r="D49" s="19"/>
      <c r="E49" s="20">
        <v>50000.0</v>
      </c>
      <c r="F49" s="21">
        <f t="shared" si="1"/>
        <v>0</v>
      </c>
      <c r="G49" s="23"/>
      <c r="H49" s="2"/>
      <c r="I49" s="2"/>
      <c r="J49" s="2"/>
      <c r="K49" s="2"/>
    </row>
    <row r="50" ht="15.75" customHeight="1">
      <c r="A50" s="23"/>
      <c r="B50" s="23"/>
      <c r="C50" s="18" t="s">
        <v>28</v>
      </c>
      <c r="D50" s="19"/>
      <c r="E50" s="20">
        <v>10000.0</v>
      </c>
      <c r="F50" s="21">
        <f t="shared" si="1"/>
        <v>0</v>
      </c>
      <c r="G50" s="23"/>
      <c r="H50" s="2"/>
      <c r="I50" s="2"/>
      <c r="J50" s="2"/>
      <c r="K50" s="2"/>
    </row>
    <row r="51" ht="15.75" customHeight="1">
      <c r="A51" s="23"/>
      <c r="B51" s="23"/>
      <c r="C51" s="18" t="s">
        <v>29</v>
      </c>
      <c r="D51" s="19"/>
      <c r="E51" s="20">
        <v>1000.0</v>
      </c>
      <c r="F51" s="21">
        <f t="shared" si="1"/>
        <v>0</v>
      </c>
      <c r="G51" s="23"/>
      <c r="H51" s="2"/>
      <c r="I51" s="2"/>
      <c r="J51" s="2"/>
      <c r="K51" s="2"/>
    </row>
    <row r="52" ht="15.75" customHeight="1">
      <c r="A52" s="23"/>
      <c r="B52" s="23"/>
      <c r="C52" s="18" t="s">
        <v>30</v>
      </c>
      <c r="D52" s="19"/>
      <c r="E52" s="20">
        <v>500.0</v>
      </c>
      <c r="F52" s="21">
        <f t="shared" si="1"/>
        <v>0</v>
      </c>
      <c r="G52" s="23"/>
      <c r="H52" s="2"/>
      <c r="I52" s="2"/>
      <c r="J52" s="2"/>
      <c r="K52" s="2"/>
    </row>
    <row r="53" ht="15.75" customHeight="1">
      <c r="A53" s="23"/>
      <c r="B53" s="23"/>
      <c r="C53" s="18" t="s">
        <v>31</v>
      </c>
      <c r="D53" s="19"/>
      <c r="E53" s="20">
        <v>200.0</v>
      </c>
      <c r="F53" s="21">
        <f t="shared" si="1"/>
        <v>0</v>
      </c>
      <c r="G53" s="23"/>
      <c r="H53" s="2"/>
      <c r="I53" s="2"/>
      <c r="J53" s="2"/>
      <c r="K53" s="2"/>
    </row>
    <row r="54" ht="15.75" customHeight="1">
      <c r="A54" s="23"/>
      <c r="B54" s="23"/>
      <c r="C54" s="18" t="s">
        <v>32</v>
      </c>
      <c r="D54" s="19"/>
      <c r="E54" s="20">
        <v>1000.0</v>
      </c>
      <c r="F54" s="21">
        <f t="shared" si="1"/>
        <v>0</v>
      </c>
      <c r="G54" s="23"/>
      <c r="H54" s="2"/>
      <c r="I54" s="2"/>
      <c r="J54" s="2"/>
      <c r="K54" s="2"/>
    </row>
    <row r="55" ht="15.75" customHeight="1">
      <c r="A55" s="23"/>
      <c r="B55" s="23"/>
      <c r="C55" s="18" t="s">
        <v>33</v>
      </c>
      <c r="D55" s="19">
        <v>3.5</v>
      </c>
      <c r="E55" s="20">
        <v>300.0</v>
      </c>
      <c r="F55" s="21">
        <f t="shared" si="1"/>
        <v>1050</v>
      </c>
      <c r="G55" s="23"/>
      <c r="H55" s="2"/>
      <c r="I55" s="2"/>
      <c r="J55" s="2"/>
      <c r="K55" s="2"/>
    </row>
    <row r="56" ht="15.75" customHeight="1">
      <c r="A56" s="23"/>
      <c r="B56" s="23"/>
      <c r="C56" s="18" t="s">
        <v>34</v>
      </c>
      <c r="D56" s="19"/>
      <c r="E56" s="20">
        <v>100.0</v>
      </c>
      <c r="F56" s="21">
        <f t="shared" si="1"/>
        <v>0</v>
      </c>
      <c r="G56" s="23"/>
      <c r="H56" s="2"/>
      <c r="I56" s="2"/>
      <c r="J56" s="2"/>
      <c r="K56" s="2"/>
    </row>
    <row r="57" ht="15.75" customHeight="1">
      <c r="A57" s="23"/>
      <c r="B57" s="23"/>
      <c r="C57" s="18" t="s">
        <v>35</v>
      </c>
      <c r="D57" s="19"/>
      <c r="E57" s="20">
        <v>500.0</v>
      </c>
      <c r="F57" s="21">
        <f t="shared" si="1"/>
        <v>0</v>
      </c>
      <c r="G57" s="23"/>
      <c r="H57" s="2"/>
      <c r="I57" s="2"/>
      <c r="J57" s="2"/>
      <c r="K57" s="2"/>
    </row>
    <row r="58" ht="15.75" customHeight="1">
      <c r="A58" s="23"/>
      <c r="B58" s="23"/>
      <c r="C58" s="18" t="s">
        <v>36</v>
      </c>
      <c r="D58" s="19"/>
      <c r="E58" s="24">
        <v>1500.0</v>
      </c>
      <c r="F58" s="21">
        <f t="shared" si="1"/>
        <v>0</v>
      </c>
      <c r="G58" s="23"/>
      <c r="H58" s="2"/>
      <c r="I58" s="2"/>
      <c r="J58" s="2"/>
      <c r="K58" s="2"/>
    </row>
    <row r="59" ht="15.75" customHeight="1">
      <c r="A59" s="23"/>
      <c r="B59" s="23"/>
      <c r="C59" s="18" t="s">
        <v>37</v>
      </c>
      <c r="D59" s="19">
        <v>2.0</v>
      </c>
      <c r="E59" s="20">
        <v>4000.0</v>
      </c>
      <c r="F59" s="21">
        <f t="shared" si="1"/>
        <v>8000</v>
      </c>
      <c r="G59" s="23"/>
      <c r="H59" s="2"/>
      <c r="I59" s="2"/>
      <c r="J59" s="2"/>
      <c r="K59" s="2"/>
    </row>
    <row r="60" ht="15.75" customHeight="1">
      <c r="A60" s="25"/>
      <c r="B60" s="25"/>
      <c r="C60" s="18" t="s">
        <v>38</v>
      </c>
      <c r="D60" s="19">
        <v>4.0</v>
      </c>
      <c r="E60" s="20">
        <v>0.0</v>
      </c>
      <c r="F60" s="21">
        <f t="shared" si="1"/>
        <v>0</v>
      </c>
      <c r="G60" s="25"/>
      <c r="H60" s="2"/>
      <c r="I60" s="2"/>
      <c r="J60" s="2"/>
      <c r="K60" s="2"/>
    </row>
    <row r="61" ht="15.75" customHeight="1">
      <c r="A61" s="16">
        <v>3.0</v>
      </c>
      <c r="B61" s="28" t="s">
        <v>44</v>
      </c>
      <c r="C61" s="18" t="s">
        <v>11</v>
      </c>
      <c r="D61" s="19"/>
      <c r="E61" s="20">
        <v>5000.0</v>
      </c>
      <c r="F61" s="21">
        <f t="shared" si="1"/>
        <v>0</v>
      </c>
      <c r="G61" s="22">
        <f>SUM(F61:F88)</f>
        <v>50000</v>
      </c>
      <c r="H61" s="2"/>
      <c r="I61" s="2"/>
      <c r="J61" s="2"/>
      <c r="K61" s="2"/>
    </row>
    <row r="62" ht="15.75" customHeight="1">
      <c r="A62" s="23"/>
      <c r="B62" s="23"/>
      <c r="C62" s="18" t="s">
        <v>12</v>
      </c>
      <c r="D62" s="19"/>
      <c r="E62" s="20">
        <v>3000.0</v>
      </c>
      <c r="F62" s="21">
        <f t="shared" si="1"/>
        <v>0</v>
      </c>
      <c r="G62" s="23"/>
      <c r="H62" s="2"/>
      <c r="I62" s="2"/>
      <c r="J62" s="2"/>
      <c r="K62" s="2"/>
    </row>
    <row r="63" ht="15.75" customHeight="1">
      <c r="A63" s="23"/>
      <c r="B63" s="23"/>
      <c r="C63" s="18" t="s">
        <v>13</v>
      </c>
      <c r="D63" s="19"/>
      <c r="E63" s="20">
        <v>1000.0</v>
      </c>
      <c r="F63" s="21">
        <f t="shared" si="1"/>
        <v>0</v>
      </c>
      <c r="G63" s="23"/>
      <c r="H63" s="2"/>
      <c r="I63" s="2"/>
      <c r="J63" s="2"/>
      <c r="K63" s="2"/>
    </row>
    <row r="64" ht="15.75" customHeight="1">
      <c r="A64" s="23"/>
      <c r="B64" s="23"/>
      <c r="C64" s="18" t="s">
        <v>14</v>
      </c>
      <c r="D64" s="19"/>
      <c r="E64" s="20">
        <v>2800.0</v>
      </c>
      <c r="F64" s="21">
        <f t="shared" si="1"/>
        <v>0</v>
      </c>
      <c r="G64" s="23"/>
      <c r="H64" s="2"/>
      <c r="I64" s="2"/>
      <c r="J64" s="2"/>
      <c r="K64" s="2"/>
    </row>
    <row r="65" ht="15.75" customHeight="1">
      <c r="A65" s="23"/>
      <c r="B65" s="23"/>
      <c r="C65" s="18" t="s">
        <v>15</v>
      </c>
      <c r="D65" s="19"/>
      <c r="E65" s="20">
        <v>3500.0</v>
      </c>
      <c r="F65" s="21">
        <f t="shared" si="1"/>
        <v>0</v>
      </c>
      <c r="G65" s="23"/>
      <c r="H65" s="2"/>
      <c r="I65" s="2"/>
      <c r="J65" s="2"/>
      <c r="K65" s="2"/>
    </row>
    <row r="66" ht="15.75" customHeight="1">
      <c r="A66" s="23"/>
      <c r="B66" s="23"/>
      <c r="C66" s="18" t="s">
        <v>16</v>
      </c>
      <c r="D66" s="19"/>
      <c r="E66" s="20">
        <v>1000.0</v>
      </c>
      <c r="F66" s="21">
        <f t="shared" si="1"/>
        <v>0</v>
      </c>
      <c r="G66" s="23"/>
      <c r="H66" s="2"/>
      <c r="I66" s="2"/>
      <c r="J66" s="2"/>
      <c r="K66" s="2"/>
    </row>
    <row r="67" ht="15.75" customHeight="1">
      <c r="A67" s="23"/>
      <c r="B67" s="23"/>
      <c r="C67" s="18" t="s">
        <v>17</v>
      </c>
      <c r="D67" s="19">
        <v>3.0</v>
      </c>
      <c r="E67" s="20">
        <v>2000.0</v>
      </c>
      <c r="F67" s="21">
        <f t="shared" si="1"/>
        <v>6000</v>
      </c>
      <c r="G67" s="23"/>
      <c r="H67" s="2"/>
      <c r="I67" s="2"/>
      <c r="J67" s="2"/>
      <c r="K67" s="2"/>
    </row>
    <row r="68" ht="15.75" customHeight="1">
      <c r="A68" s="23"/>
      <c r="B68" s="23"/>
      <c r="C68" s="18" t="s">
        <v>18</v>
      </c>
      <c r="D68" s="19"/>
      <c r="E68" s="20">
        <v>2000.0</v>
      </c>
      <c r="F68" s="21">
        <f t="shared" si="1"/>
        <v>0</v>
      </c>
      <c r="G68" s="23"/>
      <c r="H68" s="2"/>
      <c r="I68" s="2"/>
      <c r="J68" s="2"/>
      <c r="K68" s="2"/>
    </row>
    <row r="69" ht="15.75" customHeight="1">
      <c r="A69" s="23"/>
      <c r="B69" s="23"/>
      <c r="C69" s="18" t="s">
        <v>19</v>
      </c>
      <c r="D69" s="19"/>
      <c r="E69" s="20">
        <v>1300.0</v>
      </c>
      <c r="F69" s="21">
        <f t="shared" si="1"/>
        <v>0</v>
      </c>
      <c r="G69" s="23"/>
      <c r="H69" s="2"/>
      <c r="I69" s="2"/>
      <c r="J69" s="2"/>
      <c r="K69" s="2"/>
    </row>
    <row r="70" ht="15.75" customHeight="1">
      <c r="A70" s="23"/>
      <c r="B70" s="23"/>
      <c r="C70" s="18" t="s">
        <v>20</v>
      </c>
      <c r="D70" s="19"/>
      <c r="E70" s="20">
        <v>1000.0</v>
      </c>
      <c r="F70" s="21">
        <f t="shared" si="1"/>
        <v>0</v>
      </c>
      <c r="G70" s="23"/>
      <c r="H70" s="2"/>
      <c r="I70" s="2"/>
      <c r="J70" s="2"/>
      <c r="K70" s="2"/>
    </row>
    <row r="71" ht="15.75" customHeight="1">
      <c r="A71" s="23"/>
      <c r="B71" s="23"/>
      <c r="C71" s="18" t="s">
        <v>21</v>
      </c>
      <c r="D71" s="19"/>
      <c r="E71" s="20">
        <v>400.0</v>
      </c>
      <c r="F71" s="21">
        <f t="shared" si="1"/>
        <v>0</v>
      </c>
      <c r="G71" s="23"/>
      <c r="H71" s="2"/>
      <c r="I71" s="2"/>
      <c r="J71" s="2"/>
      <c r="K71" s="2"/>
    </row>
    <row r="72" ht="15.75" customHeight="1">
      <c r="A72" s="23"/>
      <c r="B72" s="23"/>
      <c r="C72" s="18" t="s">
        <v>22</v>
      </c>
      <c r="D72" s="19"/>
      <c r="E72" s="20">
        <v>7500.0</v>
      </c>
      <c r="F72" s="21">
        <f t="shared" si="1"/>
        <v>0</v>
      </c>
      <c r="G72" s="23"/>
      <c r="H72" s="2"/>
      <c r="I72" s="2"/>
      <c r="J72" s="2"/>
      <c r="K72" s="2"/>
    </row>
    <row r="73" ht="15.75" customHeight="1">
      <c r="A73" s="23"/>
      <c r="B73" s="23"/>
      <c r="C73" s="18" t="s">
        <v>23</v>
      </c>
      <c r="D73" s="19"/>
      <c r="E73" s="20">
        <v>2000.0</v>
      </c>
      <c r="F73" s="21">
        <f t="shared" si="1"/>
        <v>0</v>
      </c>
      <c r="G73" s="23"/>
      <c r="H73" s="2"/>
      <c r="I73" s="2"/>
      <c r="J73" s="2"/>
      <c r="K73" s="2"/>
    </row>
    <row r="74" ht="15.75" customHeight="1">
      <c r="A74" s="23"/>
      <c r="B74" s="23"/>
      <c r="C74" s="18" t="s">
        <v>24</v>
      </c>
      <c r="D74" s="19"/>
      <c r="E74" s="20">
        <v>800.0</v>
      </c>
      <c r="F74" s="21">
        <f t="shared" si="1"/>
        <v>0</v>
      </c>
      <c r="G74" s="23"/>
      <c r="H74" s="2"/>
      <c r="I74" s="2"/>
      <c r="J74" s="2"/>
      <c r="K74" s="2"/>
    </row>
    <row r="75" ht="15.75" customHeight="1">
      <c r="A75" s="23"/>
      <c r="B75" s="23"/>
      <c r="C75" s="18" t="s">
        <v>25</v>
      </c>
      <c r="D75" s="19"/>
      <c r="E75" s="20">
        <v>5000.0</v>
      </c>
      <c r="F75" s="21">
        <f t="shared" si="1"/>
        <v>0</v>
      </c>
      <c r="G75" s="23"/>
      <c r="H75" s="2"/>
      <c r="I75" s="2"/>
      <c r="J75" s="2"/>
      <c r="K75" s="2"/>
    </row>
    <row r="76" ht="15.75" customHeight="1">
      <c r="A76" s="23"/>
      <c r="B76" s="23"/>
      <c r="C76" s="18" t="s">
        <v>26</v>
      </c>
      <c r="D76" s="19"/>
      <c r="E76" s="20">
        <v>2700.0</v>
      </c>
      <c r="F76" s="21">
        <f t="shared" si="1"/>
        <v>0</v>
      </c>
      <c r="G76" s="23"/>
      <c r="H76" s="2"/>
      <c r="I76" s="2"/>
      <c r="J76" s="2"/>
      <c r="K76" s="2"/>
    </row>
    <row r="77" ht="15.75" customHeight="1">
      <c r="A77" s="23"/>
      <c r="B77" s="23"/>
      <c r="C77" s="18" t="s">
        <v>27</v>
      </c>
      <c r="D77" s="19"/>
      <c r="E77" s="20">
        <v>50000.0</v>
      </c>
      <c r="F77" s="21">
        <f t="shared" si="1"/>
        <v>0</v>
      </c>
      <c r="G77" s="23"/>
      <c r="H77" s="2"/>
      <c r="I77" s="2"/>
      <c r="J77" s="2"/>
      <c r="K77" s="2"/>
    </row>
    <row r="78" ht="15.75" customHeight="1">
      <c r="A78" s="23"/>
      <c r="B78" s="23"/>
      <c r="C78" s="18" t="s">
        <v>28</v>
      </c>
      <c r="D78" s="19"/>
      <c r="E78" s="20">
        <v>10000.0</v>
      </c>
      <c r="F78" s="21">
        <f t="shared" si="1"/>
        <v>0</v>
      </c>
      <c r="G78" s="23"/>
      <c r="H78" s="2"/>
      <c r="I78" s="2"/>
      <c r="J78" s="2"/>
      <c r="K78" s="2"/>
    </row>
    <row r="79" ht="15.75" customHeight="1">
      <c r="A79" s="23"/>
      <c r="B79" s="23"/>
      <c r="C79" s="18" t="s">
        <v>29</v>
      </c>
      <c r="D79" s="19"/>
      <c r="E79" s="20">
        <v>1000.0</v>
      </c>
      <c r="F79" s="21">
        <f t="shared" si="1"/>
        <v>0</v>
      </c>
      <c r="G79" s="23"/>
      <c r="H79" s="2"/>
      <c r="I79" s="2"/>
      <c r="J79" s="2"/>
      <c r="K79" s="2"/>
    </row>
    <row r="80" ht="15.75" customHeight="1">
      <c r="A80" s="23"/>
      <c r="B80" s="23"/>
      <c r="C80" s="18" t="s">
        <v>30</v>
      </c>
      <c r="D80" s="19"/>
      <c r="E80" s="20">
        <v>500.0</v>
      </c>
      <c r="F80" s="21">
        <f t="shared" si="1"/>
        <v>0</v>
      </c>
      <c r="G80" s="23"/>
      <c r="H80" s="2"/>
      <c r="I80" s="2"/>
      <c r="J80" s="2"/>
      <c r="K80" s="2"/>
    </row>
    <row r="81" ht="15.75" customHeight="1">
      <c r="A81" s="23"/>
      <c r="B81" s="23"/>
      <c r="C81" s="18" t="s">
        <v>31</v>
      </c>
      <c r="D81" s="19"/>
      <c r="E81" s="20">
        <v>200.0</v>
      </c>
      <c r="F81" s="21">
        <f t="shared" si="1"/>
        <v>0</v>
      </c>
      <c r="G81" s="23"/>
      <c r="H81" s="2"/>
      <c r="I81" s="2"/>
      <c r="J81" s="2"/>
      <c r="K81" s="2"/>
    </row>
    <row r="82" ht="15.75" customHeight="1">
      <c r="A82" s="23"/>
      <c r="B82" s="23"/>
      <c r="C82" s="18" t="s">
        <v>32</v>
      </c>
      <c r="D82" s="19"/>
      <c r="E82" s="20">
        <v>1000.0</v>
      </c>
      <c r="F82" s="21">
        <f t="shared" si="1"/>
        <v>0</v>
      </c>
      <c r="G82" s="23"/>
      <c r="H82" s="2"/>
      <c r="I82" s="2"/>
      <c r="J82" s="2"/>
      <c r="K82" s="2"/>
    </row>
    <row r="83" ht="15.75" customHeight="1">
      <c r="A83" s="23"/>
      <c r="B83" s="23"/>
      <c r="C83" s="18" t="s">
        <v>33</v>
      </c>
      <c r="D83" s="19"/>
      <c r="E83" s="20">
        <v>300.0</v>
      </c>
      <c r="F83" s="21">
        <f t="shared" si="1"/>
        <v>0</v>
      </c>
      <c r="G83" s="23"/>
      <c r="H83" s="2"/>
      <c r="I83" s="2"/>
      <c r="J83" s="2"/>
      <c r="K83" s="2"/>
    </row>
    <row r="84" ht="15.75" customHeight="1">
      <c r="A84" s="23"/>
      <c r="B84" s="23"/>
      <c r="C84" s="18" t="s">
        <v>34</v>
      </c>
      <c r="D84" s="19"/>
      <c r="E84" s="20">
        <v>100.0</v>
      </c>
      <c r="F84" s="21">
        <f t="shared" si="1"/>
        <v>0</v>
      </c>
      <c r="G84" s="23"/>
      <c r="H84" s="2"/>
      <c r="I84" s="2"/>
      <c r="J84" s="2"/>
      <c r="K84" s="2"/>
    </row>
    <row r="85" ht="15.75" customHeight="1">
      <c r="A85" s="23"/>
      <c r="B85" s="23"/>
      <c r="C85" s="18" t="s">
        <v>35</v>
      </c>
      <c r="D85" s="19"/>
      <c r="E85" s="20">
        <v>500.0</v>
      </c>
      <c r="F85" s="21">
        <f t="shared" si="1"/>
        <v>0</v>
      </c>
      <c r="G85" s="23"/>
      <c r="H85" s="2"/>
      <c r="I85" s="2"/>
      <c r="J85" s="2"/>
      <c r="K85" s="2"/>
    </row>
    <row r="86" ht="15.75" customHeight="1">
      <c r="A86" s="23"/>
      <c r="B86" s="23"/>
      <c r="C86" s="18" t="s">
        <v>36</v>
      </c>
      <c r="D86" s="19"/>
      <c r="E86" s="20">
        <v>1500.0</v>
      </c>
      <c r="F86" s="21">
        <f t="shared" si="1"/>
        <v>0</v>
      </c>
      <c r="G86" s="23"/>
      <c r="H86" s="2"/>
      <c r="I86" s="2"/>
      <c r="J86" s="2"/>
      <c r="K86" s="2"/>
    </row>
    <row r="87" ht="15.75" customHeight="1">
      <c r="A87" s="23"/>
      <c r="B87" s="23"/>
      <c r="C87" s="18" t="s">
        <v>37</v>
      </c>
      <c r="D87" s="19">
        <v>11.0</v>
      </c>
      <c r="E87" s="20">
        <v>4000.0</v>
      </c>
      <c r="F87" s="21">
        <f t="shared" si="1"/>
        <v>44000</v>
      </c>
      <c r="G87" s="23"/>
      <c r="H87" s="2"/>
      <c r="I87" s="2"/>
      <c r="J87" s="2"/>
      <c r="K87" s="2"/>
    </row>
    <row r="88" ht="15.75" customHeight="1">
      <c r="A88" s="25"/>
      <c r="B88" s="25"/>
      <c r="C88" s="18" t="s">
        <v>38</v>
      </c>
      <c r="D88" s="19"/>
      <c r="E88" s="20">
        <v>0.0</v>
      </c>
      <c r="F88" s="21">
        <f t="shared" si="1"/>
        <v>0</v>
      </c>
      <c r="G88" s="25"/>
      <c r="H88" s="2"/>
      <c r="I88" s="2"/>
      <c r="J88" s="2"/>
      <c r="K88" s="2"/>
    </row>
    <row r="89" ht="15.75" customHeight="1">
      <c r="A89" s="16">
        <v>4.0</v>
      </c>
      <c r="B89" s="17" t="s">
        <v>45</v>
      </c>
      <c r="C89" s="18" t="s">
        <v>11</v>
      </c>
      <c r="D89" s="19"/>
      <c r="E89" s="20">
        <v>5000.0</v>
      </c>
      <c r="F89" s="21">
        <f t="shared" si="1"/>
        <v>0</v>
      </c>
      <c r="G89" s="22">
        <f>SUM(F89:F116)</f>
        <v>12450</v>
      </c>
      <c r="H89" s="2"/>
      <c r="I89" s="2"/>
      <c r="J89" s="2"/>
      <c r="K89" s="2"/>
    </row>
    <row r="90" ht="15.75" customHeight="1">
      <c r="A90" s="23"/>
      <c r="B90" s="23"/>
      <c r="C90" s="18" t="s">
        <v>12</v>
      </c>
      <c r="D90" s="19"/>
      <c r="E90" s="20">
        <v>3000.0</v>
      </c>
      <c r="F90" s="21">
        <f t="shared" si="1"/>
        <v>0</v>
      </c>
      <c r="G90" s="23"/>
      <c r="H90" s="2"/>
      <c r="I90" s="2"/>
      <c r="J90" s="2"/>
      <c r="K90" s="2"/>
    </row>
    <row r="91" ht="15.75" customHeight="1">
      <c r="A91" s="23"/>
      <c r="B91" s="23"/>
      <c r="C91" s="18" t="s">
        <v>13</v>
      </c>
      <c r="D91" s="19"/>
      <c r="E91" s="20">
        <v>1000.0</v>
      </c>
      <c r="F91" s="21">
        <f t="shared" si="1"/>
        <v>0</v>
      </c>
      <c r="G91" s="23"/>
      <c r="H91" s="2"/>
      <c r="I91" s="2"/>
      <c r="J91" s="2"/>
      <c r="K91" s="2"/>
    </row>
    <row r="92" ht="15.75" customHeight="1">
      <c r="A92" s="23"/>
      <c r="B92" s="23"/>
      <c r="C92" s="18" t="s">
        <v>14</v>
      </c>
      <c r="D92" s="19"/>
      <c r="E92" s="20">
        <v>2800.0</v>
      </c>
      <c r="F92" s="21">
        <f t="shared" si="1"/>
        <v>0</v>
      </c>
      <c r="G92" s="23"/>
      <c r="H92" s="2"/>
      <c r="I92" s="2"/>
      <c r="J92" s="2"/>
      <c r="K92" s="2"/>
    </row>
    <row r="93" ht="15.75" customHeight="1">
      <c r="A93" s="23"/>
      <c r="B93" s="23"/>
      <c r="C93" s="18" t="s">
        <v>15</v>
      </c>
      <c r="D93" s="19"/>
      <c r="E93" s="20">
        <v>3500.0</v>
      </c>
      <c r="F93" s="21">
        <f t="shared" si="1"/>
        <v>0</v>
      </c>
      <c r="G93" s="23"/>
      <c r="H93" s="2"/>
      <c r="I93" s="2"/>
      <c r="J93" s="2"/>
      <c r="K93" s="2"/>
    </row>
    <row r="94" ht="15.75" customHeight="1">
      <c r="A94" s="23"/>
      <c r="B94" s="23"/>
      <c r="C94" s="18" t="s">
        <v>16</v>
      </c>
      <c r="D94" s="19">
        <v>4.0</v>
      </c>
      <c r="E94" s="20">
        <v>1000.0</v>
      </c>
      <c r="F94" s="21">
        <f t="shared" si="1"/>
        <v>4000</v>
      </c>
      <c r="G94" s="23"/>
      <c r="H94" s="2"/>
      <c r="I94" s="2"/>
      <c r="J94" s="2"/>
      <c r="K94" s="2"/>
    </row>
    <row r="95" ht="15.75" customHeight="1">
      <c r="A95" s="23"/>
      <c r="B95" s="23"/>
      <c r="C95" s="18" t="s">
        <v>17</v>
      </c>
      <c r="D95" s="19"/>
      <c r="E95" s="20">
        <v>2000.0</v>
      </c>
      <c r="F95" s="21">
        <f t="shared" si="1"/>
        <v>0</v>
      </c>
      <c r="G95" s="23"/>
      <c r="H95" s="2"/>
      <c r="I95" s="2"/>
      <c r="J95" s="2"/>
      <c r="K95" s="2"/>
    </row>
    <row r="96" ht="15.75" customHeight="1">
      <c r="A96" s="23"/>
      <c r="B96" s="23"/>
      <c r="C96" s="18" t="s">
        <v>18</v>
      </c>
      <c r="D96" s="19">
        <v>2.0</v>
      </c>
      <c r="E96" s="20">
        <v>2000.0</v>
      </c>
      <c r="F96" s="21">
        <f t="shared" si="1"/>
        <v>4000</v>
      </c>
      <c r="G96" s="23"/>
      <c r="H96" s="2"/>
      <c r="I96" s="2"/>
      <c r="J96" s="2"/>
      <c r="K96" s="2"/>
    </row>
    <row r="97" ht="15.75" customHeight="1">
      <c r="A97" s="23"/>
      <c r="B97" s="23"/>
      <c r="C97" s="18" t="s">
        <v>19</v>
      </c>
      <c r="D97" s="19"/>
      <c r="E97" s="20">
        <v>1300.0</v>
      </c>
      <c r="F97" s="21">
        <f t="shared" si="1"/>
        <v>0</v>
      </c>
      <c r="G97" s="23"/>
      <c r="H97" s="2"/>
      <c r="I97" s="2"/>
      <c r="J97" s="2"/>
      <c r="K97" s="2"/>
    </row>
    <row r="98" ht="15.75" customHeight="1">
      <c r="A98" s="23"/>
      <c r="B98" s="23"/>
      <c r="C98" s="18" t="s">
        <v>20</v>
      </c>
      <c r="D98" s="19"/>
      <c r="E98" s="20">
        <v>1000.0</v>
      </c>
      <c r="F98" s="21">
        <f t="shared" si="1"/>
        <v>0</v>
      </c>
      <c r="G98" s="23"/>
      <c r="H98" s="2"/>
      <c r="I98" s="2"/>
      <c r="J98" s="2"/>
      <c r="K98" s="2"/>
    </row>
    <row r="99" ht="15.75" customHeight="1">
      <c r="A99" s="23"/>
      <c r="B99" s="23"/>
      <c r="C99" s="18" t="s">
        <v>21</v>
      </c>
      <c r="D99" s="19">
        <v>0.5</v>
      </c>
      <c r="E99" s="20">
        <v>400.0</v>
      </c>
      <c r="F99" s="21">
        <f t="shared" si="1"/>
        <v>200</v>
      </c>
      <c r="G99" s="23"/>
      <c r="H99" s="2"/>
      <c r="I99" s="2"/>
      <c r="J99" s="2"/>
      <c r="K99" s="2"/>
    </row>
    <row r="100" ht="15.75" customHeight="1">
      <c r="A100" s="23"/>
      <c r="B100" s="23"/>
      <c r="C100" s="18" t="s">
        <v>22</v>
      </c>
      <c r="D100" s="19"/>
      <c r="E100" s="20">
        <v>7500.0</v>
      </c>
      <c r="F100" s="21">
        <f t="shared" si="1"/>
        <v>0</v>
      </c>
      <c r="G100" s="23"/>
      <c r="H100" s="2"/>
      <c r="I100" s="2"/>
      <c r="J100" s="2"/>
      <c r="K100" s="2"/>
    </row>
    <row r="101" ht="15.75" customHeight="1">
      <c r="A101" s="23"/>
      <c r="B101" s="23"/>
      <c r="C101" s="18" t="s">
        <v>23</v>
      </c>
      <c r="D101" s="19"/>
      <c r="E101" s="20">
        <v>2000.0</v>
      </c>
      <c r="F101" s="21">
        <f t="shared" si="1"/>
        <v>0</v>
      </c>
      <c r="G101" s="23"/>
      <c r="H101" s="2"/>
      <c r="I101" s="2"/>
      <c r="J101" s="2"/>
      <c r="K101" s="2"/>
    </row>
    <row r="102" ht="15.75" customHeight="1">
      <c r="A102" s="23"/>
      <c r="B102" s="23"/>
      <c r="C102" s="18" t="s">
        <v>24</v>
      </c>
      <c r="D102" s="19"/>
      <c r="E102" s="20">
        <v>800.0</v>
      </c>
      <c r="F102" s="21">
        <f t="shared" si="1"/>
        <v>0</v>
      </c>
      <c r="G102" s="23"/>
      <c r="H102" s="2"/>
      <c r="I102" s="2"/>
      <c r="J102" s="2"/>
      <c r="K102" s="2"/>
    </row>
    <row r="103" ht="15.75" customHeight="1">
      <c r="A103" s="23"/>
      <c r="B103" s="23"/>
      <c r="C103" s="18" t="s">
        <v>25</v>
      </c>
      <c r="D103" s="19">
        <v>0.5</v>
      </c>
      <c r="E103" s="20">
        <v>5000.0</v>
      </c>
      <c r="F103" s="21">
        <f t="shared" si="1"/>
        <v>2500</v>
      </c>
      <c r="G103" s="23"/>
      <c r="H103" s="2"/>
      <c r="I103" s="2"/>
      <c r="J103" s="2"/>
      <c r="K103" s="2"/>
    </row>
    <row r="104" ht="15.75" customHeight="1">
      <c r="A104" s="23"/>
      <c r="B104" s="23"/>
      <c r="C104" s="18" t="s">
        <v>26</v>
      </c>
      <c r="D104" s="19"/>
      <c r="E104" s="20">
        <v>2700.0</v>
      </c>
      <c r="F104" s="21">
        <f t="shared" si="1"/>
        <v>0</v>
      </c>
      <c r="G104" s="23"/>
      <c r="H104" s="2"/>
      <c r="I104" s="2"/>
      <c r="J104" s="2"/>
      <c r="K104" s="2"/>
    </row>
    <row r="105" ht="15.75" customHeight="1">
      <c r="A105" s="23"/>
      <c r="B105" s="23"/>
      <c r="C105" s="18" t="s">
        <v>27</v>
      </c>
      <c r="D105" s="19"/>
      <c r="E105" s="20">
        <v>50000.0</v>
      </c>
      <c r="F105" s="21">
        <f t="shared" si="1"/>
        <v>0</v>
      </c>
      <c r="G105" s="23"/>
      <c r="H105" s="2"/>
      <c r="I105" s="2"/>
      <c r="J105" s="2"/>
      <c r="K105" s="2"/>
    </row>
    <row r="106" ht="15.75" customHeight="1">
      <c r="A106" s="23"/>
      <c r="B106" s="23"/>
      <c r="C106" s="18" t="s">
        <v>28</v>
      </c>
      <c r="D106" s="19"/>
      <c r="E106" s="20">
        <v>10000.0</v>
      </c>
      <c r="F106" s="21">
        <f t="shared" si="1"/>
        <v>0</v>
      </c>
      <c r="G106" s="23"/>
      <c r="H106" s="2"/>
      <c r="I106" s="2"/>
      <c r="J106" s="2"/>
      <c r="K106" s="2"/>
    </row>
    <row r="107" ht="15.75" customHeight="1">
      <c r="A107" s="23"/>
      <c r="B107" s="23"/>
      <c r="C107" s="18" t="s">
        <v>29</v>
      </c>
      <c r="D107" s="19"/>
      <c r="E107" s="20">
        <v>1000.0</v>
      </c>
      <c r="F107" s="21">
        <f t="shared" si="1"/>
        <v>0</v>
      </c>
      <c r="G107" s="23"/>
      <c r="H107" s="2"/>
      <c r="I107" s="2"/>
      <c r="J107" s="2"/>
      <c r="K107" s="2"/>
    </row>
    <row r="108" ht="15.75" customHeight="1">
      <c r="A108" s="23"/>
      <c r="B108" s="23"/>
      <c r="C108" s="18" t="s">
        <v>30</v>
      </c>
      <c r="D108" s="19"/>
      <c r="E108" s="20">
        <v>500.0</v>
      </c>
      <c r="F108" s="21">
        <f t="shared" si="1"/>
        <v>0</v>
      </c>
      <c r="G108" s="23"/>
      <c r="H108" s="2"/>
      <c r="I108" s="2"/>
      <c r="J108" s="2"/>
      <c r="K108" s="2"/>
    </row>
    <row r="109" ht="15.75" customHeight="1">
      <c r="A109" s="23"/>
      <c r="B109" s="23"/>
      <c r="C109" s="18" t="s">
        <v>31</v>
      </c>
      <c r="D109" s="19"/>
      <c r="E109" s="20">
        <v>200.0</v>
      </c>
      <c r="F109" s="21">
        <f t="shared" si="1"/>
        <v>0</v>
      </c>
      <c r="G109" s="23"/>
      <c r="H109" s="2"/>
      <c r="I109" s="2"/>
      <c r="J109" s="2"/>
      <c r="K109" s="2"/>
    </row>
    <row r="110" ht="15.75" customHeight="1">
      <c r="A110" s="23"/>
      <c r="B110" s="23"/>
      <c r="C110" s="18" t="s">
        <v>32</v>
      </c>
      <c r="D110" s="19"/>
      <c r="E110" s="20">
        <v>1000.0</v>
      </c>
      <c r="F110" s="21">
        <f t="shared" si="1"/>
        <v>0</v>
      </c>
      <c r="G110" s="23"/>
      <c r="H110" s="2"/>
      <c r="I110" s="2"/>
      <c r="J110" s="2"/>
      <c r="K110" s="2"/>
    </row>
    <row r="111" ht="15.75" customHeight="1">
      <c r="A111" s="23"/>
      <c r="B111" s="23"/>
      <c r="C111" s="18" t="s">
        <v>33</v>
      </c>
      <c r="D111" s="19"/>
      <c r="E111" s="20">
        <v>300.0</v>
      </c>
      <c r="F111" s="21">
        <f t="shared" si="1"/>
        <v>0</v>
      </c>
      <c r="G111" s="23"/>
      <c r="H111" s="2"/>
      <c r="I111" s="2"/>
      <c r="J111" s="2"/>
      <c r="K111" s="2"/>
    </row>
    <row r="112" ht="15.75" customHeight="1">
      <c r="A112" s="23"/>
      <c r="B112" s="23"/>
      <c r="C112" s="18" t="s">
        <v>34</v>
      </c>
      <c r="D112" s="19"/>
      <c r="E112" s="20">
        <v>100.0</v>
      </c>
      <c r="F112" s="21">
        <f t="shared" si="1"/>
        <v>0</v>
      </c>
      <c r="G112" s="23"/>
      <c r="H112" s="2"/>
      <c r="I112" s="2"/>
      <c r="J112" s="2"/>
      <c r="K112" s="2"/>
    </row>
    <row r="113" ht="15.75" customHeight="1">
      <c r="A113" s="23"/>
      <c r="B113" s="23"/>
      <c r="C113" s="18" t="s">
        <v>35</v>
      </c>
      <c r="D113" s="19">
        <v>3.5</v>
      </c>
      <c r="E113" s="20">
        <v>500.0</v>
      </c>
      <c r="F113" s="21">
        <f t="shared" si="1"/>
        <v>1750</v>
      </c>
      <c r="G113" s="23"/>
      <c r="H113" s="2"/>
      <c r="I113" s="2"/>
      <c r="J113" s="2"/>
      <c r="K113" s="2"/>
    </row>
    <row r="114" ht="15.75" customHeight="1">
      <c r="A114" s="23"/>
      <c r="B114" s="23"/>
      <c r="C114" s="18" t="s">
        <v>36</v>
      </c>
      <c r="D114" s="19"/>
      <c r="E114" s="20">
        <v>1500.0</v>
      </c>
      <c r="F114" s="21">
        <f t="shared" si="1"/>
        <v>0</v>
      </c>
      <c r="G114" s="23"/>
      <c r="H114" s="2"/>
      <c r="I114" s="2"/>
      <c r="J114" s="2"/>
      <c r="K114" s="2"/>
    </row>
    <row r="115" ht="15.75" customHeight="1">
      <c r="A115" s="23"/>
      <c r="B115" s="23"/>
      <c r="C115" s="18" t="s">
        <v>37</v>
      </c>
      <c r="D115" s="19"/>
      <c r="E115" s="20">
        <v>4000.0</v>
      </c>
      <c r="F115" s="21">
        <f t="shared" si="1"/>
        <v>0</v>
      </c>
      <c r="G115" s="23"/>
      <c r="H115" s="2"/>
      <c r="I115" s="2"/>
      <c r="J115" s="2"/>
      <c r="K115" s="2"/>
    </row>
    <row r="116" ht="15.75" customHeight="1">
      <c r="A116" s="25"/>
      <c r="B116" s="25"/>
      <c r="C116" s="18" t="s">
        <v>38</v>
      </c>
      <c r="D116" s="19"/>
      <c r="E116" s="20">
        <v>0.0</v>
      </c>
      <c r="F116" s="21">
        <f t="shared" si="1"/>
        <v>0</v>
      </c>
      <c r="G116" s="25"/>
      <c r="H116" s="2"/>
      <c r="I116" s="2"/>
      <c r="J116" s="2"/>
      <c r="K116" s="2"/>
    </row>
    <row r="117" ht="15.75" customHeight="1">
      <c r="A117" s="16">
        <v>5.0</v>
      </c>
      <c r="B117" s="17" t="s">
        <v>46</v>
      </c>
      <c r="C117" s="18" t="s">
        <v>11</v>
      </c>
      <c r="D117" s="19"/>
      <c r="E117" s="20">
        <v>5000.0</v>
      </c>
      <c r="F117" s="21">
        <f t="shared" si="1"/>
        <v>0</v>
      </c>
      <c r="G117" s="22">
        <f>SUM(F117:F144)</f>
        <v>18000</v>
      </c>
      <c r="H117" s="2"/>
      <c r="I117" s="2"/>
      <c r="J117" s="2"/>
      <c r="K117" s="2"/>
    </row>
    <row r="118" ht="15.75" customHeight="1">
      <c r="A118" s="23"/>
      <c r="B118" s="23"/>
      <c r="C118" s="18" t="s">
        <v>12</v>
      </c>
      <c r="D118" s="19">
        <v>0.5</v>
      </c>
      <c r="E118" s="20">
        <v>3000.0</v>
      </c>
      <c r="F118" s="21">
        <f t="shared" si="1"/>
        <v>1500</v>
      </c>
      <c r="G118" s="23"/>
      <c r="H118" s="2"/>
      <c r="I118" s="2"/>
      <c r="J118" s="2"/>
      <c r="K118" s="2"/>
    </row>
    <row r="119" ht="15.75" customHeight="1">
      <c r="A119" s="23"/>
      <c r="B119" s="23"/>
      <c r="C119" s="18" t="s">
        <v>13</v>
      </c>
      <c r="D119" s="19"/>
      <c r="E119" s="20">
        <v>1000.0</v>
      </c>
      <c r="F119" s="21">
        <f t="shared" si="1"/>
        <v>0</v>
      </c>
      <c r="G119" s="23"/>
      <c r="H119" s="2"/>
      <c r="I119" s="2"/>
      <c r="J119" s="2"/>
      <c r="K119" s="2"/>
    </row>
    <row r="120" ht="15.75" customHeight="1">
      <c r="A120" s="23"/>
      <c r="B120" s="23"/>
      <c r="C120" s="18" t="s">
        <v>14</v>
      </c>
      <c r="D120" s="19"/>
      <c r="E120" s="20">
        <v>2800.0</v>
      </c>
      <c r="F120" s="21">
        <f t="shared" si="1"/>
        <v>0</v>
      </c>
      <c r="G120" s="23"/>
      <c r="H120" s="2"/>
      <c r="I120" s="2"/>
      <c r="J120" s="2"/>
      <c r="K120" s="2"/>
    </row>
    <row r="121" ht="15.75" customHeight="1">
      <c r="A121" s="23"/>
      <c r="B121" s="23"/>
      <c r="C121" s="18" t="s">
        <v>15</v>
      </c>
      <c r="D121" s="19"/>
      <c r="E121" s="20">
        <v>3500.0</v>
      </c>
      <c r="F121" s="21">
        <f t="shared" si="1"/>
        <v>0</v>
      </c>
      <c r="G121" s="23"/>
      <c r="H121" s="2"/>
      <c r="I121" s="2"/>
      <c r="J121" s="2"/>
      <c r="K121" s="2"/>
    </row>
    <row r="122" ht="15.75" customHeight="1">
      <c r="A122" s="23"/>
      <c r="B122" s="23"/>
      <c r="C122" s="18" t="s">
        <v>16</v>
      </c>
      <c r="D122" s="19">
        <v>2.0</v>
      </c>
      <c r="E122" s="20">
        <v>1000.0</v>
      </c>
      <c r="F122" s="21">
        <f t="shared" si="1"/>
        <v>2000</v>
      </c>
      <c r="G122" s="23"/>
      <c r="H122" s="2"/>
      <c r="I122" s="2"/>
      <c r="J122" s="2"/>
      <c r="K122" s="2"/>
    </row>
    <row r="123" ht="15.75" customHeight="1">
      <c r="A123" s="23"/>
      <c r="B123" s="23"/>
      <c r="C123" s="18" t="s">
        <v>17</v>
      </c>
      <c r="D123" s="19">
        <v>5.0</v>
      </c>
      <c r="E123" s="20">
        <v>2000.0</v>
      </c>
      <c r="F123" s="21">
        <f t="shared" si="1"/>
        <v>10000</v>
      </c>
      <c r="G123" s="23"/>
      <c r="H123" s="2"/>
      <c r="I123" s="2"/>
      <c r="J123" s="2"/>
      <c r="K123" s="2"/>
    </row>
    <row r="124" ht="15.75" customHeight="1">
      <c r="A124" s="23"/>
      <c r="B124" s="23"/>
      <c r="C124" s="18" t="s">
        <v>18</v>
      </c>
      <c r="D124" s="19"/>
      <c r="E124" s="20">
        <v>2000.0</v>
      </c>
      <c r="F124" s="21">
        <f t="shared" si="1"/>
        <v>0</v>
      </c>
      <c r="G124" s="23"/>
      <c r="H124" s="2"/>
      <c r="I124" s="2"/>
      <c r="J124" s="2"/>
      <c r="K124" s="2"/>
    </row>
    <row r="125" ht="15.75" customHeight="1">
      <c r="A125" s="23"/>
      <c r="B125" s="23"/>
      <c r="C125" s="18" t="s">
        <v>19</v>
      </c>
      <c r="D125" s="19"/>
      <c r="E125" s="20">
        <v>1300.0</v>
      </c>
      <c r="F125" s="21">
        <f t="shared" si="1"/>
        <v>0</v>
      </c>
      <c r="G125" s="23"/>
      <c r="H125" s="2"/>
      <c r="I125" s="2"/>
      <c r="J125" s="2"/>
      <c r="K125" s="2"/>
    </row>
    <row r="126" ht="15.75" customHeight="1">
      <c r="A126" s="23"/>
      <c r="B126" s="23"/>
      <c r="C126" s="18" t="s">
        <v>20</v>
      </c>
      <c r="D126" s="19"/>
      <c r="E126" s="20">
        <v>1000.0</v>
      </c>
      <c r="F126" s="21">
        <f t="shared" si="1"/>
        <v>0</v>
      </c>
      <c r="G126" s="23"/>
      <c r="H126" s="2"/>
      <c r="I126" s="2"/>
      <c r="J126" s="2"/>
      <c r="K126" s="2"/>
    </row>
    <row r="127" ht="15.75" customHeight="1">
      <c r="A127" s="23"/>
      <c r="B127" s="23"/>
      <c r="C127" s="18" t="s">
        <v>21</v>
      </c>
      <c r="D127" s="19"/>
      <c r="E127" s="20">
        <v>400.0</v>
      </c>
      <c r="F127" s="21">
        <f t="shared" si="1"/>
        <v>0</v>
      </c>
      <c r="G127" s="23"/>
      <c r="H127" s="2"/>
      <c r="I127" s="2"/>
      <c r="J127" s="2"/>
      <c r="K127" s="2"/>
    </row>
    <row r="128" ht="15.75" customHeight="1">
      <c r="A128" s="23"/>
      <c r="B128" s="23"/>
      <c r="C128" s="18" t="s">
        <v>22</v>
      </c>
      <c r="D128" s="19"/>
      <c r="E128" s="20">
        <v>7500.0</v>
      </c>
      <c r="F128" s="21">
        <f t="shared" si="1"/>
        <v>0</v>
      </c>
      <c r="G128" s="23"/>
      <c r="H128" s="2"/>
      <c r="I128" s="2"/>
      <c r="J128" s="2"/>
      <c r="K128" s="2"/>
    </row>
    <row r="129" ht="15.75" customHeight="1">
      <c r="A129" s="23"/>
      <c r="B129" s="23"/>
      <c r="C129" s="18" t="s">
        <v>23</v>
      </c>
      <c r="D129" s="19"/>
      <c r="E129" s="20">
        <v>2000.0</v>
      </c>
      <c r="F129" s="21">
        <f t="shared" si="1"/>
        <v>0</v>
      </c>
      <c r="G129" s="23"/>
      <c r="H129" s="2"/>
      <c r="I129" s="2"/>
      <c r="J129" s="2"/>
      <c r="K129" s="2"/>
    </row>
    <row r="130" ht="15.75" customHeight="1">
      <c r="A130" s="23"/>
      <c r="B130" s="23"/>
      <c r="C130" s="18" t="s">
        <v>24</v>
      </c>
      <c r="D130" s="19"/>
      <c r="E130" s="20">
        <v>800.0</v>
      </c>
      <c r="F130" s="21">
        <f t="shared" si="1"/>
        <v>0</v>
      </c>
      <c r="G130" s="23"/>
      <c r="H130" s="2"/>
      <c r="I130" s="2"/>
      <c r="J130" s="2"/>
      <c r="K130" s="2"/>
    </row>
    <row r="131" ht="15.75" customHeight="1">
      <c r="A131" s="23"/>
      <c r="B131" s="23"/>
      <c r="C131" s="18" t="s">
        <v>25</v>
      </c>
      <c r="D131" s="19"/>
      <c r="E131" s="20">
        <v>5000.0</v>
      </c>
      <c r="F131" s="21">
        <f t="shared" si="1"/>
        <v>0</v>
      </c>
      <c r="G131" s="23"/>
      <c r="H131" s="2"/>
      <c r="I131" s="2"/>
      <c r="J131" s="2"/>
      <c r="K131" s="2"/>
    </row>
    <row r="132" ht="15.75" customHeight="1">
      <c r="A132" s="23"/>
      <c r="B132" s="23"/>
      <c r="C132" s="18" t="s">
        <v>26</v>
      </c>
      <c r="D132" s="19"/>
      <c r="E132" s="20">
        <v>2700.0</v>
      </c>
      <c r="F132" s="21">
        <f t="shared" si="1"/>
        <v>0</v>
      </c>
      <c r="G132" s="23"/>
      <c r="H132" s="2"/>
      <c r="I132" s="2"/>
      <c r="J132" s="2"/>
      <c r="K132" s="2"/>
    </row>
    <row r="133" ht="15.75" customHeight="1">
      <c r="A133" s="23"/>
      <c r="B133" s="23"/>
      <c r="C133" s="18" t="s">
        <v>27</v>
      </c>
      <c r="D133" s="19"/>
      <c r="E133" s="20">
        <v>50000.0</v>
      </c>
      <c r="F133" s="21">
        <f t="shared" si="1"/>
        <v>0</v>
      </c>
      <c r="G133" s="23"/>
      <c r="H133" s="2"/>
      <c r="I133" s="2"/>
      <c r="J133" s="2"/>
      <c r="K133" s="2"/>
    </row>
    <row r="134" ht="15.75" customHeight="1">
      <c r="A134" s="23"/>
      <c r="B134" s="23"/>
      <c r="C134" s="18" t="s">
        <v>28</v>
      </c>
      <c r="D134" s="19"/>
      <c r="E134" s="20">
        <v>10000.0</v>
      </c>
      <c r="F134" s="21">
        <f t="shared" si="1"/>
        <v>0</v>
      </c>
      <c r="G134" s="23"/>
      <c r="H134" s="2"/>
      <c r="I134" s="2"/>
      <c r="J134" s="2"/>
      <c r="K134" s="2"/>
    </row>
    <row r="135" ht="15.75" customHeight="1">
      <c r="A135" s="23"/>
      <c r="B135" s="23"/>
      <c r="C135" s="18" t="s">
        <v>29</v>
      </c>
      <c r="D135" s="19"/>
      <c r="E135" s="20">
        <v>1000.0</v>
      </c>
      <c r="F135" s="21">
        <f t="shared" si="1"/>
        <v>0</v>
      </c>
      <c r="G135" s="23"/>
      <c r="H135" s="2"/>
      <c r="I135" s="2"/>
      <c r="J135" s="2"/>
      <c r="K135" s="2"/>
    </row>
    <row r="136" ht="15.75" customHeight="1">
      <c r="A136" s="23"/>
      <c r="B136" s="23"/>
      <c r="C136" s="18" t="s">
        <v>30</v>
      </c>
      <c r="D136" s="19"/>
      <c r="E136" s="20">
        <v>500.0</v>
      </c>
      <c r="F136" s="21">
        <f t="shared" si="1"/>
        <v>0</v>
      </c>
      <c r="G136" s="23"/>
      <c r="H136" s="2"/>
      <c r="I136" s="2"/>
      <c r="J136" s="2"/>
      <c r="K136" s="2"/>
    </row>
    <row r="137" ht="15.75" customHeight="1">
      <c r="A137" s="23"/>
      <c r="B137" s="23"/>
      <c r="C137" s="18" t="s">
        <v>31</v>
      </c>
      <c r="D137" s="19"/>
      <c r="E137" s="20">
        <v>200.0</v>
      </c>
      <c r="F137" s="21">
        <f t="shared" si="1"/>
        <v>0</v>
      </c>
      <c r="G137" s="23"/>
      <c r="H137" s="2"/>
      <c r="I137" s="2"/>
      <c r="J137" s="2"/>
      <c r="K137" s="2"/>
    </row>
    <row r="138" ht="15.75" customHeight="1">
      <c r="A138" s="23"/>
      <c r="B138" s="23"/>
      <c r="C138" s="18" t="s">
        <v>32</v>
      </c>
      <c r="D138" s="19"/>
      <c r="E138" s="20">
        <v>1000.0</v>
      </c>
      <c r="F138" s="21">
        <f t="shared" si="1"/>
        <v>0</v>
      </c>
      <c r="G138" s="23"/>
      <c r="H138" s="2"/>
      <c r="I138" s="2"/>
      <c r="J138" s="2"/>
      <c r="K138" s="2"/>
    </row>
    <row r="139" ht="15.75" customHeight="1">
      <c r="A139" s="23"/>
      <c r="B139" s="23"/>
      <c r="C139" s="18" t="s">
        <v>33</v>
      </c>
      <c r="D139" s="19">
        <v>15.0</v>
      </c>
      <c r="E139" s="20">
        <v>300.0</v>
      </c>
      <c r="F139" s="21">
        <f t="shared" si="1"/>
        <v>4500</v>
      </c>
      <c r="G139" s="23"/>
      <c r="H139" s="2"/>
      <c r="I139" s="2"/>
      <c r="J139" s="2"/>
      <c r="K139" s="2"/>
    </row>
    <row r="140" ht="15.75" customHeight="1">
      <c r="A140" s="23"/>
      <c r="B140" s="23"/>
      <c r="C140" s="18" t="s">
        <v>34</v>
      </c>
      <c r="D140" s="19"/>
      <c r="E140" s="20">
        <v>100.0</v>
      </c>
      <c r="F140" s="21">
        <f t="shared" si="1"/>
        <v>0</v>
      </c>
      <c r="G140" s="23"/>
      <c r="H140" s="2"/>
      <c r="I140" s="2"/>
      <c r="J140" s="2"/>
      <c r="K140" s="2"/>
    </row>
    <row r="141" ht="15.75" customHeight="1">
      <c r="A141" s="23"/>
      <c r="B141" s="23"/>
      <c r="C141" s="18" t="s">
        <v>35</v>
      </c>
      <c r="D141" s="19"/>
      <c r="E141" s="20">
        <v>500.0</v>
      </c>
      <c r="F141" s="21">
        <f t="shared" si="1"/>
        <v>0</v>
      </c>
      <c r="G141" s="23"/>
      <c r="H141" s="2"/>
      <c r="I141" s="2"/>
      <c r="J141" s="2"/>
      <c r="K141" s="2"/>
    </row>
    <row r="142" ht="15.75" customHeight="1">
      <c r="A142" s="23"/>
      <c r="B142" s="23"/>
      <c r="C142" s="18" t="s">
        <v>36</v>
      </c>
      <c r="D142" s="19"/>
      <c r="E142" s="20">
        <v>1500.0</v>
      </c>
      <c r="F142" s="21">
        <f t="shared" si="1"/>
        <v>0</v>
      </c>
      <c r="G142" s="23"/>
      <c r="H142" s="2"/>
      <c r="I142" s="2"/>
      <c r="J142" s="2"/>
      <c r="K142" s="2"/>
    </row>
    <row r="143" ht="15.75" customHeight="1">
      <c r="A143" s="23"/>
      <c r="B143" s="23"/>
      <c r="C143" s="18" t="s">
        <v>37</v>
      </c>
      <c r="D143" s="19"/>
      <c r="E143" s="20">
        <v>4000.0</v>
      </c>
      <c r="F143" s="21">
        <f t="shared" si="1"/>
        <v>0</v>
      </c>
      <c r="G143" s="23"/>
      <c r="H143" s="2"/>
      <c r="I143" s="2"/>
      <c r="J143" s="2"/>
      <c r="K143" s="2"/>
    </row>
    <row r="144" ht="15.75" customHeight="1">
      <c r="A144" s="25"/>
      <c r="B144" s="25"/>
      <c r="C144" s="18" t="s">
        <v>38</v>
      </c>
      <c r="D144" s="19">
        <v>0.5</v>
      </c>
      <c r="E144" s="20">
        <v>0.0</v>
      </c>
      <c r="F144" s="21">
        <f t="shared" si="1"/>
        <v>0</v>
      </c>
      <c r="G144" s="25"/>
      <c r="H144" s="2"/>
      <c r="I144" s="2"/>
      <c r="J144" s="2"/>
      <c r="K144" s="2"/>
    </row>
    <row r="145" ht="15.75" customHeight="1">
      <c r="A145" s="16">
        <v>6.0</v>
      </c>
      <c r="B145" s="17" t="s">
        <v>47</v>
      </c>
      <c r="C145" s="18" t="s">
        <v>11</v>
      </c>
      <c r="D145" s="19"/>
      <c r="E145" s="20">
        <v>5000.0</v>
      </c>
      <c r="F145" s="21">
        <f t="shared" si="1"/>
        <v>0</v>
      </c>
      <c r="G145" s="22">
        <f>SUM(F145:F172)</f>
        <v>12900</v>
      </c>
      <c r="H145" s="2"/>
      <c r="I145" s="2"/>
      <c r="J145" s="2"/>
      <c r="K145" s="2"/>
    </row>
    <row r="146" ht="15.75" customHeight="1">
      <c r="A146" s="23"/>
      <c r="B146" s="23"/>
      <c r="C146" s="18" t="s">
        <v>12</v>
      </c>
      <c r="D146" s="19"/>
      <c r="E146" s="20">
        <v>3000.0</v>
      </c>
      <c r="F146" s="21">
        <f t="shared" si="1"/>
        <v>0</v>
      </c>
      <c r="G146" s="23"/>
      <c r="H146" s="2"/>
      <c r="I146" s="2"/>
      <c r="J146" s="2"/>
      <c r="K146" s="2"/>
    </row>
    <row r="147" ht="15.75" customHeight="1">
      <c r="A147" s="23"/>
      <c r="B147" s="23"/>
      <c r="C147" s="18" t="s">
        <v>13</v>
      </c>
      <c r="D147" s="19"/>
      <c r="E147" s="20">
        <v>1000.0</v>
      </c>
      <c r="F147" s="21">
        <f t="shared" si="1"/>
        <v>0</v>
      </c>
      <c r="G147" s="23"/>
      <c r="H147" s="2"/>
      <c r="I147" s="2"/>
      <c r="J147" s="2"/>
      <c r="K147" s="2"/>
    </row>
    <row r="148" ht="15.75" customHeight="1">
      <c r="A148" s="23"/>
      <c r="B148" s="23"/>
      <c r="C148" s="18" t="s">
        <v>14</v>
      </c>
      <c r="D148" s="19"/>
      <c r="E148" s="20">
        <v>2800.0</v>
      </c>
      <c r="F148" s="21">
        <f t="shared" si="1"/>
        <v>0</v>
      </c>
      <c r="G148" s="23"/>
      <c r="H148" s="2"/>
      <c r="I148" s="2"/>
      <c r="J148" s="2"/>
      <c r="K148" s="2"/>
    </row>
    <row r="149" ht="15.75" customHeight="1">
      <c r="A149" s="23"/>
      <c r="B149" s="23"/>
      <c r="C149" s="18" t="s">
        <v>15</v>
      </c>
      <c r="D149" s="19"/>
      <c r="E149" s="20">
        <v>3500.0</v>
      </c>
      <c r="F149" s="21">
        <f t="shared" si="1"/>
        <v>0</v>
      </c>
      <c r="G149" s="23"/>
      <c r="H149" s="2"/>
      <c r="I149" s="2"/>
      <c r="J149" s="2"/>
      <c r="K149" s="2"/>
    </row>
    <row r="150" ht="15.75" customHeight="1">
      <c r="A150" s="23"/>
      <c r="B150" s="23"/>
      <c r="C150" s="18" t="s">
        <v>16</v>
      </c>
      <c r="D150" s="19">
        <v>5.0</v>
      </c>
      <c r="E150" s="20">
        <v>1000.0</v>
      </c>
      <c r="F150" s="21">
        <f t="shared" si="1"/>
        <v>5000</v>
      </c>
      <c r="G150" s="23"/>
      <c r="H150" s="2"/>
      <c r="I150" s="2"/>
      <c r="J150" s="2"/>
      <c r="K150" s="2"/>
    </row>
    <row r="151" ht="15.75" customHeight="1">
      <c r="A151" s="23"/>
      <c r="B151" s="23"/>
      <c r="C151" s="18" t="s">
        <v>17</v>
      </c>
      <c r="D151" s="19"/>
      <c r="E151" s="20">
        <v>2000.0</v>
      </c>
      <c r="F151" s="21">
        <f t="shared" si="1"/>
        <v>0</v>
      </c>
      <c r="G151" s="23"/>
      <c r="H151" s="2"/>
      <c r="I151" s="2"/>
      <c r="J151" s="2"/>
      <c r="K151" s="2"/>
    </row>
    <row r="152" ht="15.75" customHeight="1">
      <c r="A152" s="23"/>
      <c r="B152" s="23"/>
      <c r="C152" s="18" t="s">
        <v>18</v>
      </c>
      <c r="D152" s="19">
        <v>3.5</v>
      </c>
      <c r="E152" s="20">
        <v>2000.0</v>
      </c>
      <c r="F152" s="21">
        <f t="shared" si="1"/>
        <v>7000</v>
      </c>
      <c r="G152" s="23"/>
      <c r="H152" s="2"/>
      <c r="I152" s="2"/>
      <c r="J152" s="2"/>
      <c r="K152" s="2"/>
    </row>
    <row r="153" ht="15.75" customHeight="1">
      <c r="A153" s="23"/>
      <c r="B153" s="23"/>
      <c r="C153" s="18" t="s">
        <v>19</v>
      </c>
      <c r="D153" s="19"/>
      <c r="E153" s="20">
        <v>1300.0</v>
      </c>
      <c r="F153" s="21">
        <f t="shared" si="1"/>
        <v>0</v>
      </c>
      <c r="G153" s="23"/>
      <c r="H153" s="2"/>
      <c r="I153" s="2"/>
      <c r="J153" s="2"/>
      <c r="K153" s="2"/>
    </row>
    <row r="154" ht="15.75" customHeight="1">
      <c r="A154" s="23"/>
      <c r="B154" s="23"/>
      <c r="C154" s="18" t="s">
        <v>20</v>
      </c>
      <c r="D154" s="19"/>
      <c r="E154" s="20">
        <v>1000.0</v>
      </c>
      <c r="F154" s="21">
        <f t="shared" si="1"/>
        <v>0</v>
      </c>
      <c r="G154" s="23"/>
      <c r="H154" s="2"/>
      <c r="I154" s="2"/>
      <c r="J154" s="2"/>
      <c r="K154" s="2"/>
    </row>
    <row r="155" ht="15.75" customHeight="1">
      <c r="A155" s="23"/>
      <c r="B155" s="23"/>
      <c r="C155" s="18" t="s">
        <v>21</v>
      </c>
      <c r="D155" s="19"/>
      <c r="E155" s="20">
        <v>400.0</v>
      </c>
      <c r="F155" s="21">
        <f t="shared" si="1"/>
        <v>0</v>
      </c>
      <c r="G155" s="23"/>
      <c r="H155" s="2"/>
      <c r="I155" s="2"/>
      <c r="J155" s="2"/>
      <c r="K155" s="2"/>
    </row>
    <row r="156" ht="15.75" customHeight="1">
      <c r="A156" s="23"/>
      <c r="B156" s="23"/>
      <c r="C156" s="18" t="s">
        <v>22</v>
      </c>
      <c r="D156" s="19"/>
      <c r="E156" s="20">
        <v>7500.0</v>
      </c>
      <c r="F156" s="21">
        <f t="shared" si="1"/>
        <v>0</v>
      </c>
      <c r="G156" s="23"/>
      <c r="H156" s="2"/>
      <c r="I156" s="2"/>
      <c r="J156" s="2"/>
      <c r="K156" s="2"/>
    </row>
    <row r="157" ht="15.75" customHeight="1">
      <c r="A157" s="23"/>
      <c r="B157" s="23"/>
      <c r="C157" s="18" t="s">
        <v>23</v>
      </c>
      <c r="D157" s="19"/>
      <c r="E157" s="20">
        <v>2000.0</v>
      </c>
      <c r="F157" s="21">
        <f t="shared" si="1"/>
        <v>0</v>
      </c>
      <c r="G157" s="23"/>
      <c r="H157" s="2"/>
      <c r="I157" s="2"/>
      <c r="J157" s="2"/>
      <c r="K157" s="2"/>
    </row>
    <row r="158" ht="15.75" customHeight="1">
      <c r="A158" s="23"/>
      <c r="B158" s="23"/>
      <c r="C158" s="18" t="s">
        <v>24</v>
      </c>
      <c r="D158" s="19"/>
      <c r="E158" s="20">
        <v>800.0</v>
      </c>
      <c r="F158" s="21">
        <f t="shared" si="1"/>
        <v>0</v>
      </c>
      <c r="G158" s="23"/>
      <c r="H158" s="2"/>
      <c r="I158" s="2"/>
      <c r="J158" s="2"/>
      <c r="K158" s="2"/>
    </row>
    <row r="159" ht="15.75" customHeight="1">
      <c r="A159" s="23"/>
      <c r="B159" s="23"/>
      <c r="C159" s="18" t="s">
        <v>25</v>
      </c>
      <c r="D159" s="19"/>
      <c r="E159" s="20">
        <v>5000.0</v>
      </c>
      <c r="F159" s="21">
        <f t="shared" si="1"/>
        <v>0</v>
      </c>
      <c r="G159" s="23"/>
      <c r="H159" s="2"/>
      <c r="I159" s="2"/>
      <c r="J159" s="2"/>
      <c r="K159" s="2"/>
    </row>
    <row r="160" ht="15.75" customHeight="1">
      <c r="A160" s="23"/>
      <c r="B160" s="23"/>
      <c r="C160" s="18" t="s">
        <v>26</v>
      </c>
      <c r="D160" s="19"/>
      <c r="E160" s="20">
        <v>2700.0</v>
      </c>
      <c r="F160" s="21">
        <f t="shared" si="1"/>
        <v>0</v>
      </c>
      <c r="G160" s="23"/>
      <c r="H160" s="2"/>
      <c r="I160" s="2"/>
      <c r="J160" s="2"/>
      <c r="K160" s="2"/>
    </row>
    <row r="161" ht="15.75" customHeight="1">
      <c r="A161" s="23"/>
      <c r="B161" s="23"/>
      <c r="C161" s="18" t="s">
        <v>27</v>
      </c>
      <c r="D161" s="19"/>
      <c r="E161" s="20">
        <v>50000.0</v>
      </c>
      <c r="F161" s="21">
        <f t="shared" si="1"/>
        <v>0</v>
      </c>
      <c r="G161" s="23"/>
      <c r="H161" s="2"/>
      <c r="I161" s="2"/>
      <c r="J161" s="2"/>
      <c r="K161" s="2"/>
    </row>
    <row r="162" ht="15.75" customHeight="1">
      <c r="A162" s="23"/>
      <c r="B162" s="23"/>
      <c r="C162" s="18" t="s">
        <v>28</v>
      </c>
      <c r="D162" s="19"/>
      <c r="E162" s="20">
        <v>10000.0</v>
      </c>
      <c r="F162" s="21">
        <f t="shared" si="1"/>
        <v>0</v>
      </c>
      <c r="G162" s="23"/>
      <c r="H162" s="2"/>
      <c r="I162" s="2"/>
      <c r="J162" s="2"/>
      <c r="K162" s="2"/>
    </row>
    <row r="163" ht="15.75" customHeight="1">
      <c r="A163" s="23"/>
      <c r="B163" s="23"/>
      <c r="C163" s="18" t="s">
        <v>29</v>
      </c>
      <c r="D163" s="19"/>
      <c r="E163" s="20">
        <v>1000.0</v>
      </c>
      <c r="F163" s="21">
        <f t="shared" si="1"/>
        <v>0</v>
      </c>
      <c r="G163" s="23"/>
      <c r="H163" s="2"/>
      <c r="I163" s="2"/>
      <c r="J163" s="2"/>
      <c r="K163" s="2"/>
    </row>
    <row r="164" ht="15.75" customHeight="1">
      <c r="A164" s="23"/>
      <c r="B164" s="23"/>
      <c r="C164" s="18" t="s">
        <v>30</v>
      </c>
      <c r="D164" s="19"/>
      <c r="E164" s="20">
        <v>500.0</v>
      </c>
      <c r="F164" s="21">
        <f t="shared" si="1"/>
        <v>0</v>
      </c>
      <c r="G164" s="23"/>
      <c r="H164" s="2"/>
      <c r="I164" s="2"/>
      <c r="J164" s="2"/>
      <c r="K164" s="2"/>
    </row>
    <row r="165" ht="15.75" customHeight="1">
      <c r="A165" s="23"/>
      <c r="B165" s="23"/>
      <c r="C165" s="18" t="s">
        <v>31</v>
      </c>
      <c r="D165" s="19"/>
      <c r="E165" s="20">
        <v>200.0</v>
      </c>
      <c r="F165" s="21">
        <f t="shared" si="1"/>
        <v>0</v>
      </c>
      <c r="G165" s="23"/>
      <c r="H165" s="2"/>
      <c r="I165" s="2"/>
      <c r="J165" s="2"/>
      <c r="K165" s="2"/>
    </row>
    <row r="166" ht="15.75" customHeight="1">
      <c r="A166" s="23"/>
      <c r="B166" s="23"/>
      <c r="C166" s="18" t="s">
        <v>32</v>
      </c>
      <c r="D166" s="19"/>
      <c r="E166" s="20">
        <v>1000.0</v>
      </c>
      <c r="F166" s="21">
        <f t="shared" si="1"/>
        <v>0</v>
      </c>
      <c r="G166" s="23"/>
      <c r="H166" s="2"/>
      <c r="I166" s="2"/>
      <c r="J166" s="2"/>
      <c r="K166" s="2"/>
    </row>
    <row r="167" ht="15.75" customHeight="1">
      <c r="A167" s="23"/>
      <c r="B167" s="23"/>
      <c r="C167" s="18" t="s">
        <v>33</v>
      </c>
      <c r="D167" s="19">
        <v>3.0</v>
      </c>
      <c r="E167" s="20">
        <v>300.0</v>
      </c>
      <c r="F167" s="21">
        <f t="shared" si="1"/>
        <v>900</v>
      </c>
      <c r="G167" s="23"/>
      <c r="H167" s="2"/>
      <c r="I167" s="2"/>
      <c r="J167" s="2"/>
      <c r="K167" s="2"/>
    </row>
    <row r="168" ht="15.75" customHeight="1">
      <c r="A168" s="23"/>
      <c r="B168" s="23"/>
      <c r="C168" s="18" t="s">
        <v>34</v>
      </c>
      <c r="D168" s="19"/>
      <c r="E168" s="20">
        <v>100.0</v>
      </c>
      <c r="F168" s="21">
        <f t="shared" si="1"/>
        <v>0</v>
      </c>
      <c r="G168" s="23"/>
      <c r="H168" s="2"/>
      <c r="I168" s="2"/>
      <c r="J168" s="2"/>
      <c r="K168" s="2"/>
    </row>
    <row r="169" ht="15.75" customHeight="1">
      <c r="A169" s="23"/>
      <c r="B169" s="23"/>
      <c r="C169" s="18" t="s">
        <v>35</v>
      </c>
      <c r="D169" s="19"/>
      <c r="E169" s="20">
        <v>500.0</v>
      </c>
      <c r="F169" s="21">
        <f t="shared" si="1"/>
        <v>0</v>
      </c>
      <c r="G169" s="23"/>
      <c r="H169" s="2"/>
      <c r="I169" s="2"/>
      <c r="J169" s="2"/>
      <c r="K169" s="2"/>
    </row>
    <row r="170" ht="15.75" customHeight="1">
      <c r="A170" s="23"/>
      <c r="B170" s="23"/>
      <c r="C170" s="18" t="s">
        <v>36</v>
      </c>
      <c r="D170" s="19"/>
      <c r="E170" s="20">
        <v>1500.0</v>
      </c>
      <c r="F170" s="21">
        <f t="shared" si="1"/>
        <v>0</v>
      </c>
      <c r="G170" s="23"/>
      <c r="H170" s="2"/>
      <c r="I170" s="2"/>
      <c r="J170" s="2"/>
      <c r="K170" s="2"/>
    </row>
    <row r="171" ht="15.75" customHeight="1">
      <c r="A171" s="23"/>
      <c r="B171" s="23"/>
      <c r="C171" s="18" t="s">
        <v>37</v>
      </c>
      <c r="D171" s="19"/>
      <c r="E171" s="20">
        <v>4000.0</v>
      </c>
      <c r="F171" s="21">
        <f t="shared" si="1"/>
        <v>0</v>
      </c>
      <c r="G171" s="23"/>
      <c r="H171" s="2"/>
      <c r="I171" s="2"/>
      <c r="J171" s="2"/>
      <c r="K171" s="2"/>
    </row>
    <row r="172" ht="15.75" customHeight="1">
      <c r="A172" s="25"/>
      <c r="B172" s="25"/>
      <c r="C172" s="18" t="s">
        <v>38</v>
      </c>
      <c r="D172" s="19">
        <v>5.0</v>
      </c>
      <c r="E172" s="20">
        <v>0.0</v>
      </c>
      <c r="F172" s="21">
        <f t="shared" si="1"/>
        <v>0</v>
      </c>
      <c r="G172" s="25"/>
      <c r="H172" s="2"/>
      <c r="I172" s="2"/>
      <c r="J172" s="2"/>
      <c r="K172" s="2"/>
    </row>
    <row r="173" ht="15.75" customHeight="1">
      <c r="A173" s="16">
        <v>7.0</v>
      </c>
      <c r="B173" s="17" t="s">
        <v>48</v>
      </c>
      <c r="C173" s="18" t="s">
        <v>11</v>
      </c>
      <c r="D173" s="19"/>
      <c r="E173" s="20">
        <v>5000.0</v>
      </c>
      <c r="F173" s="21">
        <f t="shared" si="1"/>
        <v>0</v>
      </c>
      <c r="G173" s="22">
        <f>SUM(F173:F200)</f>
        <v>7500</v>
      </c>
      <c r="H173" s="2"/>
      <c r="I173" s="2"/>
      <c r="J173" s="2"/>
      <c r="K173" s="2"/>
    </row>
    <row r="174" ht="15.75" customHeight="1">
      <c r="A174" s="23"/>
      <c r="B174" s="23"/>
      <c r="C174" s="18" t="s">
        <v>12</v>
      </c>
      <c r="D174" s="19">
        <v>0.5</v>
      </c>
      <c r="E174" s="20">
        <v>3000.0</v>
      </c>
      <c r="F174" s="21">
        <f t="shared" si="1"/>
        <v>1500</v>
      </c>
      <c r="G174" s="23"/>
      <c r="H174" s="2"/>
      <c r="I174" s="2"/>
      <c r="J174" s="2"/>
      <c r="K174" s="2"/>
    </row>
    <row r="175" ht="15.75" customHeight="1">
      <c r="A175" s="23"/>
      <c r="B175" s="23"/>
      <c r="C175" s="18" t="s">
        <v>13</v>
      </c>
      <c r="D175" s="19"/>
      <c r="E175" s="20">
        <v>1000.0</v>
      </c>
      <c r="F175" s="21">
        <f t="shared" si="1"/>
        <v>0</v>
      </c>
      <c r="G175" s="23"/>
      <c r="H175" s="2"/>
      <c r="I175" s="2"/>
      <c r="J175" s="2"/>
      <c r="K175" s="2"/>
    </row>
    <row r="176" ht="15.75" customHeight="1">
      <c r="A176" s="23"/>
      <c r="B176" s="23"/>
      <c r="C176" s="18" t="s">
        <v>14</v>
      </c>
      <c r="D176" s="19"/>
      <c r="E176" s="20">
        <v>2800.0</v>
      </c>
      <c r="F176" s="21">
        <f t="shared" si="1"/>
        <v>0</v>
      </c>
      <c r="G176" s="23"/>
      <c r="H176" s="2"/>
      <c r="I176" s="2"/>
      <c r="J176" s="2"/>
      <c r="K176" s="2"/>
    </row>
    <row r="177" ht="15.75" customHeight="1">
      <c r="A177" s="23"/>
      <c r="B177" s="23"/>
      <c r="C177" s="18" t="s">
        <v>15</v>
      </c>
      <c r="D177" s="19"/>
      <c r="E177" s="20">
        <v>3500.0</v>
      </c>
      <c r="F177" s="21">
        <f t="shared" si="1"/>
        <v>0</v>
      </c>
      <c r="G177" s="23"/>
      <c r="H177" s="2"/>
      <c r="I177" s="2"/>
      <c r="J177" s="2"/>
      <c r="K177" s="2"/>
    </row>
    <row r="178" ht="15.75" customHeight="1">
      <c r="A178" s="23"/>
      <c r="B178" s="23"/>
      <c r="C178" s="18" t="s">
        <v>16</v>
      </c>
      <c r="D178" s="19">
        <v>4.0</v>
      </c>
      <c r="E178" s="20">
        <v>1000.0</v>
      </c>
      <c r="F178" s="21">
        <f t="shared" si="1"/>
        <v>4000</v>
      </c>
      <c r="G178" s="23"/>
      <c r="H178" s="2"/>
      <c r="I178" s="2"/>
      <c r="J178" s="2"/>
      <c r="K178" s="2"/>
    </row>
    <row r="179" ht="15.75" customHeight="1">
      <c r="A179" s="23"/>
      <c r="B179" s="23"/>
      <c r="C179" s="18" t="s">
        <v>17</v>
      </c>
      <c r="D179" s="19"/>
      <c r="E179" s="20">
        <v>2000.0</v>
      </c>
      <c r="F179" s="21">
        <f t="shared" si="1"/>
        <v>0</v>
      </c>
      <c r="G179" s="23"/>
      <c r="H179" s="2"/>
      <c r="I179" s="2"/>
      <c r="J179" s="2"/>
      <c r="K179" s="2"/>
    </row>
    <row r="180" ht="15.75" customHeight="1">
      <c r="A180" s="23"/>
      <c r="B180" s="23"/>
      <c r="C180" s="18" t="s">
        <v>18</v>
      </c>
      <c r="D180" s="19">
        <v>1.0</v>
      </c>
      <c r="E180" s="20">
        <v>2000.0</v>
      </c>
      <c r="F180" s="21">
        <f t="shared" si="1"/>
        <v>2000</v>
      </c>
      <c r="G180" s="23"/>
      <c r="H180" s="2"/>
      <c r="I180" s="2"/>
      <c r="J180" s="2"/>
      <c r="K180" s="2"/>
    </row>
    <row r="181" ht="15.75" customHeight="1">
      <c r="A181" s="23"/>
      <c r="B181" s="23"/>
      <c r="C181" s="18" t="s">
        <v>19</v>
      </c>
      <c r="D181" s="19"/>
      <c r="E181" s="20">
        <v>1300.0</v>
      </c>
      <c r="F181" s="21">
        <f t="shared" si="1"/>
        <v>0</v>
      </c>
      <c r="G181" s="23"/>
      <c r="H181" s="2"/>
      <c r="I181" s="2"/>
      <c r="J181" s="2"/>
      <c r="K181" s="2"/>
    </row>
    <row r="182" ht="15.75" customHeight="1">
      <c r="A182" s="23"/>
      <c r="B182" s="23"/>
      <c r="C182" s="18" t="s">
        <v>20</v>
      </c>
      <c r="D182" s="19"/>
      <c r="E182" s="20">
        <v>1000.0</v>
      </c>
      <c r="F182" s="21">
        <f t="shared" si="1"/>
        <v>0</v>
      </c>
      <c r="G182" s="23"/>
      <c r="H182" s="2"/>
      <c r="I182" s="2"/>
      <c r="J182" s="2"/>
      <c r="K182" s="2"/>
    </row>
    <row r="183" ht="15.75" customHeight="1">
      <c r="A183" s="23"/>
      <c r="B183" s="23"/>
      <c r="C183" s="18" t="s">
        <v>21</v>
      </c>
      <c r="D183" s="19"/>
      <c r="E183" s="20">
        <v>400.0</v>
      </c>
      <c r="F183" s="21">
        <f t="shared" si="1"/>
        <v>0</v>
      </c>
      <c r="G183" s="23"/>
      <c r="H183" s="2"/>
      <c r="I183" s="2"/>
      <c r="J183" s="2"/>
      <c r="K183" s="2"/>
    </row>
    <row r="184" ht="15.75" customHeight="1">
      <c r="A184" s="23"/>
      <c r="B184" s="23"/>
      <c r="C184" s="18" t="s">
        <v>22</v>
      </c>
      <c r="D184" s="19"/>
      <c r="E184" s="20">
        <v>7500.0</v>
      </c>
      <c r="F184" s="21">
        <f t="shared" si="1"/>
        <v>0</v>
      </c>
      <c r="G184" s="23"/>
      <c r="H184" s="2"/>
      <c r="I184" s="2"/>
      <c r="J184" s="2"/>
      <c r="K184" s="2"/>
    </row>
    <row r="185" ht="15.75" customHeight="1">
      <c r="A185" s="23"/>
      <c r="B185" s="23"/>
      <c r="C185" s="18" t="s">
        <v>23</v>
      </c>
      <c r="D185" s="19"/>
      <c r="E185" s="20">
        <v>2000.0</v>
      </c>
      <c r="F185" s="21">
        <f t="shared" si="1"/>
        <v>0</v>
      </c>
      <c r="G185" s="23"/>
      <c r="H185" s="2"/>
      <c r="I185" s="2"/>
      <c r="J185" s="2"/>
      <c r="K185" s="2"/>
    </row>
    <row r="186" ht="15.75" customHeight="1">
      <c r="A186" s="23"/>
      <c r="B186" s="23"/>
      <c r="C186" s="18" t="s">
        <v>24</v>
      </c>
      <c r="D186" s="19"/>
      <c r="E186" s="20">
        <v>800.0</v>
      </c>
      <c r="F186" s="21">
        <f t="shared" si="1"/>
        <v>0</v>
      </c>
      <c r="G186" s="23"/>
      <c r="H186" s="2"/>
      <c r="I186" s="2"/>
      <c r="J186" s="2"/>
      <c r="K186" s="2"/>
    </row>
    <row r="187" ht="15.75" customHeight="1">
      <c r="A187" s="23"/>
      <c r="B187" s="23"/>
      <c r="C187" s="18" t="s">
        <v>25</v>
      </c>
      <c r="D187" s="19"/>
      <c r="E187" s="20">
        <v>5000.0</v>
      </c>
      <c r="F187" s="21">
        <f t="shared" si="1"/>
        <v>0</v>
      </c>
      <c r="G187" s="23"/>
      <c r="H187" s="2"/>
      <c r="I187" s="2"/>
      <c r="J187" s="2"/>
      <c r="K187" s="2"/>
    </row>
    <row r="188" ht="15.75" customHeight="1">
      <c r="A188" s="23"/>
      <c r="B188" s="23"/>
      <c r="C188" s="18" t="s">
        <v>26</v>
      </c>
      <c r="D188" s="19"/>
      <c r="E188" s="20">
        <v>2700.0</v>
      </c>
      <c r="F188" s="21">
        <f t="shared" si="1"/>
        <v>0</v>
      </c>
      <c r="G188" s="23"/>
      <c r="H188" s="2"/>
      <c r="I188" s="2"/>
      <c r="J188" s="2"/>
      <c r="K188" s="2"/>
    </row>
    <row r="189" ht="15.75" customHeight="1">
      <c r="A189" s="23"/>
      <c r="B189" s="23"/>
      <c r="C189" s="18" t="s">
        <v>27</v>
      </c>
      <c r="D189" s="19"/>
      <c r="E189" s="20">
        <v>50000.0</v>
      </c>
      <c r="F189" s="21">
        <f t="shared" si="1"/>
        <v>0</v>
      </c>
      <c r="G189" s="23"/>
      <c r="H189" s="2"/>
      <c r="I189" s="2"/>
      <c r="J189" s="2"/>
      <c r="K189" s="2"/>
    </row>
    <row r="190" ht="15.75" customHeight="1">
      <c r="A190" s="23"/>
      <c r="B190" s="23"/>
      <c r="C190" s="18" t="s">
        <v>28</v>
      </c>
      <c r="D190" s="19"/>
      <c r="E190" s="20">
        <v>10000.0</v>
      </c>
      <c r="F190" s="21">
        <f t="shared" si="1"/>
        <v>0</v>
      </c>
      <c r="G190" s="23"/>
      <c r="H190" s="2"/>
      <c r="I190" s="2"/>
      <c r="J190" s="2"/>
      <c r="K190" s="2"/>
    </row>
    <row r="191" ht="15.75" customHeight="1">
      <c r="A191" s="23"/>
      <c r="B191" s="23"/>
      <c r="C191" s="18" t="s">
        <v>29</v>
      </c>
      <c r="D191" s="19"/>
      <c r="E191" s="20">
        <v>1000.0</v>
      </c>
      <c r="F191" s="21">
        <f t="shared" si="1"/>
        <v>0</v>
      </c>
      <c r="G191" s="23"/>
      <c r="H191" s="2"/>
      <c r="I191" s="2"/>
      <c r="J191" s="2"/>
      <c r="K191" s="2"/>
    </row>
    <row r="192" ht="15.75" customHeight="1">
      <c r="A192" s="23"/>
      <c r="B192" s="23"/>
      <c r="C192" s="18" t="s">
        <v>30</v>
      </c>
      <c r="D192" s="19"/>
      <c r="E192" s="20">
        <v>500.0</v>
      </c>
      <c r="F192" s="21">
        <f t="shared" si="1"/>
        <v>0</v>
      </c>
      <c r="G192" s="23"/>
      <c r="H192" s="2"/>
      <c r="I192" s="2"/>
      <c r="J192" s="2"/>
      <c r="K192" s="2"/>
    </row>
    <row r="193" ht="15.75" customHeight="1">
      <c r="A193" s="23"/>
      <c r="B193" s="23"/>
      <c r="C193" s="18" t="s">
        <v>31</v>
      </c>
      <c r="D193" s="19"/>
      <c r="E193" s="20">
        <v>200.0</v>
      </c>
      <c r="F193" s="21">
        <f t="shared" si="1"/>
        <v>0</v>
      </c>
      <c r="G193" s="23"/>
      <c r="H193" s="2"/>
      <c r="I193" s="2"/>
      <c r="J193" s="2"/>
      <c r="K193" s="2"/>
    </row>
    <row r="194" ht="15.75" customHeight="1">
      <c r="A194" s="23"/>
      <c r="B194" s="23"/>
      <c r="C194" s="18" t="s">
        <v>32</v>
      </c>
      <c r="D194" s="19"/>
      <c r="E194" s="20">
        <v>1000.0</v>
      </c>
      <c r="F194" s="21">
        <f t="shared" si="1"/>
        <v>0</v>
      </c>
      <c r="G194" s="23"/>
      <c r="H194" s="2"/>
      <c r="I194" s="2"/>
      <c r="J194" s="2"/>
      <c r="K194" s="2"/>
    </row>
    <row r="195" ht="15.75" customHeight="1">
      <c r="A195" s="23"/>
      <c r="B195" s="23"/>
      <c r="C195" s="18" t="s">
        <v>33</v>
      </c>
      <c r="D195" s="19"/>
      <c r="E195" s="20">
        <v>300.0</v>
      </c>
      <c r="F195" s="21">
        <f t="shared" si="1"/>
        <v>0</v>
      </c>
      <c r="G195" s="23"/>
      <c r="H195" s="2"/>
      <c r="I195" s="2"/>
      <c r="J195" s="2"/>
      <c r="K195" s="2"/>
    </row>
    <row r="196" ht="15.75" customHeight="1">
      <c r="A196" s="23"/>
      <c r="B196" s="23"/>
      <c r="C196" s="18" t="s">
        <v>34</v>
      </c>
      <c r="D196" s="19"/>
      <c r="E196" s="20">
        <v>100.0</v>
      </c>
      <c r="F196" s="21">
        <f t="shared" si="1"/>
        <v>0</v>
      </c>
      <c r="G196" s="23"/>
      <c r="H196" s="2"/>
      <c r="I196" s="2"/>
      <c r="J196" s="2"/>
      <c r="K196" s="2"/>
    </row>
    <row r="197" ht="15.75" customHeight="1">
      <c r="A197" s="23"/>
      <c r="B197" s="23"/>
      <c r="C197" s="18" t="s">
        <v>35</v>
      </c>
      <c r="D197" s="19"/>
      <c r="E197" s="20">
        <v>500.0</v>
      </c>
      <c r="F197" s="21">
        <f t="shared" si="1"/>
        <v>0</v>
      </c>
      <c r="G197" s="23"/>
      <c r="H197" s="2"/>
      <c r="I197" s="2"/>
      <c r="J197" s="2"/>
      <c r="K197" s="2"/>
    </row>
    <row r="198" ht="15.75" customHeight="1">
      <c r="A198" s="23"/>
      <c r="B198" s="23"/>
      <c r="C198" s="18" t="s">
        <v>36</v>
      </c>
      <c r="D198" s="19"/>
      <c r="E198" s="20">
        <v>1500.0</v>
      </c>
      <c r="F198" s="21">
        <f t="shared" si="1"/>
        <v>0</v>
      </c>
      <c r="G198" s="23"/>
      <c r="H198" s="2"/>
      <c r="I198" s="2"/>
      <c r="J198" s="2"/>
      <c r="K198" s="2"/>
    </row>
    <row r="199" ht="15.75" customHeight="1">
      <c r="A199" s="23"/>
      <c r="B199" s="23"/>
      <c r="C199" s="18" t="s">
        <v>37</v>
      </c>
      <c r="D199" s="19"/>
      <c r="E199" s="20">
        <v>4000.0</v>
      </c>
      <c r="F199" s="21">
        <f t="shared" si="1"/>
        <v>0</v>
      </c>
      <c r="G199" s="23"/>
      <c r="H199" s="2"/>
      <c r="I199" s="2"/>
      <c r="J199" s="2"/>
      <c r="K199" s="2"/>
    </row>
    <row r="200" ht="15.75" customHeight="1">
      <c r="A200" s="25"/>
      <c r="B200" s="25"/>
      <c r="C200" s="18" t="s">
        <v>38</v>
      </c>
      <c r="D200" s="19"/>
      <c r="E200" s="20">
        <v>0.0</v>
      </c>
      <c r="F200" s="21">
        <f t="shared" si="1"/>
        <v>0</v>
      </c>
      <c r="G200" s="25"/>
      <c r="H200" s="2"/>
      <c r="I200" s="2"/>
      <c r="J200" s="2"/>
      <c r="K200" s="2"/>
    </row>
    <row r="201" ht="15.75" customHeight="1">
      <c r="A201" s="16">
        <v>8.0</v>
      </c>
      <c r="B201" s="17" t="s">
        <v>49</v>
      </c>
      <c r="C201" s="18" t="s">
        <v>11</v>
      </c>
      <c r="D201" s="19"/>
      <c r="E201" s="20">
        <v>5000.0</v>
      </c>
      <c r="F201" s="21">
        <f t="shared" si="1"/>
        <v>0</v>
      </c>
      <c r="G201" s="22">
        <f>SUM(F201:F228)</f>
        <v>10000</v>
      </c>
      <c r="H201" s="2"/>
      <c r="I201" s="2"/>
      <c r="J201" s="2"/>
      <c r="K201" s="2"/>
    </row>
    <row r="202" ht="15.75" customHeight="1">
      <c r="A202" s="23"/>
      <c r="B202" s="23"/>
      <c r="C202" s="18" t="s">
        <v>12</v>
      </c>
      <c r="D202" s="19"/>
      <c r="E202" s="20">
        <v>3000.0</v>
      </c>
      <c r="F202" s="21">
        <f t="shared" si="1"/>
        <v>0</v>
      </c>
      <c r="G202" s="23"/>
      <c r="H202" s="2"/>
      <c r="I202" s="2"/>
      <c r="J202" s="2"/>
      <c r="K202" s="2"/>
    </row>
    <row r="203" ht="15.75" customHeight="1">
      <c r="A203" s="23"/>
      <c r="B203" s="23"/>
      <c r="C203" s="18" t="s">
        <v>13</v>
      </c>
      <c r="D203" s="19"/>
      <c r="E203" s="20">
        <v>1000.0</v>
      </c>
      <c r="F203" s="21">
        <f t="shared" si="1"/>
        <v>0</v>
      </c>
      <c r="G203" s="23"/>
      <c r="H203" s="2"/>
      <c r="I203" s="2"/>
      <c r="J203" s="2"/>
      <c r="K203" s="2"/>
    </row>
    <row r="204" ht="15.75" customHeight="1">
      <c r="A204" s="23"/>
      <c r="B204" s="23"/>
      <c r="C204" s="18" t="s">
        <v>14</v>
      </c>
      <c r="D204" s="19"/>
      <c r="E204" s="20">
        <v>2800.0</v>
      </c>
      <c r="F204" s="21">
        <f t="shared" si="1"/>
        <v>0</v>
      </c>
      <c r="G204" s="23"/>
      <c r="H204" s="2"/>
      <c r="I204" s="2"/>
      <c r="J204" s="2"/>
      <c r="K204" s="2"/>
    </row>
    <row r="205" ht="15.75" customHeight="1">
      <c r="A205" s="23"/>
      <c r="B205" s="23"/>
      <c r="C205" s="18" t="s">
        <v>15</v>
      </c>
      <c r="D205" s="19"/>
      <c r="E205" s="20">
        <v>3500.0</v>
      </c>
      <c r="F205" s="21">
        <f t="shared" si="1"/>
        <v>0</v>
      </c>
      <c r="G205" s="23"/>
      <c r="H205" s="2"/>
      <c r="I205" s="2"/>
      <c r="J205" s="2"/>
      <c r="K205" s="2"/>
    </row>
    <row r="206" ht="15.75" customHeight="1">
      <c r="A206" s="23"/>
      <c r="B206" s="23"/>
      <c r="C206" s="18" t="s">
        <v>16</v>
      </c>
      <c r="D206" s="19"/>
      <c r="E206" s="20">
        <v>1000.0</v>
      </c>
      <c r="F206" s="21">
        <f t="shared" si="1"/>
        <v>0</v>
      </c>
      <c r="G206" s="23"/>
      <c r="H206" s="2"/>
      <c r="I206" s="2"/>
      <c r="J206" s="2"/>
      <c r="K206" s="2"/>
    </row>
    <row r="207" ht="15.75" customHeight="1">
      <c r="A207" s="23"/>
      <c r="B207" s="23"/>
      <c r="C207" s="18" t="s">
        <v>17</v>
      </c>
      <c r="D207" s="19">
        <v>5.0</v>
      </c>
      <c r="E207" s="20">
        <v>2000.0</v>
      </c>
      <c r="F207" s="21">
        <f t="shared" si="1"/>
        <v>10000</v>
      </c>
      <c r="G207" s="23"/>
      <c r="H207" s="2"/>
      <c r="I207" s="2"/>
      <c r="J207" s="2"/>
      <c r="K207" s="2"/>
    </row>
    <row r="208" ht="15.75" customHeight="1">
      <c r="A208" s="23"/>
      <c r="B208" s="23"/>
      <c r="C208" s="18" t="s">
        <v>18</v>
      </c>
      <c r="D208" s="19"/>
      <c r="E208" s="20">
        <v>2000.0</v>
      </c>
      <c r="F208" s="21">
        <f t="shared" si="1"/>
        <v>0</v>
      </c>
      <c r="G208" s="23"/>
      <c r="H208" s="2"/>
      <c r="I208" s="2"/>
      <c r="J208" s="2"/>
      <c r="K208" s="2"/>
    </row>
    <row r="209" ht="15.75" customHeight="1">
      <c r="A209" s="23"/>
      <c r="B209" s="23"/>
      <c r="C209" s="18" t="s">
        <v>19</v>
      </c>
      <c r="D209" s="19"/>
      <c r="E209" s="20">
        <v>1300.0</v>
      </c>
      <c r="F209" s="21">
        <f t="shared" si="1"/>
        <v>0</v>
      </c>
      <c r="G209" s="23"/>
      <c r="H209" s="2"/>
      <c r="I209" s="2"/>
      <c r="J209" s="2"/>
      <c r="K209" s="2"/>
    </row>
    <row r="210" ht="15.75" customHeight="1">
      <c r="A210" s="23"/>
      <c r="B210" s="23"/>
      <c r="C210" s="18" t="s">
        <v>20</v>
      </c>
      <c r="D210" s="19"/>
      <c r="E210" s="20">
        <v>1000.0</v>
      </c>
      <c r="F210" s="21">
        <f t="shared" si="1"/>
        <v>0</v>
      </c>
      <c r="G210" s="23"/>
      <c r="H210" s="2"/>
      <c r="I210" s="2"/>
      <c r="J210" s="2"/>
      <c r="K210" s="2"/>
    </row>
    <row r="211" ht="15.75" customHeight="1">
      <c r="A211" s="23"/>
      <c r="B211" s="23"/>
      <c r="C211" s="18" t="s">
        <v>21</v>
      </c>
      <c r="D211" s="19"/>
      <c r="E211" s="20">
        <v>400.0</v>
      </c>
      <c r="F211" s="21">
        <f t="shared" si="1"/>
        <v>0</v>
      </c>
      <c r="G211" s="23"/>
      <c r="H211" s="2"/>
      <c r="I211" s="2"/>
      <c r="J211" s="2"/>
      <c r="K211" s="2"/>
    </row>
    <row r="212" ht="15.75" customHeight="1">
      <c r="A212" s="23"/>
      <c r="B212" s="23"/>
      <c r="C212" s="18" t="s">
        <v>22</v>
      </c>
      <c r="D212" s="19"/>
      <c r="E212" s="20">
        <v>7500.0</v>
      </c>
      <c r="F212" s="21">
        <f t="shared" si="1"/>
        <v>0</v>
      </c>
      <c r="G212" s="23"/>
      <c r="H212" s="2"/>
      <c r="I212" s="2"/>
      <c r="J212" s="2"/>
      <c r="K212" s="2"/>
    </row>
    <row r="213" ht="15.75" customHeight="1">
      <c r="A213" s="23"/>
      <c r="B213" s="23"/>
      <c r="C213" s="18" t="s">
        <v>23</v>
      </c>
      <c r="D213" s="19"/>
      <c r="E213" s="20">
        <v>2000.0</v>
      </c>
      <c r="F213" s="21">
        <f t="shared" si="1"/>
        <v>0</v>
      </c>
      <c r="G213" s="23"/>
      <c r="H213" s="2"/>
      <c r="I213" s="2"/>
      <c r="J213" s="2"/>
      <c r="K213" s="2"/>
    </row>
    <row r="214" ht="15.75" customHeight="1">
      <c r="A214" s="23"/>
      <c r="B214" s="23"/>
      <c r="C214" s="18" t="s">
        <v>24</v>
      </c>
      <c r="D214" s="19"/>
      <c r="E214" s="20">
        <v>800.0</v>
      </c>
      <c r="F214" s="21">
        <f t="shared" si="1"/>
        <v>0</v>
      </c>
      <c r="G214" s="23"/>
      <c r="H214" s="2"/>
      <c r="I214" s="2"/>
      <c r="J214" s="2"/>
      <c r="K214" s="2"/>
    </row>
    <row r="215" ht="15.75" customHeight="1">
      <c r="A215" s="23"/>
      <c r="B215" s="23"/>
      <c r="C215" s="18" t="s">
        <v>25</v>
      </c>
      <c r="D215" s="19"/>
      <c r="E215" s="20">
        <v>5000.0</v>
      </c>
      <c r="F215" s="21">
        <f t="shared" si="1"/>
        <v>0</v>
      </c>
      <c r="G215" s="23"/>
      <c r="H215" s="2"/>
      <c r="I215" s="2"/>
      <c r="J215" s="2"/>
      <c r="K215" s="2"/>
    </row>
    <row r="216" ht="15.75" customHeight="1">
      <c r="A216" s="23"/>
      <c r="B216" s="23"/>
      <c r="C216" s="18" t="s">
        <v>26</v>
      </c>
      <c r="D216" s="19"/>
      <c r="E216" s="20">
        <v>2700.0</v>
      </c>
      <c r="F216" s="21">
        <f t="shared" si="1"/>
        <v>0</v>
      </c>
      <c r="G216" s="23"/>
      <c r="H216" s="2"/>
      <c r="I216" s="2"/>
      <c r="J216" s="2"/>
      <c r="K216" s="2"/>
    </row>
    <row r="217" ht="15.75" customHeight="1">
      <c r="A217" s="23"/>
      <c r="B217" s="23"/>
      <c r="C217" s="18" t="s">
        <v>27</v>
      </c>
      <c r="D217" s="19"/>
      <c r="E217" s="20">
        <v>50000.0</v>
      </c>
      <c r="F217" s="21">
        <f t="shared" si="1"/>
        <v>0</v>
      </c>
      <c r="G217" s="23"/>
      <c r="H217" s="2"/>
      <c r="I217" s="2"/>
      <c r="J217" s="2"/>
      <c r="K217" s="2"/>
    </row>
    <row r="218" ht="15.75" customHeight="1">
      <c r="A218" s="23"/>
      <c r="B218" s="23"/>
      <c r="C218" s="18" t="s">
        <v>28</v>
      </c>
      <c r="D218" s="19"/>
      <c r="E218" s="20">
        <v>10000.0</v>
      </c>
      <c r="F218" s="21">
        <f t="shared" si="1"/>
        <v>0</v>
      </c>
      <c r="G218" s="23"/>
      <c r="H218" s="2"/>
      <c r="I218" s="2"/>
      <c r="J218" s="2"/>
      <c r="K218" s="2"/>
    </row>
    <row r="219" ht="15.75" customHeight="1">
      <c r="A219" s="23"/>
      <c r="B219" s="23"/>
      <c r="C219" s="18" t="s">
        <v>29</v>
      </c>
      <c r="D219" s="19"/>
      <c r="E219" s="20">
        <v>1000.0</v>
      </c>
      <c r="F219" s="21">
        <f t="shared" si="1"/>
        <v>0</v>
      </c>
      <c r="G219" s="23"/>
      <c r="H219" s="2"/>
      <c r="I219" s="2"/>
      <c r="J219" s="2"/>
      <c r="K219" s="2"/>
    </row>
    <row r="220" ht="15.75" customHeight="1">
      <c r="A220" s="23"/>
      <c r="B220" s="23"/>
      <c r="C220" s="18" t="s">
        <v>30</v>
      </c>
      <c r="D220" s="19"/>
      <c r="E220" s="20">
        <v>500.0</v>
      </c>
      <c r="F220" s="21">
        <f t="shared" si="1"/>
        <v>0</v>
      </c>
      <c r="G220" s="23"/>
      <c r="H220" s="2"/>
      <c r="I220" s="2"/>
      <c r="J220" s="2"/>
      <c r="K220" s="2"/>
    </row>
    <row r="221" ht="15.75" customHeight="1">
      <c r="A221" s="23"/>
      <c r="B221" s="23"/>
      <c r="C221" s="18" t="s">
        <v>31</v>
      </c>
      <c r="D221" s="19"/>
      <c r="E221" s="20">
        <v>200.0</v>
      </c>
      <c r="F221" s="21">
        <f t="shared" si="1"/>
        <v>0</v>
      </c>
      <c r="G221" s="23"/>
      <c r="H221" s="2"/>
      <c r="I221" s="2"/>
      <c r="J221" s="2"/>
      <c r="K221" s="2"/>
    </row>
    <row r="222" ht="15.75" customHeight="1">
      <c r="A222" s="23"/>
      <c r="B222" s="23"/>
      <c r="C222" s="18" t="s">
        <v>32</v>
      </c>
      <c r="D222" s="19"/>
      <c r="E222" s="20">
        <v>1000.0</v>
      </c>
      <c r="F222" s="21">
        <f t="shared" si="1"/>
        <v>0</v>
      </c>
      <c r="G222" s="23"/>
      <c r="H222" s="2"/>
      <c r="I222" s="2"/>
      <c r="J222" s="2"/>
      <c r="K222" s="2"/>
    </row>
    <row r="223" ht="15.75" customHeight="1">
      <c r="A223" s="23"/>
      <c r="B223" s="23"/>
      <c r="C223" s="18" t="s">
        <v>33</v>
      </c>
      <c r="D223" s="19"/>
      <c r="E223" s="20">
        <v>300.0</v>
      </c>
      <c r="F223" s="21">
        <f t="shared" si="1"/>
        <v>0</v>
      </c>
      <c r="G223" s="23"/>
      <c r="H223" s="2"/>
      <c r="I223" s="2"/>
      <c r="J223" s="2"/>
      <c r="K223" s="2"/>
    </row>
    <row r="224" ht="15.75" customHeight="1">
      <c r="A224" s="23"/>
      <c r="B224" s="23"/>
      <c r="C224" s="18" t="s">
        <v>34</v>
      </c>
      <c r="D224" s="19"/>
      <c r="E224" s="20">
        <v>100.0</v>
      </c>
      <c r="F224" s="21">
        <f t="shared" si="1"/>
        <v>0</v>
      </c>
      <c r="G224" s="23"/>
      <c r="H224" s="2"/>
      <c r="I224" s="2"/>
      <c r="J224" s="2"/>
      <c r="K224" s="2"/>
    </row>
    <row r="225" ht="15.75" customHeight="1">
      <c r="A225" s="23"/>
      <c r="B225" s="23"/>
      <c r="C225" s="18" t="s">
        <v>35</v>
      </c>
      <c r="D225" s="19"/>
      <c r="E225" s="20">
        <v>500.0</v>
      </c>
      <c r="F225" s="21">
        <f t="shared" si="1"/>
        <v>0</v>
      </c>
      <c r="G225" s="23"/>
      <c r="H225" s="2"/>
      <c r="I225" s="2"/>
      <c r="J225" s="2"/>
      <c r="K225" s="2"/>
    </row>
    <row r="226" ht="15.75" customHeight="1">
      <c r="A226" s="23"/>
      <c r="B226" s="23"/>
      <c r="C226" s="18" t="s">
        <v>36</v>
      </c>
      <c r="D226" s="19"/>
      <c r="E226" s="20">
        <v>1500.0</v>
      </c>
      <c r="F226" s="21">
        <f t="shared" si="1"/>
        <v>0</v>
      </c>
      <c r="G226" s="23"/>
      <c r="H226" s="2"/>
      <c r="I226" s="2"/>
      <c r="J226" s="2"/>
      <c r="K226" s="2"/>
    </row>
    <row r="227" ht="15.75" customHeight="1">
      <c r="A227" s="23"/>
      <c r="B227" s="23"/>
      <c r="C227" s="18" t="s">
        <v>37</v>
      </c>
      <c r="D227" s="19"/>
      <c r="E227" s="20">
        <v>4000.0</v>
      </c>
      <c r="F227" s="21">
        <f t="shared" si="1"/>
        <v>0</v>
      </c>
      <c r="G227" s="23"/>
      <c r="H227" s="2"/>
      <c r="I227" s="2"/>
      <c r="J227" s="2"/>
      <c r="K227" s="2"/>
    </row>
    <row r="228" ht="15.75" customHeight="1">
      <c r="A228" s="25"/>
      <c r="B228" s="25"/>
      <c r="C228" s="18" t="s">
        <v>38</v>
      </c>
      <c r="D228" s="19"/>
      <c r="E228" s="20">
        <v>0.0</v>
      </c>
      <c r="F228" s="21">
        <f t="shared" si="1"/>
        <v>0</v>
      </c>
      <c r="G228" s="25"/>
      <c r="H228" s="2"/>
      <c r="I228" s="2"/>
      <c r="J228" s="2"/>
      <c r="K228" s="2"/>
    </row>
    <row r="229" ht="15.75" customHeight="1">
      <c r="A229" s="29"/>
      <c r="B229" s="30"/>
      <c r="C229" s="18"/>
      <c r="D229" s="19"/>
      <c r="E229" s="20"/>
      <c r="F229" s="21"/>
      <c r="G229" s="31"/>
      <c r="H229" s="2"/>
      <c r="I229" s="2"/>
      <c r="J229" s="2"/>
      <c r="K229" s="2"/>
    </row>
    <row r="230" ht="15.75" customHeight="1">
      <c r="A230" s="16">
        <v>9.0</v>
      </c>
      <c r="B230" s="17" t="s">
        <v>50</v>
      </c>
      <c r="C230" s="18" t="s">
        <v>11</v>
      </c>
      <c r="D230" s="19">
        <v>0.5</v>
      </c>
      <c r="E230" s="20">
        <v>5000.0</v>
      </c>
      <c r="F230" s="21">
        <f t="shared" ref="F230:F369" si="2">D230*E230</f>
        <v>2500</v>
      </c>
      <c r="G230" s="22">
        <f>SUM(F230:F257)</f>
        <v>63750</v>
      </c>
      <c r="H230" s="2"/>
      <c r="I230" s="2"/>
      <c r="J230" s="2"/>
      <c r="K230" s="2"/>
    </row>
    <row r="231" ht="15.75" customHeight="1">
      <c r="A231" s="23"/>
      <c r="B231" s="23"/>
      <c r="C231" s="18" t="s">
        <v>12</v>
      </c>
      <c r="D231" s="19"/>
      <c r="E231" s="20">
        <v>3000.0</v>
      </c>
      <c r="F231" s="21">
        <f t="shared" si="2"/>
        <v>0</v>
      </c>
      <c r="G231" s="23"/>
      <c r="H231" s="2"/>
      <c r="I231" s="2"/>
      <c r="J231" s="2"/>
      <c r="K231" s="2"/>
    </row>
    <row r="232" ht="15.75" customHeight="1">
      <c r="A232" s="23"/>
      <c r="B232" s="23"/>
      <c r="C232" s="18" t="s">
        <v>13</v>
      </c>
      <c r="D232" s="19"/>
      <c r="E232" s="20">
        <v>1000.0</v>
      </c>
      <c r="F232" s="21">
        <f t="shared" si="2"/>
        <v>0</v>
      </c>
      <c r="G232" s="23"/>
      <c r="H232" s="2"/>
      <c r="I232" s="2"/>
      <c r="J232" s="2"/>
      <c r="K232" s="2"/>
    </row>
    <row r="233" ht="15.75" customHeight="1">
      <c r="A233" s="23"/>
      <c r="B233" s="23"/>
      <c r="C233" s="18" t="s">
        <v>14</v>
      </c>
      <c r="D233" s="19"/>
      <c r="E233" s="20">
        <v>2800.0</v>
      </c>
      <c r="F233" s="21">
        <f t="shared" si="2"/>
        <v>0</v>
      </c>
      <c r="G233" s="23"/>
      <c r="H233" s="2"/>
      <c r="I233" s="2"/>
      <c r="J233" s="2"/>
      <c r="K233" s="2"/>
    </row>
    <row r="234" ht="15.75" customHeight="1">
      <c r="A234" s="23"/>
      <c r="B234" s="23"/>
      <c r="C234" s="18" t="s">
        <v>15</v>
      </c>
      <c r="D234" s="19"/>
      <c r="E234" s="20">
        <v>3500.0</v>
      </c>
      <c r="F234" s="21">
        <f t="shared" si="2"/>
        <v>0</v>
      </c>
      <c r="G234" s="23"/>
      <c r="H234" s="2"/>
      <c r="I234" s="2"/>
      <c r="J234" s="2"/>
      <c r="K234" s="2"/>
    </row>
    <row r="235" ht="15.75" customHeight="1">
      <c r="A235" s="23"/>
      <c r="B235" s="23"/>
      <c r="C235" s="18" t="s">
        <v>16</v>
      </c>
      <c r="D235" s="19">
        <v>8.0</v>
      </c>
      <c r="E235" s="20">
        <v>1000.0</v>
      </c>
      <c r="F235" s="21">
        <f t="shared" si="2"/>
        <v>8000</v>
      </c>
      <c r="G235" s="23"/>
      <c r="H235" s="2"/>
      <c r="I235" s="2"/>
      <c r="J235" s="2"/>
      <c r="K235" s="2"/>
    </row>
    <row r="236" ht="15.75" customHeight="1">
      <c r="A236" s="23"/>
      <c r="B236" s="23"/>
      <c r="C236" s="18" t="s">
        <v>17</v>
      </c>
      <c r="D236" s="19">
        <v>3.0</v>
      </c>
      <c r="E236" s="20">
        <v>2000.0</v>
      </c>
      <c r="F236" s="21">
        <f t="shared" si="2"/>
        <v>6000</v>
      </c>
      <c r="G236" s="23"/>
      <c r="H236" s="2"/>
      <c r="I236" s="2"/>
      <c r="J236" s="2"/>
      <c r="K236" s="2"/>
    </row>
    <row r="237" ht="15.75" customHeight="1">
      <c r="A237" s="23"/>
      <c r="B237" s="23"/>
      <c r="C237" s="18" t="s">
        <v>18</v>
      </c>
      <c r="D237" s="19">
        <v>12.0</v>
      </c>
      <c r="E237" s="20">
        <v>2000.0</v>
      </c>
      <c r="F237" s="21">
        <f t="shared" si="2"/>
        <v>24000</v>
      </c>
      <c r="G237" s="23"/>
      <c r="H237" s="2"/>
      <c r="I237" s="2"/>
      <c r="J237" s="2"/>
      <c r="K237" s="2"/>
    </row>
    <row r="238" ht="15.75" customHeight="1">
      <c r="A238" s="23"/>
      <c r="B238" s="23"/>
      <c r="C238" s="18" t="s">
        <v>19</v>
      </c>
      <c r="D238" s="19"/>
      <c r="E238" s="20">
        <v>1300.0</v>
      </c>
      <c r="F238" s="21">
        <f t="shared" si="2"/>
        <v>0</v>
      </c>
      <c r="G238" s="23"/>
      <c r="H238" s="2"/>
      <c r="I238" s="2"/>
      <c r="J238" s="2"/>
      <c r="K238" s="2"/>
    </row>
    <row r="239" ht="15.75" customHeight="1">
      <c r="A239" s="23"/>
      <c r="B239" s="23"/>
      <c r="C239" s="18" t="s">
        <v>20</v>
      </c>
      <c r="D239" s="19"/>
      <c r="E239" s="20">
        <v>1000.0</v>
      </c>
      <c r="F239" s="21">
        <f t="shared" si="2"/>
        <v>0</v>
      </c>
      <c r="G239" s="23"/>
      <c r="H239" s="2"/>
      <c r="I239" s="2"/>
      <c r="J239" s="2"/>
      <c r="K239" s="2"/>
    </row>
    <row r="240" ht="15.75" customHeight="1">
      <c r="A240" s="23"/>
      <c r="B240" s="23"/>
      <c r="C240" s="18" t="s">
        <v>21</v>
      </c>
      <c r="D240" s="19"/>
      <c r="E240" s="20">
        <v>400.0</v>
      </c>
      <c r="F240" s="21">
        <f t="shared" si="2"/>
        <v>0</v>
      </c>
      <c r="G240" s="23"/>
      <c r="H240" s="2"/>
      <c r="I240" s="2"/>
      <c r="J240" s="2"/>
      <c r="K240" s="2"/>
    </row>
    <row r="241" ht="15.75" customHeight="1">
      <c r="A241" s="23"/>
      <c r="B241" s="23"/>
      <c r="C241" s="18" t="s">
        <v>22</v>
      </c>
      <c r="D241" s="19">
        <v>1.5</v>
      </c>
      <c r="E241" s="20">
        <v>7500.0</v>
      </c>
      <c r="F241" s="21">
        <f t="shared" si="2"/>
        <v>11250</v>
      </c>
      <c r="G241" s="23"/>
      <c r="H241" s="2"/>
      <c r="I241" s="2"/>
      <c r="J241" s="2"/>
      <c r="K241" s="2"/>
    </row>
    <row r="242" ht="15.75" customHeight="1">
      <c r="A242" s="23"/>
      <c r="B242" s="23"/>
      <c r="C242" s="18" t="s">
        <v>23</v>
      </c>
      <c r="D242" s="19"/>
      <c r="E242" s="20">
        <v>2000.0</v>
      </c>
      <c r="F242" s="21">
        <f t="shared" si="2"/>
        <v>0</v>
      </c>
      <c r="G242" s="23"/>
      <c r="H242" s="2"/>
      <c r="I242" s="2"/>
      <c r="J242" s="2"/>
      <c r="K242" s="2"/>
    </row>
    <row r="243" ht="15.75" customHeight="1">
      <c r="A243" s="23"/>
      <c r="B243" s="23"/>
      <c r="C243" s="18" t="s">
        <v>24</v>
      </c>
      <c r="D243" s="19"/>
      <c r="E243" s="20">
        <v>800.0</v>
      </c>
      <c r="F243" s="21">
        <f t="shared" si="2"/>
        <v>0</v>
      </c>
      <c r="G243" s="23"/>
      <c r="H243" s="2"/>
      <c r="I243" s="2"/>
      <c r="J243" s="2"/>
      <c r="K243" s="2"/>
    </row>
    <row r="244" ht="15.75" customHeight="1">
      <c r="A244" s="23"/>
      <c r="B244" s="23"/>
      <c r="C244" s="18" t="s">
        <v>25</v>
      </c>
      <c r="D244" s="19"/>
      <c r="E244" s="20">
        <v>5000.0</v>
      </c>
      <c r="F244" s="21">
        <f t="shared" si="2"/>
        <v>0</v>
      </c>
      <c r="G244" s="23"/>
      <c r="H244" s="2"/>
      <c r="I244" s="2"/>
      <c r="J244" s="2"/>
      <c r="K244" s="2"/>
    </row>
    <row r="245" ht="15.75" customHeight="1">
      <c r="A245" s="23"/>
      <c r="B245" s="23"/>
      <c r="C245" s="18" t="s">
        <v>26</v>
      </c>
      <c r="D245" s="19"/>
      <c r="E245" s="20">
        <v>2700.0</v>
      </c>
      <c r="F245" s="21">
        <f t="shared" si="2"/>
        <v>0</v>
      </c>
      <c r="G245" s="23"/>
      <c r="H245" s="2"/>
      <c r="I245" s="2"/>
      <c r="J245" s="2"/>
      <c r="K245" s="2"/>
    </row>
    <row r="246" ht="15.75" customHeight="1">
      <c r="A246" s="23"/>
      <c r="B246" s="23"/>
      <c r="C246" s="18" t="s">
        <v>27</v>
      </c>
      <c r="D246" s="19"/>
      <c r="E246" s="20">
        <v>50000.0</v>
      </c>
      <c r="F246" s="21">
        <f t="shared" si="2"/>
        <v>0</v>
      </c>
      <c r="G246" s="23"/>
      <c r="H246" s="2"/>
      <c r="I246" s="2"/>
      <c r="J246" s="2"/>
      <c r="K246" s="2"/>
    </row>
    <row r="247" ht="15.75" customHeight="1">
      <c r="A247" s="23"/>
      <c r="B247" s="23"/>
      <c r="C247" s="18" t="s">
        <v>28</v>
      </c>
      <c r="D247" s="19"/>
      <c r="E247" s="20">
        <v>10000.0</v>
      </c>
      <c r="F247" s="21">
        <f t="shared" si="2"/>
        <v>0</v>
      </c>
      <c r="G247" s="23"/>
      <c r="H247" s="2"/>
      <c r="I247" s="2"/>
      <c r="J247" s="2"/>
      <c r="K247" s="2"/>
    </row>
    <row r="248" ht="15.75" customHeight="1">
      <c r="A248" s="23"/>
      <c r="B248" s="23"/>
      <c r="C248" s="18" t="s">
        <v>29</v>
      </c>
      <c r="D248" s="19"/>
      <c r="E248" s="20">
        <v>1000.0</v>
      </c>
      <c r="F248" s="21">
        <f t="shared" si="2"/>
        <v>0</v>
      </c>
      <c r="G248" s="23"/>
      <c r="H248" s="2"/>
      <c r="I248" s="2"/>
      <c r="J248" s="2"/>
      <c r="K248" s="2"/>
    </row>
    <row r="249" ht="15.75" customHeight="1">
      <c r="A249" s="23"/>
      <c r="B249" s="23"/>
      <c r="C249" s="18" t="s">
        <v>30</v>
      </c>
      <c r="D249" s="19"/>
      <c r="E249" s="20">
        <v>500.0</v>
      </c>
      <c r="F249" s="21">
        <f t="shared" si="2"/>
        <v>0</v>
      </c>
      <c r="G249" s="23"/>
      <c r="H249" s="2"/>
      <c r="I249" s="2"/>
      <c r="J249" s="2"/>
      <c r="K249" s="2"/>
    </row>
    <row r="250" ht="15.75" customHeight="1">
      <c r="A250" s="23"/>
      <c r="B250" s="23"/>
      <c r="C250" s="18" t="s">
        <v>31</v>
      </c>
      <c r="D250" s="19"/>
      <c r="E250" s="20">
        <v>200.0</v>
      </c>
      <c r="F250" s="21">
        <f t="shared" si="2"/>
        <v>0</v>
      </c>
      <c r="G250" s="23"/>
      <c r="H250" s="2"/>
      <c r="I250" s="2"/>
      <c r="J250" s="2"/>
      <c r="K250" s="2"/>
    </row>
    <row r="251" ht="15.75" customHeight="1">
      <c r="A251" s="23"/>
      <c r="B251" s="23"/>
      <c r="C251" s="18" t="s">
        <v>32</v>
      </c>
      <c r="D251" s="19"/>
      <c r="E251" s="20">
        <v>1000.0</v>
      </c>
      <c r="F251" s="21">
        <f t="shared" si="2"/>
        <v>0</v>
      </c>
      <c r="G251" s="23"/>
      <c r="H251" s="2"/>
      <c r="I251" s="2"/>
      <c r="J251" s="2"/>
      <c r="K251" s="2"/>
    </row>
    <row r="252" ht="15.75" customHeight="1">
      <c r="A252" s="23"/>
      <c r="B252" s="23"/>
      <c r="C252" s="18" t="s">
        <v>33</v>
      </c>
      <c r="D252" s="19"/>
      <c r="E252" s="20">
        <v>300.0</v>
      </c>
      <c r="F252" s="21">
        <f t="shared" si="2"/>
        <v>0</v>
      </c>
      <c r="G252" s="23"/>
      <c r="H252" s="2"/>
      <c r="I252" s="2"/>
      <c r="J252" s="2"/>
      <c r="K252" s="2"/>
    </row>
    <row r="253" ht="15.75" customHeight="1">
      <c r="A253" s="23"/>
      <c r="B253" s="23"/>
      <c r="C253" s="18" t="s">
        <v>34</v>
      </c>
      <c r="D253" s="19"/>
      <c r="E253" s="20">
        <v>100.0</v>
      </c>
      <c r="F253" s="21">
        <f t="shared" si="2"/>
        <v>0</v>
      </c>
      <c r="G253" s="23"/>
      <c r="H253" s="2"/>
      <c r="I253" s="2"/>
      <c r="J253" s="2"/>
      <c r="K253" s="2"/>
    </row>
    <row r="254" ht="15.75" customHeight="1">
      <c r="A254" s="23"/>
      <c r="B254" s="23"/>
      <c r="C254" s="18" t="s">
        <v>35</v>
      </c>
      <c r="D254" s="19"/>
      <c r="E254" s="20">
        <v>500.0</v>
      </c>
      <c r="F254" s="21">
        <f t="shared" si="2"/>
        <v>0</v>
      </c>
      <c r="G254" s="23"/>
      <c r="H254" s="2"/>
      <c r="I254" s="2"/>
      <c r="J254" s="2"/>
      <c r="K254" s="2"/>
    </row>
    <row r="255" ht="15.75" customHeight="1">
      <c r="A255" s="23"/>
      <c r="B255" s="23"/>
      <c r="C255" s="18" t="s">
        <v>36</v>
      </c>
      <c r="D255" s="19">
        <v>8.0</v>
      </c>
      <c r="E255" s="20">
        <v>1500.0</v>
      </c>
      <c r="F255" s="21">
        <f t="shared" si="2"/>
        <v>12000</v>
      </c>
      <c r="G255" s="23"/>
      <c r="H255" s="2"/>
      <c r="I255" s="2"/>
      <c r="J255" s="2"/>
      <c r="K255" s="2"/>
    </row>
    <row r="256" ht="15.75" customHeight="1">
      <c r="A256" s="23"/>
      <c r="B256" s="23"/>
      <c r="C256" s="18" t="s">
        <v>37</v>
      </c>
      <c r="D256" s="19"/>
      <c r="E256" s="20">
        <v>4000.0</v>
      </c>
      <c r="F256" s="21">
        <f t="shared" si="2"/>
        <v>0</v>
      </c>
      <c r="G256" s="23"/>
      <c r="H256" s="2"/>
      <c r="I256" s="2"/>
      <c r="J256" s="2"/>
      <c r="K256" s="2"/>
    </row>
    <row r="257" ht="15.75" customHeight="1">
      <c r="A257" s="25"/>
      <c r="B257" s="25"/>
      <c r="C257" s="18" t="s">
        <v>38</v>
      </c>
      <c r="D257" s="19"/>
      <c r="E257" s="20">
        <v>0.0</v>
      </c>
      <c r="F257" s="21">
        <f t="shared" si="2"/>
        <v>0</v>
      </c>
      <c r="G257" s="25"/>
      <c r="H257" s="2"/>
      <c r="I257" s="2"/>
      <c r="J257" s="2"/>
      <c r="K257" s="2"/>
    </row>
    <row r="258" ht="15.75" customHeight="1">
      <c r="A258" s="16">
        <v>10.0</v>
      </c>
      <c r="B258" s="17" t="s">
        <v>51</v>
      </c>
      <c r="C258" s="18" t="s">
        <v>11</v>
      </c>
      <c r="D258" s="19"/>
      <c r="E258" s="20">
        <v>5000.0</v>
      </c>
      <c r="F258" s="21">
        <f t="shared" si="2"/>
        <v>0</v>
      </c>
      <c r="G258" s="22">
        <f>SUM(F258:F285)</f>
        <v>29000</v>
      </c>
      <c r="H258" s="2"/>
      <c r="I258" s="2"/>
      <c r="J258" s="2"/>
      <c r="K258" s="2"/>
    </row>
    <row r="259" ht="15.75" customHeight="1">
      <c r="A259" s="23"/>
      <c r="B259" s="23"/>
      <c r="C259" s="18" t="s">
        <v>12</v>
      </c>
      <c r="D259" s="19"/>
      <c r="E259" s="20">
        <v>3000.0</v>
      </c>
      <c r="F259" s="21">
        <f t="shared" si="2"/>
        <v>0</v>
      </c>
      <c r="G259" s="23"/>
      <c r="H259" s="2"/>
      <c r="I259" s="2"/>
      <c r="J259" s="2"/>
      <c r="K259" s="2"/>
    </row>
    <row r="260" ht="15.75" customHeight="1">
      <c r="A260" s="23"/>
      <c r="B260" s="23"/>
      <c r="C260" s="18" t="s">
        <v>13</v>
      </c>
      <c r="D260" s="19"/>
      <c r="E260" s="20">
        <v>1000.0</v>
      </c>
      <c r="F260" s="21">
        <f t="shared" si="2"/>
        <v>0</v>
      </c>
      <c r="G260" s="23"/>
      <c r="H260" s="2"/>
      <c r="I260" s="2"/>
      <c r="J260" s="2"/>
      <c r="K260" s="2"/>
    </row>
    <row r="261" ht="15.75" customHeight="1">
      <c r="A261" s="23"/>
      <c r="B261" s="23"/>
      <c r="C261" s="18" t="s">
        <v>14</v>
      </c>
      <c r="D261" s="19"/>
      <c r="E261" s="20">
        <v>2800.0</v>
      </c>
      <c r="F261" s="21">
        <f t="shared" si="2"/>
        <v>0</v>
      </c>
      <c r="G261" s="23"/>
      <c r="H261" s="2"/>
      <c r="I261" s="2"/>
      <c r="J261" s="2"/>
      <c r="K261" s="2"/>
    </row>
    <row r="262" ht="15.75" customHeight="1">
      <c r="A262" s="23"/>
      <c r="B262" s="23"/>
      <c r="C262" s="18" t="s">
        <v>15</v>
      </c>
      <c r="D262" s="19"/>
      <c r="E262" s="20">
        <v>3500.0</v>
      </c>
      <c r="F262" s="21">
        <f t="shared" si="2"/>
        <v>0</v>
      </c>
      <c r="G262" s="23"/>
      <c r="H262" s="2"/>
      <c r="I262" s="2"/>
      <c r="J262" s="2"/>
      <c r="K262" s="2"/>
    </row>
    <row r="263" ht="15.75" customHeight="1">
      <c r="A263" s="23"/>
      <c r="B263" s="23"/>
      <c r="C263" s="18" t="s">
        <v>16</v>
      </c>
      <c r="D263" s="19">
        <v>5.0</v>
      </c>
      <c r="E263" s="20">
        <v>1000.0</v>
      </c>
      <c r="F263" s="21">
        <f t="shared" si="2"/>
        <v>5000</v>
      </c>
      <c r="G263" s="23"/>
      <c r="H263" s="2"/>
      <c r="I263" s="2"/>
      <c r="J263" s="2"/>
      <c r="K263" s="2"/>
    </row>
    <row r="264" ht="15.75" customHeight="1">
      <c r="A264" s="23"/>
      <c r="B264" s="23"/>
      <c r="C264" s="18" t="s">
        <v>17</v>
      </c>
      <c r="D264" s="19"/>
      <c r="E264" s="20">
        <v>2000.0</v>
      </c>
      <c r="F264" s="21">
        <f t="shared" si="2"/>
        <v>0</v>
      </c>
      <c r="G264" s="23"/>
      <c r="H264" s="2"/>
      <c r="I264" s="2"/>
      <c r="J264" s="2"/>
      <c r="K264" s="2"/>
    </row>
    <row r="265" ht="15.75" customHeight="1">
      <c r="A265" s="23"/>
      <c r="B265" s="23"/>
      <c r="C265" s="18" t="s">
        <v>18</v>
      </c>
      <c r="D265" s="19"/>
      <c r="E265" s="20">
        <v>2000.0</v>
      </c>
      <c r="F265" s="21">
        <f t="shared" si="2"/>
        <v>0</v>
      </c>
      <c r="G265" s="23"/>
      <c r="H265" s="2"/>
      <c r="I265" s="2"/>
      <c r="J265" s="2"/>
      <c r="K265" s="2"/>
    </row>
    <row r="266" ht="15.75" customHeight="1">
      <c r="A266" s="23"/>
      <c r="B266" s="23"/>
      <c r="C266" s="18" t="s">
        <v>19</v>
      </c>
      <c r="D266" s="19"/>
      <c r="E266" s="20">
        <v>1300.0</v>
      </c>
      <c r="F266" s="21">
        <f t="shared" si="2"/>
        <v>0</v>
      </c>
      <c r="G266" s="23"/>
      <c r="H266" s="2"/>
      <c r="I266" s="2"/>
      <c r="J266" s="2"/>
      <c r="K266" s="2"/>
    </row>
    <row r="267" ht="15.75" customHeight="1">
      <c r="A267" s="23"/>
      <c r="B267" s="23"/>
      <c r="C267" s="18" t="s">
        <v>20</v>
      </c>
      <c r="D267" s="19"/>
      <c r="E267" s="20">
        <v>1000.0</v>
      </c>
      <c r="F267" s="21">
        <f t="shared" si="2"/>
        <v>0</v>
      </c>
      <c r="G267" s="23"/>
      <c r="H267" s="2"/>
      <c r="I267" s="2"/>
      <c r="J267" s="2"/>
      <c r="K267" s="2"/>
    </row>
    <row r="268" ht="15.75" customHeight="1">
      <c r="A268" s="23"/>
      <c r="B268" s="23"/>
      <c r="C268" s="18" t="s">
        <v>21</v>
      </c>
      <c r="D268" s="19"/>
      <c r="E268" s="20">
        <v>400.0</v>
      </c>
      <c r="F268" s="21">
        <f t="shared" si="2"/>
        <v>0</v>
      </c>
      <c r="G268" s="23"/>
      <c r="H268" s="2"/>
      <c r="I268" s="2"/>
      <c r="J268" s="2"/>
      <c r="K268" s="2"/>
    </row>
    <row r="269" ht="15.75" customHeight="1">
      <c r="A269" s="23"/>
      <c r="B269" s="23"/>
      <c r="C269" s="18" t="s">
        <v>22</v>
      </c>
      <c r="D269" s="19"/>
      <c r="E269" s="20">
        <v>7500.0</v>
      </c>
      <c r="F269" s="21">
        <f t="shared" si="2"/>
        <v>0</v>
      </c>
      <c r="G269" s="23"/>
      <c r="H269" s="2"/>
      <c r="I269" s="2"/>
      <c r="J269" s="2"/>
      <c r="K269" s="2"/>
    </row>
    <row r="270" ht="15.75" customHeight="1">
      <c r="A270" s="23"/>
      <c r="B270" s="23"/>
      <c r="C270" s="18" t="s">
        <v>23</v>
      </c>
      <c r="D270" s="19"/>
      <c r="E270" s="20">
        <v>2000.0</v>
      </c>
      <c r="F270" s="21">
        <f t="shared" si="2"/>
        <v>0</v>
      </c>
      <c r="G270" s="23"/>
      <c r="H270" s="2"/>
      <c r="I270" s="2"/>
      <c r="J270" s="2"/>
      <c r="K270" s="2"/>
    </row>
    <row r="271" ht="15.75" customHeight="1">
      <c r="A271" s="23"/>
      <c r="B271" s="23"/>
      <c r="C271" s="18" t="s">
        <v>24</v>
      </c>
      <c r="D271" s="19"/>
      <c r="E271" s="20">
        <v>800.0</v>
      </c>
      <c r="F271" s="21">
        <f t="shared" si="2"/>
        <v>0</v>
      </c>
      <c r="G271" s="23"/>
      <c r="H271" s="2"/>
      <c r="I271" s="2"/>
      <c r="J271" s="2"/>
      <c r="K271" s="2"/>
    </row>
    <row r="272" ht="15.75" customHeight="1">
      <c r="A272" s="23"/>
      <c r="B272" s="23"/>
      <c r="C272" s="18" t="s">
        <v>25</v>
      </c>
      <c r="D272" s="19"/>
      <c r="E272" s="20">
        <v>5000.0</v>
      </c>
      <c r="F272" s="21">
        <f t="shared" si="2"/>
        <v>0</v>
      </c>
      <c r="G272" s="23"/>
      <c r="H272" s="2"/>
      <c r="I272" s="2"/>
      <c r="J272" s="2"/>
      <c r="K272" s="2"/>
    </row>
    <row r="273" ht="15.75" customHeight="1">
      <c r="A273" s="23"/>
      <c r="B273" s="23"/>
      <c r="C273" s="18" t="s">
        <v>26</v>
      </c>
      <c r="D273" s="19"/>
      <c r="E273" s="20">
        <v>2700.0</v>
      </c>
      <c r="F273" s="21">
        <f t="shared" si="2"/>
        <v>0</v>
      </c>
      <c r="G273" s="23"/>
      <c r="H273" s="2"/>
      <c r="I273" s="2"/>
      <c r="J273" s="2"/>
      <c r="K273" s="2"/>
    </row>
    <row r="274" ht="15.75" customHeight="1">
      <c r="A274" s="23"/>
      <c r="B274" s="23"/>
      <c r="C274" s="18" t="s">
        <v>27</v>
      </c>
      <c r="D274" s="19"/>
      <c r="E274" s="20">
        <v>50000.0</v>
      </c>
      <c r="F274" s="21">
        <f t="shared" si="2"/>
        <v>0</v>
      </c>
      <c r="G274" s="23"/>
      <c r="H274" s="2"/>
      <c r="I274" s="2"/>
      <c r="J274" s="2"/>
      <c r="K274" s="2"/>
    </row>
    <row r="275" ht="15.75" customHeight="1">
      <c r="A275" s="23"/>
      <c r="B275" s="23"/>
      <c r="C275" s="18" t="s">
        <v>28</v>
      </c>
      <c r="D275" s="19"/>
      <c r="E275" s="20">
        <v>10000.0</v>
      </c>
      <c r="F275" s="21">
        <f t="shared" si="2"/>
        <v>0</v>
      </c>
      <c r="G275" s="23"/>
      <c r="H275" s="2"/>
      <c r="I275" s="2"/>
      <c r="J275" s="2"/>
      <c r="K275" s="2"/>
    </row>
    <row r="276" ht="15.75" customHeight="1">
      <c r="A276" s="23"/>
      <c r="B276" s="23"/>
      <c r="C276" s="18" t="s">
        <v>29</v>
      </c>
      <c r="D276" s="19"/>
      <c r="E276" s="20">
        <v>1000.0</v>
      </c>
      <c r="F276" s="21">
        <f t="shared" si="2"/>
        <v>0</v>
      </c>
      <c r="G276" s="23"/>
      <c r="H276" s="2"/>
      <c r="I276" s="2"/>
      <c r="J276" s="2"/>
      <c r="K276" s="2"/>
    </row>
    <row r="277" ht="15.75" customHeight="1">
      <c r="A277" s="23"/>
      <c r="B277" s="23"/>
      <c r="C277" s="18" t="s">
        <v>30</v>
      </c>
      <c r="D277" s="19"/>
      <c r="E277" s="20">
        <v>500.0</v>
      </c>
      <c r="F277" s="21">
        <f t="shared" si="2"/>
        <v>0</v>
      </c>
      <c r="G277" s="23"/>
      <c r="H277" s="2"/>
      <c r="I277" s="2"/>
      <c r="J277" s="2"/>
      <c r="K277" s="2"/>
    </row>
    <row r="278" ht="15.75" customHeight="1">
      <c r="A278" s="23"/>
      <c r="B278" s="23"/>
      <c r="C278" s="18" t="s">
        <v>31</v>
      </c>
      <c r="D278" s="19"/>
      <c r="E278" s="20">
        <v>200.0</v>
      </c>
      <c r="F278" s="21">
        <f t="shared" si="2"/>
        <v>0</v>
      </c>
      <c r="G278" s="23"/>
      <c r="H278" s="2"/>
      <c r="I278" s="2"/>
      <c r="J278" s="2"/>
      <c r="K278" s="2"/>
    </row>
    <row r="279" ht="15.75" customHeight="1">
      <c r="A279" s="23"/>
      <c r="B279" s="23"/>
      <c r="C279" s="18" t="s">
        <v>32</v>
      </c>
      <c r="D279" s="19"/>
      <c r="E279" s="20">
        <v>1000.0</v>
      </c>
      <c r="F279" s="21">
        <f t="shared" si="2"/>
        <v>0</v>
      </c>
      <c r="G279" s="23"/>
      <c r="H279" s="2"/>
      <c r="I279" s="2"/>
      <c r="J279" s="2"/>
      <c r="K279" s="2"/>
    </row>
    <row r="280" ht="15.75" customHeight="1">
      <c r="A280" s="23"/>
      <c r="B280" s="23"/>
      <c r="C280" s="18" t="s">
        <v>33</v>
      </c>
      <c r="D280" s="19"/>
      <c r="E280" s="20">
        <v>300.0</v>
      </c>
      <c r="F280" s="21">
        <f t="shared" si="2"/>
        <v>0</v>
      </c>
      <c r="G280" s="23"/>
      <c r="H280" s="2"/>
      <c r="I280" s="2"/>
      <c r="J280" s="2"/>
      <c r="K280" s="2"/>
    </row>
    <row r="281" ht="15.75" customHeight="1">
      <c r="A281" s="23"/>
      <c r="B281" s="23"/>
      <c r="C281" s="18" t="s">
        <v>34</v>
      </c>
      <c r="D281" s="19"/>
      <c r="E281" s="20">
        <v>100.0</v>
      </c>
      <c r="F281" s="21">
        <f t="shared" si="2"/>
        <v>0</v>
      </c>
      <c r="G281" s="23"/>
      <c r="H281" s="2"/>
      <c r="I281" s="2"/>
      <c r="J281" s="2"/>
      <c r="K281" s="2"/>
    </row>
    <row r="282" ht="15.75" customHeight="1">
      <c r="A282" s="23"/>
      <c r="B282" s="23"/>
      <c r="C282" s="18" t="s">
        <v>35</v>
      </c>
      <c r="D282" s="19"/>
      <c r="E282" s="20">
        <v>500.0</v>
      </c>
      <c r="F282" s="21">
        <f t="shared" si="2"/>
        <v>0</v>
      </c>
      <c r="G282" s="23"/>
      <c r="H282" s="2"/>
      <c r="I282" s="2"/>
      <c r="J282" s="2"/>
      <c r="K282" s="2"/>
    </row>
    <row r="283" ht="15.75" customHeight="1">
      <c r="A283" s="23"/>
      <c r="B283" s="23"/>
      <c r="C283" s="18" t="s">
        <v>36</v>
      </c>
      <c r="D283" s="19"/>
      <c r="E283" s="20">
        <v>1500.0</v>
      </c>
      <c r="F283" s="21">
        <f t="shared" si="2"/>
        <v>0</v>
      </c>
      <c r="G283" s="23"/>
      <c r="H283" s="2"/>
      <c r="I283" s="2"/>
      <c r="J283" s="2"/>
      <c r="K283" s="2"/>
    </row>
    <row r="284" ht="15.75" customHeight="1">
      <c r="A284" s="23"/>
      <c r="B284" s="23"/>
      <c r="C284" s="18" t="s">
        <v>37</v>
      </c>
      <c r="D284" s="19">
        <v>6.0</v>
      </c>
      <c r="E284" s="20">
        <v>4000.0</v>
      </c>
      <c r="F284" s="21">
        <f t="shared" si="2"/>
        <v>24000</v>
      </c>
      <c r="G284" s="23"/>
      <c r="H284" s="2"/>
      <c r="I284" s="2"/>
      <c r="J284" s="2"/>
      <c r="K284" s="2"/>
    </row>
    <row r="285" ht="15.75" customHeight="1">
      <c r="A285" s="25"/>
      <c r="B285" s="25"/>
      <c r="C285" s="18" t="s">
        <v>38</v>
      </c>
      <c r="D285" s="19"/>
      <c r="E285" s="20">
        <v>0.0</v>
      </c>
      <c r="F285" s="21">
        <f t="shared" si="2"/>
        <v>0</v>
      </c>
      <c r="G285" s="25"/>
      <c r="H285" s="2"/>
      <c r="I285" s="2"/>
      <c r="J285" s="2"/>
      <c r="K285" s="2"/>
    </row>
    <row r="286" ht="15.75" customHeight="1">
      <c r="A286" s="16">
        <v>11.0</v>
      </c>
      <c r="B286" s="17" t="s">
        <v>52</v>
      </c>
      <c r="C286" s="18" t="s">
        <v>11</v>
      </c>
      <c r="D286" s="19"/>
      <c r="E286" s="20">
        <v>5000.0</v>
      </c>
      <c r="F286" s="21">
        <f t="shared" si="2"/>
        <v>0</v>
      </c>
      <c r="G286" s="22">
        <f>SUM(F286:F313)</f>
        <v>9000</v>
      </c>
      <c r="H286" s="2"/>
      <c r="I286" s="2"/>
      <c r="J286" s="2"/>
      <c r="K286" s="2"/>
    </row>
    <row r="287" ht="15.75" customHeight="1">
      <c r="A287" s="23"/>
      <c r="B287" s="23"/>
      <c r="C287" s="18" t="s">
        <v>12</v>
      </c>
      <c r="D287" s="19"/>
      <c r="E287" s="20">
        <v>3000.0</v>
      </c>
      <c r="F287" s="21">
        <f t="shared" si="2"/>
        <v>0</v>
      </c>
      <c r="G287" s="23"/>
      <c r="H287" s="2"/>
      <c r="I287" s="2"/>
      <c r="J287" s="2"/>
      <c r="K287" s="2"/>
    </row>
    <row r="288" ht="15.75" customHeight="1">
      <c r="A288" s="23"/>
      <c r="B288" s="23"/>
      <c r="C288" s="18" t="s">
        <v>13</v>
      </c>
      <c r="D288" s="19"/>
      <c r="E288" s="20">
        <v>1000.0</v>
      </c>
      <c r="F288" s="21">
        <f t="shared" si="2"/>
        <v>0</v>
      </c>
      <c r="G288" s="23"/>
      <c r="H288" s="2"/>
      <c r="I288" s="2"/>
      <c r="J288" s="2"/>
      <c r="K288" s="2"/>
    </row>
    <row r="289" ht="15.75" customHeight="1">
      <c r="A289" s="23"/>
      <c r="B289" s="23"/>
      <c r="C289" s="18" t="s">
        <v>14</v>
      </c>
      <c r="D289" s="19"/>
      <c r="E289" s="20">
        <v>2800.0</v>
      </c>
      <c r="F289" s="21">
        <f t="shared" si="2"/>
        <v>0</v>
      </c>
      <c r="G289" s="23"/>
      <c r="H289" s="2"/>
      <c r="I289" s="2"/>
      <c r="J289" s="2"/>
      <c r="K289" s="2"/>
    </row>
    <row r="290" ht="15.75" customHeight="1">
      <c r="A290" s="23"/>
      <c r="B290" s="23"/>
      <c r="C290" s="18" t="s">
        <v>15</v>
      </c>
      <c r="D290" s="19"/>
      <c r="E290" s="20">
        <v>3500.0</v>
      </c>
      <c r="F290" s="21">
        <f t="shared" si="2"/>
        <v>0</v>
      </c>
      <c r="G290" s="23"/>
      <c r="H290" s="2"/>
      <c r="I290" s="2"/>
      <c r="J290" s="2"/>
      <c r="K290" s="2"/>
    </row>
    <row r="291" ht="15.75" customHeight="1">
      <c r="A291" s="23"/>
      <c r="B291" s="23"/>
      <c r="C291" s="18" t="s">
        <v>16</v>
      </c>
      <c r="D291" s="19">
        <v>3.0</v>
      </c>
      <c r="E291" s="20">
        <v>1000.0</v>
      </c>
      <c r="F291" s="21">
        <f t="shared" si="2"/>
        <v>3000</v>
      </c>
      <c r="G291" s="23"/>
      <c r="H291" s="2"/>
      <c r="I291" s="2"/>
      <c r="J291" s="2"/>
      <c r="K291" s="2"/>
    </row>
    <row r="292" ht="15.75" customHeight="1">
      <c r="A292" s="23"/>
      <c r="B292" s="23"/>
      <c r="C292" s="18" t="s">
        <v>17</v>
      </c>
      <c r="D292" s="19"/>
      <c r="E292" s="20">
        <v>2000.0</v>
      </c>
      <c r="F292" s="21">
        <f t="shared" si="2"/>
        <v>0</v>
      </c>
      <c r="G292" s="23"/>
      <c r="H292" s="2"/>
      <c r="I292" s="2"/>
      <c r="J292" s="2"/>
      <c r="K292" s="2"/>
    </row>
    <row r="293" ht="15.75" customHeight="1">
      <c r="A293" s="23"/>
      <c r="B293" s="23"/>
      <c r="C293" s="18" t="s">
        <v>18</v>
      </c>
      <c r="D293" s="19"/>
      <c r="E293" s="20">
        <v>2000.0</v>
      </c>
      <c r="F293" s="21">
        <f t="shared" si="2"/>
        <v>0</v>
      </c>
      <c r="G293" s="23"/>
      <c r="H293" s="2"/>
      <c r="I293" s="2"/>
      <c r="J293" s="2"/>
      <c r="K293" s="2"/>
    </row>
    <row r="294" ht="15.75" customHeight="1">
      <c r="A294" s="23"/>
      <c r="B294" s="23"/>
      <c r="C294" s="18" t="s">
        <v>19</v>
      </c>
      <c r="D294" s="19"/>
      <c r="E294" s="20">
        <v>1300.0</v>
      </c>
      <c r="F294" s="21">
        <f t="shared" si="2"/>
        <v>0</v>
      </c>
      <c r="G294" s="23"/>
      <c r="H294" s="2"/>
      <c r="I294" s="2"/>
      <c r="J294" s="2"/>
      <c r="K294" s="2"/>
    </row>
    <row r="295" ht="15.75" customHeight="1">
      <c r="A295" s="23"/>
      <c r="B295" s="23"/>
      <c r="C295" s="18" t="s">
        <v>20</v>
      </c>
      <c r="D295" s="19"/>
      <c r="E295" s="20">
        <v>1000.0</v>
      </c>
      <c r="F295" s="21">
        <f t="shared" si="2"/>
        <v>0</v>
      </c>
      <c r="G295" s="23"/>
      <c r="H295" s="2"/>
      <c r="I295" s="2"/>
      <c r="J295" s="2"/>
      <c r="K295" s="2"/>
    </row>
    <row r="296" ht="15.75" customHeight="1">
      <c r="A296" s="23"/>
      <c r="B296" s="23"/>
      <c r="C296" s="18" t="s">
        <v>21</v>
      </c>
      <c r="D296" s="19"/>
      <c r="E296" s="20">
        <v>400.0</v>
      </c>
      <c r="F296" s="21">
        <f t="shared" si="2"/>
        <v>0</v>
      </c>
      <c r="G296" s="23"/>
      <c r="H296" s="2"/>
      <c r="I296" s="2"/>
      <c r="J296" s="2"/>
      <c r="K296" s="2"/>
    </row>
    <row r="297" ht="15.75" customHeight="1">
      <c r="A297" s="23"/>
      <c r="B297" s="23"/>
      <c r="C297" s="18" t="s">
        <v>22</v>
      </c>
      <c r="D297" s="19"/>
      <c r="E297" s="20">
        <v>7500.0</v>
      </c>
      <c r="F297" s="21">
        <f t="shared" si="2"/>
        <v>0</v>
      </c>
      <c r="G297" s="23"/>
      <c r="H297" s="2"/>
      <c r="I297" s="2"/>
      <c r="J297" s="2"/>
      <c r="K297" s="2"/>
    </row>
    <row r="298" ht="15.75" customHeight="1">
      <c r="A298" s="23"/>
      <c r="B298" s="23"/>
      <c r="C298" s="18" t="s">
        <v>23</v>
      </c>
      <c r="D298" s="19"/>
      <c r="E298" s="20">
        <v>2000.0</v>
      </c>
      <c r="F298" s="21">
        <f t="shared" si="2"/>
        <v>0</v>
      </c>
      <c r="G298" s="23"/>
      <c r="H298" s="2"/>
      <c r="I298" s="2"/>
      <c r="J298" s="2"/>
      <c r="K298" s="2"/>
    </row>
    <row r="299" ht="15.75" customHeight="1">
      <c r="A299" s="23"/>
      <c r="B299" s="23"/>
      <c r="C299" s="18" t="s">
        <v>24</v>
      </c>
      <c r="D299" s="19"/>
      <c r="E299" s="20">
        <v>800.0</v>
      </c>
      <c r="F299" s="21">
        <f t="shared" si="2"/>
        <v>0</v>
      </c>
      <c r="G299" s="23"/>
      <c r="H299" s="2"/>
      <c r="I299" s="2"/>
      <c r="J299" s="2"/>
      <c r="K299" s="2"/>
    </row>
    <row r="300" ht="15.75" customHeight="1">
      <c r="A300" s="23"/>
      <c r="B300" s="23"/>
      <c r="C300" s="18" t="s">
        <v>25</v>
      </c>
      <c r="D300" s="19"/>
      <c r="E300" s="20">
        <v>5000.0</v>
      </c>
      <c r="F300" s="21">
        <f t="shared" si="2"/>
        <v>0</v>
      </c>
      <c r="G300" s="23"/>
      <c r="H300" s="2"/>
      <c r="I300" s="2"/>
      <c r="J300" s="2"/>
      <c r="K300" s="2"/>
    </row>
    <row r="301" ht="15.75" customHeight="1">
      <c r="A301" s="23"/>
      <c r="B301" s="23"/>
      <c r="C301" s="18" t="s">
        <v>26</v>
      </c>
      <c r="D301" s="19"/>
      <c r="E301" s="20">
        <v>2700.0</v>
      </c>
      <c r="F301" s="21">
        <f t="shared" si="2"/>
        <v>0</v>
      </c>
      <c r="G301" s="23"/>
      <c r="H301" s="2"/>
      <c r="I301" s="2"/>
      <c r="J301" s="2"/>
      <c r="K301" s="2"/>
    </row>
    <row r="302" ht="15.75" customHeight="1">
      <c r="A302" s="23"/>
      <c r="B302" s="23"/>
      <c r="C302" s="18" t="s">
        <v>27</v>
      </c>
      <c r="D302" s="19"/>
      <c r="E302" s="20">
        <v>50000.0</v>
      </c>
      <c r="F302" s="21">
        <f t="shared" si="2"/>
        <v>0</v>
      </c>
      <c r="G302" s="23"/>
      <c r="H302" s="2"/>
      <c r="I302" s="2"/>
      <c r="J302" s="2"/>
      <c r="K302" s="2"/>
    </row>
    <row r="303" ht="15.75" customHeight="1">
      <c r="A303" s="23"/>
      <c r="B303" s="23"/>
      <c r="C303" s="18" t="s">
        <v>28</v>
      </c>
      <c r="D303" s="19"/>
      <c r="E303" s="20">
        <v>10000.0</v>
      </c>
      <c r="F303" s="21">
        <f t="shared" si="2"/>
        <v>0</v>
      </c>
      <c r="G303" s="23"/>
      <c r="H303" s="2"/>
      <c r="I303" s="2"/>
      <c r="J303" s="2"/>
      <c r="K303" s="2"/>
    </row>
    <row r="304" ht="15.75" customHeight="1">
      <c r="A304" s="23"/>
      <c r="B304" s="23"/>
      <c r="C304" s="18" t="s">
        <v>29</v>
      </c>
      <c r="D304" s="19"/>
      <c r="E304" s="20">
        <v>1000.0</v>
      </c>
      <c r="F304" s="21">
        <f t="shared" si="2"/>
        <v>0</v>
      </c>
      <c r="G304" s="23"/>
      <c r="H304" s="2"/>
      <c r="I304" s="2"/>
      <c r="J304" s="2"/>
      <c r="K304" s="2"/>
    </row>
    <row r="305" ht="15.75" customHeight="1">
      <c r="A305" s="23"/>
      <c r="B305" s="23"/>
      <c r="C305" s="18" t="s">
        <v>30</v>
      </c>
      <c r="D305" s="19"/>
      <c r="E305" s="20">
        <v>500.0</v>
      </c>
      <c r="F305" s="21">
        <f t="shared" si="2"/>
        <v>0</v>
      </c>
      <c r="G305" s="23"/>
      <c r="H305" s="2"/>
      <c r="I305" s="2"/>
      <c r="J305" s="2"/>
      <c r="K305" s="2"/>
    </row>
    <row r="306" ht="15.75" customHeight="1">
      <c r="A306" s="23"/>
      <c r="B306" s="23"/>
      <c r="C306" s="18" t="s">
        <v>31</v>
      </c>
      <c r="D306" s="19"/>
      <c r="E306" s="20">
        <v>200.0</v>
      </c>
      <c r="F306" s="21">
        <f t="shared" si="2"/>
        <v>0</v>
      </c>
      <c r="G306" s="23"/>
      <c r="H306" s="2"/>
      <c r="I306" s="2"/>
      <c r="J306" s="2"/>
      <c r="K306" s="2"/>
    </row>
    <row r="307" ht="15.75" customHeight="1">
      <c r="A307" s="23"/>
      <c r="B307" s="23"/>
      <c r="C307" s="18" t="s">
        <v>32</v>
      </c>
      <c r="D307" s="19"/>
      <c r="E307" s="20">
        <v>1000.0</v>
      </c>
      <c r="F307" s="21">
        <f t="shared" si="2"/>
        <v>0</v>
      </c>
      <c r="G307" s="23"/>
      <c r="H307" s="2"/>
      <c r="I307" s="2"/>
      <c r="J307" s="2"/>
      <c r="K307" s="2"/>
    </row>
    <row r="308" ht="15.75" customHeight="1">
      <c r="A308" s="23"/>
      <c r="B308" s="23"/>
      <c r="C308" s="18" t="s">
        <v>33</v>
      </c>
      <c r="D308" s="19"/>
      <c r="E308" s="20">
        <v>300.0</v>
      </c>
      <c r="F308" s="21">
        <f t="shared" si="2"/>
        <v>0</v>
      </c>
      <c r="G308" s="23"/>
      <c r="H308" s="2"/>
      <c r="I308" s="2"/>
      <c r="J308" s="2"/>
      <c r="K308" s="2"/>
    </row>
    <row r="309" ht="15.75" customHeight="1">
      <c r="A309" s="23"/>
      <c r="B309" s="23"/>
      <c r="C309" s="18" t="s">
        <v>34</v>
      </c>
      <c r="D309" s="19"/>
      <c r="E309" s="20">
        <v>100.0</v>
      </c>
      <c r="F309" s="21">
        <f t="shared" si="2"/>
        <v>0</v>
      </c>
      <c r="G309" s="23"/>
      <c r="H309" s="2"/>
      <c r="I309" s="2"/>
      <c r="J309" s="2"/>
      <c r="K309" s="2"/>
    </row>
    <row r="310" ht="15.75" customHeight="1">
      <c r="A310" s="23"/>
      <c r="B310" s="23"/>
      <c r="C310" s="18" t="s">
        <v>35</v>
      </c>
      <c r="D310" s="19"/>
      <c r="E310" s="20">
        <v>500.0</v>
      </c>
      <c r="F310" s="21">
        <f t="shared" si="2"/>
        <v>0</v>
      </c>
      <c r="G310" s="23"/>
      <c r="H310" s="2"/>
      <c r="I310" s="2"/>
      <c r="J310" s="2"/>
      <c r="K310" s="2"/>
    </row>
    <row r="311" ht="15.75" customHeight="1">
      <c r="A311" s="23"/>
      <c r="B311" s="23"/>
      <c r="C311" s="18" t="s">
        <v>36</v>
      </c>
      <c r="D311" s="19"/>
      <c r="E311" s="20">
        <v>1500.0</v>
      </c>
      <c r="F311" s="21">
        <f t="shared" si="2"/>
        <v>0</v>
      </c>
      <c r="G311" s="23"/>
      <c r="H311" s="2"/>
      <c r="I311" s="2"/>
      <c r="J311" s="2"/>
      <c r="K311" s="2"/>
    </row>
    <row r="312" ht="15.75" customHeight="1">
      <c r="A312" s="23"/>
      <c r="B312" s="23"/>
      <c r="C312" s="18" t="s">
        <v>37</v>
      </c>
      <c r="D312" s="19">
        <v>1.5</v>
      </c>
      <c r="E312" s="20">
        <v>4000.0</v>
      </c>
      <c r="F312" s="21">
        <f t="shared" si="2"/>
        <v>6000</v>
      </c>
      <c r="G312" s="23"/>
      <c r="H312" s="2"/>
      <c r="I312" s="2"/>
      <c r="J312" s="2"/>
      <c r="K312" s="2"/>
    </row>
    <row r="313" ht="15.75" customHeight="1">
      <c r="A313" s="25"/>
      <c r="B313" s="25"/>
      <c r="C313" s="18" t="s">
        <v>38</v>
      </c>
      <c r="D313" s="19"/>
      <c r="E313" s="20">
        <v>0.0</v>
      </c>
      <c r="F313" s="21">
        <f t="shared" si="2"/>
        <v>0</v>
      </c>
      <c r="G313" s="25"/>
      <c r="H313" s="2"/>
      <c r="I313" s="2"/>
      <c r="J313" s="2"/>
      <c r="K313" s="2"/>
    </row>
    <row r="314" ht="15.75" customHeight="1">
      <c r="A314" s="16">
        <v>12.0</v>
      </c>
      <c r="B314" s="17" t="s">
        <v>53</v>
      </c>
      <c r="C314" s="18" t="s">
        <v>11</v>
      </c>
      <c r="D314" s="19"/>
      <c r="E314" s="20">
        <v>5000.0</v>
      </c>
      <c r="F314" s="21">
        <f t="shared" si="2"/>
        <v>0</v>
      </c>
      <c r="G314" s="22">
        <f>SUM(F314:F341)</f>
        <v>1600</v>
      </c>
      <c r="H314" s="2"/>
      <c r="I314" s="2"/>
      <c r="J314" s="2"/>
      <c r="K314" s="2"/>
    </row>
    <row r="315" ht="15.75" customHeight="1">
      <c r="A315" s="23"/>
      <c r="B315" s="23"/>
      <c r="C315" s="18" t="s">
        <v>12</v>
      </c>
      <c r="D315" s="19"/>
      <c r="E315" s="20">
        <v>3000.0</v>
      </c>
      <c r="F315" s="21">
        <f t="shared" si="2"/>
        <v>0</v>
      </c>
      <c r="G315" s="23"/>
      <c r="H315" s="2"/>
      <c r="I315" s="2"/>
      <c r="J315" s="2"/>
      <c r="K315" s="2"/>
    </row>
    <row r="316" ht="15.75" customHeight="1">
      <c r="A316" s="23"/>
      <c r="B316" s="23"/>
      <c r="C316" s="18" t="s">
        <v>13</v>
      </c>
      <c r="D316" s="19"/>
      <c r="E316" s="20">
        <v>1000.0</v>
      </c>
      <c r="F316" s="21">
        <f t="shared" si="2"/>
        <v>0</v>
      </c>
      <c r="G316" s="23"/>
      <c r="H316" s="2"/>
      <c r="I316" s="2"/>
      <c r="J316" s="2"/>
      <c r="K316" s="2"/>
    </row>
    <row r="317" ht="15.75" customHeight="1">
      <c r="A317" s="23"/>
      <c r="B317" s="23"/>
      <c r="C317" s="18" t="s">
        <v>14</v>
      </c>
      <c r="D317" s="19"/>
      <c r="E317" s="20">
        <v>2800.0</v>
      </c>
      <c r="F317" s="21">
        <f t="shared" si="2"/>
        <v>0</v>
      </c>
      <c r="G317" s="23"/>
      <c r="H317" s="2"/>
      <c r="I317" s="2"/>
      <c r="J317" s="2"/>
      <c r="K317" s="2"/>
    </row>
    <row r="318" ht="15.75" customHeight="1">
      <c r="A318" s="23"/>
      <c r="B318" s="23"/>
      <c r="C318" s="18" t="s">
        <v>15</v>
      </c>
      <c r="D318" s="19"/>
      <c r="E318" s="20">
        <v>3500.0</v>
      </c>
      <c r="F318" s="21">
        <f t="shared" si="2"/>
        <v>0</v>
      </c>
      <c r="G318" s="23"/>
      <c r="H318" s="2"/>
      <c r="I318" s="2"/>
      <c r="J318" s="2"/>
      <c r="K318" s="2"/>
    </row>
    <row r="319" ht="15.75" customHeight="1">
      <c r="A319" s="23"/>
      <c r="B319" s="23"/>
      <c r="C319" s="18" t="s">
        <v>16</v>
      </c>
      <c r="D319" s="19"/>
      <c r="E319" s="20">
        <v>1000.0</v>
      </c>
      <c r="F319" s="21">
        <f t="shared" si="2"/>
        <v>0</v>
      </c>
      <c r="G319" s="23"/>
      <c r="H319" s="2"/>
      <c r="I319" s="2"/>
      <c r="J319" s="2"/>
      <c r="K319" s="2"/>
    </row>
    <row r="320" ht="15.75" customHeight="1">
      <c r="A320" s="23"/>
      <c r="B320" s="23"/>
      <c r="C320" s="18" t="s">
        <v>17</v>
      </c>
      <c r="D320" s="19">
        <v>0.5</v>
      </c>
      <c r="E320" s="20">
        <v>2000.0</v>
      </c>
      <c r="F320" s="21">
        <f t="shared" si="2"/>
        <v>1000</v>
      </c>
      <c r="G320" s="23"/>
      <c r="H320" s="2"/>
      <c r="I320" s="2"/>
      <c r="J320" s="2"/>
      <c r="K320" s="2"/>
    </row>
    <row r="321" ht="15.75" customHeight="1">
      <c r="A321" s="23"/>
      <c r="B321" s="23"/>
      <c r="C321" s="18" t="s">
        <v>18</v>
      </c>
      <c r="D321" s="19"/>
      <c r="E321" s="20">
        <v>2000.0</v>
      </c>
      <c r="F321" s="21">
        <f t="shared" si="2"/>
        <v>0</v>
      </c>
      <c r="G321" s="23"/>
      <c r="H321" s="2"/>
      <c r="I321" s="2"/>
      <c r="J321" s="2"/>
      <c r="K321" s="2"/>
    </row>
    <row r="322" ht="15.75" customHeight="1">
      <c r="A322" s="23"/>
      <c r="B322" s="23"/>
      <c r="C322" s="18" t="s">
        <v>19</v>
      </c>
      <c r="D322" s="19"/>
      <c r="E322" s="20">
        <v>1300.0</v>
      </c>
      <c r="F322" s="21">
        <f t="shared" si="2"/>
        <v>0</v>
      </c>
      <c r="G322" s="23"/>
      <c r="H322" s="2"/>
      <c r="I322" s="2"/>
      <c r="J322" s="2"/>
      <c r="K322" s="2"/>
    </row>
    <row r="323" ht="15.75" customHeight="1">
      <c r="A323" s="23"/>
      <c r="B323" s="23"/>
      <c r="C323" s="18" t="s">
        <v>20</v>
      </c>
      <c r="D323" s="19"/>
      <c r="E323" s="20">
        <v>1000.0</v>
      </c>
      <c r="F323" s="21">
        <f t="shared" si="2"/>
        <v>0</v>
      </c>
      <c r="G323" s="23"/>
      <c r="H323" s="2"/>
      <c r="I323" s="2"/>
      <c r="J323" s="2"/>
      <c r="K323" s="2"/>
    </row>
    <row r="324" ht="15.75" customHeight="1">
      <c r="A324" s="23"/>
      <c r="B324" s="23"/>
      <c r="C324" s="18" t="s">
        <v>21</v>
      </c>
      <c r="D324" s="19">
        <v>0.5</v>
      </c>
      <c r="E324" s="20">
        <v>400.0</v>
      </c>
      <c r="F324" s="21">
        <f t="shared" si="2"/>
        <v>200</v>
      </c>
      <c r="G324" s="23"/>
      <c r="H324" s="2"/>
      <c r="I324" s="2"/>
      <c r="J324" s="2"/>
      <c r="K324" s="2"/>
    </row>
    <row r="325" ht="15.75" customHeight="1">
      <c r="A325" s="23"/>
      <c r="B325" s="23"/>
      <c r="C325" s="18" t="s">
        <v>22</v>
      </c>
      <c r="D325" s="19"/>
      <c r="E325" s="20">
        <v>7500.0</v>
      </c>
      <c r="F325" s="21">
        <f t="shared" si="2"/>
        <v>0</v>
      </c>
      <c r="G325" s="23"/>
      <c r="H325" s="2"/>
      <c r="I325" s="2"/>
      <c r="J325" s="2"/>
      <c r="K325" s="2"/>
    </row>
    <row r="326" ht="15.75" customHeight="1">
      <c r="A326" s="23"/>
      <c r="B326" s="23"/>
      <c r="C326" s="18" t="s">
        <v>23</v>
      </c>
      <c r="D326" s="19"/>
      <c r="E326" s="20">
        <v>2000.0</v>
      </c>
      <c r="F326" s="21">
        <f t="shared" si="2"/>
        <v>0</v>
      </c>
      <c r="G326" s="23"/>
      <c r="H326" s="2"/>
      <c r="I326" s="2"/>
      <c r="J326" s="2"/>
      <c r="K326" s="2"/>
    </row>
    <row r="327" ht="15.75" customHeight="1">
      <c r="A327" s="23"/>
      <c r="B327" s="23"/>
      <c r="C327" s="18" t="s">
        <v>24</v>
      </c>
      <c r="D327" s="19">
        <v>0.5</v>
      </c>
      <c r="E327" s="20">
        <v>800.0</v>
      </c>
      <c r="F327" s="21">
        <f t="shared" si="2"/>
        <v>400</v>
      </c>
      <c r="G327" s="23"/>
      <c r="H327" s="2"/>
      <c r="I327" s="2"/>
      <c r="J327" s="2"/>
      <c r="K327" s="2"/>
    </row>
    <row r="328" ht="15.75" customHeight="1">
      <c r="A328" s="23"/>
      <c r="B328" s="23"/>
      <c r="C328" s="18" t="s">
        <v>25</v>
      </c>
      <c r="D328" s="19"/>
      <c r="E328" s="20">
        <v>5000.0</v>
      </c>
      <c r="F328" s="21">
        <f t="shared" si="2"/>
        <v>0</v>
      </c>
      <c r="G328" s="23"/>
      <c r="H328" s="2"/>
      <c r="I328" s="2"/>
      <c r="J328" s="2"/>
      <c r="K328" s="2"/>
    </row>
    <row r="329" ht="15.75" customHeight="1">
      <c r="A329" s="23"/>
      <c r="B329" s="23"/>
      <c r="C329" s="18" t="s">
        <v>26</v>
      </c>
      <c r="D329" s="19"/>
      <c r="E329" s="20">
        <v>2700.0</v>
      </c>
      <c r="F329" s="21">
        <f t="shared" si="2"/>
        <v>0</v>
      </c>
      <c r="G329" s="23"/>
      <c r="H329" s="2"/>
      <c r="I329" s="2"/>
      <c r="J329" s="2"/>
      <c r="K329" s="2"/>
    </row>
    <row r="330" ht="15.75" customHeight="1">
      <c r="A330" s="23"/>
      <c r="B330" s="23"/>
      <c r="C330" s="18" t="s">
        <v>27</v>
      </c>
      <c r="D330" s="19"/>
      <c r="E330" s="20">
        <v>50000.0</v>
      </c>
      <c r="F330" s="21">
        <f t="shared" si="2"/>
        <v>0</v>
      </c>
      <c r="G330" s="23"/>
      <c r="H330" s="2"/>
      <c r="I330" s="2"/>
      <c r="J330" s="2"/>
      <c r="K330" s="2"/>
    </row>
    <row r="331" ht="15.75" customHeight="1">
      <c r="A331" s="23"/>
      <c r="B331" s="23"/>
      <c r="C331" s="18" t="s">
        <v>28</v>
      </c>
      <c r="D331" s="19"/>
      <c r="E331" s="20">
        <v>10000.0</v>
      </c>
      <c r="F331" s="21">
        <f t="shared" si="2"/>
        <v>0</v>
      </c>
      <c r="G331" s="23"/>
      <c r="H331" s="2"/>
      <c r="I331" s="2"/>
      <c r="J331" s="2"/>
      <c r="K331" s="2"/>
    </row>
    <row r="332" ht="15.75" customHeight="1">
      <c r="A332" s="23"/>
      <c r="B332" s="23"/>
      <c r="C332" s="18" t="s">
        <v>29</v>
      </c>
      <c r="D332" s="19"/>
      <c r="E332" s="20">
        <v>1000.0</v>
      </c>
      <c r="F332" s="21">
        <f t="shared" si="2"/>
        <v>0</v>
      </c>
      <c r="G332" s="23"/>
      <c r="H332" s="2"/>
      <c r="I332" s="2"/>
      <c r="J332" s="2"/>
      <c r="K332" s="2"/>
    </row>
    <row r="333" ht="15.75" customHeight="1">
      <c r="A333" s="23"/>
      <c r="B333" s="23"/>
      <c r="C333" s="18" t="s">
        <v>30</v>
      </c>
      <c r="D333" s="19"/>
      <c r="E333" s="20">
        <v>500.0</v>
      </c>
      <c r="F333" s="21">
        <f t="shared" si="2"/>
        <v>0</v>
      </c>
      <c r="G333" s="23"/>
      <c r="H333" s="2"/>
      <c r="I333" s="2"/>
      <c r="J333" s="2"/>
      <c r="K333" s="2"/>
    </row>
    <row r="334" ht="15.75" customHeight="1">
      <c r="A334" s="23"/>
      <c r="B334" s="23"/>
      <c r="C334" s="18" t="s">
        <v>31</v>
      </c>
      <c r="D334" s="19"/>
      <c r="E334" s="20">
        <v>200.0</v>
      </c>
      <c r="F334" s="21">
        <f t="shared" si="2"/>
        <v>0</v>
      </c>
      <c r="G334" s="23"/>
      <c r="H334" s="2"/>
      <c r="I334" s="2"/>
      <c r="J334" s="2"/>
      <c r="K334" s="2"/>
    </row>
    <row r="335" ht="15.75" customHeight="1">
      <c r="A335" s="23"/>
      <c r="B335" s="23"/>
      <c r="C335" s="18" t="s">
        <v>32</v>
      </c>
      <c r="D335" s="19"/>
      <c r="E335" s="20">
        <v>1000.0</v>
      </c>
      <c r="F335" s="21">
        <f t="shared" si="2"/>
        <v>0</v>
      </c>
      <c r="G335" s="23"/>
      <c r="H335" s="2"/>
      <c r="I335" s="2"/>
      <c r="J335" s="2"/>
      <c r="K335" s="2"/>
    </row>
    <row r="336" ht="15.75" customHeight="1">
      <c r="A336" s="23"/>
      <c r="B336" s="23"/>
      <c r="C336" s="18" t="s">
        <v>33</v>
      </c>
      <c r="D336" s="19"/>
      <c r="E336" s="20">
        <v>300.0</v>
      </c>
      <c r="F336" s="21">
        <f t="shared" si="2"/>
        <v>0</v>
      </c>
      <c r="G336" s="23"/>
      <c r="H336" s="2"/>
      <c r="I336" s="2"/>
      <c r="J336" s="2"/>
      <c r="K336" s="2"/>
    </row>
    <row r="337" ht="15.75" customHeight="1">
      <c r="A337" s="23"/>
      <c r="B337" s="23"/>
      <c r="C337" s="18" t="s">
        <v>34</v>
      </c>
      <c r="D337" s="19"/>
      <c r="E337" s="20">
        <v>100.0</v>
      </c>
      <c r="F337" s="21">
        <f t="shared" si="2"/>
        <v>0</v>
      </c>
      <c r="G337" s="23"/>
      <c r="H337" s="2"/>
      <c r="I337" s="2"/>
      <c r="J337" s="2"/>
      <c r="K337" s="2"/>
    </row>
    <row r="338" ht="15.75" customHeight="1">
      <c r="A338" s="23"/>
      <c r="B338" s="23"/>
      <c r="C338" s="18" t="s">
        <v>35</v>
      </c>
      <c r="D338" s="19"/>
      <c r="E338" s="20">
        <v>500.0</v>
      </c>
      <c r="F338" s="21">
        <f t="shared" si="2"/>
        <v>0</v>
      </c>
      <c r="G338" s="23"/>
      <c r="H338" s="2"/>
      <c r="I338" s="2"/>
      <c r="J338" s="2"/>
      <c r="K338" s="2"/>
    </row>
    <row r="339" ht="15.75" customHeight="1">
      <c r="A339" s="23"/>
      <c r="B339" s="23"/>
      <c r="C339" s="18" t="s">
        <v>36</v>
      </c>
      <c r="D339" s="19"/>
      <c r="E339" s="20">
        <v>1500.0</v>
      </c>
      <c r="F339" s="21">
        <f t="shared" si="2"/>
        <v>0</v>
      </c>
      <c r="G339" s="23"/>
      <c r="H339" s="2"/>
      <c r="I339" s="2"/>
      <c r="J339" s="2"/>
      <c r="K339" s="2"/>
    </row>
    <row r="340" ht="15.75" customHeight="1">
      <c r="A340" s="23"/>
      <c r="B340" s="23"/>
      <c r="C340" s="18" t="s">
        <v>37</v>
      </c>
      <c r="D340" s="19"/>
      <c r="E340" s="20">
        <v>4000.0</v>
      </c>
      <c r="F340" s="21">
        <f t="shared" si="2"/>
        <v>0</v>
      </c>
      <c r="G340" s="23"/>
      <c r="H340" s="2"/>
      <c r="I340" s="2"/>
      <c r="J340" s="2"/>
      <c r="K340" s="2"/>
    </row>
    <row r="341" ht="15.75" customHeight="1">
      <c r="A341" s="25"/>
      <c r="B341" s="25"/>
      <c r="C341" s="18" t="s">
        <v>38</v>
      </c>
      <c r="D341" s="19"/>
      <c r="E341" s="20">
        <v>0.0</v>
      </c>
      <c r="F341" s="21">
        <f t="shared" si="2"/>
        <v>0</v>
      </c>
      <c r="G341" s="25"/>
      <c r="H341" s="2"/>
      <c r="I341" s="2"/>
      <c r="J341" s="2"/>
      <c r="K341" s="2"/>
    </row>
    <row r="342" ht="15.75" customHeight="1">
      <c r="A342" s="16">
        <v>13.0</v>
      </c>
      <c r="B342" s="32" t="s">
        <v>54</v>
      </c>
      <c r="C342" s="18" t="s">
        <v>11</v>
      </c>
      <c r="D342" s="19"/>
      <c r="E342" s="20">
        <v>5000.0</v>
      </c>
      <c r="F342" s="21">
        <f t="shared" si="2"/>
        <v>0</v>
      </c>
      <c r="G342" s="22">
        <f>SUM(F342:F369)</f>
        <v>11700</v>
      </c>
      <c r="H342" s="2"/>
      <c r="I342" s="2"/>
      <c r="J342" s="2"/>
      <c r="K342" s="2"/>
    </row>
    <row r="343" ht="15.75" customHeight="1">
      <c r="A343" s="23"/>
      <c r="B343" s="23"/>
      <c r="C343" s="18" t="s">
        <v>12</v>
      </c>
      <c r="D343" s="19"/>
      <c r="E343" s="20">
        <v>3000.0</v>
      </c>
      <c r="F343" s="21">
        <f t="shared" si="2"/>
        <v>0</v>
      </c>
      <c r="G343" s="23"/>
      <c r="H343" s="2"/>
      <c r="I343" s="2"/>
      <c r="J343" s="2"/>
      <c r="K343" s="2"/>
    </row>
    <row r="344" ht="15.75" customHeight="1">
      <c r="A344" s="23"/>
      <c r="B344" s="23"/>
      <c r="C344" s="18" t="s">
        <v>13</v>
      </c>
      <c r="D344" s="19"/>
      <c r="E344" s="20">
        <v>1000.0</v>
      </c>
      <c r="F344" s="21">
        <f t="shared" si="2"/>
        <v>0</v>
      </c>
      <c r="G344" s="23"/>
      <c r="H344" s="2"/>
      <c r="I344" s="2"/>
      <c r="J344" s="2"/>
      <c r="K344" s="2"/>
    </row>
    <row r="345" ht="15.75" customHeight="1">
      <c r="A345" s="23"/>
      <c r="B345" s="23"/>
      <c r="C345" s="18" t="s">
        <v>14</v>
      </c>
      <c r="D345" s="19"/>
      <c r="E345" s="20">
        <v>2800.0</v>
      </c>
      <c r="F345" s="21">
        <f t="shared" si="2"/>
        <v>0</v>
      </c>
      <c r="G345" s="23"/>
      <c r="H345" s="2"/>
      <c r="I345" s="2"/>
      <c r="J345" s="2"/>
      <c r="K345" s="2"/>
    </row>
    <row r="346" ht="15.75" customHeight="1">
      <c r="A346" s="23"/>
      <c r="B346" s="23"/>
      <c r="C346" s="18" t="s">
        <v>15</v>
      </c>
      <c r="D346" s="19"/>
      <c r="E346" s="20">
        <v>3500.0</v>
      </c>
      <c r="F346" s="21">
        <f t="shared" si="2"/>
        <v>0</v>
      </c>
      <c r="G346" s="23"/>
      <c r="H346" s="2"/>
      <c r="I346" s="2"/>
      <c r="J346" s="2"/>
      <c r="K346" s="2"/>
    </row>
    <row r="347" ht="15.75" customHeight="1">
      <c r="A347" s="23"/>
      <c r="B347" s="23"/>
      <c r="C347" s="18" t="s">
        <v>16</v>
      </c>
      <c r="D347" s="19"/>
      <c r="E347" s="20">
        <v>1000.0</v>
      </c>
      <c r="F347" s="21">
        <f t="shared" si="2"/>
        <v>0</v>
      </c>
      <c r="G347" s="23"/>
      <c r="H347" s="2"/>
      <c r="I347" s="2"/>
      <c r="J347" s="2"/>
      <c r="K347" s="2"/>
    </row>
    <row r="348" ht="15.75" customHeight="1">
      <c r="A348" s="23"/>
      <c r="B348" s="23"/>
      <c r="C348" s="18" t="s">
        <v>17</v>
      </c>
      <c r="D348" s="19">
        <v>3.0</v>
      </c>
      <c r="E348" s="20">
        <v>2000.0</v>
      </c>
      <c r="F348" s="21">
        <f t="shared" si="2"/>
        <v>6000</v>
      </c>
      <c r="G348" s="23"/>
      <c r="H348" s="2"/>
      <c r="I348" s="2"/>
      <c r="J348" s="2"/>
      <c r="K348" s="2"/>
    </row>
    <row r="349" ht="15.75" customHeight="1">
      <c r="A349" s="23"/>
      <c r="B349" s="23"/>
      <c r="C349" s="18" t="s">
        <v>18</v>
      </c>
      <c r="D349" s="19">
        <v>2.0</v>
      </c>
      <c r="E349" s="20">
        <v>2000.0</v>
      </c>
      <c r="F349" s="21">
        <f t="shared" si="2"/>
        <v>4000</v>
      </c>
      <c r="G349" s="23"/>
      <c r="H349" s="2"/>
      <c r="I349" s="2"/>
      <c r="J349" s="2"/>
      <c r="K349" s="2"/>
    </row>
    <row r="350" ht="15.75" customHeight="1">
      <c r="A350" s="23"/>
      <c r="B350" s="23"/>
      <c r="C350" s="18" t="s">
        <v>19</v>
      </c>
      <c r="D350" s="19"/>
      <c r="E350" s="20">
        <v>1300.0</v>
      </c>
      <c r="F350" s="21">
        <f t="shared" si="2"/>
        <v>0</v>
      </c>
      <c r="G350" s="23"/>
      <c r="H350" s="2"/>
      <c r="I350" s="2"/>
      <c r="J350" s="2"/>
      <c r="K350" s="2"/>
    </row>
    <row r="351" ht="15.75" customHeight="1">
      <c r="A351" s="23"/>
      <c r="B351" s="23"/>
      <c r="C351" s="18" t="s">
        <v>20</v>
      </c>
      <c r="D351" s="19"/>
      <c r="E351" s="20">
        <v>1000.0</v>
      </c>
      <c r="F351" s="21">
        <f t="shared" si="2"/>
        <v>0</v>
      </c>
      <c r="G351" s="23"/>
      <c r="H351" s="2"/>
      <c r="I351" s="2"/>
      <c r="J351" s="2"/>
      <c r="K351" s="2"/>
    </row>
    <row r="352" ht="15.75" customHeight="1">
      <c r="A352" s="23"/>
      <c r="B352" s="23"/>
      <c r="C352" s="18" t="s">
        <v>21</v>
      </c>
      <c r="D352" s="19"/>
      <c r="E352" s="20">
        <v>400.0</v>
      </c>
      <c r="F352" s="21">
        <f t="shared" si="2"/>
        <v>0</v>
      </c>
      <c r="G352" s="23"/>
      <c r="H352" s="2"/>
      <c r="I352" s="2"/>
      <c r="J352" s="2"/>
      <c r="K352" s="2"/>
    </row>
    <row r="353" ht="15.75" customHeight="1">
      <c r="A353" s="23"/>
      <c r="B353" s="23"/>
      <c r="C353" s="18" t="s">
        <v>22</v>
      </c>
      <c r="D353" s="19"/>
      <c r="E353" s="20">
        <v>7500.0</v>
      </c>
      <c r="F353" s="21">
        <f t="shared" si="2"/>
        <v>0</v>
      </c>
      <c r="G353" s="23"/>
      <c r="H353" s="2"/>
      <c r="I353" s="2"/>
      <c r="J353" s="2"/>
      <c r="K353" s="2"/>
    </row>
    <row r="354" ht="15.75" customHeight="1">
      <c r="A354" s="23"/>
      <c r="B354" s="23"/>
      <c r="C354" s="18" t="s">
        <v>23</v>
      </c>
      <c r="D354" s="19"/>
      <c r="E354" s="20">
        <v>2000.0</v>
      </c>
      <c r="F354" s="21">
        <f t="shared" si="2"/>
        <v>0</v>
      </c>
      <c r="G354" s="23"/>
      <c r="H354" s="2"/>
      <c r="I354" s="2"/>
      <c r="J354" s="2"/>
      <c r="K354" s="2"/>
    </row>
    <row r="355" ht="15.75" customHeight="1">
      <c r="A355" s="23"/>
      <c r="B355" s="23"/>
      <c r="C355" s="18" t="s">
        <v>24</v>
      </c>
      <c r="D355" s="19"/>
      <c r="E355" s="20">
        <v>800.0</v>
      </c>
      <c r="F355" s="21">
        <f t="shared" si="2"/>
        <v>0</v>
      </c>
      <c r="G355" s="23"/>
      <c r="H355" s="2"/>
      <c r="I355" s="2"/>
      <c r="J355" s="2"/>
      <c r="K355" s="2"/>
    </row>
    <row r="356" ht="15.75" customHeight="1">
      <c r="A356" s="23"/>
      <c r="B356" s="23"/>
      <c r="C356" s="18" t="s">
        <v>25</v>
      </c>
      <c r="D356" s="19"/>
      <c r="E356" s="20">
        <v>5000.0</v>
      </c>
      <c r="F356" s="21">
        <f t="shared" si="2"/>
        <v>0</v>
      </c>
      <c r="G356" s="23"/>
      <c r="H356" s="2"/>
      <c r="I356" s="2"/>
      <c r="J356" s="2"/>
      <c r="K356" s="2"/>
    </row>
    <row r="357" ht="15.75" customHeight="1">
      <c r="A357" s="23"/>
      <c r="B357" s="23"/>
      <c r="C357" s="18" t="s">
        <v>26</v>
      </c>
      <c r="D357" s="19"/>
      <c r="E357" s="20">
        <v>2700.0</v>
      </c>
      <c r="F357" s="21">
        <f t="shared" si="2"/>
        <v>0</v>
      </c>
      <c r="G357" s="23"/>
      <c r="H357" s="2"/>
      <c r="I357" s="2"/>
      <c r="J357" s="2"/>
      <c r="K357" s="2"/>
    </row>
    <row r="358" ht="15.75" customHeight="1">
      <c r="A358" s="23"/>
      <c r="B358" s="23"/>
      <c r="C358" s="18" t="s">
        <v>27</v>
      </c>
      <c r="D358" s="19"/>
      <c r="E358" s="20">
        <v>50000.0</v>
      </c>
      <c r="F358" s="21">
        <f t="shared" si="2"/>
        <v>0</v>
      </c>
      <c r="G358" s="23"/>
      <c r="H358" s="2"/>
      <c r="I358" s="2"/>
      <c r="J358" s="2"/>
      <c r="K358" s="2"/>
    </row>
    <row r="359" ht="15.75" customHeight="1">
      <c r="A359" s="23"/>
      <c r="B359" s="23"/>
      <c r="C359" s="18" t="s">
        <v>28</v>
      </c>
      <c r="D359" s="19"/>
      <c r="E359" s="20">
        <v>10000.0</v>
      </c>
      <c r="F359" s="21">
        <f t="shared" si="2"/>
        <v>0</v>
      </c>
      <c r="G359" s="23"/>
      <c r="H359" s="2"/>
      <c r="I359" s="2"/>
      <c r="J359" s="2"/>
      <c r="K359" s="2"/>
    </row>
    <row r="360" ht="15.75" customHeight="1">
      <c r="A360" s="23"/>
      <c r="B360" s="23"/>
      <c r="C360" s="18" t="s">
        <v>29</v>
      </c>
      <c r="D360" s="19"/>
      <c r="E360" s="20">
        <v>1000.0</v>
      </c>
      <c r="F360" s="21">
        <f t="shared" si="2"/>
        <v>0</v>
      </c>
      <c r="G360" s="23"/>
      <c r="H360" s="2"/>
      <c r="I360" s="2"/>
      <c r="J360" s="2"/>
      <c r="K360" s="2"/>
    </row>
    <row r="361" ht="15.75" customHeight="1">
      <c r="A361" s="23"/>
      <c r="B361" s="23"/>
      <c r="C361" s="18" t="s">
        <v>30</v>
      </c>
      <c r="D361" s="19"/>
      <c r="E361" s="20">
        <v>500.0</v>
      </c>
      <c r="F361" s="21">
        <f t="shared" si="2"/>
        <v>0</v>
      </c>
      <c r="G361" s="23"/>
      <c r="H361" s="2"/>
      <c r="I361" s="2"/>
      <c r="J361" s="2"/>
      <c r="K361" s="2"/>
    </row>
    <row r="362" ht="15.75" customHeight="1">
      <c r="A362" s="23"/>
      <c r="B362" s="23"/>
      <c r="C362" s="18" t="s">
        <v>31</v>
      </c>
      <c r="D362" s="19"/>
      <c r="E362" s="20">
        <v>200.0</v>
      </c>
      <c r="F362" s="21">
        <f t="shared" si="2"/>
        <v>0</v>
      </c>
      <c r="G362" s="23"/>
      <c r="H362" s="2"/>
      <c r="I362" s="2"/>
      <c r="J362" s="2"/>
      <c r="K362" s="2"/>
    </row>
    <row r="363" ht="15.75" customHeight="1">
      <c r="A363" s="23"/>
      <c r="B363" s="23"/>
      <c r="C363" s="18" t="s">
        <v>32</v>
      </c>
      <c r="D363" s="19"/>
      <c r="E363" s="20">
        <v>1000.0</v>
      </c>
      <c r="F363" s="21">
        <f t="shared" si="2"/>
        <v>0</v>
      </c>
      <c r="G363" s="23"/>
      <c r="H363" s="2"/>
      <c r="I363" s="2"/>
      <c r="J363" s="2"/>
      <c r="K363" s="2"/>
    </row>
    <row r="364" ht="15.75" customHeight="1">
      <c r="A364" s="23"/>
      <c r="B364" s="23"/>
      <c r="C364" s="18" t="s">
        <v>33</v>
      </c>
      <c r="D364" s="19">
        <v>5.0</v>
      </c>
      <c r="E364" s="20">
        <v>300.0</v>
      </c>
      <c r="F364" s="21">
        <f t="shared" si="2"/>
        <v>1500</v>
      </c>
      <c r="G364" s="23"/>
      <c r="H364" s="2"/>
      <c r="I364" s="2"/>
      <c r="J364" s="2"/>
      <c r="K364" s="2"/>
    </row>
    <row r="365" ht="15.75" customHeight="1">
      <c r="A365" s="23"/>
      <c r="B365" s="23"/>
      <c r="C365" s="18" t="s">
        <v>34</v>
      </c>
      <c r="D365" s="19">
        <v>2.0</v>
      </c>
      <c r="E365" s="20">
        <v>100.0</v>
      </c>
      <c r="F365" s="21">
        <f t="shared" si="2"/>
        <v>200</v>
      </c>
      <c r="G365" s="23"/>
      <c r="H365" s="2"/>
      <c r="I365" s="2"/>
      <c r="J365" s="2"/>
      <c r="K365" s="2"/>
    </row>
    <row r="366" ht="15.75" customHeight="1">
      <c r="A366" s="23"/>
      <c r="B366" s="23"/>
      <c r="C366" s="18" t="s">
        <v>35</v>
      </c>
      <c r="D366" s="19"/>
      <c r="E366" s="20">
        <v>500.0</v>
      </c>
      <c r="F366" s="21">
        <f t="shared" si="2"/>
        <v>0</v>
      </c>
      <c r="G366" s="23"/>
      <c r="H366" s="2"/>
      <c r="I366" s="2"/>
      <c r="J366" s="2"/>
      <c r="K366" s="2"/>
    </row>
    <row r="367" ht="15.75" customHeight="1">
      <c r="A367" s="23"/>
      <c r="B367" s="23"/>
      <c r="C367" s="18" t="s">
        <v>36</v>
      </c>
      <c r="D367" s="19"/>
      <c r="E367" s="20">
        <v>1500.0</v>
      </c>
      <c r="F367" s="21">
        <f t="shared" si="2"/>
        <v>0</v>
      </c>
      <c r="G367" s="23"/>
      <c r="H367" s="2"/>
      <c r="I367" s="2"/>
      <c r="J367" s="2"/>
      <c r="K367" s="2"/>
    </row>
    <row r="368" ht="15.75" customHeight="1">
      <c r="A368" s="23"/>
      <c r="B368" s="23"/>
      <c r="C368" s="18" t="s">
        <v>37</v>
      </c>
      <c r="D368" s="19"/>
      <c r="E368" s="20">
        <v>4000.0</v>
      </c>
      <c r="F368" s="21">
        <f t="shared" si="2"/>
        <v>0</v>
      </c>
      <c r="G368" s="23"/>
      <c r="H368" s="2"/>
      <c r="I368" s="2"/>
      <c r="J368" s="2"/>
      <c r="K368" s="2"/>
    </row>
    <row r="369" ht="15.75" customHeight="1">
      <c r="A369" s="25"/>
      <c r="B369" s="25"/>
      <c r="C369" s="18" t="s">
        <v>38</v>
      </c>
      <c r="D369" s="19"/>
      <c r="E369" s="20">
        <v>0.0</v>
      </c>
      <c r="F369" s="21">
        <f t="shared" si="2"/>
        <v>0</v>
      </c>
      <c r="G369" s="25"/>
      <c r="H369" s="2"/>
      <c r="I369" s="2"/>
      <c r="J369" s="2"/>
      <c r="K369" s="2"/>
    </row>
    <row r="370" ht="15.75" customHeight="1">
      <c r="A370" s="33" t="s">
        <v>55</v>
      </c>
      <c r="B370" s="4"/>
      <c r="C370" s="4"/>
      <c r="D370" s="4"/>
      <c r="E370" s="4"/>
      <c r="F370" s="5"/>
      <c r="G370" s="31">
        <f>SUM(G5:G369)</f>
        <v>253150</v>
      </c>
      <c r="H370" s="2"/>
      <c r="I370" s="2"/>
      <c r="J370" s="2"/>
      <c r="K370" s="2"/>
    </row>
    <row r="371" ht="15.75" customHeight="1">
      <c r="A371" s="33" t="s">
        <v>56</v>
      </c>
      <c r="B371" s="4"/>
      <c r="C371" s="4"/>
      <c r="D371" s="4"/>
      <c r="E371" s="4"/>
      <c r="F371" s="5"/>
      <c r="G371" s="31">
        <f>G370*5%</f>
        <v>12657.5</v>
      </c>
      <c r="H371" s="2"/>
      <c r="I371" s="2"/>
      <c r="J371" s="2"/>
      <c r="K371" s="2"/>
    </row>
    <row r="372" ht="15.7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</row>
    <row r="373" ht="15.7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</row>
    <row r="374" ht="15.7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</row>
    <row r="375" ht="15.7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</row>
    <row r="376" ht="15.7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</row>
    <row r="377" ht="15.7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</row>
    <row r="378" ht="15.7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</row>
    <row r="379" ht="15.7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>
      <c r="A411" s="1"/>
      <c r="B411" s="1"/>
    </row>
    <row r="412" ht="15.75" customHeight="1">
      <c r="A412" s="1"/>
      <c r="B412" s="1"/>
    </row>
    <row r="413" ht="15.75" customHeight="1">
      <c r="A413" s="1"/>
      <c r="B413" s="1"/>
    </row>
    <row r="414" ht="15.75" customHeight="1">
      <c r="A414" s="1"/>
      <c r="B414" s="1"/>
    </row>
    <row r="415" ht="15.75" customHeight="1">
      <c r="A415" s="1"/>
      <c r="B415" s="1"/>
    </row>
    <row r="416" ht="15.75" customHeight="1">
      <c r="A416" s="1"/>
      <c r="B416" s="1"/>
    </row>
    <row r="417" ht="15.75" customHeight="1">
      <c r="A417" s="1"/>
      <c r="B417" s="1"/>
    </row>
    <row r="418" ht="15.75" customHeight="1">
      <c r="A418" s="1"/>
      <c r="B418" s="1"/>
    </row>
    <row r="419" ht="15.75" customHeight="1">
      <c r="A419" s="1"/>
      <c r="B419" s="1"/>
    </row>
    <row r="420" ht="15.75" customHeight="1">
      <c r="A420" s="1"/>
      <c r="B420" s="1"/>
    </row>
    <row r="421" ht="15.75" customHeight="1">
      <c r="A421" s="1"/>
      <c r="B421" s="1"/>
    </row>
    <row r="422" ht="15.75" customHeight="1">
      <c r="A422" s="1"/>
      <c r="B422" s="1"/>
    </row>
    <row r="423" ht="15.75" customHeight="1">
      <c r="A423" s="1"/>
      <c r="B423" s="1"/>
    </row>
    <row r="424" ht="15.75" customHeight="1">
      <c r="A424" s="1"/>
      <c r="B424" s="1"/>
    </row>
    <row r="425" ht="15.75" customHeight="1">
      <c r="A425" s="1"/>
      <c r="B425" s="1"/>
    </row>
    <row r="426" ht="15.75" customHeight="1">
      <c r="A426" s="1"/>
      <c r="B426" s="1"/>
    </row>
    <row r="427" ht="15.75" customHeight="1">
      <c r="A427" s="1"/>
      <c r="B427" s="1"/>
    </row>
    <row r="428" ht="15.75" customHeight="1">
      <c r="A428" s="1"/>
      <c r="B428" s="1"/>
    </row>
    <row r="429" ht="15.75" customHeight="1">
      <c r="A429" s="1"/>
      <c r="B429" s="1"/>
    </row>
    <row r="430" ht="15.75" customHeight="1">
      <c r="A430" s="1"/>
      <c r="B430" s="1"/>
    </row>
    <row r="431" ht="15.75" customHeight="1">
      <c r="A431" s="1"/>
      <c r="B431" s="1"/>
    </row>
    <row r="432" ht="15.75" customHeight="1">
      <c r="A432" s="1"/>
      <c r="B432" s="1"/>
    </row>
    <row r="433" ht="15.75" customHeight="1">
      <c r="A433" s="1"/>
      <c r="B433" s="1"/>
    </row>
    <row r="434" ht="15.75" customHeight="1">
      <c r="A434" s="1"/>
      <c r="B434" s="1"/>
    </row>
    <row r="435" ht="15.75" customHeight="1">
      <c r="A435" s="1"/>
      <c r="B435" s="1"/>
    </row>
    <row r="436" ht="15.75" customHeight="1">
      <c r="A436" s="1"/>
      <c r="B436" s="1"/>
    </row>
    <row r="437" ht="15.75" customHeight="1">
      <c r="A437" s="1"/>
      <c r="B437" s="1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3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30:A257"/>
    <mergeCell ref="A258:A285"/>
    <mergeCell ref="A286:A313"/>
    <mergeCell ref="A314:A341"/>
    <mergeCell ref="A342:A369"/>
    <mergeCell ref="B258:B285"/>
    <mergeCell ref="B286:B313"/>
    <mergeCell ref="B314:B341"/>
    <mergeCell ref="B342:B369"/>
    <mergeCell ref="A370:F370"/>
    <mergeCell ref="A371:F371"/>
    <mergeCell ref="A145:A172"/>
    <mergeCell ref="B145:B172"/>
    <mergeCell ref="A173:A200"/>
    <mergeCell ref="B173:B200"/>
    <mergeCell ref="A201:A228"/>
    <mergeCell ref="B201:B228"/>
    <mergeCell ref="B230:B257"/>
    <mergeCell ref="G258:G285"/>
    <mergeCell ref="G286:G313"/>
    <mergeCell ref="G314:G341"/>
    <mergeCell ref="G342:G369"/>
    <mergeCell ref="G61:G88"/>
    <mergeCell ref="G89:G116"/>
    <mergeCell ref="G117:G144"/>
    <mergeCell ref="G145:G172"/>
    <mergeCell ref="G173:G200"/>
    <mergeCell ref="G201:G228"/>
    <mergeCell ref="G230:G25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  <col customWidth="1" min="14" max="14" width="24.75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57</v>
      </c>
      <c r="C5" s="18" t="s">
        <v>11</v>
      </c>
      <c r="D5" s="19"/>
      <c r="E5" s="20">
        <v>5000.0</v>
      </c>
      <c r="F5" s="21">
        <f t="shared" ref="F5:F200" si="1">D5*E5</f>
        <v>0</v>
      </c>
      <c r="G5" s="22">
        <f>SUM(F5:F32)</f>
        <v>12100</v>
      </c>
      <c r="H5" s="2"/>
      <c r="I5" s="18" t="s">
        <v>11</v>
      </c>
      <c r="J5" s="15">
        <f>SUMIF(C5:C257,"Gelas bersih",D5:D257)</f>
        <v>5.5</v>
      </c>
      <c r="K5" s="2"/>
    </row>
    <row r="6" ht="15.75" customHeight="1">
      <c r="A6" s="23"/>
      <c r="B6" s="23"/>
      <c r="C6" s="18" t="s">
        <v>12</v>
      </c>
      <c r="D6" s="19"/>
      <c r="E6" s="20">
        <v>3000.0</v>
      </c>
      <c r="F6" s="21">
        <f t="shared" si="1"/>
        <v>0</v>
      </c>
      <c r="G6" s="23"/>
      <c r="H6" s="2"/>
      <c r="I6" s="18" t="s">
        <v>12</v>
      </c>
      <c r="J6" s="15">
        <f>SUMIF(C6:C258,"Botol bersih",D6:D258)</f>
        <v>14</v>
      </c>
      <c r="K6" s="2"/>
    </row>
    <row r="7" ht="15.75" customHeight="1">
      <c r="A7" s="23"/>
      <c r="B7" s="23"/>
      <c r="C7" s="18" t="s">
        <v>13</v>
      </c>
      <c r="D7" s="19"/>
      <c r="E7" s="20">
        <v>1000.0</v>
      </c>
      <c r="F7" s="21">
        <f t="shared" si="1"/>
        <v>0</v>
      </c>
      <c r="G7" s="23"/>
      <c r="H7" s="2"/>
      <c r="I7" s="18" t="s">
        <v>13</v>
      </c>
      <c r="J7" s="15">
        <f>SUMIF(C7:C259,"Botol Warna",D7:D259)</f>
        <v>0</v>
      </c>
      <c r="K7" s="2"/>
    </row>
    <row r="8" ht="15.75" customHeight="1">
      <c r="A8" s="23"/>
      <c r="B8" s="23"/>
      <c r="C8" s="18" t="s">
        <v>14</v>
      </c>
      <c r="D8" s="19"/>
      <c r="E8" s="20">
        <v>2800.0</v>
      </c>
      <c r="F8" s="21">
        <f t="shared" si="1"/>
        <v>0</v>
      </c>
      <c r="G8" s="23"/>
      <c r="H8" s="2"/>
      <c r="I8" s="18" t="s">
        <v>14</v>
      </c>
      <c r="J8" s="15">
        <f>SUMIF(C8:C260,"Tutup botol",D8:D260)</f>
        <v>2</v>
      </c>
      <c r="K8" s="2"/>
    </row>
    <row r="9" ht="15.75" customHeight="1">
      <c r="A9" s="23"/>
      <c r="B9" s="23"/>
      <c r="C9" s="18" t="s">
        <v>15</v>
      </c>
      <c r="D9" s="19"/>
      <c r="E9" s="20">
        <v>3500.0</v>
      </c>
      <c r="F9" s="21">
        <f t="shared" si="1"/>
        <v>0</v>
      </c>
      <c r="G9" s="23"/>
      <c r="H9" s="2"/>
      <c r="I9" s="18" t="s">
        <v>15</v>
      </c>
      <c r="J9" s="15">
        <f>SUMIF(C9:C261,"Tutup galon",D9:D261)</f>
        <v>4.5</v>
      </c>
      <c r="K9" s="2"/>
    </row>
    <row r="10" ht="15.75" customHeight="1">
      <c r="A10" s="23"/>
      <c r="B10" s="23"/>
      <c r="C10" s="18" t="s">
        <v>16</v>
      </c>
      <c r="D10" s="19"/>
      <c r="E10" s="20">
        <v>1000.0</v>
      </c>
      <c r="F10" s="21">
        <f t="shared" si="1"/>
        <v>0</v>
      </c>
      <c r="G10" s="23"/>
      <c r="H10" s="2"/>
      <c r="I10" s="18" t="s">
        <v>16</v>
      </c>
      <c r="J10" s="15">
        <f>SUMIF(C10:C262,"Hitam",D10:D262)</f>
        <v>29.5</v>
      </c>
      <c r="K10" s="2"/>
    </row>
    <row r="11" ht="15.75" customHeight="1">
      <c r="A11" s="23"/>
      <c r="B11" s="23"/>
      <c r="C11" s="18" t="s">
        <v>17</v>
      </c>
      <c r="D11" s="19">
        <v>5.0</v>
      </c>
      <c r="E11" s="20">
        <v>2000.0</v>
      </c>
      <c r="F11" s="21">
        <f t="shared" si="1"/>
        <v>10000</v>
      </c>
      <c r="G11" s="23"/>
      <c r="H11" s="2"/>
      <c r="I11" s="18" t="s">
        <v>17</v>
      </c>
      <c r="J11" s="15">
        <f>SUMIF(C11:C263,"Plastik Campur",D11:D263)</f>
        <v>8</v>
      </c>
      <c r="K11" s="2"/>
    </row>
    <row r="12" ht="15.75" customHeight="1">
      <c r="A12" s="23"/>
      <c r="B12" s="23"/>
      <c r="C12" s="18" t="s">
        <v>18</v>
      </c>
      <c r="D12" s="19"/>
      <c r="E12" s="20">
        <v>2000.0</v>
      </c>
      <c r="F12" s="21">
        <f t="shared" si="1"/>
        <v>0</v>
      </c>
      <c r="G12" s="23"/>
      <c r="H12" s="2"/>
      <c r="I12" s="18" t="s">
        <v>18</v>
      </c>
      <c r="J12" s="15">
        <f>SUMIF(C12:C264,"Kardus",D12:D264)</f>
        <v>8.5</v>
      </c>
      <c r="K12" s="2"/>
    </row>
    <row r="13" ht="15.75" customHeight="1">
      <c r="A13" s="23"/>
      <c r="B13" s="23"/>
      <c r="C13" s="18" t="s">
        <v>19</v>
      </c>
      <c r="D13" s="19"/>
      <c r="E13" s="20">
        <v>1300.0</v>
      </c>
      <c r="F13" s="21">
        <f t="shared" si="1"/>
        <v>0</v>
      </c>
      <c r="G13" s="23"/>
      <c r="H13" s="2"/>
      <c r="I13" s="18" t="s">
        <v>19</v>
      </c>
      <c r="J13" s="15">
        <f>SUMIF(C13:C265,"Kertas Putihan/ HVS",D13:D265)</f>
        <v>0</v>
      </c>
      <c r="K13" s="2"/>
    </row>
    <row r="14" ht="15.75" customHeight="1">
      <c r="A14" s="23"/>
      <c r="B14" s="23"/>
      <c r="C14" s="18" t="s">
        <v>20</v>
      </c>
      <c r="D14" s="19"/>
      <c r="E14" s="20">
        <v>1000.0</v>
      </c>
      <c r="F14" s="21">
        <f t="shared" si="1"/>
        <v>0</v>
      </c>
      <c r="G14" s="23"/>
      <c r="H14" s="2"/>
      <c r="I14" s="18" t="s">
        <v>20</v>
      </c>
      <c r="J14" s="15">
        <f>SUMIF(C14:C266,"Koran/Buku",D14:D266)</f>
        <v>11</v>
      </c>
      <c r="K14" s="2"/>
    </row>
    <row r="15" ht="15.75" customHeight="1">
      <c r="A15" s="23"/>
      <c r="B15" s="23"/>
      <c r="C15" s="18" t="s">
        <v>21</v>
      </c>
      <c r="D15" s="19">
        <v>1.0</v>
      </c>
      <c r="E15" s="20">
        <v>400.0</v>
      </c>
      <c r="F15" s="21">
        <f t="shared" si="1"/>
        <v>400</v>
      </c>
      <c r="G15" s="23"/>
      <c r="H15" s="2"/>
      <c r="I15" s="18" t="s">
        <v>21</v>
      </c>
      <c r="J15" s="15">
        <f>SUMIF(C15:C267,"Duplex",D15:D267)</f>
        <v>18</v>
      </c>
      <c r="K15" s="2"/>
    </row>
    <row r="16" ht="15.75" customHeight="1">
      <c r="A16" s="23"/>
      <c r="B16" s="23"/>
      <c r="C16" s="18" t="s">
        <v>22</v>
      </c>
      <c r="D16" s="19"/>
      <c r="E16" s="20">
        <v>7500.0</v>
      </c>
      <c r="F16" s="21">
        <f t="shared" si="1"/>
        <v>0</v>
      </c>
      <c r="G16" s="23"/>
      <c r="H16" s="2"/>
      <c r="I16" s="18" t="s">
        <v>22</v>
      </c>
      <c r="J16" s="15">
        <f>SUMIF(C16:C268,"Alumunium",D16:D268)</f>
        <v>0</v>
      </c>
      <c r="K16" s="2"/>
    </row>
    <row r="17" ht="15.75" customHeight="1">
      <c r="A17" s="23"/>
      <c r="B17" s="23"/>
      <c r="C17" s="18" t="s">
        <v>23</v>
      </c>
      <c r="D17" s="19"/>
      <c r="E17" s="20">
        <v>2000.0</v>
      </c>
      <c r="F17" s="21">
        <f t="shared" si="1"/>
        <v>0</v>
      </c>
      <c r="G17" s="23"/>
      <c r="H17" s="2"/>
      <c r="I17" s="18" t="s">
        <v>23</v>
      </c>
      <c r="J17" s="15">
        <f>SUMIF(C17:C269,"Besi",D17:D269)</f>
        <v>14</v>
      </c>
      <c r="K17" s="2"/>
    </row>
    <row r="18" ht="15.75" customHeight="1">
      <c r="A18" s="23"/>
      <c r="B18" s="23"/>
      <c r="C18" s="18" t="s">
        <v>24</v>
      </c>
      <c r="D18" s="19"/>
      <c r="E18" s="20">
        <v>800.0</v>
      </c>
      <c r="F18" s="21">
        <f t="shared" si="1"/>
        <v>0</v>
      </c>
      <c r="G18" s="23"/>
      <c r="H18" s="2"/>
      <c r="I18" s="18" t="s">
        <v>24</v>
      </c>
      <c r="J18" s="15">
        <f>SUMIF(C18:C270,"Kaleng kue/susu",D18:D270)</f>
        <v>11.5</v>
      </c>
      <c r="K18" s="2"/>
    </row>
    <row r="19" ht="15.75" customHeight="1">
      <c r="A19" s="23"/>
      <c r="B19" s="23"/>
      <c r="C19" s="18" t="s">
        <v>25</v>
      </c>
      <c r="D19" s="19"/>
      <c r="E19" s="20">
        <v>5000.0</v>
      </c>
      <c r="F19" s="21">
        <f t="shared" si="1"/>
        <v>0</v>
      </c>
      <c r="G19" s="23"/>
      <c r="H19" s="2"/>
      <c r="I19" s="18" t="s">
        <v>25</v>
      </c>
      <c r="J19" s="15">
        <f>SUMIF(C19:C271,"Kaleng Minuman",D19:D271)</f>
        <v>8</v>
      </c>
      <c r="K19" s="2"/>
    </row>
    <row r="20" ht="15.75" customHeight="1">
      <c r="A20" s="23"/>
      <c r="B20" s="23"/>
      <c r="C20" s="18" t="s">
        <v>26</v>
      </c>
      <c r="D20" s="19"/>
      <c r="E20" s="20">
        <v>2700.0</v>
      </c>
      <c r="F20" s="21">
        <f t="shared" si="1"/>
        <v>0</v>
      </c>
      <c r="G20" s="23"/>
      <c r="H20" s="2"/>
      <c r="I20" s="18" t="s">
        <v>26</v>
      </c>
      <c r="J20" s="15">
        <f>SUMIF(C20:C272,"Stanless",D20:D272)</f>
        <v>0</v>
      </c>
      <c r="K20" s="2"/>
    </row>
    <row r="21" ht="15.75" customHeight="1">
      <c r="A21" s="23"/>
      <c r="B21" s="23"/>
      <c r="C21" s="18" t="s">
        <v>27</v>
      </c>
      <c r="D21" s="19"/>
      <c r="E21" s="20">
        <v>50000.0</v>
      </c>
      <c r="F21" s="21">
        <f t="shared" si="1"/>
        <v>0</v>
      </c>
      <c r="G21" s="23"/>
      <c r="H21" s="2"/>
      <c r="I21" s="18" t="s">
        <v>27</v>
      </c>
      <c r="J21" s="15">
        <f>SUMIF(C21:C273,"Tembaga",D21:D273)</f>
        <v>0</v>
      </c>
      <c r="K21" s="2"/>
    </row>
    <row r="22" ht="15.75" customHeight="1">
      <c r="A22" s="23"/>
      <c r="B22" s="23"/>
      <c r="C22" s="18" t="s">
        <v>28</v>
      </c>
      <c r="D22" s="19"/>
      <c r="E22" s="20">
        <v>10000.0</v>
      </c>
      <c r="F22" s="21">
        <f t="shared" si="1"/>
        <v>0</v>
      </c>
      <c r="G22" s="23"/>
      <c r="H22" s="2"/>
      <c r="I22" s="18" t="s">
        <v>28</v>
      </c>
      <c r="J22" s="15">
        <f>SUMIF(C22:C274,"Aki Motor",D22:D274)</f>
        <v>0</v>
      </c>
      <c r="K22" s="2"/>
    </row>
    <row r="23" ht="15.75" customHeight="1">
      <c r="A23" s="23"/>
      <c r="B23" s="23"/>
      <c r="C23" s="18" t="s">
        <v>29</v>
      </c>
      <c r="D23" s="19"/>
      <c r="E23" s="20">
        <v>1000.0</v>
      </c>
      <c r="F23" s="21">
        <f t="shared" si="1"/>
        <v>0</v>
      </c>
      <c r="G23" s="23"/>
      <c r="H23" s="2"/>
      <c r="I23" s="18" t="s">
        <v>29</v>
      </c>
      <c r="J23" s="15">
        <f>SUMIF(C23:C275,"Paralon",D23:D275)</f>
        <v>2</v>
      </c>
      <c r="K23" s="2"/>
    </row>
    <row r="24" ht="15.75" customHeight="1">
      <c r="A24" s="23"/>
      <c r="B24" s="23"/>
      <c r="C24" s="18" t="s">
        <v>30</v>
      </c>
      <c r="D24" s="19">
        <v>1.0</v>
      </c>
      <c r="E24" s="20">
        <v>500.0</v>
      </c>
      <c r="F24" s="21">
        <f t="shared" si="1"/>
        <v>500</v>
      </c>
      <c r="G24" s="23"/>
      <c r="H24" s="2"/>
      <c r="I24" s="18" t="s">
        <v>30</v>
      </c>
      <c r="J24" s="15">
        <f>SUMIF(C24:C276,"Plastik bening",D24:D276)</f>
        <v>1</v>
      </c>
      <c r="K24" s="2"/>
    </row>
    <row r="25" ht="15.75" customHeight="1">
      <c r="A25" s="23"/>
      <c r="B25" s="23"/>
      <c r="C25" s="18" t="s">
        <v>31</v>
      </c>
      <c r="D25" s="19"/>
      <c r="E25" s="20">
        <v>200.0</v>
      </c>
      <c r="F25" s="21">
        <f t="shared" si="1"/>
        <v>0</v>
      </c>
      <c r="G25" s="23"/>
      <c r="H25" s="2"/>
      <c r="I25" s="18" t="s">
        <v>31</v>
      </c>
      <c r="J25" s="15">
        <f>SUMIF(C25:C277,"Plastik Warna",D25:D277)</f>
        <v>10.5</v>
      </c>
      <c r="K25" s="2"/>
    </row>
    <row r="26" ht="15.75" customHeight="1">
      <c r="A26" s="23"/>
      <c r="B26" s="23"/>
      <c r="C26" s="18" t="s">
        <v>32</v>
      </c>
      <c r="D26" s="19"/>
      <c r="E26" s="20">
        <v>1000.0</v>
      </c>
      <c r="F26" s="21">
        <f t="shared" si="1"/>
        <v>0</v>
      </c>
      <c r="G26" s="23"/>
      <c r="H26" s="2"/>
      <c r="I26" s="18" t="s">
        <v>32</v>
      </c>
      <c r="J26" s="15">
        <f>SUMIF(C26:C278,"Selang",D26:D278)</f>
        <v>0</v>
      </c>
      <c r="K26" s="2"/>
    </row>
    <row r="27" ht="15.75" customHeight="1">
      <c r="A27" s="23"/>
      <c r="B27" s="23"/>
      <c r="C27" s="18" t="s">
        <v>33</v>
      </c>
      <c r="D27" s="19">
        <v>4.0</v>
      </c>
      <c r="E27" s="20">
        <v>300.0</v>
      </c>
      <c r="F27" s="21">
        <f t="shared" si="1"/>
        <v>1200</v>
      </c>
      <c r="G27" s="23"/>
      <c r="H27" s="2"/>
      <c r="I27" s="18" t="s">
        <v>33</v>
      </c>
      <c r="J27" s="15">
        <f>SUMIF(C27:C279,"Beling",D27:D279)</f>
        <v>13</v>
      </c>
      <c r="K27" s="2"/>
    </row>
    <row r="28" ht="15.75" customHeight="1">
      <c r="A28" s="23"/>
      <c r="B28" s="23"/>
      <c r="C28" s="18" t="s">
        <v>34</v>
      </c>
      <c r="D28" s="19"/>
      <c r="E28" s="20">
        <v>100.0</v>
      </c>
      <c r="F28" s="21">
        <f t="shared" si="1"/>
        <v>0</v>
      </c>
      <c r="G28" s="23"/>
      <c r="H28" s="2"/>
      <c r="I28" s="18" t="s">
        <v>34</v>
      </c>
      <c r="J28" s="15">
        <f>SUMIF(C28:C280,"Pecahan",D28:D280)</f>
        <v>26</v>
      </c>
      <c r="K28" s="2"/>
    </row>
    <row r="29" ht="15.75" customHeight="1">
      <c r="A29" s="23"/>
      <c r="B29" s="23"/>
      <c r="C29" s="18" t="s">
        <v>35</v>
      </c>
      <c r="D29" s="19"/>
      <c r="E29" s="20">
        <v>500.0</v>
      </c>
      <c r="F29" s="21">
        <f t="shared" si="1"/>
        <v>0</v>
      </c>
      <c r="G29" s="23"/>
      <c r="H29" s="2"/>
      <c r="I29" s="18" t="s">
        <v>35</v>
      </c>
      <c r="J29" s="15">
        <f>SUMIF(C29:C281,"Sendal/Sepatu",D29:D281)</f>
        <v>0</v>
      </c>
      <c r="K29" s="2"/>
    </row>
    <row r="30" ht="15.75" customHeight="1">
      <c r="A30" s="23"/>
      <c r="B30" s="23"/>
      <c r="C30" s="18" t="s">
        <v>36</v>
      </c>
      <c r="D30" s="19"/>
      <c r="E30" s="24">
        <v>1500.0</v>
      </c>
      <c r="F30" s="21">
        <f t="shared" si="1"/>
        <v>0</v>
      </c>
      <c r="G30" s="23"/>
      <c r="H30" s="2"/>
      <c r="I30" s="18" t="s">
        <v>36</v>
      </c>
      <c r="J30" s="15">
        <f>SUMIF(C30:C282,"Paku",D30:D282)</f>
        <v>0</v>
      </c>
      <c r="K30" s="2"/>
    </row>
    <row r="31" ht="15.75" customHeight="1">
      <c r="A31" s="23"/>
      <c r="B31" s="23"/>
      <c r="C31" s="18" t="s">
        <v>37</v>
      </c>
      <c r="D31" s="19"/>
      <c r="E31" s="20">
        <v>4000.0</v>
      </c>
      <c r="F31" s="21">
        <f t="shared" si="1"/>
        <v>0</v>
      </c>
      <c r="G31" s="23"/>
      <c r="H31" s="2"/>
      <c r="I31" s="18" t="s">
        <v>37</v>
      </c>
      <c r="J31" s="15">
        <f>SUMIF(C31:C283,"Minyak Jelantah",D31:D283)</f>
        <v>0</v>
      </c>
      <c r="K31" s="2"/>
    </row>
    <row r="32" ht="15.75" customHeight="1">
      <c r="A32" s="25"/>
      <c r="B32" s="25"/>
      <c r="C32" s="18" t="s">
        <v>38</v>
      </c>
      <c r="D32" s="19"/>
      <c r="E32" s="20">
        <v>0.0</v>
      </c>
      <c r="F32" s="21">
        <f t="shared" si="1"/>
        <v>0</v>
      </c>
      <c r="G32" s="25"/>
      <c r="H32" s="2"/>
      <c r="I32" s="18" t="s">
        <v>38</v>
      </c>
      <c r="J32" s="15">
        <f>SUMIF(C32:C284,"Lainnya",D32:D284)</f>
        <v>2</v>
      </c>
      <c r="K32" s="2"/>
    </row>
    <row r="33" ht="15.75" customHeight="1">
      <c r="A33" s="16">
        <v>2.0</v>
      </c>
      <c r="B33" s="17" t="s">
        <v>58</v>
      </c>
      <c r="C33" s="18" t="s">
        <v>11</v>
      </c>
      <c r="D33" s="19"/>
      <c r="E33" s="20">
        <v>5000.0</v>
      </c>
      <c r="F33" s="21">
        <f t="shared" si="1"/>
        <v>0</v>
      </c>
      <c r="G33" s="22">
        <f>SUM(F33:F60)</f>
        <v>19000</v>
      </c>
      <c r="H33" s="2"/>
      <c r="I33" s="2"/>
      <c r="J33" s="2"/>
      <c r="K33" s="2"/>
    </row>
    <row r="34" ht="15.75" customHeight="1">
      <c r="A34" s="23"/>
      <c r="B34" s="23"/>
      <c r="C34" s="18" t="s">
        <v>12</v>
      </c>
      <c r="D34" s="19"/>
      <c r="E34" s="20">
        <v>3000.0</v>
      </c>
      <c r="F34" s="21">
        <f t="shared" si="1"/>
        <v>0</v>
      </c>
      <c r="G34" s="23"/>
      <c r="H34" s="2"/>
      <c r="I34" s="34" t="s">
        <v>40</v>
      </c>
      <c r="J34" s="34" t="s">
        <v>41</v>
      </c>
      <c r="K34" s="34" t="s">
        <v>42</v>
      </c>
      <c r="L34" s="34" t="s">
        <v>33</v>
      </c>
      <c r="M34" s="34" t="s">
        <v>43</v>
      </c>
      <c r="N34" s="34" t="s">
        <v>37</v>
      </c>
    </row>
    <row r="35" ht="15.75" customHeight="1">
      <c r="A35" s="23"/>
      <c r="B35" s="23"/>
      <c r="C35" s="18" t="s">
        <v>13</v>
      </c>
      <c r="D35" s="19"/>
      <c r="E35" s="20">
        <v>1000.0</v>
      </c>
      <c r="F35" s="21">
        <f t="shared" si="1"/>
        <v>0</v>
      </c>
      <c r="G35" s="23"/>
      <c r="H35" s="2"/>
      <c r="I35" s="35">
        <f>J5+J6+J7+J8+J9+J10+J11+J23+J24+J25+J26</f>
        <v>77</v>
      </c>
      <c r="J35" s="35">
        <f>J12+J13+J14+J15</f>
        <v>37.5</v>
      </c>
      <c r="K35" s="35">
        <f>J19+J18+J20+J21+J30+J16+J17</f>
        <v>33.5</v>
      </c>
      <c r="L35" s="35">
        <f>J27+J28</f>
        <v>39</v>
      </c>
      <c r="M35" s="35">
        <f>J32</f>
        <v>2</v>
      </c>
      <c r="N35" s="35">
        <f>J31</f>
        <v>0</v>
      </c>
    </row>
    <row r="36" ht="15.75" customHeight="1">
      <c r="A36" s="23"/>
      <c r="B36" s="23"/>
      <c r="C36" s="18" t="s">
        <v>14</v>
      </c>
      <c r="D36" s="19"/>
      <c r="E36" s="20">
        <v>2800.0</v>
      </c>
      <c r="F36" s="21">
        <f t="shared" si="1"/>
        <v>0</v>
      </c>
      <c r="G36" s="23"/>
      <c r="H36" s="2"/>
      <c r="I36" s="2"/>
      <c r="J36" s="2"/>
      <c r="K36" s="2"/>
    </row>
    <row r="37" ht="15.75" customHeight="1">
      <c r="A37" s="23"/>
      <c r="B37" s="23"/>
      <c r="C37" s="18" t="s">
        <v>15</v>
      </c>
      <c r="D37" s="19"/>
      <c r="E37" s="20">
        <v>3500.0</v>
      </c>
      <c r="F37" s="21">
        <f t="shared" si="1"/>
        <v>0</v>
      </c>
      <c r="G37" s="23"/>
      <c r="H37" s="2"/>
      <c r="I37" s="2"/>
      <c r="J37" s="2"/>
      <c r="K37" s="2"/>
    </row>
    <row r="38" ht="15.75" customHeight="1">
      <c r="A38" s="23"/>
      <c r="B38" s="23"/>
      <c r="C38" s="18" t="s">
        <v>16</v>
      </c>
      <c r="D38" s="19">
        <v>7.0</v>
      </c>
      <c r="E38" s="20">
        <v>1000.0</v>
      </c>
      <c r="F38" s="21">
        <f t="shared" si="1"/>
        <v>7000</v>
      </c>
      <c r="G38" s="23"/>
      <c r="H38" s="2"/>
      <c r="I38" s="2"/>
      <c r="J38" s="2"/>
      <c r="K38" s="2"/>
    </row>
    <row r="39" ht="15.75" customHeight="1">
      <c r="A39" s="23"/>
      <c r="B39" s="23"/>
      <c r="C39" s="18" t="s">
        <v>17</v>
      </c>
      <c r="D39" s="19">
        <v>1.0</v>
      </c>
      <c r="E39" s="20">
        <v>2000.0</v>
      </c>
      <c r="F39" s="21">
        <f t="shared" si="1"/>
        <v>2000</v>
      </c>
      <c r="G39" s="23"/>
      <c r="H39" s="2"/>
      <c r="I39" s="2"/>
      <c r="J39" s="2"/>
      <c r="K39" s="2"/>
    </row>
    <row r="40" ht="15.75" customHeight="1">
      <c r="A40" s="23"/>
      <c r="B40" s="23"/>
      <c r="C40" s="18" t="s">
        <v>18</v>
      </c>
      <c r="D40" s="19">
        <v>2.5</v>
      </c>
      <c r="E40" s="20">
        <v>2000.0</v>
      </c>
      <c r="F40" s="21">
        <f t="shared" si="1"/>
        <v>5000</v>
      </c>
      <c r="G40" s="23"/>
      <c r="H40" s="2"/>
      <c r="I40" s="2"/>
      <c r="J40" s="2"/>
      <c r="K40" s="2"/>
    </row>
    <row r="41" ht="15.75" customHeight="1">
      <c r="A41" s="23"/>
      <c r="B41" s="23"/>
      <c r="C41" s="18" t="s">
        <v>19</v>
      </c>
      <c r="D41" s="19"/>
      <c r="E41" s="20">
        <v>1300.0</v>
      </c>
      <c r="F41" s="21">
        <f t="shared" si="1"/>
        <v>0</v>
      </c>
      <c r="G41" s="23"/>
      <c r="H41" s="2"/>
      <c r="I41" s="2"/>
      <c r="J41" s="2"/>
      <c r="K41" s="2"/>
    </row>
    <row r="42" ht="15.75" customHeight="1">
      <c r="A42" s="23"/>
      <c r="B42" s="23"/>
      <c r="C42" s="18" t="s">
        <v>20</v>
      </c>
      <c r="D42" s="19"/>
      <c r="E42" s="20">
        <v>1000.0</v>
      </c>
      <c r="F42" s="21">
        <f t="shared" si="1"/>
        <v>0</v>
      </c>
      <c r="G42" s="23"/>
      <c r="H42" s="2"/>
      <c r="I42" s="2"/>
      <c r="J42" s="2"/>
      <c r="K42" s="2"/>
    </row>
    <row r="43" ht="15.75" customHeight="1">
      <c r="A43" s="23"/>
      <c r="B43" s="23"/>
      <c r="C43" s="18" t="s">
        <v>21</v>
      </c>
      <c r="D43" s="19"/>
      <c r="E43" s="20">
        <v>400.0</v>
      </c>
      <c r="F43" s="21">
        <f t="shared" si="1"/>
        <v>0</v>
      </c>
      <c r="G43" s="23"/>
      <c r="H43" s="2"/>
      <c r="I43" s="2"/>
      <c r="J43" s="2"/>
      <c r="K43" s="2"/>
    </row>
    <row r="44" ht="15.75" customHeight="1">
      <c r="A44" s="23"/>
      <c r="B44" s="23"/>
      <c r="C44" s="18" t="s">
        <v>22</v>
      </c>
      <c r="D44" s="19"/>
      <c r="E44" s="20">
        <v>7500.0</v>
      </c>
      <c r="F44" s="21">
        <f t="shared" si="1"/>
        <v>0</v>
      </c>
      <c r="G44" s="23"/>
      <c r="H44" s="2"/>
      <c r="I44" s="2"/>
      <c r="J44" s="2"/>
      <c r="K44" s="2"/>
    </row>
    <row r="45" ht="15.75" customHeight="1">
      <c r="A45" s="23"/>
      <c r="B45" s="23"/>
      <c r="C45" s="18" t="s">
        <v>23</v>
      </c>
      <c r="D45" s="19"/>
      <c r="E45" s="20">
        <v>2000.0</v>
      </c>
      <c r="F45" s="21">
        <f t="shared" si="1"/>
        <v>0</v>
      </c>
      <c r="G45" s="23"/>
      <c r="H45" s="2"/>
      <c r="I45" s="2"/>
      <c r="J45" s="2"/>
      <c r="K45" s="2"/>
    </row>
    <row r="46" ht="15.75" customHeight="1">
      <c r="A46" s="23"/>
      <c r="B46" s="23"/>
      <c r="C46" s="18" t="s">
        <v>24</v>
      </c>
      <c r="D46" s="19"/>
      <c r="E46" s="20">
        <v>800.0</v>
      </c>
      <c r="F46" s="21">
        <f t="shared" si="1"/>
        <v>0</v>
      </c>
      <c r="G46" s="23"/>
      <c r="H46" s="2"/>
      <c r="I46" s="2"/>
      <c r="J46" s="2"/>
      <c r="K46" s="2"/>
    </row>
    <row r="47" ht="15.75" customHeight="1">
      <c r="A47" s="23"/>
      <c r="B47" s="23"/>
      <c r="C47" s="18" t="s">
        <v>25</v>
      </c>
      <c r="D47" s="19"/>
      <c r="E47" s="20">
        <v>5000.0</v>
      </c>
      <c r="F47" s="21">
        <f t="shared" si="1"/>
        <v>0</v>
      </c>
      <c r="G47" s="23"/>
      <c r="H47" s="2"/>
      <c r="I47" s="2"/>
      <c r="J47" s="2"/>
      <c r="K47" s="2"/>
    </row>
    <row r="48" ht="15.75" customHeight="1">
      <c r="A48" s="23"/>
      <c r="B48" s="23"/>
      <c r="C48" s="18" t="s">
        <v>26</v>
      </c>
      <c r="D48" s="19"/>
      <c r="E48" s="20">
        <v>2700.0</v>
      </c>
      <c r="F48" s="21">
        <f t="shared" si="1"/>
        <v>0</v>
      </c>
      <c r="G48" s="23"/>
      <c r="H48" s="2"/>
      <c r="I48" s="2"/>
      <c r="J48" s="2"/>
      <c r="K48" s="2"/>
    </row>
    <row r="49" ht="15.75" customHeight="1">
      <c r="A49" s="23"/>
      <c r="B49" s="23"/>
      <c r="C49" s="18" t="s">
        <v>27</v>
      </c>
      <c r="D49" s="19"/>
      <c r="E49" s="20">
        <v>50000.0</v>
      </c>
      <c r="F49" s="21">
        <f t="shared" si="1"/>
        <v>0</v>
      </c>
      <c r="G49" s="23"/>
      <c r="H49" s="2"/>
      <c r="I49" s="2"/>
      <c r="J49" s="2"/>
      <c r="K49" s="2"/>
    </row>
    <row r="50" ht="15.75" customHeight="1">
      <c r="A50" s="23"/>
      <c r="B50" s="23"/>
      <c r="C50" s="18" t="s">
        <v>28</v>
      </c>
      <c r="D50" s="19"/>
      <c r="E50" s="20">
        <v>10000.0</v>
      </c>
      <c r="F50" s="21">
        <f t="shared" si="1"/>
        <v>0</v>
      </c>
      <c r="G50" s="23"/>
      <c r="H50" s="2"/>
      <c r="I50" s="2"/>
      <c r="J50" s="2"/>
      <c r="K50" s="2"/>
    </row>
    <row r="51" ht="15.75" customHeight="1">
      <c r="A51" s="23"/>
      <c r="B51" s="23"/>
      <c r="C51" s="18" t="s">
        <v>29</v>
      </c>
      <c r="D51" s="19">
        <v>2.0</v>
      </c>
      <c r="E51" s="20">
        <v>1000.0</v>
      </c>
      <c r="F51" s="21">
        <f t="shared" si="1"/>
        <v>2000</v>
      </c>
      <c r="G51" s="23"/>
      <c r="H51" s="2"/>
      <c r="I51" s="2"/>
      <c r="J51" s="2"/>
      <c r="K51" s="2"/>
    </row>
    <row r="52" ht="15.75" customHeight="1">
      <c r="A52" s="23"/>
      <c r="B52" s="23"/>
      <c r="C52" s="18" t="s">
        <v>30</v>
      </c>
      <c r="D52" s="19"/>
      <c r="E52" s="20">
        <v>500.0</v>
      </c>
      <c r="F52" s="21">
        <f t="shared" si="1"/>
        <v>0</v>
      </c>
      <c r="G52" s="23"/>
      <c r="H52" s="2"/>
      <c r="I52" s="2"/>
      <c r="J52" s="2"/>
      <c r="K52" s="2"/>
    </row>
    <row r="53" ht="15.75" customHeight="1">
      <c r="A53" s="23"/>
      <c r="B53" s="23"/>
      <c r="C53" s="18" t="s">
        <v>31</v>
      </c>
      <c r="D53" s="19">
        <v>3.0</v>
      </c>
      <c r="E53" s="20">
        <v>200.0</v>
      </c>
      <c r="F53" s="21">
        <f t="shared" si="1"/>
        <v>600</v>
      </c>
      <c r="G53" s="23"/>
      <c r="H53" s="2"/>
      <c r="I53" s="2"/>
      <c r="J53" s="2"/>
      <c r="K53" s="2"/>
    </row>
    <row r="54" ht="15.75" customHeight="1">
      <c r="A54" s="23"/>
      <c r="B54" s="23"/>
      <c r="C54" s="18" t="s">
        <v>32</v>
      </c>
      <c r="D54" s="19"/>
      <c r="E54" s="20">
        <v>1000.0</v>
      </c>
      <c r="F54" s="21">
        <f t="shared" si="1"/>
        <v>0</v>
      </c>
      <c r="G54" s="23"/>
      <c r="H54" s="2"/>
      <c r="I54" s="2"/>
      <c r="J54" s="2"/>
      <c r="K54" s="2"/>
    </row>
    <row r="55" ht="15.75" customHeight="1">
      <c r="A55" s="23"/>
      <c r="B55" s="23"/>
      <c r="C55" s="18" t="s">
        <v>33</v>
      </c>
      <c r="D55" s="19">
        <v>5.0</v>
      </c>
      <c r="E55" s="20">
        <v>300.0</v>
      </c>
      <c r="F55" s="21">
        <f t="shared" si="1"/>
        <v>1500</v>
      </c>
      <c r="G55" s="23"/>
      <c r="H55" s="2"/>
      <c r="I55" s="2"/>
      <c r="J55" s="2"/>
      <c r="K55" s="2"/>
    </row>
    <row r="56" ht="15.75" customHeight="1">
      <c r="A56" s="23"/>
      <c r="B56" s="23"/>
      <c r="C56" s="18" t="s">
        <v>34</v>
      </c>
      <c r="D56" s="19">
        <v>9.0</v>
      </c>
      <c r="E56" s="20">
        <v>100.0</v>
      </c>
      <c r="F56" s="21">
        <f t="shared" si="1"/>
        <v>900</v>
      </c>
      <c r="G56" s="23"/>
      <c r="H56" s="2"/>
      <c r="I56" s="2"/>
      <c r="J56" s="2"/>
      <c r="K56" s="2"/>
    </row>
    <row r="57" ht="15.75" customHeight="1">
      <c r="A57" s="23"/>
      <c r="B57" s="23"/>
      <c r="C57" s="18" t="s">
        <v>35</v>
      </c>
      <c r="D57" s="19"/>
      <c r="E57" s="20">
        <v>500.0</v>
      </c>
      <c r="F57" s="21">
        <f t="shared" si="1"/>
        <v>0</v>
      </c>
      <c r="G57" s="23"/>
      <c r="H57" s="2"/>
      <c r="I57" s="2"/>
      <c r="J57" s="2"/>
      <c r="K57" s="2"/>
    </row>
    <row r="58" ht="15.75" customHeight="1">
      <c r="A58" s="23"/>
      <c r="B58" s="23"/>
      <c r="C58" s="18" t="s">
        <v>36</v>
      </c>
      <c r="D58" s="19"/>
      <c r="E58" s="24">
        <v>1500.0</v>
      </c>
      <c r="F58" s="21">
        <f t="shared" si="1"/>
        <v>0</v>
      </c>
      <c r="G58" s="23"/>
      <c r="H58" s="2"/>
      <c r="I58" s="2"/>
      <c r="J58" s="2"/>
      <c r="K58" s="2"/>
    </row>
    <row r="59" ht="15.75" customHeight="1">
      <c r="A59" s="23"/>
      <c r="B59" s="23"/>
      <c r="C59" s="18" t="s">
        <v>37</v>
      </c>
      <c r="D59" s="19"/>
      <c r="E59" s="20">
        <v>4000.0</v>
      </c>
      <c r="F59" s="21">
        <f t="shared" si="1"/>
        <v>0</v>
      </c>
      <c r="G59" s="23"/>
      <c r="H59" s="2"/>
      <c r="I59" s="2"/>
      <c r="J59" s="2"/>
      <c r="K59" s="2"/>
    </row>
    <row r="60" ht="15.75" customHeight="1">
      <c r="A60" s="25"/>
      <c r="B60" s="25"/>
      <c r="C60" s="18" t="s">
        <v>38</v>
      </c>
      <c r="D60" s="19"/>
      <c r="E60" s="20">
        <v>0.0</v>
      </c>
      <c r="F60" s="21">
        <f t="shared" si="1"/>
        <v>0</v>
      </c>
      <c r="G60" s="25"/>
      <c r="H60" s="2"/>
      <c r="I60" s="2"/>
      <c r="J60" s="2"/>
      <c r="K60" s="2"/>
    </row>
    <row r="61" ht="15.75" customHeight="1">
      <c r="A61" s="16">
        <v>3.0</v>
      </c>
      <c r="B61" s="28" t="s">
        <v>59</v>
      </c>
      <c r="C61" s="18" t="s">
        <v>11</v>
      </c>
      <c r="D61" s="19">
        <v>1.0</v>
      </c>
      <c r="E61" s="20">
        <v>5000.0</v>
      </c>
      <c r="F61" s="21">
        <f t="shared" si="1"/>
        <v>5000</v>
      </c>
      <c r="G61" s="22">
        <f>SUM(F61:F88)</f>
        <v>119050</v>
      </c>
      <c r="H61" s="2"/>
      <c r="I61" s="2"/>
      <c r="J61" s="2"/>
      <c r="K61" s="2"/>
    </row>
    <row r="62" ht="15.75" customHeight="1">
      <c r="A62" s="23"/>
      <c r="B62" s="23"/>
      <c r="C62" s="18" t="s">
        <v>12</v>
      </c>
      <c r="D62" s="19">
        <v>2.5</v>
      </c>
      <c r="E62" s="20">
        <v>3000.0</v>
      </c>
      <c r="F62" s="21">
        <f t="shared" si="1"/>
        <v>7500</v>
      </c>
      <c r="G62" s="23"/>
      <c r="H62" s="2"/>
      <c r="I62" s="2"/>
      <c r="J62" s="2"/>
      <c r="K62" s="2"/>
    </row>
    <row r="63" ht="15.75" customHeight="1">
      <c r="A63" s="23"/>
      <c r="B63" s="23"/>
      <c r="C63" s="18" t="s">
        <v>13</v>
      </c>
      <c r="D63" s="19"/>
      <c r="E63" s="20">
        <v>1000.0</v>
      </c>
      <c r="F63" s="21">
        <f t="shared" si="1"/>
        <v>0</v>
      </c>
      <c r="G63" s="23"/>
      <c r="H63" s="2"/>
      <c r="I63" s="2"/>
      <c r="J63" s="2"/>
      <c r="K63" s="2"/>
    </row>
    <row r="64" ht="15.75" customHeight="1">
      <c r="A64" s="23"/>
      <c r="B64" s="23"/>
      <c r="C64" s="18" t="s">
        <v>14</v>
      </c>
      <c r="D64" s="19">
        <v>2.0</v>
      </c>
      <c r="E64" s="20">
        <v>2800.0</v>
      </c>
      <c r="F64" s="21">
        <f t="shared" si="1"/>
        <v>5600</v>
      </c>
      <c r="G64" s="23"/>
      <c r="H64" s="2"/>
      <c r="I64" s="2"/>
      <c r="J64" s="2"/>
      <c r="K64" s="2"/>
    </row>
    <row r="65" ht="15.75" customHeight="1">
      <c r="A65" s="23"/>
      <c r="B65" s="23"/>
      <c r="C65" s="18" t="s">
        <v>15</v>
      </c>
      <c r="D65" s="19">
        <v>4.5</v>
      </c>
      <c r="E65" s="20">
        <v>3500.0</v>
      </c>
      <c r="F65" s="21">
        <f t="shared" si="1"/>
        <v>15750</v>
      </c>
      <c r="G65" s="23"/>
      <c r="H65" s="2"/>
      <c r="I65" s="2"/>
      <c r="J65" s="2"/>
      <c r="K65" s="2"/>
    </row>
    <row r="66" ht="15.75" customHeight="1">
      <c r="A66" s="23"/>
      <c r="B66" s="23"/>
      <c r="C66" s="18" t="s">
        <v>16</v>
      </c>
      <c r="D66" s="19"/>
      <c r="E66" s="20">
        <v>1000.0</v>
      </c>
      <c r="F66" s="21">
        <f t="shared" si="1"/>
        <v>0</v>
      </c>
      <c r="G66" s="23"/>
      <c r="H66" s="2"/>
      <c r="I66" s="2"/>
      <c r="J66" s="2"/>
      <c r="K66" s="2"/>
    </row>
    <row r="67" ht="15.75" customHeight="1">
      <c r="A67" s="23"/>
      <c r="B67" s="23"/>
      <c r="C67" s="18" t="s">
        <v>17</v>
      </c>
      <c r="D67" s="19"/>
      <c r="E67" s="20">
        <v>2000.0</v>
      </c>
      <c r="F67" s="21">
        <f t="shared" si="1"/>
        <v>0</v>
      </c>
      <c r="G67" s="23"/>
      <c r="H67" s="2"/>
      <c r="I67" s="2"/>
      <c r="J67" s="2"/>
      <c r="K67" s="2"/>
    </row>
    <row r="68" ht="15.75" customHeight="1">
      <c r="A68" s="23"/>
      <c r="B68" s="23"/>
      <c r="C68" s="18" t="s">
        <v>18</v>
      </c>
      <c r="D68" s="19"/>
      <c r="E68" s="20">
        <v>2000.0</v>
      </c>
      <c r="F68" s="21">
        <f t="shared" si="1"/>
        <v>0</v>
      </c>
      <c r="G68" s="23"/>
      <c r="H68" s="2"/>
      <c r="I68" s="2"/>
      <c r="J68" s="2"/>
      <c r="K68" s="2"/>
    </row>
    <row r="69" ht="15.75" customHeight="1">
      <c r="A69" s="23"/>
      <c r="B69" s="23"/>
      <c r="C69" s="18" t="s">
        <v>19</v>
      </c>
      <c r="D69" s="19"/>
      <c r="E69" s="20">
        <v>1300.0</v>
      </c>
      <c r="F69" s="21">
        <f t="shared" si="1"/>
        <v>0</v>
      </c>
      <c r="G69" s="23"/>
      <c r="H69" s="2"/>
      <c r="I69" s="2"/>
      <c r="J69" s="2"/>
      <c r="K69" s="2"/>
    </row>
    <row r="70" ht="15.75" customHeight="1">
      <c r="A70" s="23"/>
      <c r="B70" s="23"/>
      <c r="C70" s="18" t="s">
        <v>20</v>
      </c>
      <c r="D70" s="19"/>
      <c r="E70" s="20">
        <v>1000.0</v>
      </c>
      <c r="F70" s="21">
        <f t="shared" si="1"/>
        <v>0</v>
      </c>
      <c r="G70" s="23"/>
      <c r="H70" s="2"/>
      <c r="I70" s="2"/>
      <c r="J70" s="2"/>
      <c r="K70" s="2"/>
    </row>
    <row r="71" ht="15.75" customHeight="1">
      <c r="A71" s="23"/>
      <c r="B71" s="23"/>
      <c r="C71" s="18" t="s">
        <v>21</v>
      </c>
      <c r="D71" s="19">
        <v>17.0</v>
      </c>
      <c r="E71" s="20">
        <v>400.0</v>
      </c>
      <c r="F71" s="21">
        <f t="shared" si="1"/>
        <v>6800</v>
      </c>
      <c r="G71" s="23"/>
      <c r="H71" s="2"/>
      <c r="I71" s="2"/>
      <c r="J71" s="2"/>
      <c r="K71" s="2"/>
    </row>
    <row r="72" ht="15.75" customHeight="1">
      <c r="A72" s="23"/>
      <c r="B72" s="23"/>
      <c r="C72" s="18" t="s">
        <v>22</v>
      </c>
      <c r="D72" s="19"/>
      <c r="E72" s="20">
        <v>7500.0</v>
      </c>
      <c r="F72" s="21">
        <f t="shared" si="1"/>
        <v>0</v>
      </c>
      <c r="G72" s="23"/>
      <c r="H72" s="2"/>
      <c r="I72" s="2"/>
      <c r="J72" s="2"/>
      <c r="K72" s="2"/>
    </row>
    <row r="73" ht="15.75" customHeight="1">
      <c r="A73" s="23"/>
      <c r="B73" s="23"/>
      <c r="C73" s="18" t="s">
        <v>23</v>
      </c>
      <c r="D73" s="19">
        <v>14.0</v>
      </c>
      <c r="E73" s="20">
        <v>2000.0</v>
      </c>
      <c r="F73" s="21">
        <f t="shared" si="1"/>
        <v>28000</v>
      </c>
      <c r="G73" s="23"/>
      <c r="H73" s="2"/>
      <c r="I73" s="2"/>
      <c r="J73" s="2"/>
      <c r="K73" s="2"/>
    </row>
    <row r="74" ht="15.75" customHeight="1">
      <c r="A74" s="23"/>
      <c r="B74" s="23"/>
      <c r="C74" s="18" t="s">
        <v>24</v>
      </c>
      <c r="D74" s="19">
        <v>11.5</v>
      </c>
      <c r="E74" s="20">
        <v>800.0</v>
      </c>
      <c r="F74" s="21">
        <f t="shared" si="1"/>
        <v>9200</v>
      </c>
      <c r="G74" s="23"/>
      <c r="H74" s="2"/>
      <c r="I74" s="2"/>
      <c r="J74" s="2"/>
      <c r="K74" s="2"/>
    </row>
    <row r="75" ht="15.75" customHeight="1">
      <c r="A75" s="23"/>
      <c r="B75" s="23"/>
      <c r="C75" s="18" t="s">
        <v>25</v>
      </c>
      <c r="D75" s="19">
        <v>8.0</v>
      </c>
      <c r="E75" s="20">
        <v>5000.0</v>
      </c>
      <c r="F75" s="21">
        <f t="shared" si="1"/>
        <v>40000</v>
      </c>
      <c r="G75" s="23"/>
      <c r="H75" s="2"/>
      <c r="I75" s="2"/>
      <c r="J75" s="2"/>
      <c r="K75" s="2"/>
    </row>
    <row r="76" ht="15.75" customHeight="1">
      <c r="A76" s="23"/>
      <c r="B76" s="23"/>
      <c r="C76" s="18" t="s">
        <v>26</v>
      </c>
      <c r="D76" s="19"/>
      <c r="E76" s="20">
        <v>2700.0</v>
      </c>
      <c r="F76" s="21">
        <f t="shared" si="1"/>
        <v>0</v>
      </c>
      <c r="G76" s="23"/>
      <c r="H76" s="2"/>
      <c r="I76" s="2"/>
      <c r="J76" s="2"/>
      <c r="K76" s="2"/>
    </row>
    <row r="77" ht="15.75" customHeight="1">
      <c r="A77" s="23"/>
      <c r="B77" s="23"/>
      <c r="C77" s="18" t="s">
        <v>27</v>
      </c>
      <c r="D77" s="19"/>
      <c r="E77" s="20">
        <v>50000.0</v>
      </c>
      <c r="F77" s="21">
        <f t="shared" si="1"/>
        <v>0</v>
      </c>
      <c r="G77" s="23"/>
      <c r="H77" s="2"/>
      <c r="I77" s="2"/>
      <c r="J77" s="2"/>
      <c r="K77" s="2"/>
    </row>
    <row r="78" ht="15.75" customHeight="1">
      <c r="A78" s="23"/>
      <c r="B78" s="23"/>
      <c r="C78" s="18" t="s">
        <v>28</v>
      </c>
      <c r="D78" s="19"/>
      <c r="E78" s="20">
        <v>10000.0</v>
      </c>
      <c r="F78" s="21">
        <f t="shared" si="1"/>
        <v>0</v>
      </c>
      <c r="G78" s="23"/>
      <c r="H78" s="2"/>
      <c r="I78" s="2"/>
      <c r="J78" s="2"/>
      <c r="K78" s="2"/>
    </row>
    <row r="79" ht="15.75" customHeight="1">
      <c r="A79" s="23"/>
      <c r="B79" s="23"/>
      <c r="C79" s="18" t="s">
        <v>29</v>
      </c>
      <c r="D79" s="19"/>
      <c r="E79" s="20">
        <v>1000.0</v>
      </c>
      <c r="F79" s="21">
        <f t="shared" si="1"/>
        <v>0</v>
      </c>
      <c r="G79" s="23"/>
      <c r="H79" s="2"/>
      <c r="I79" s="2"/>
      <c r="J79" s="2"/>
      <c r="K79" s="2"/>
    </row>
    <row r="80" ht="15.75" customHeight="1">
      <c r="A80" s="23"/>
      <c r="B80" s="23"/>
      <c r="C80" s="18" t="s">
        <v>30</v>
      </c>
      <c r="D80" s="19"/>
      <c r="E80" s="20">
        <v>500.0</v>
      </c>
      <c r="F80" s="21">
        <f t="shared" si="1"/>
        <v>0</v>
      </c>
      <c r="G80" s="23"/>
      <c r="H80" s="2"/>
      <c r="I80" s="2"/>
      <c r="J80" s="2"/>
      <c r="K80" s="2"/>
    </row>
    <row r="81" ht="15.75" customHeight="1">
      <c r="A81" s="23"/>
      <c r="B81" s="23"/>
      <c r="C81" s="18" t="s">
        <v>31</v>
      </c>
      <c r="D81" s="19"/>
      <c r="E81" s="20">
        <v>200.0</v>
      </c>
      <c r="F81" s="21">
        <f t="shared" si="1"/>
        <v>0</v>
      </c>
      <c r="G81" s="23"/>
      <c r="H81" s="2"/>
      <c r="I81" s="2"/>
      <c r="J81" s="2"/>
      <c r="K81" s="2"/>
    </row>
    <row r="82" ht="15.75" customHeight="1">
      <c r="A82" s="23"/>
      <c r="B82" s="23"/>
      <c r="C82" s="18" t="s">
        <v>32</v>
      </c>
      <c r="D82" s="19"/>
      <c r="E82" s="20">
        <v>1000.0</v>
      </c>
      <c r="F82" s="21">
        <f t="shared" si="1"/>
        <v>0</v>
      </c>
      <c r="G82" s="23"/>
      <c r="H82" s="2"/>
      <c r="I82" s="2"/>
      <c r="J82" s="2"/>
      <c r="K82" s="2"/>
    </row>
    <row r="83" ht="15.75" customHeight="1">
      <c r="A83" s="23"/>
      <c r="B83" s="23"/>
      <c r="C83" s="18" t="s">
        <v>33</v>
      </c>
      <c r="D83" s="19">
        <v>4.0</v>
      </c>
      <c r="E83" s="20">
        <v>300.0</v>
      </c>
      <c r="F83" s="21">
        <f t="shared" si="1"/>
        <v>1200</v>
      </c>
      <c r="G83" s="23"/>
      <c r="H83" s="2"/>
      <c r="I83" s="2"/>
      <c r="J83" s="2"/>
      <c r="K83" s="2"/>
    </row>
    <row r="84" ht="15.75" customHeight="1">
      <c r="A84" s="23"/>
      <c r="B84" s="23"/>
      <c r="C84" s="18" t="s">
        <v>34</v>
      </c>
      <c r="D84" s="19"/>
      <c r="E84" s="20">
        <v>100.0</v>
      </c>
      <c r="F84" s="21">
        <f t="shared" si="1"/>
        <v>0</v>
      </c>
      <c r="G84" s="23"/>
      <c r="H84" s="2"/>
      <c r="I84" s="2"/>
      <c r="J84" s="2"/>
      <c r="K84" s="2"/>
    </row>
    <row r="85" ht="15.75" customHeight="1">
      <c r="A85" s="23"/>
      <c r="B85" s="23"/>
      <c r="C85" s="18" t="s">
        <v>35</v>
      </c>
      <c r="D85" s="19"/>
      <c r="E85" s="20">
        <v>500.0</v>
      </c>
      <c r="F85" s="21">
        <f t="shared" si="1"/>
        <v>0</v>
      </c>
      <c r="G85" s="23"/>
      <c r="H85" s="2"/>
      <c r="I85" s="2"/>
      <c r="J85" s="2"/>
      <c r="K85" s="2"/>
    </row>
    <row r="86" ht="15.75" customHeight="1">
      <c r="A86" s="23"/>
      <c r="B86" s="23"/>
      <c r="C86" s="18" t="s">
        <v>36</v>
      </c>
      <c r="D86" s="19"/>
      <c r="E86" s="20">
        <v>1500.0</v>
      </c>
      <c r="F86" s="21">
        <f t="shared" si="1"/>
        <v>0</v>
      </c>
      <c r="G86" s="23"/>
      <c r="H86" s="2"/>
      <c r="I86" s="2"/>
      <c r="J86" s="2"/>
      <c r="K86" s="2"/>
    </row>
    <row r="87" ht="15.75" customHeight="1">
      <c r="A87" s="23"/>
      <c r="B87" s="23"/>
      <c r="C87" s="18" t="s">
        <v>37</v>
      </c>
      <c r="D87" s="19"/>
      <c r="E87" s="20">
        <v>4000.0</v>
      </c>
      <c r="F87" s="21">
        <f t="shared" si="1"/>
        <v>0</v>
      </c>
      <c r="G87" s="23"/>
      <c r="H87" s="2"/>
      <c r="I87" s="2"/>
      <c r="J87" s="2"/>
      <c r="K87" s="2"/>
    </row>
    <row r="88" ht="15.75" customHeight="1">
      <c r="A88" s="25"/>
      <c r="B88" s="25"/>
      <c r="C88" s="18" t="s">
        <v>38</v>
      </c>
      <c r="D88" s="19"/>
      <c r="E88" s="20">
        <v>0.0</v>
      </c>
      <c r="F88" s="21">
        <f t="shared" si="1"/>
        <v>0</v>
      </c>
      <c r="G88" s="25"/>
      <c r="H88" s="2"/>
      <c r="I88" s="2"/>
      <c r="J88" s="2"/>
      <c r="K88" s="2"/>
    </row>
    <row r="89" ht="15.75" customHeight="1">
      <c r="A89" s="16">
        <v>4.0</v>
      </c>
      <c r="B89" s="17" t="s">
        <v>60</v>
      </c>
      <c r="C89" s="18" t="s">
        <v>11</v>
      </c>
      <c r="D89" s="19"/>
      <c r="E89" s="20">
        <v>5000.0</v>
      </c>
      <c r="F89" s="21">
        <f t="shared" si="1"/>
        <v>0</v>
      </c>
      <c r="G89" s="22">
        <f>SUM(F89:F116)</f>
        <v>36800</v>
      </c>
      <c r="H89" s="2"/>
      <c r="I89" s="2"/>
      <c r="J89" s="2"/>
      <c r="K89" s="2"/>
    </row>
    <row r="90" ht="15.75" customHeight="1">
      <c r="A90" s="23"/>
      <c r="B90" s="23"/>
      <c r="C90" s="18" t="s">
        <v>12</v>
      </c>
      <c r="D90" s="19">
        <v>2.5</v>
      </c>
      <c r="E90" s="20">
        <v>3000.0</v>
      </c>
      <c r="F90" s="21">
        <f t="shared" si="1"/>
        <v>7500</v>
      </c>
      <c r="G90" s="23"/>
      <c r="H90" s="2"/>
      <c r="I90" s="2"/>
      <c r="J90" s="2"/>
      <c r="K90" s="2"/>
    </row>
    <row r="91" ht="15.75" customHeight="1">
      <c r="A91" s="23"/>
      <c r="B91" s="23"/>
      <c r="C91" s="18" t="s">
        <v>13</v>
      </c>
      <c r="D91" s="19"/>
      <c r="E91" s="20">
        <v>1000.0</v>
      </c>
      <c r="F91" s="21">
        <f t="shared" si="1"/>
        <v>0</v>
      </c>
      <c r="G91" s="23"/>
      <c r="H91" s="2"/>
      <c r="I91" s="2"/>
      <c r="J91" s="2"/>
      <c r="K91" s="2"/>
    </row>
    <row r="92" ht="15.75" customHeight="1">
      <c r="A92" s="23"/>
      <c r="B92" s="23"/>
      <c r="C92" s="18" t="s">
        <v>14</v>
      </c>
      <c r="D92" s="19"/>
      <c r="E92" s="20">
        <v>2800.0</v>
      </c>
      <c r="F92" s="21">
        <f t="shared" si="1"/>
        <v>0</v>
      </c>
      <c r="G92" s="23"/>
      <c r="H92" s="2"/>
      <c r="I92" s="2"/>
      <c r="J92" s="2"/>
      <c r="K92" s="2"/>
    </row>
    <row r="93" ht="15.75" customHeight="1">
      <c r="A93" s="23"/>
      <c r="B93" s="23"/>
      <c r="C93" s="18" t="s">
        <v>15</v>
      </c>
      <c r="D93" s="19"/>
      <c r="E93" s="20">
        <v>3500.0</v>
      </c>
      <c r="F93" s="21">
        <f t="shared" si="1"/>
        <v>0</v>
      </c>
      <c r="G93" s="23"/>
      <c r="H93" s="2"/>
      <c r="I93" s="2"/>
      <c r="J93" s="2"/>
      <c r="K93" s="2"/>
    </row>
    <row r="94" ht="15.75" customHeight="1">
      <c r="A94" s="23"/>
      <c r="B94" s="23"/>
      <c r="C94" s="18" t="s">
        <v>16</v>
      </c>
      <c r="D94" s="19">
        <v>6.0</v>
      </c>
      <c r="E94" s="20">
        <v>1000.0</v>
      </c>
      <c r="F94" s="21">
        <f t="shared" si="1"/>
        <v>6000</v>
      </c>
      <c r="G94" s="23"/>
      <c r="H94" s="2"/>
      <c r="I94" s="2"/>
      <c r="J94" s="2"/>
      <c r="K94" s="2"/>
    </row>
    <row r="95" ht="15.75" customHeight="1">
      <c r="A95" s="23"/>
      <c r="B95" s="23"/>
      <c r="C95" s="18" t="s">
        <v>17</v>
      </c>
      <c r="D95" s="19"/>
      <c r="E95" s="20">
        <v>2000.0</v>
      </c>
      <c r="F95" s="21">
        <f t="shared" si="1"/>
        <v>0</v>
      </c>
      <c r="G95" s="23"/>
      <c r="H95" s="2"/>
      <c r="I95" s="2"/>
      <c r="J95" s="2"/>
      <c r="K95" s="2"/>
    </row>
    <row r="96" ht="15.75" customHeight="1">
      <c r="A96" s="23"/>
      <c r="B96" s="23"/>
      <c r="C96" s="18" t="s">
        <v>18</v>
      </c>
      <c r="D96" s="19">
        <v>6.0</v>
      </c>
      <c r="E96" s="20">
        <v>2000.0</v>
      </c>
      <c r="F96" s="21">
        <f t="shared" si="1"/>
        <v>12000</v>
      </c>
      <c r="G96" s="23"/>
      <c r="H96" s="2"/>
      <c r="I96" s="2"/>
      <c r="J96" s="2"/>
      <c r="K96" s="2"/>
    </row>
    <row r="97" ht="15.75" customHeight="1">
      <c r="A97" s="23"/>
      <c r="B97" s="23"/>
      <c r="C97" s="18" t="s">
        <v>19</v>
      </c>
      <c r="D97" s="19"/>
      <c r="E97" s="20">
        <v>1300.0</v>
      </c>
      <c r="F97" s="21">
        <f t="shared" si="1"/>
        <v>0</v>
      </c>
      <c r="G97" s="23"/>
      <c r="H97" s="2"/>
      <c r="I97" s="2"/>
      <c r="J97" s="2"/>
      <c r="K97" s="2"/>
    </row>
    <row r="98" ht="15.75" customHeight="1">
      <c r="A98" s="23"/>
      <c r="B98" s="23"/>
      <c r="C98" s="18" t="s">
        <v>20</v>
      </c>
      <c r="D98" s="19">
        <v>11.0</v>
      </c>
      <c r="E98" s="20">
        <v>1000.0</v>
      </c>
      <c r="F98" s="21">
        <f t="shared" si="1"/>
        <v>11000</v>
      </c>
      <c r="G98" s="23"/>
      <c r="H98" s="2"/>
      <c r="I98" s="2"/>
      <c r="J98" s="2"/>
      <c r="K98" s="2"/>
    </row>
    <row r="99" ht="15.75" customHeight="1">
      <c r="A99" s="23"/>
      <c r="B99" s="23"/>
      <c r="C99" s="18" t="s">
        <v>21</v>
      </c>
      <c r="D99" s="19"/>
      <c r="E99" s="20">
        <v>400.0</v>
      </c>
      <c r="F99" s="21">
        <f t="shared" si="1"/>
        <v>0</v>
      </c>
      <c r="G99" s="23"/>
      <c r="H99" s="2"/>
      <c r="I99" s="2"/>
      <c r="J99" s="2"/>
      <c r="K99" s="2"/>
    </row>
    <row r="100" ht="15.75" customHeight="1">
      <c r="A100" s="23"/>
      <c r="B100" s="23"/>
      <c r="C100" s="18" t="s">
        <v>22</v>
      </c>
      <c r="D100" s="19"/>
      <c r="E100" s="20">
        <v>7500.0</v>
      </c>
      <c r="F100" s="21">
        <f t="shared" si="1"/>
        <v>0</v>
      </c>
      <c r="G100" s="23"/>
      <c r="H100" s="2"/>
      <c r="I100" s="2"/>
      <c r="J100" s="2"/>
      <c r="K100" s="2"/>
    </row>
    <row r="101" ht="15.75" customHeight="1">
      <c r="A101" s="23"/>
      <c r="B101" s="23"/>
      <c r="C101" s="18" t="s">
        <v>23</v>
      </c>
      <c r="D101" s="19"/>
      <c r="E101" s="20">
        <v>2000.0</v>
      </c>
      <c r="F101" s="21">
        <f t="shared" si="1"/>
        <v>0</v>
      </c>
      <c r="G101" s="23"/>
      <c r="H101" s="2"/>
      <c r="I101" s="2"/>
      <c r="J101" s="2"/>
      <c r="K101" s="2"/>
    </row>
    <row r="102" ht="15.75" customHeight="1">
      <c r="A102" s="23"/>
      <c r="B102" s="23"/>
      <c r="C102" s="18" t="s">
        <v>24</v>
      </c>
      <c r="D102" s="19"/>
      <c r="E102" s="20">
        <v>800.0</v>
      </c>
      <c r="F102" s="21">
        <f t="shared" si="1"/>
        <v>0</v>
      </c>
      <c r="G102" s="23"/>
      <c r="H102" s="2"/>
      <c r="I102" s="2"/>
      <c r="J102" s="2"/>
      <c r="K102" s="2"/>
    </row>
    <row r="103" ht="15.75" customHeight="1">
      <c r="A103" s="23"/>
      <c r="B103" s="23"/>
      <c r="C103" s="18" t="s">
        <v>25</v>
      </c>
      <c r="D103" s="19"/>
      <c r="E103" s="20">
        <v>5000.0</v>
      </c>
      <c r="F103" s="21">
        <f t="shared" si="1"/>
        <v>0</v>
      </c>
      <c r="G103" s="23"/>
      <c r="H103" s="2"/>
      <c r="I103" s="2"/>
      <c r="J103" s="2"/>
      <c r="K103" s="2"/>
    </row>
    <row r="104" ht="15.75" customHeight="1">
      <c r="A104" s="23"/>
      <c r="B104" s="23"/>
      <c r="C104" s="18" t="s">
        <v>26</v>
      </c>
      <c r="D104" s="19"/>
      <c r="E104" s="20">
        <v>2700.0</v>
      </c>
      <c r="F104" s="21">
        <f t="shared" si="1"/>
        <v>0</v>
      </c>
      <c r="G104" s="23"/>
      <c r="H104" s="2"/>
      <c r="I104" s="2"/>
      <c r="J104" s="2"/>
      <c r="K104" s="2"/>
    </row>
    <row r="105" ht="15.75" customHeight="1">
      <c r="A105" s="23"/>
      <c r="B105" s="23"/>
      <c r="C105" s="18" t="s">
        <v>27</v>
      </c>
      <c r="D105" s="19"/>
      <c r="E105" s="20">
        <v>50000.0</v>
      </c>
      <c r="F105" s="21">
        <f t="shared" si="1"/>
        <v>0</v>
      </c>
      <c r="G105" s="23"/>
      <c r="H105" s="2"/>
      <c r="I105" s="2"/>
      <c r="J105" s="2"/>
      <c r="K105" s="2"/>
    </row>
    <row r="106" ht="15.75" customHeight="1">
      <c r="A106" s="23"/>
      <c r="B106" s="23"/>
      <c r="C106" s="18" t="s">
        <v>28</v>
      </c>
      <c r="D106" s="19"/>
      <c r="E106" s="20">
        <v>10000.0</v>
      </c>
      <c r="F106" s="21">
        <f t="shared" si="1"/>
        <v>0</v>
      </c>
      <c r="G106" s="23"/>
      <c r="H106" s="2"/>
      <c r="I106" s="2"/>
      <c r="J106" s="2"/>
      <c r="K106" s="2"/>
    </row>
    <row r="107" ht="15.75" customHeight="1">
      <c r="A107" s="23"/>
      <c r="B107" s="23"/>
      <c r="C107" s="18" t="s">
        <v>29</v>
      </c>
      <c r="D107" s="19"/>
      <c r="E107" s="20">
        <v>1000.0</v>
      </c>
      <c r="F107" s="21">
        <f t="shared" si="1"/>
        <v>0</v>
      </c>
      <c r="G107" s="23"/>
      <c r="H107" s="2"/>
      <c r="I107" s="2"/>
      <c r="J107" s="2"/>
      <c r="K107" s="2"/>
    </row>
    <row r="108" ht="15.75" customHeight="1">
      <c r="A108" s="23"/>
      <c r="B108" s="23"/>
      <c r="C108" s="18" t="s">
        <v>30</v>
      </c>
      <c r="D108" s="19"/>
      <c r="E108" s="20">
        <v>500.0</v>
      </c>
      <c r="F108" s="21">
        <f t="shared" si="1"/>
        <v>0</v>
      </c>
      <c r="G108" s="23"/>
      <c r="H108" s="2"/>
      <c r="I108" s="2"/>
      <c r="J108" s="2"/>
      <c r="K108" s="2"/>
    </row>
    <row r="109" ht="15.75" customHeight="1">
      <c r="A109" s="23"/>
      <c r="B109" s="23"/>
      <c r="C109" s="18" t="s">
        <v>31</v>
      </c>
      <c r="D109" s="19">
        <v>1.5</v>
      </c>
      <c r="E109" s="20">
        <v>200.0</v>
      </c>
      <c r="F109" s="21">
        <f t="shared" si="1"/>
        <v>300</v>
      </c>
      <c r="G109" s="23"/>
      <c r="H109" s="2"/>
      <c r="I109" s="2"/>
      <c r="J109" s="2"/>
      <c r="K109" s="2"/>
    </row>
    <row r="110" ht="15.75" customHeight="1">
      <c r="A110" s="23"/>
      <c r="B110" s="23"/>
      <c r="C110" s="18" t="s">
        <v>32</v>
      </c>
      <c r="D110" s="19"/>
      <c r="E110" s="20">
        <v>1000.0</v>
      </c>
      <c r="F110" s="21">
        <f t="shared" si="1"/>
        <v>0</v>
      </c>
      <c r="G110" s="23"/>
      <c r="H110" s="2"/>
      <c r="I110" s="2"/>
      <c r="J110" s="2"/>
      <c r="K110" s="2"/>
    </row>
    <row r="111" ht="15.75" customHeight="1">
      <c r="A111" s="23"/>
      <c r="B111" s="23"/>
      <c r="C111" s="18" t="s">
        <v>33</v>
      </c>
      <c r="D111" s="19"/>
      <c r="E111" s="20">
        <v>300.0</v>
      </c>
      <c r="F111" s="21">
        <f t="shared" si="1"/>
        <v>0</v>
      </c>
      <c r="G111" s="23"/>
      <c r="H111" s="2"/>
      <c r="I111" s="2"/>
      <c r="J111" s="2"/>
      <c r="K111" s="2"/>
    </row>
    <row r="112" ht="15.75" customHeight="1">
      <c r="A112" s="23"/>
      <c r="B112" s="23"/>
      <c r="C112" s="18" t="s">
        <v>34</v>
      </c>
      <c r="D112" s="19"/>
      <c r="E112" s="20">
        <v>100.0</v>
      </c>
      <c r="F112" s="21">
        <f t="shared" si="1"/>
        <v>0</v>
      </c>
      <c r="G112" s="23"/>
      <c r="H112" s="2"/>
      <c r="I112" s="2"/>
      <c r="J112" s="2"/>
      <c r="K112" s="2"/>
    </row>
    <row r="113" ht="15.75" customHeight="1">
      <c r="A113" s="23"/>
      <c r="B113" s="23"/>
      <c r="C113" s="18" t="s">
        <v>35</v>
      </c>
      <c r="D113" s="19"/>
      <c r="E113" s="20">
        <v>500.0</v>
      </c>
      <c r="F113" s="21">
        <f t="shared" si="1"/>
        <v>0</v>
      </c>
      <c r="G113" s="23"/>
      <c r="H113" s="2"/>
      <c r="I113" s="2"/>
      <c r="J113" s="2"/>
      <c r="K113" s="2"/>
    </row>
    <row r="114" ht="15.75" customHeight="1">
      <c r="A114" s="23"/>
      <c r="B114" s="23"/>
      <c r="C114" s="18" t="s">
        <v>36</v>
      </c>
      <c r="D114" s="19"/>
      <c r="E114" s="20">
        <v>1500.0</v>
      </c>
      <c r="F114" s="21">
        <f t="shared" si="1"/>
        <v>0</v>
      </c>
      <c r="G114" s="23"/>
      <c r="H114" s="2"/>
      <c r="I114" s="2"/>
      <c r="J114" s="2"/>
      <c r="K114" s="2"/>
    </row>
    <row r="115" ht="15.75" customHeight="1">
      <c r="A115" s="23"/>
      <c r="B115" s="23"/>
      <c r="C115" s="18" t="s">
        <v>37</v>
      </c>
      <c r="D115" s="19"/>
      <c r="E115" s="20">
        <v>4000.0</v>
      </c>
      <c r="F115" s="21">
        <f t="shared" si="1"/>
        <v>0</v>
      </c>
      <c r="G115" s="23"/>
      <c r="H115" s="2"/>
      <c r="I115" s="2"/>
      <c r="J115" s="2"/>
      <c r="K115" s="2"/>
    </row>
    <row r="116" ht="15.75" customHeight="1">
      <c r="A116" s="25"/>
      <c r="B116" s="25"/>
      <c r="C116" s="18" t="s">
        <v>38</v>
      </c>
      <c r="D116" s="19"/>
      <c r="E116" s="20">
        <v>0.0</v>
      </c>
      <c r="F116" s="21">
        <f t="shared" si="1"/>
        <v>0</v>
      </c>
      <c r="G116" s="25"/>
      <c r="H116" s="2"/>
      <c r="I116" s="2"/>
      <c r="J116" s="2"/>
      <c r="K116" s="2"/>
    </row>
    <row r="117" ht="15.75" customHeight="1">
      <c r="A117" s="16">
        <v>5.0</v>
      </c>
      <c r="B117" s="17" t="s">
        <v>61</v>
      </c>
      <c r="C117" s="18" t="s">
        <v>11</v>
      </c>
      <c r="D117" s="19">
        <v>4.5</v>
      </c>
      <c r="E117" s="20">
        <v>5000.0</v>
      </c>
      <c r="F117" s="21">
        <f t="shared" si="1"/>
        <v>22500</v>
      </c>
      <c r="G117" s="22">
        <f>SUM(F117:F144)</f>
        <v>25500</v>
      </c>
      <c r="H117" s="2"/>
      <c r="I117" s="2"/>
      <c r="J117" s="2"/>
      <c r="K117" s="2"/>
    </row>
    <row r="118" ht="15.75" customHeight="1">
      <c r="A118" s="23"/>
      <c r="B118" s="23"/>
      <c r="C118" s="18" t="s">
        <v>12</v>
      </c>
      <c r="D118" s="19"/>
      <c r="E118" s="20">
        <v>3000.0</v>
      </c>
      <c r="F118" s="21">
        <f t="shared" si="1"/>
        <v>0</v>
      </c>
      <c r="G118" s="23"/>
      <c r="H118" s="2"/>
      <c r="I118" s="2"/>
      <c r="J118" s="2"/>
      <c r="K118" s="2"/>
    </row>
    <row r="119" ht="15.75" customHeight="1">
      <c r="A119" s="23"/>
      <c r="B119" s="23"/>
      <c r="C119" s="18" t="s">
        <v>13</v>
      </c>
      <c r="D119" s="19"/>
      <c r="E119" s="20">
        <v>1000.0</v>
      </c>
      <c r="F119" s="21">
        <f t="shared" si="1"/>
        <v>0</v>
      </c>
      <c r="G119" s="23"/>
      <c r="H119" s="2"/>
      <c r="I119" s="2"/>
      <c r="J119" s="2"/>
      <c r="K119" s="2"/>
    </row>
    <row r="120" ht="15.75" customHeight="1">
      <c r="A120" s="23"/>
      <c r="B120" s="23"/>
      <c r="C120" s="18" t="s">
        <v>14</v>
      </c>
      <c r="D120" s="19"/>
      <c r="E120" s="20">
        <v>2800.0</v>
      </c>
      <c r="F120" s="21">
        <f t="shared" si="1"/>
        <v>0</v>
      </c>
      <c r="G120" s="23"/>
      <c r="H120" s="2"/>
      <c r="I120" s="2"/>
      <c r="J120" s="2"/>
      <c r="K120" s="2"/>
    </row>
    <row r="121" ht="15.75" customHeight="1">
      <c r="A121" s="23"/>
      <c r="B121" s="23"/>
      <c r="C121" s="18" t="s">
        <v>15</v>
      </c>
      <c r="D121" s="19"/>
      <c r="E121" s="20">
        <v>3500.0</v>
      </c>
      <c r="F121" s="21">
        <f t="shared" si="1"/>
        <v>0</v>
      </c>
      <c r="G121" s="23"/>
      <c r="H121" s="2"/>
      <c r="I121" s="2"/>
      <c r="J121" s="2"/>
      <c r="K121" s="2"/>
    </row>
    <row r="122" ht="15.75" customHeight="1">
      <c r="A122" s="23"/>
      <c r="B122" s="23"/>
      <c r="C122" s="18" t="s">
        <v>16</v>
      </c>
      <c r="D122" s="19">
        <v>3.0</v>
      </c>
      <c r="E122" s="20">
        <v>1000.0</v>
      </c>
      <c r="F122" s="21">
        <f t="shared" si="1"/>
        <v>3000</v>
      </c>
      <c r="G122" s="23"/>
      <c r="H122" s="2"/>
      <c r="I122" s="2"/>
      <c r="J122" s="2"/>
      <c r="K122" s="2"/>
    </row>
    <row r="123" ht="15.75" customHeight="1">
      <c r="A123" s="23"/>
      <c r="B123" s="23"/>
      <c r="C123" s="18" t="s">
        <v>17</v>
      </c>
      <c r="D123" s="19"/>
      <c r="E123" s="20">
        <v>2000.0</v>
      </c>
      <c r="F123" s="21">
        <f t="shared" si="1"/>
        <v>0</v>
      </c>
      <c r="G123" s="23"/>
      <c r="H123" s="2"/>
      <c r="I123" s="2"/>
      <c r="J123" s="2"/>
      <c r="K123" s="2"/>
    </row>
    <row r="124" ht="15.75" customHeight="1">
      <c r="A124" s="23"/>
      <c r="B124" s="23"/>
      <c r="C124" s="18" t="s">
        <v>18</v>
      </c>
      <c r="D124" s="19"/>
      <c r="E124" s="20">
        <v>2000.0</v>
      </c>
      <c r="F124" s="21">
        <f t="shared" si="1"/>
        <v>0</v>
      </c>
      <c r="G124" s="23"/>
      <c r="H124" s="2"/>
      <c r="I124" s="2"/>
      <c r="J124" s="2"/>
      <c r="K124" s="2"/>
    </row>
    <row r="125" ht="15.75" customHeight="1">
      <c r="A125" s="23"/>
      <c r="B125" s="23"/>
      <c r="C125" s="18" t="s">
        <v>19</v>
      </c>
      <c r="D125" s="19"/>
      <c r="E125" s="20">
        <v>1300.0</v>
      </c>
      <c r="F125" s="21">
        <f t="shared" si="1"/>
        <v>0</v>
      </c>
      <c r="G125" s="23"/>
      <c r="H125" s="2"/>
      <c r="I125" s="2"/>
      <c r="J125" s="2"/>
      <c r="K125" s="2"/>
    </row>
    <row r="126" ht="15.75" customHeight="1">
      <c r="A126" s="23"/>
      <c r="B126" s="23"/>
      <c r="C126" s="18" t="s">
        <v>20</v>
      </c>
      <c r="D126" s="19"/>
      <c r="E126" s="20">
        <v>1000.0</v>
      </c>
      <c r="F126" s="21">
        <f t="shared" si="1"/>
        <v>0</v>
      </c>
      <c r="G126" s="23"/>
      <c r="H126" s="2"/>
      <c r="I126" s="2"/>
      <c r="J126" s="2"/>
      <c r="K126" s="2"/>
    </row>
    <row r="127" ht="15.75" customHeight="1">
      <c r="A127" s="23"/>
      <c r="B127" s="23"/>
      <c r="C127" s="18" t="s">
        <v>21</v>
      </c>
      <c r="D127" s="19"/>
      <c r="E127" s="20">
        <v>400.0</v>
      </c>
      <c r="F127" s="21">
        <f t="shared" si="1"/>
        <v>0</v>
      </c>
      <c r="G127" s="23"/>
      <c r="H127" s="2"/>
      <c r="I127" s="2"/>
      <c r="J127" s="2"/>
      <c r="K127" s="2"/>
    </row>
    <row r="128" ht="15.75" customHeight="1">
      <c r="A128" s="23"/>
      <c r="B128" s="23"/>
      <c r="C128" s="18" t="s">
        <v>22</v>
      </c>
      <c r="D128" s="19"/>
      <c r="E128" s="20">
        <v>7500.0</v>
      </c>
      <c r="F128" s="21">
        <f t="shared" si="1"/>
        <v>0</v>
      </c>
      <c r="G128" s="23"/>
      <c r="H128" s="2"/>
      <c r="I128" s="2"/>
      <c r="J128" s="2"/>
      <c r="K128" s="2"/>
    </row>
    <row r="129" ht="15.75" customHeight="1">
      <c r="A129" s="23"/>
      <c r="B129" s="23"/>
      <c r="C129" s="18" t="s">
        <v>23</v>
      </c>
      <c r="D129" s="19"/>
      <c r="E129" s="20">
        <v>2000.0</v>
      </c>
      <c r="F129" s="21">
        <f t="shared" si="1"/>
        <v>0</v>
      </c>
      <c r="G129" s="23"/>
      <c r="H129" s="2"/>
      <c r="I129" s="2"/>
      <c r="J129" s="2"/>
      <c r="K129" s="2"/>
    </row>
    <row r="130" ht="15.75" customHeight="1">
      <c r="A130" s="23"/>
      <c r="B130" s="23"/>
      <c r="C130" s="18" t="s">
        <v>24</v>
      </c>
      <c r="D130" s="19"/>
      <c r="E130" s="20">
        <v>800.0</v>
      </c>
      <c r="F130" s="21">
        <f t="shared" si="1"/>
        <v>0</v>
      </c>
      <c r="G130" s="23"/>
      <c r="H130" s="2"/>
      <c r="I130" s="2"/>
      <c r="J130" s="2"/>
      <c r="K130" s="2"/>
    </row>
    <row r="131" ht="15.75" customHeight="1">
      <c r="A131" s="23"/>
      <c r="B131" s="23"/>
      <c r="C131" s="18" t="s">
        <v>25</v>
      </c>
      <c r="D131" s="19"/>
      <c r="E131" s="20">
        <v>5000.0</v>
      </c>
      <c r="F131" s="21">
        <f t="shared" si="1"/>
        <v>0</v>
      </c>
      <c r="G131" s="23"/>
      <c r="H131" s="2"/>
      <c r="I131" s="2"/>
      <c r="J131" s="2"/>
      <c r="K131" s="2"/>
    </row>
    <row r="132" ht="15.75" customHeight="1">
      <c r="A132" s="23"/>
      <c r="B132" s="23"/>
      <c r="C132" s="18" t="s">
        <v>26</v>
      </c>
      <c r="D132" s="19"/>
      <c r="E132" s="20">
        <v>2700.0</v>
      </c>
      <c r="F132" s="21">
        <f t="shared" si="1"/>
        <v>0</v>
      </c>
      <c r="G132" s="23"/>
      <c r="H132" s="2"/>
      <c r="I132" s="2"/>
      <c r="J132" s="2"/>
      <c r="K132" s="2"/>
    </row>
    <row r="133" ht="15.75" customHeight="1">
      <c r="A133" s="23"/>
      <c r="B133" s="23"/>
      <c r="C133" s="18" t="s">
        <v>27</v>
      </c>
      <c r="D133" s="19"/>
      <c r="E133" s="20">
        <v>50000.0</v>
      </c>
      <c r="F133" s="21">
        <f t="shared" si="1"/>
        <v>0</v>
      </c>
      <c r="G133" s="23"/>
      <c r="H133" s="2"/>
      <c r="I133" s="2"/>
      <c r="J133" s="2"/>
      <c r="K133" s="2"/>
    </row>
    <row r="134" ht="15.75" customHeight="1">
      <c r="A134" s="23"/>
      <c r="B134" s="23"/>
      <c r="C134" s="18" t="s">
        <v>28</v>
      </c>
      <c r="D134" s="19"/>
      <c r="E134" s="20">
        <v>10000.0</v>
      </c>
      <c r="F134" s="21">
        <f t="shared" si="1"/>
        <v>0</v>
      </c>
      <c r="G134" s="23"/>
      <c r="H134" s="2"/>
      <c r="I134" s="2"/>
      <c r="J134" s="2"/>
      <c r="K134" s="2"/>
    </row>
    <row r="135" ht="15.75" customHeight="1">
      <c r="A135" s="23"/>
      <c r="B135" s="23"/>
      <c r="C135" s="18" t="s">
        <v>29</v>
      </c>
      <c r="D135" s="19"/>
      <c r="E135" s="20">
        <v>1000.0</v>
      </c>
      <c r="F135" s="21">
        <f t="shared" si="1"/>
        <v>0</v>
      </c>
      <c r="G135" s="23"/>
      <c r="H135" s="2"/>
      <c r="I135" s="2"/>
      <c r="J135" s="2"/>
      <c r="K135" s="2"/>
    </row>
    <row r="136" ht="15.75" customHeight="1">
      <c r="A136" s="23"/>
      <c r="B136" s="23"/>
      <c r="C136" s="18" t="s">
        <v>30</v>
      </c>
      <c r="D136" s="19"/>
      <c r="E136" s="20">
        <v>500.0</v>
      </c>
      <c r="F136" s="21">
        <f t="shared" si="1"/>
        <v>0</v>
      </c>
      <c r="G136" s="23"/>
      <c r="H136" s="2"/>
      <c r="I136" s="2"/>
      <c r="J136" s="2"/>
      <c r="K136" s="2"/>
    </row>
    <row r="137" ht="15.75" customHeight="1">
      <c r="A137" s="23"/>
      <c r="B137" s="23"/>
      <c r="C137" s="18" t="s">
        <v>31</v>
      </c>
      <c r="D137" s="19"/>
      <c r="E137" s="20">
        <v>200.0</v>
      </c>
      <c r="F137" s="21">
        <f t="shared" si="1"/>
        <v>0</v>
      </c>
      <c r="G137" s="23"/>
      <c r="H137" s="2"/>
      <c r="I137" s="2"/>
      <c r="J137" s="2"/>
      <c r="K137" s="2"/>
    </row>
    <row r="138" ht="15.75" customHeight="1">
      <c r="A138" s="23"/>
      <c r="B138" s="23"/>
      <c r="C138" s="18" t="s">
        <v>32</v>
      </c>
      <c r="D138" s="19"/>
      <c r="E138" s="20">
        <v>1000.0</v>
      </c>
      <c r="F138" s="21">
        <f t="shared" si="1"/>
        <v>0</v>
      </c>
      <c r="G138" s="23"/>
      <c r="H138" s="2"/>
      <c r="I138" s="2"/>
      <c r="J138" s="2"/>
      <c r="K138" s="2"/>
    </row>
    <row r="139" ht="15.75" customHeight="1">
      <c r="A139" s="23"/>
      <c r="B139" s="23"/>
      <c r="C139" s="18" t="s">
        <v>33</v>
      </c>
      <c r="D139" s="19"/>
      <c r="E139" s="20">
        <v>300.0</v>
      </c>
      <c r="F139" s="21">
        <f t="shared" si="1"/>
        <v>0</v>
      </c>
      <c r="G139" s="23"/>
      <c r="H139" s="2"/>
      <c r="I139" s="2"/>
      <c r="J139" s="2"/>
      <c r="K139" s="2"/>
    </row>
    <row r="140" ht="15.75" customHeight="1">
      <c r="A140" s="23"/>
      <c r="B140" s="23"/>
      <c r="C140" s="18" t="s">
        <v>34</v>
      </c>
      <c r="D140" s="19"/>
      <c r="E140" s="20">
        <v>100.0</v>
      </c>
      <c r="F140" s="21">
        <f t="shared" si="1"/>
        <v>0</v>
      </c>
      <c r="G140" s="23"/>
      <c r="H140" s="2"/>
      <c r="I140" s="2"/>
      <c r="J140" s="2"/>
      <c r="K140" s="2"/>
    </row>
    <row r="141" ht="15.75" customHeight="1">
      <c r="A141" s="23"/>
      <c r="B141" s="23"/>
      <c r="C141" s="18" t="s">
        <v>35</v>
      </c>
      <c r="D141" s="19"/>
      <c r="E141" s="20">
        <v>500.0</v>
      </c>
      <c r="F141" s="21">
        <f t="shared" si="1"/>
        <v>0</v>
      </c>
      <c r="G141" s="23"/>
      <c r="H141" s="2"/>
      <c r="I141" s="2"/>
      <c r="J141" s="2"/>
      <c r="K141" s="2"/>
    </row>
    <row r="142" ht="15.75" customHeight="1">
      <c r="A142" s="23"/>
      <c r="B142" s="23"/>
      <c r="C142" s="18" t="s">
        <v>36</v>
      </c>
      <c r="D142" s="19"/>
      <c r="E142" s="20">
        <v>1500.0</v>
      </c>
      <c r="F142" s="21">
        <f t="shared" si="1"/>
        <v>0</v>
      </c>
      <c r="G142" s="23"/>
      <c r="H142" s="2"/>
      <c r="I142" s="2"/>
      <c r="J142" s="2"/>
      <c r="K142" s="2"/>
    </row>
    <row r="143" ht="15.75" customHeight="1">
      <c r="A143" s="23"/>
      <c r="B143" s="23"/>
      <c r="C143" s="18" t="s">
        <v>37</v>
      </c>
      <c r="D143" s="19"/>
      <c r="E143" s="20">
        <v>4000.0</v>
      </c>
      <c r="F143" s="21">
        <f t="shared" si="1"/>
        <v>0</v>
      </c>
      <c r="G143" s="23"/>
      <c r="H143" s="2"/>
      <c r="I143" s="2"/>
      <c r="J143" s="2"/>
      <c r="K143" s="2"/>
    </row>
    <row r="144" ht="15.75" customHeight="1">
      <c r="A144" s="25"/>
      <c r="B144" s="25"/>
      <c r="C144" s="18" t="s">
        <v>38</v>
      </c>
      <c r="D144" s="19"/>
      <c r="E144" s="20">
        <v>0.0</v>
      </c>
      <c r="F144" s="21">
        <f t="shared" si="1"/>
        <v>0</v>
      </c>
      <c r="G144" s="25"/>
      <c r="H144" s="2"/>
      <c r="I144" s="2"/>
      <c r="J144" s="2"/>
      <c r="K144" s="2"/>
    </row>
    <row r="145" ht="15.75" customHeight="1">
      <c r="A145" s="16">
        <v>6.0</v>
      </c>
      <c r="B145" s="17" t="s">
        <v>62</v>
      </c>
      <c r="C145" s="18" t="s">
        <v>11</v>
      </c>
      <c r="D145" s="19"/>
      <c r="E145" s="20">
        <v>5000.0</v>
      </c>
      <c r="F145" s="21">
        <f t="shared" si="1"/>
        <v>0</v>
      </c>
      <c r="G145" s="22">
        <f>SUM(F145:F172)</f>
        <v>38900</v>
      </c>
      <c r="H145" s="2"/>
      <c r="I145" s="2"/>
      <c r="J145" s="2"/>
      <c r="K145" s="2"/>
    </row>
    <row r="146" ht="15.75" customHeight="1">
      <c r="A146" s="23"/>
      <c r="B146" s="23"/>
      <c r="C146" s="18" t="s">
        <v>12</v>
      </c>
      <c r="D146" s="19">
        <v>9.0</v>
      </c>
      <c r="E146" s="20">
        <v>3000.0</v>
      </c>
      <c r="F146" s="21">
        <f t="shared" si="1"/>
        <v>27000</v>
      </c>
      <c r="G146" s="23"/>
      <c r="H146" s="2"/>
      <c r="I146" s="2"/>
      <c r="J146" s="2"/>
      <c r="K146" s="2"/>
    </row>
    <row r="147" ht="15.75" customHeight="1">
      <c r="A147" s="23"/>
      <c r="B147" s="23"/>
      <c r="C147" s="18" t="s">
        <v>13</v>
      </c>
      <c r="D147" s="19"/>
      <c r="E147" s="20">
        <v>1000.0</v>
      </c>
      <c r="F147" s="21">
        <f t="shared" si="1"/>
        <v>0</v>
      </c>
      <c r="G147" s="23"/>
      <c r="H147" s="2"/>
      <c r="I147" s="2"/>
      <c r="J147" s="2"/>
      <c r="K147" s="2"/>
    </row>
    <row r="148" ht="15.75" customHeight="1">
      <c r="A148" s="23"/>
      <c r="B148" s="23"/>
      <c r="C148" s="18" t="s">
        <v>14</v>
      </c>
      <c r="D148" s="19"/>
      <c r="E148" s="20">
        <v>2800.0</v>
      </c>
      <c r="F148" s="21">
        <f t="shared" si="1"/>
        <v>0</v>
      </c>
      <c r="G148" s="23"/>
      <c r="H148" s="2"/>
      <c r="I148" s="2"/>
      <c r="J148" s="2"/>
      <c r="K148" s="2"/>
    </row>
    <row r="149" ht="15.75" customHeight="1">
      <c r="A149" s="23"/>
      <c r="B149" s="23"/>
      <c r="C149" s="18" t="s">
        <v>15</v>
      </c>
      <c r="D149" s="19"/>
      <c r="E149" s="20">
        <v>3500.0</v>
      </c>
      <c r="F149" s="21">
        <f t="shared" si="1"/>
        <v>0</v>
      </c>
      <c r="G149" s="23"/>
      <c r="H149" s="2"/>
      <c r="I149" s="2"/>
      <c r="J149" s="2"/>
      <c r="K149" s="2"/>
    </row>
    <row r="150" ht="15.75" customHeight="1">
      <c r="A150" s="23"/>
      <c r="B150" s="23"/>
      <c r="C150" s="18" t="s">
        <v>16</v>
      </c>
      <c r="D150" s="19">
        <v>9.0</v>
      </c>
      <c r="E150" s="20">
        <v>1000.0</v>
      </c>
      <c r="F150" s="21">
        <f t="shared" si="1"/>
        <v>9000</v>
      </c>
      <c r="G150" s="23"/>
      <c r="H150" s="2"/>
      <c r="I150" s="2"/>
      <c r="J150" s="2"/>
      <c r="K150" s="2"/>
    </row>
    <row r="151" ht="15.75" customHeight="1">
      <c r="A151" s="23"/>
      <c r="B151" s="23"/>
      <c r="C151" s="18" t="s">
        <v>17</v>
      </c>
      <c r="D151" s="19"/>
      <c r="E151" s="20">
        <v>2000.0</v>
      </c>
      <c r="F151" s="21">
        <f t="shared" si="1"/>
        <v>0</v>
      </c>
      <c r="G151" s="23"/>
      <c r="H151" s="2"/>
      <c r="I151" s="2"/>
      <c r="J151" s="2"/>
      <c r="K151" s="2"/>
    </row>
    <row r="152" ht="15.75" customHeight="1">
      <c r="A152" s="23"/>
      <c r="B152" s="23"/>
      <c r="C152" s="18" t="s">
        <v>18</v>
      </c>
      <c r="D152" s="19"/>
      <c r="E152" s="20">
        <v>2000.0</v>
      </c>
      <c r="F152" s="21">
        <f t="shared" si="1"/>
        <v>0</v>
      </c>
      <c r="G152" s="23"/>
      <c r="H152" s="2"/>
      <c r="I152" s="2"/>
      <c r="J152" s="2"/>
      <c r="K152" s="2"/>
    </row>
    <row r="153" ht="15.75" customHeight="1">
      <c r="A153" s="23"/>
      <c r="B153" s="23"/>
      <c r="C153" s="18" t="s">
        <v>19</v>
      </c>
      <c r="D153" s="19"/>
      <c r="E153" s="20">
        <v>1300.0</v>
      </c>
      <c r="F153" s="21">
        <f t="shared" si="1"/>
        <v>0</v>
      </c>
      <c r="G153" s="23"/>
      <c r="H153" s="2"/>
      <c r="I153" s="2"/>
      <c r="J153" s="2"/>
      <c r="K153" s="2"/>
    </row>
    <row r="154" ht="15.75" customHeight="1">
      <c r="A154" s="23"/>
      <c r="B154" s="23"/>
      <c r="C154" s="18" t="s">
        <v>20</v>
      </c>
      <c r="D154" s="19"/>
      <c r="E154" s="20">
        <v>1000.0</v>
      </c>
      <c r="F154" s="21">
        <f t="shared" si="1"/>
        <v>0</v>
      </c>
      <c r="G154" s="23"/>
      <c r="H154" s="2"/>
      <c r="I154" s="2"/>
      <c r="J154" s="2"/>
      <c r="K154" s="2"/>
    </row>
    <row r="155" ht="15.75" customHeight="1">
      <c r="A155" s="23"/>
      <c r="B155" s="23"/>
      <c r="C155" s="18" t="s">
        <v>21</v>
      </c>
      <c r="D155" s="19"/>
      <c r="E155" s="20">
        <v>400.0</v>
      </c>
      <c r="F155" s="21">
        <f t="shared" si="1"/>
        <v>0</v>
      </c>
      <c r="G155" s="23"/>
      <c r="H155" s="2"/>
      <c r="I155" s="2"/>
      <c r="J155" s="2"/>
      <c r="K155" s="2"/>
    </row>
    <row r="156" ht="15.75" customHeight="1">
      <c r="A156" s="23"/>
      <c r="B156" s="23"/>
      <c r="C156" s="18" t="s">
        <v>22</v>
      </c>
      <c r="D156" s="19"/>
      <c r="E156" s="20">
        <v>7500.0</v>
      </c>
      <c r="F156" s="21">
        <f t="shared" si="1"/>
        <v>0</v>
      </c>
      <c r="G156" s="23"/>
      <c r="H156" s="2"/>
      <c r="I156" s="2"/>
      <c r="J156" s="2"/>
      <c r="K156" s="2"/>
    </row>
    <row r="157" ht="15.75" customHeight="1">
      <c r="A157" s="23"/>
      <c r="B157" s="23"/>
      <c r="C157" s="18" t="s">
        <v>23</v>
      </c>
      <c r="D157" s="19"/>
      <c r="E157" s="20">
        <v>2000.0</v>
      </c>
      <c r="F157" s="21">
        <f t="shared" si="1"/>
        <v>0</v>
      </c>
      <c r="G157" s="23"/>
      <c r="H157" s="2"/>
      <c r="I157" s="2"/>
      <c r="J157" s="2"/>
      <c r="K157" s="2"/>
    </row>
    <row r="158" ht="15.75" customHeight="1">
      <c r="A158" s="23"/>
      <c r="B158" s="23"/>
      <c r="C158" s="18" t="s">
        <v>24</v>
      </c>
      <c r="D158" s="19"/>
      <c r="E158" s="20">
        <v>800.0</v>
      </c>
      <c r="F158" s="21">
        <f t="shared" si="1"/>
        <v>0</v>
      </c>
      <c r="G158" s="23"/>
      <c r="H158" s="2"/>
      <c r="I158" s="2"/>
      <c r="J158" s="2"/>
      <c r="K158" s="2"/>
    </row>
    <row r="159" ht="15.75" customHeight="1">
      <c r="A159" s="23"/>
      <c r="B159" s="23"/>
      <c r="C159" s="18" t="s">
        <v>25</v>
      </c>
      <c r="D159" s="19"/>
      <c r="E159" s="20">
        <v>5000.0</v>
      </c>
      <c r="F159" s="21">
        <f t="shared" si="1"/>
        <v>0</v>
      </c>
      <c r="G159" s="23"/>
      <c r="H159" s="2"/>
      <c r="I159" s="2"/>
      <c r="J159" s="2"/>
      <c r="K159" s="2"/>
    </row>
    <row r="160" ht="15.75" customHeight="1">
      <c r="A160" s="23"/>
      <c r="B160" s="23"/>
      <c r="C160" s="18" t="s">
        <v>26</v>
      </c>
      <c r="D160" s="19"/>
      <c r="E160" s="20">
        <v>2700.0</v>
      </c>
      <c r="F160" s="21">
        <f t="shared" si="1"/>
        <v>0</v>
      </c>
      <c r="G160" s="23"/>
      <c r="H160" s="2"/>
      <c r="I160" s="2"/>
      <c r="J160" s="2"/>
      <c r="K160" s="2"/>
    </row>
    <row r="161" ht="15.75" customHeight="1">
      <c r="A161" s="23"/>
      <c r="B161" s="23"/>
      <c r="C161" s="18" t="s">
        <v>27</v>
      </c>
      <c r="D161" s="19"/>
      <c r="E161" s="20">
        <v>50000.0</v>
      </c>
      <c r="F161" s="21">
        <f t="shared" si="1"/>
        <v>0</v>
      </c>
      <c r="G161" s="23"/>
      <c r="H161" s="2"/>
      <c r="I161" s="2"/>
      <c r="J161" s="2"/>
      <c r="K161" s="2"/>
    </row>
    <row r="162" ht="15.75" customHeight="1">
      <c r="A162" s="23"/>
      <c r="B162" s="23"/>
      <c r="C162" s="18" t="s">
        <v>28</v>
      </c>
      <c r="D162" s="19"/>
      <c r="E162" s="20">
        <v>10000.0</v>
      </c>
      <c r="F162" s="21">
        <f t="shared" si="1"/>
        <v>0</v>
      </c>
      <c r="G162" s="23"/>
      <c r="H162" s="2"/>
      <c r="I162" s="2"/>
      <c r="J162" s="2"/>
      <c r="K162" s="2"/>
    </row>
    <row r="163" ht="15.75" customHeight="1">
      <c r="A163" s="23"/>
      <c r="B163" s="23"/>
      <c r="C163" s="18" t="s">
        <v>29</v>
      </c>
      <c r="D163" s="19"/>
      <c r="E163" s="20">
        <v>1000.0</v>
      </c>
      <c r="F163" s="21">
        <f t="shared" si="1"/>
        <v>0</v>
      </c>
      <c r="G163" s="23"/>
      <c r="H163" s="2"/>
      <c r="I163" s="2"/>
      <c r="J163" s="2"/>
      <c r="K163" s="2"/>
    </row>
    <row r="164" ht="15.75" customHeight="1">
      <c r="A164" s="23"/>
      <c r="B164" s="23"/>
      <c r="C164" s="18" t="s">
        <v>30</v>
      </c>
      <c r="D164" s="19"/>
      <c r="E164" s="20">
        <v>500.0</v>
      </c>
      <c r="F164" s="21">
        <f t="shared" si="1"/>
        <v>0</v>
      </c>
      <c r="G164" s="23"/>
      <c r="H164" s="2"/>
      <c r="I164" s="2"/>
      <c r="J164" s="2"/>
      <c r="K164" s="2"/>
    </row>
    <row r="165" ht="15.75" customHeight="1">
      <c r="A165" s="23"/>
      <c r="B165" s="23"/>
      <c r="C165" s="18" t="s">
        <v>31</v>
      </c>
      <c r="D165" s="19">
        <v>6.0</v>
      </c>
      <c r="E165" s="20">
        <v>200.0</v>
      </c>
      <c r="F165" s="21">
        <f t="shared" si="1"/>
        <v>1200</v>
      </c>
      <c r="G165" s="23"/>
      <c r="H165" s="2"/>
      <c r="I165" s="2"/>
      <c r="J165" s="2"/>
      <c r="K165" s="2"/>
    </row>
    <row r="166" ht="15.75" customHeight="1">
      <c r="A166" s="23"/>
      <c r="B166" s="23"/>
      <c r="C166" s="18" t="s">
        <v>32</v>
      </c>
      <c r="D166" s="19"/>
      <c r="E166" s="20">
        <v>1000.0</v>
      </c>
      <c r="F166" s="21">
        <f t="shared" si="1"/>
        <v>0</v>
      </c>
      <c r="G166" s="23"/>
      <c r="H166" s="2"/>
      <c r="I166" s="2"/>
      <c r="J166" s="2"/>
      <c r="K166" s="2"/>
    </row>
    <row r="167" ht="15.75" customHeight="1">
      <c r="A167" s="23"/>
      <c r="B167" s="23"/>
      <c r="C167" s="18" t="s">
        <v>33</v>
      </c>
      <c r="D167" s="19"/>
      <c r="E167" s="20">
        <v>300.0</v>
      </c>
      <c r="F167" s="21">
        <f t="shared" si="1"/>
        <v>0</v>
      </c>
      <c r="G167" s="23"/>
      <c r="H167" s="2"/>
      <c r="I167" s="2"/>
      <c r="J167" s="2"/>
      <c r="K167" s="2"/>
    </row>
    <row r="168" ht="15.75" customHeight="1">
      <c r="A168" s="23"/>
      <c r="B168" s="23"/>
      <c r="C168" s="18" t="s">
        <v>34</v>
      </c>
      <c r="D168" s="19">
        <v>17.0</v>
      </c>
      <c r="E168" s="20">
        <v>100.0</v>
      </c>
      <c r="F168" s="21">
        <f t="shared" si="1"/>
        <v>1700</v>
      </c>
      <c r="G168" s="23"/>
      <c r="H168" s="2"/>
      <c r="I168" s="2"/>
      <c r="J168" s="2"/>
      <c r="K168" s="2"/>
    </row>
    <row r="169" ht="15.75" customHeight="1">
      <c r="A169" s="23"/>
      <c r="B169" s="23"/>
      <c r="C169" s="18" t="s">
        <v>35</v>
      </c>
      <c r="D169" s="19"/>
      <c r="E169" s="20">
        <v>500.0</v>
      </c>
      <c r="F169" s="21">
        <f t="shared" si="1"/>
        <v>0</v>
      </c>
      <c r="G169" s="23"/>
      <c r="H169" s="2"/>
      <c r="I169" s="2"/>
      <c r="J169" s="2"/>
      <c r="K169" s="2"/>
    </row>
    <row r="170" ht="15.75" customHeight="1">
      <c r="A170" s="23"/>
      <c r="B170" s="23"/>
      <c r="C170" s="18" t="s">
        <v>36</v>
      </c>
      <c r="D170" s="19"/>
      <c r="E170" s="20">
        <v>1500.0</v>
      </c>
      <c r="F170" s="21">
        <f t="shared" si="1"/>
        <v>0</v>
      </c>
      <c r="G170" s="23"/>
      <c r="H170" s="2"/>
      <c r="I170" s="2"/>
      <c r="J170" s="2"/>
      <c r="K170" s="2"/>
    </row>
    <row r="171" ht="15.75" customHeight="1">
      <c r="A171" s="23"/>
      <c r="B171" s="23"/>
      <c r="C171" s="18" t="s">
        <v>37</v>
      </c>
      <c r="D171" s="19"/>
      <c r="E171" s="20">
        <v>4000.0</v>
      </c>
      <c r="F171" s="21">
        <f t="shared" si="1"/>
        <v>0</v>
      </c>
      <c r="G171" s="23"/>
      <c r="H171" s="2"/>
      <c r="I171" s="2"/>
      <c r="J171" s="2"/>
      <c r="K171" s="2"/>
    </row>
    <row r="172" ht="15.75" customHeight="1">
      <c r="A172" s="25"/>
      <c r="B172" s="25"/>
      <c r="C172" s="18" t="s">
        <v>38</v>
      </c>
      <c r="D172" s="19"/>
      <c r="E172" s="20">
        <v>0.0</v>
      </c>
      <c r="F172" s="21">
        <f t="shared" si="1"/>
        <v>0</v>
      </c>
      <c r="G172" s="25"/>
      <c r="H172" s="2"/>
      <c r="I172" s="2"/>
      <c r="J172" s="2"/>
      <c r="K172" s="2"/>
    </row>
    <row r="173" ht="15.75" customHeight="1">
      <c r="A173" s="16">
        <v>7.0</v>
      </c>
      <c r="B173" s="17" t="s">
        <v>63</v>
      </c>
      <c r="C173" s="18" t="s">
        <v>11</v>
      </c>
      <c r="D173" s="19"/>
      <c r="E173" s="20">
        <v>5000.0</v>
      </c>
      <c r="F173" s="21">
        <f t="shared" si="1"/>
        <v>0</v>
      </c>
      <c r="G173" s="22">
        <f>SUM(F173:F200)</f>
        <v>4000</v>
      </c>
      <c r="H173" s="2"/>
      <c r="I173" s="2"/>
      <c r="J173" s="2"/>
      <c r="K173" s="2"/>
    </row>
    <row r="174" ht="15.75" customHeight="1">
      <c r="A174" s="23"/>
      <c r="B174" s="23"/>
      <c r="C174" s="18" t="s">
        <v>12</v>
      </c>
      <c r="D174" s="19"/>
      <c r="E174" s="20">
        <v>3000.0</v>
      </c>
      <c r="F174" s="21">
        <f t="shared" si="1"/>
        <v>0</v>
      </c>
      <c r="G174" s="23"/>
      <c r="H174" s="2"/>
      <c r="I174" s="2"/>
      <c r="J174" s="2"/>
      <c r="K174" s="2"/>
    </row>
    <row r="175" ht="15.75" customHeight="1">
      <c r="A175" s="23"/>
      <c r="B175" s="23"/>
      <c r="C175" s="18" t="s">
        <v>13</v>
      </c>
      <c r="D175" s="19"/>
      <c r="E175" s="20">
        <v>1000.0</v>
      </c>
      <c r="F175" s="21">
        <f t="shared" si="1"/>
        <v>0</v>
      </c>
      <c r="G175" s="23"/>
      <c r="H175" s="2"/>
      <c r="I175" s="2"/>
      <c r="J175" s="2"/>
      <c r="K175" s="2"/>
    </row>
    <row r="176" ht="15.75" customHeight="1">
      <c r="A176" s="23"/>
      <c r="B176" s="23"/>
      <c r="C176" s="18" t="s">
        <v>14</v>
      </c>
      <c r="D176" s="19"/>
      <c r="E176" s="20">
        <v>2800.0</v>
      </c>
      <c r="F176" s="21">
        <f t="shared" si="1"/>
        <v>0</v>
      </c>
      <c r="G176" s="23"/>
      <c r="H176" s="2"/>
      <c r="I176" s="2"/>
      <c r="J176" s="2"/>
      <c r="K176" s="2"/>
    </row>
    <row r="177" ht="15.75" customHeight="1">
      <c r="A177" s="23"/>
      <c r="B177" s="23"/>
      <c r="C177" s="18" t="s">
        <v>15</v>
      </c>
      <c r="D177" s="19"/>
      <c r="E177" s="20">
        <v>3500.0</v>
      </c>
      <c r="F177" s="21">
        <f t="shared" si="1"/>
        <v>0</v>
      </c>
      <c r="G177" s="23"/>
      <c r="H177" s="2"/>
      <c r="I177" s="2"/>
      <c r="J177" s="2"/>
      <c r="K177" s="2"/>
    </row>
    <row r="178" ht="15.75" customHeight="1">
      <c r="A178" s="23"/>
      <c r="B178" s="23"/>
      <c r="C178" s="18" t="s">
        <v>16</v>
      </c>
      <c r="D178" s="19"/>
      <c r="E178" s="20">
        <v>1000.0</v>
      </c>
      <c r="F178" s="21">
        <f t="shared" si="1"/>
        <v>0</v>
      </c>
      <c r="G178" s="23"/>
      <c r="H178" s="2"/>
      <c r="I178" s="2"/>
      <c r="J178" s="2"/>
      <c r="K178" s="2"/>
    </row>
    <row r="179" ht="15.75" customHeight="1">
      <c r="A179" s="23"/>
      <c r="B179" s="23"/>
      <c r="C179" s="18" t="s">
        <v>17</v>
      </c>
      <c r="D179" s="19">
        <v>2.0</v>
      </c>
      <c r="E179" s="20">
        <v>2000.0</v>
      </c>
      <c r="F179" s="21">
        <f t="shared" si="1"/>
        <v>4000</v>
      </c>
      <c r="G179" s="23"/>
      <c r="H179" s="2"/>
      <c r="I179" s="2"/>
      <c r="J179" s="2"/>
      <c r="K179" s="2"/>
    </row>
    <row r="180" ht="15.75" customHeight="1">
      <c r="A180" s="23"/>
      <c r="B180" s="23"/>
      <c r="C180" s="18" t="s">
        <v>18</v>
      </c>
      <c r="D180" s="19"/>
      <c r="E180" s="20">
        <v>2000.0</v>
      </c>
      <c r="F180" s="21">
        <f t="shared" si="1"/>
        <v>0</v>
      </c>
      <c r="G180" s="23"/>
      <c r="H180" s="2"/>
      <c r="I180" s="2"/>
      <c r="J180" s="2"/>
      <c r="K180" s="2"/>
    </row>
    <row r="181" ht="15.75" customHeight="1">
      <c r="A181" s="23"/>
      <c r="B181" s="23"/>
      <c r="C181" s="18" t="s">
        <v>19</v>
      </c>
      <c r="D181" s="19"/>
      <c r="E181" s="20">
        <v>1300.0</v>
      </c>
      <c r="F181" s="21">
        <f t="shared" si="1"/>
        <v>0</v>
      </c>
      <c r="G181" s="23"/>
      <c r="H181" s="2"/>
      <c r="I181" s="2"/>
      <c r="J181" s="2"/>
      <c r="K181" s="2"/>
    </row>
    <row r="182" ht="15.75" customHeight="1">
      <c r="A182" s="23"/>
      <c r="B182" s="23"/>
      <c r="C182" s="18" t="s">
        <v>20</v>
      </c>
      <c r="D182" s="19"/>
      <c r="E182" s="20">
        <v>1000.0</v>
      </c>
      <c r="F182" s="21">
        <f t="shared" si="1"/>
        <v>0</v>
      </c>
      <c r="G182" s="23"/>
      <c r="H182" s="2"/>
      <c r="I182" s="2"/>
      <c r="J182" s="2"/>
      <c r="K182" s="2"/>
    </row>
    <row r="183" ht="15.75" customHeight="1">
      <c r="A183" s="23"/>
      <c r="B183" s="23"/>
      <c r="C183" s="18" t="s">
        <v>21</v>
      </c>
      <c r="D183" s="19"/>
      <c r="E183" s="20">
        <v>400.0</v>
      </c>
      <c r="F183" s="21">
        <f t="shared" si="1"/>
        <v>0</v>
      </c>
      <c r="G183" s="23"/>
      <c r="H183" s="2"/>
      <c r="I183" s="2"/>
      <c r="J183" s="2"/>
      <c r="K183" s="2"/>
    </row>
    <row r="184" ht="15.75" customHeight="1">
      <c r="A184" s="23"/>
      <c r="B184" s="23"/>
      <c r="C184" s="18" t="s">
        <v>22</v>
      </c>
      <c r="D184" s="19"/>
      <c r="E184" s="20">
        <v>7500.0</v>
      </c>
      <c r="F184" s="21">
        <f t="shared" si="1"/>
        <v>0</v>
      </c>
      <c r="G184" s="23"/>
      <c r="H184" s="2"/>
      <c r="I184" s="2"/>
      <c r="J184" s="2"/>
      <c r="K184" s="2"/>
    </row>
    <row r="185" ht="15.75" customHeight="1">
      <c r="A185" s="23"/>
      <c r="B185" s="23"/>
      <c r="C185" s="18" t="s">
        <v>23</v>
      </c>
      <c r="D185" s="19"/>
      <c r="E185" s="20">
        <v>2000.0</v>
      </c>
      <c r="F185" s="21">
        <f t="shared" si="1"/>
        <v>0</v>
      </c>
      <c r="G185" s="23"/>
      <c r="H185" s="2"/>
      <c r="I185" s="2"/>
      <c r="J185" s="2"/>
      <c r="K185" s="2"/>
    </row>
    <row r="186" ht="15.75" customHeight="1">
      <c r="A186" s="23"/>
      <c r="B186" s="23"/>
      <c r="C186" s="18" t="s">
        <v>24</v>
      </c>
      <c r="D186" s="19"/>
      <c r="E186" s="20">
        <v>800.0</v>
      </c>
      <c r="F186" s="21">
        <f t="shared" si="1"/>
        <v>0</v>
      </c>
      <c r="G186" s="23"/>
      <c r="H186" s="2"/>
      <c r="I186" s="2"/>
      <c r="J186" s="2"/>
      <c r="K186" s="2"/>
    </row>
    <row r="187" ht="15.75" customHeight="1">
      <c r="A187" s="23"/>
      <c r="B187" s="23"/>
      <c r="C187" s="18" t="s">
        <v>25</v>
      </c>
      <c r="D187" s="19"/>
      <c r="E187" s="20">
        <v>5000.0</v>
      </c>
      <c r="F187" s="21">
        <f t="shared" si="1"/>
        <v>0</v>
      </c>
      <c r="G187" s="23"/>
      <c r="H187" s="2"/>
      <c r="I187" s="2"/>
      <c r="J187" s="2"/>
      <c r="K187" s="2"/>
    </row>
    <row r="188" ht="15.75" customHeight="1">
      <c r="A188" s="23"/>
      <c r="B188" s="23"/>
      <c r="C188" s="18" t="s">
        <v>26</v>
      </c>
      <c r="D188" s="19"/>
      <c r="E188" s="20">
        <v>2700.0</v>
      </c>
      <c r="F188" s="21">
        <f t="shared" si="1"/>
        <v>0</v>
      </c>
      <c r="G188" s="23"/>
      <c r="H188" s="2"/>
      <c r="I188" s="2"/>
      <c r="J188" s="2"/>
      <c r="K188" s="2"/>
    </row>
    <row r="189" ht="15.75" customHeight="1">
      <c r="A189" s="23"/>
      <c r="B189" s="23"/>
      <c r="C189" s="18" t="s">
        <v>27</v>
      </c>
      <c r="D189" s="19"/>
      <c r="E189" s="20">
        <v>50000.0</v>
      </c>
      <c r="F189" s="21">
        <f t="shared" si="1"/>
        <v>0</v>
      </c>
      <c r="G189" s="23"/>
      <c r="H189" s="2"/>
      <c r="I189" s="2"/>
      <c r="J189" s="2"/>
      <c r="K189" s="2"/>
    </row>
    <row r="190" ht="15.75" customHeight="1">
      <c r="A190" s="23"/>
      <c r="B190" s="23"/>
      <c r="C190" s="18" t="s">
        <v>28</v>
      </c>
      <c r="D190" s="19"/>
      <c r="E190" s="20">
        <v>10000.0</v>
      </c>
      <c r="F190" s="21">
        <f t="shared" si="1"/>
        <v>0</v>
      </c>
      <c r="G190" s="23"/>
      <c r="H190" s="2"/>
      <c r="I190" s="2"/>
      <c r="J190" s="2"/>
      <c r="K190" s="2"/>
    </row>
    <row r="191" ht="15.75" customHeight="1">
      <c r="A191" s="23"/>
      <c r="B191" s="23"/>
      <c r="C191" s="18" t="s">
        <v>29</v>
      </c>
      <c r="D191" s="19"/>
      <c r="E191" s="20">
        <v>1000.0</v>
      </c>
      <c r="F191" s="21">
        <f t="shared" si="1"/>
        <v>0</v>
      </c>
      <c r="G191" s="23"/>
      <c r="H191" s="2"/>
      <c r="I191" s="2"/>
      <c r="J191" s="2"/>
      <c r="K191" s="2"/>
    </row>
    <row r="192" ht="15.75" customHeight="1">
      <c r="A192" s="23"/>
      <c r="B192" s="23"/>
      <c r="C192" s="18" t="s">
        <v>30</v>
      </c>
      <c r="D192" s="19"/>
      <c r="E192" s="20">
        <v>500.0</v>
      </c>
      <c r="F192" s="21">
        <f t="shared" si="1"/>
        <v>0</v>
      </c>
      <c r="G192" s="23"/>
      <c r="H192" s="2"/>
      <c r="I192" s="2"/>
      <c r="J192" s="2"/>
      <c r="K192" s="2"/>
    </row>
    <row r="193" ht="15.75" customHeight="1">
      <c r="A193" s="23"/>
      <c r="B193" s="23"/>
      <c r="C193" s="18" t="s">
        <v>31</v>
      </c>
      <c r="D193" s="19"/>
      <c r="E193" s="20">
        <v>200.0</v>
      </c>
      <c r="F193" s="21">
        <f t="shared" si="1"/>
        <v>0</v>
      </c>
      <c r="G193" s="23"/>
      <c r="H193" s="2"/>
      <c r="I193" s="2"/>
      <c r="J193" s="2"/>
      <c r="K193" s="2"/>
    </row>
    <row r="194" ht="15.75" customHeight="1">
      <c r="A194" s="23"/>
      <c r="B194" s="23"/>
      <c r="C194" s="18" t="s">
        <v>32</v>
      </c>
      <c r="D194" s="19"/>
      <c r="E194" s="20">
        <v>1000.0</v>
      </c>
      <c r="F194" s="21">
        <f t="shared" si="1"/>
        <v>0</v>
      </c>
      <c r="G194" s="23"/>
      <c r="H194" s="2"/>
      <c r="I194" s="2"/>
      <c r="J194" s="2"/>
      <c r="K194" s="2"/>
    </row>
    <row r="195" ht="15.75" customHeight="1">
      <c r="A195" s="23"/>
      <c r="B195" s="23"/>
      <c r="C195" s="18" t="s">
        <v>33</v>
      </c>
      <c r="D195" s="19"/>
      <c r="E195" s="20">
        <v>300.0</v>
      </c>
      <c r="F195" s="21">
        <f t="shared" si="1"/>
        <v>0</v>
      </c>
      <c r="G195" s="23"/>
      <c r="H195" s="2"/>
      <c r="I195" s="2"/>
      <c r="J195" s="2"/>
      <c r="K195" s="2"/>
    </row>
    <row r="196" ht="15.75" customHeight="1">
      <c r="A196" s="23"/>
      <c r="B196" s="23"/>
      <c r="C196" s="18" t="s">
        <v>34</v>
      </c>
      <c r="D196" s="19"/>
      <c r="E196" s="20">
        <v>100.0</v>
      </c>
      <c r="F196" s="21">
        <f t="shared" si="1"/>
        <v>0</v>
      </c>
      <c r="G196" s="23"/>
      <c r="H196" s="2"/>
      <c r="I196" s="2"/>
      <c r="J196" s="2"/>
      <c r="K196" s="2"/>
    </row>
    <row r="197" ht="15.75" customHeight="1">
      <c r="A197" s="23"/>
      <c r="B197" s="23"/>
      <c r="C197" s="18" t="s">
        <v>35</v>
      </c>
      <c r="D197" s="19"/>
      <c r="E197" s="20">
        <v>500.0</v>
      </c>
      <c r="F197" s="21">
        <f t="shared" si="1"/>
        <v>0</v>
      </c>
      <c r="G197" s="23"/>
      <c r="H197" s="2"/>
      <c r="I197" s="2"/>
      <c r="J197" s="2"/>
      <c r="K197" s="2"/>
    </row>
    <row r="198" ht="15.75" customHeight="1">
      <c r="A198" s="23"/>
      <c r="B198" s="23"/>
      <c r="C198" s="18" t="s">
        <v>36</v>
      </c>
      <c r="D198" s="19"/>
      <c r="E198" s="20">
        <v>1500.0</v>
      </c>
      <c r="F198" s="21">
        <f t="shared" si="1"/>
        <v>0</v>
      </c>
      <c r="G198" s="23"/>
      <c r="H198" s="2"/>
      <c r="I198" s="2"/>
      <c r="J198" s="2"/>
      <c r="K198" s="2"/>
    </row>
    <row r="199" ht="15.75" customHeight="1">
      <c r="A199" s="23"/>
      <c r="B199" s="23"/>
      <c r="C199" s="18" t="s">
        <v>37</v>
      </c>
      <c r="D199" s="19"/>
      <c r="E199" s="20">
        <v>4000.0</v>
      </c>
      <c r="F199" s="21">
        <f t="shared" si="1"/>
        <v>0</v>
      </c>
      <c r="G199" s="23"/>
      <c r="H199" s="2"/>
      <c r="I199" s="2"/>
      <c r="J199" s="2"/>
      <c r="K199" s="2"/>
    </row>
    <row r="200" ht="15.75" customHeight="1">
      <c r="A200" s="25"/>
      <c r="B200" s="25"/>
      <c r="C200" s="18" t="s">
        <v>38</v>
      </c>
      <c r="D200" s="19">
        <v>2.0</v>
      </c>
      <c r="E200" s="20">
        <v>0.0</v>
      </c>
      <c r="F200" s="21">
        <f t="shared" si="1"/>
        <v>0</v>
      </c>
      <c r="G200" s="25"/>
      <c r="H200" s="2"/>
      <c r="I200" s="2"/>
      <c r="J200" s="2"/>
      <c r="K200" s="2"/>
    </row>
    <row r="201" ht="15.75" customHeight="1">
      <c r="A201" s="29"/>
      <c r="B201" s="30"/>
      <c r="C201" s="18"/>
      <c r="D201" s="19"/>
      <c r="E201" s="20"/>
      <c r="F201" s="21"/>
      <c r="G201" s="31"/>
      <c r="H201" s="2"/>
      <c r="I201" s="2"/>
      <c r="J201" s="2"/>
      <c r="K201" s="2"/>
    </row>
    <row r="202" ht="15.75" customHeight="1">
      <c r="A202" s="16">
        <v>8.0</v>
      </c>
      <c r="B202" s="32" t="s">
        <v>64</v>
      </c>
      <c r="C202" s="18" t="s">
        <v>11</v>
      </c>
      <c r="D202" s="19"/>
      <c r="E202" s="20">
        <v>5000.0</v>
      </c>
      <c r="F202" s="21">
        <f t="shared" ref="F202:F257" si="2">D202*E202</f>
        <v>0</v>
      </c>
      <c r="G202" s="22">
        <f>SUM(F202:F229)</f>
        <v>4500</v>
      </c>
      <c r="H202" s="2"/>
      <c r="I202" s="2"/>
      <c r="J202" s="2"/>
      <c r="K202" s="2"/>
    </row>
    <row r="203" ht="15.75" customHeight="1">
      <c r="A203" s="23"/>
      <c r="B203" s="23"/>
      <c r="C203" s="18" t="s">
        <v>12</v>
      </c>
      <c r="D203" s="19"/>
      <c r="E203" s="20">
        <v>3000.0</v>
      </c>
      <c r="F203" s="21">
        <f t="shared" si="2"/>
        <v>0</v>
      </c>
      <c r="G203" s="23"/>
      <c r="H203" s="2"/>
      <c r="I203" s="2"/>
      <c r="J203" s="2"/>
      <c r="K203" s="2"/>
    </row>
    <row r="204" ht="15.75" customHeight="1">
      <c r="A204" s="23"/>
      <c r="B204" s="23"/>
      <c r="C204" s="18" t="s">
        <v>13</v>
      </c>
      <c r="D204" s="19"/>
      <c r="E204" s="20">
        <v>1000.0</v>
      </c>
      <c r="F204" s="21">
        <f t="shared" si="2"/>
        <v>0</v>
      </c>
      <c r="G204" s="23"/>
      <c r="H204" s="2"/>
      <c r="I204" s="2"/>
      <c r="J204" s="2"/>
      <c r="K204" s="2"/>
    </row>
    <row r="205" ht="15.75" customHeight="1">
      <c r="A205" s="23"/>
      <c r="B205" s="23"/>
      <c r="C205" s="18" t="s">
        <v>14</v>
      </c>
      <c r="D205" s="19"/>
      <c r="E205" s="20">
        <v>2800.0</v>
      </c>
      <c r="F205" s="21">
        <f t="shared" si="2"/>
        <v>0</v>
      </c>
      <c r="G205" s="23"/>
      <c r="H205" s="2"/>
      <c r="I205" s="2"/>
      <c r="J205" s="2"/>
      <c r="K205" s="2"/>
    </row>
    <row r="206" ht="15.75" customHeight="1">
      <c r="A206" s="23"/>
      <c r="B206" s="23"/>
      <c r="C206" s="18" t="s">
        <v>15</v>
      </c>
      <c r="D206" s="19"/>
      <c r="E206" s="20">
        <v>3500.0</v>
      </c>
      <c r="F206" s="21">
        <f t="shared" si="2"/>
        <v>0</v>
      </c>
      <c r="G206" s="23"/>
      <c r="H206" s="2"/>
      <c r="I206" s="2"/>
      <c r="J206" s="2"/>
      <c r="K206" s="2"/>
    </row>
    <row r="207" ht="15.75" customHeight="1">
      <c r="A207" s="23"/>
      <c r="B207" s="23"/>
      <c r="C207" s="18" t="s">
        <v>16</v>
      </c>
      <c r="D207" s="19">
        <v>4.5</v>
      </c>
      <c r="E207" s="20">
        <v>1000.0</v>
      </c>
      <c r="F207" s="21">
        <f t="shared" si="2"/>
        <v>4500</v>
      </c>
      <c r="G207" s="23"/>
      <c r="H207" s="2"/>
      <c r="I207" s="2"/>
      <c r="J207" s="2"/>
      <c r="K207" s="2"/>
    </row>
    <row r="208" ht="15.75" customHeight="1">
      <c r="A208" s="23"/>
      <c r="B208" s="23"/>
      <c r="C208" s="18" t="s">
        <v>17</v>
      </c>
      <c r="D208" s="19"/>
      <c r="E208" s="20">
        <v>2000.0</v>
      </c>
      <c r="F208" s="21">
        <f t="shared" si="2"/>
        <v>0</v>
      </c>
      <c r="G208" s="23"/>
      <c r="H208" s="2"/>
      <c r="I208" s="2"/>
      <c r="J208" s="2"/>
      <c r="K208" s="2"/>
    </row>
    <row r="209" ht="15.75" customHeight="1">
      <c r="A209" s="23"/>
      <c r="B209" s="23"/>
      <c r="C209" s="18" t="s">
        <v>18</v>
      </c>
      <c r="D209" s="19"/>
      <c r="E209" s="20">
        <v>2000.0</v>
      </c>
      <c r="F209" s="21">
        <f t="shared" si="2"/>
        <v>0</v>
      </c>
      <c r="G209" s="23"/>
      <c r="H209" s="2"/>
      <c r="I209" s="2"/>
      <c r="J209" s="2"/>
      <c r="K209" s="2"/>
    </row>
    <row r="210" ht="15.75" customHeight="1">
      <c r="A210" s="23"/>
      <c r="B210" s="23"/>
      <c r="C210" s="18" t="s">
        <v>19</v>
      </c>
      <c r="D210" s="19"/>
      <c r="E210" s="20">
        <v>1300.0</v>
      </c>
      <c r="F210" s="21">
        <f t="shared" si="2"/>
        <v>0</v>
      </c>
      <c r="G210" s="23"/>
      <c r="H210" s="2"/>
      <c r="I210" s="2"/>
      <c r="J210" s="2"/>
      <c r="K210" s="2"/>
    </row>
    <row r="211" ht="15.75" customHeight="1">
      <c r="A211" s="23"/>
      <c r="B211" s="23"/>
      <c r="C211" s="18" t="s">
        <v>20</v>
      </c>
      <c r="D211" s="19"/>
      <c r="E211" s="20">
        <v>1000.0</v>
      </c>
      <c r="F211" s="21">
        <f t="shared" si="2"/>
        <v>0</v>
      </c>
      <c r="G211" s="23"/>
      <c r="H211" s="2"/>
      <c r="I211" s="2"/>
      <c r="J211" s="2"/>
      <c r="K211" s="2"/>
    </row>
    <row r="212" ht="15.75" customHeight="1">
      <c r="A212" s="23"/>
      <c r="B212" s="23"/>
      <c r="C212" s="18" t="s">
        <v>21</v>
      </c>
      <c r="D212" s="19"/>
      <c r="E212" s="20">
        <v>400.0</v>
      </c>
      <c r="F212" s="21">
        <f t="shared" si="2"/>
        <v>0</v>
      </c>
      <c r="G212" s="23"/>
      <c r="H212" s="2"/>
      <c r="I212" s="2"/>
      <c r="J212" s="2"/>
      <c r="K212" s="2"/>
    </row>
    <row r="213" ht="15.75" customHeight="1">
      <c r="A213" s="23"/>
      <c r="B213" s="23"/>
      <c r="C213" s="18" t="s">
        <v>22</v>
      </c>
      <c r="D213" s="19"/>
      <c r="E213" s="20">
        <v>7500.0</v>
      </c>
      <c r="F213" s="21">
        <f t="shared" si="2"/>
        <v>0</v>
      </c>
      <c r="G213" s="23"/>
      <c r="H213" s="2"/>
      <c r="I213" s="2"/>
      <c r="J213" s="2"/>
      <c r="K213" s="2"/>
    </row>
    <row r="214" ht="15.75" customHeight="1">
      <c r="A214" s="23"/>
      <c r="B214" s="23"/>
      <c r="C214" s="18" t="s">
        <v>23</v>
      </c>
      <c r="D214" s="19"/>
      <c r="E214" s="20">
        <v>2000.0</v>
      </c>
      <c r="F214" s="21">
        <f t="shared" si="2"/>
        <v>0</v>
      </c>
      <c r="G214" s="23"/>
      <c r="H214" s="2"/>
      <c r="I214" s="2"/>
      <c r="J214" s="2"/>
      <c r="K214" s="2"/>
    </row>
    <row r="215" ht="15.75" customHeight="1">
      <c r="A215" s="23"/>
      <c r="B215" s="23"/>
      <c r="C215" s="18" t="s">
        <v>24</v>
      </c>
      <c r="D215" s="19"/>
      <c r="E215" s="20">
        <v>800.0</v>
      </c>
      <c r="F215" s="21">
        <f t="shared" si="2"/>
        <v>0</v>
      </c>
      <c r="G215" s="23"/>
      <c r="H215" s="2"/>
      <c r="I215" s="2"/>
      <c r="J215" s="2"/>
      <c r="K215" s="2"/>
    </row>
    <row r="216" ht="15.75" customHeight="1">
      <c r="A216" s="23"/>
      <c r="B216" s="23"/>
      <c r="C216" s="18" t="s">
        <v>25</v>
      </c>
      <c r="D216" s="19"/>
      <c r="E216" s="20">
        <v>5000.0</v>
      </c>
      <c r="F216" s="21">
        <f t="shared" si="2"/>
        <v>0</v>
      </c>
      <c r="G216" s="23"/>
      <c r="H216" s="2"/>
      <c r="I216" s="2"/>
      <c r="J216" s="2"/>
      <c r="K216" s="2"/>
    </row>
    <row r="217" ht="15.75" customHeight="1">
      <c r="A217" s="23"/>
      <c r="B217" s="23"/>
      <c r="C217" s="18" t="s">
        <v>26</v>
      </c>
      <c r="D217" s="19"/>
      <c r="E217" s="20">
        <v>2700.0</v>
      </c>
      <c r="F217" s="21">
        <f t="shared" si="2"/>
        <v>0</v>
      </c>
      <c r="G217" s="23"/>
      <c r="H217" s="2"/>
      <c r="I217" s="2"/>
      <c r="J217" s="2"/>
      <c r="K217" s="2"/>
    </row>
    <row r="218" ht="15.75" customHeight="1">
      <c r="A218" s="23"/>
      <c r="B218" s="23"/>
      <c r="C218" s="18" t="s">
        <v>27</v>
      </c>
      <c r="D218" s="19"/>
      <c r="E218" s="20">
        <v>50000.0</v>
      </c>
      <c r="F218" s="21">
        <f t="shared" si="2"/>
        <v>0</v>
      </c>
      <c r="G218" s="23"/>
      <c r="H218" s="2"/>
      <c r="I218" s="2"/>
      <c r="J218" s="2"/>
      <c r="K218" s="2"/>
    </row>
    <row r="219" ht="15.75" customHeight="1">
      <c r="A219" s="23"/>
      <c r="B219" s="23"/>
      <c r="C219" s="18" t="s">
        <v>28</v>
      </c>
      <c r="D219" s="19"/>
      <c r="E219" s="20">
        <v>10000.0</v>
      </c>
      <c r="F219" s="21">
        <f t="shared" si="2"/>
        <v>0</v>
      </c>
      <c r="G219" s="23"/>
      <c r="H219" s="2"/>
      <c r="I219" s="2"/>
      <c r="J219" s="2"/>
      <c r="K219" s="2"/>
    </row>
    <row r="220" ht="15.75" customHeight="1">
      <c r="A220" s="23"/>
      <c r="B220" s="23"/>
      <c r="C220" s="18" t="s">
        <v>29</v>
      </c>
      <c r="D220" s="19"/>
      <c r="E220" s="20">
        <v>1000.0</v>
      </c>
      <c r="F220" s="21">
        <f t="shared" si="2"/>
        <v>0</v>
      </c>
      <c r="G220" s="23"/>
      <c r="H220" s="2"/>
      <c r="I220" s="2"/>
      <c r="J220" s="2"/>
      <c r="K220" s="2"/>
    </row>
    <row r="221" ht="15.75" customHeight="1">
      <c r="A221" s="23"/>
      <c r="B221" s="23"/>
      <c r="C221" s="18" t="s">
        <v>30</v>
      </c>
      <c r="D221" s="19"/>
      <c r="E221" s="20">
        <v>500.0</v>
      </c>
      <c r="F221" s="21">
        <f t="shared" si="2"/>
        <v>0</v>
      </c>
      <c r="G221" s="23"/>
      <c r="H221" s="2"/>
      <c r="I221" s="2"/>
      <c r="J221" s="2"/>
      <c r="K221" s="2"/>
    </row>
    <row r="222" ht="15.75" customHeight="1">
      <c r="A222" s="23"/>
      <c r="B222" s="23"/>
      <c r="C222" s="18" t="s">
        <v>31</v>
      </c>
      <c r="D222" s="19"/>
      <c r="E222" s="20">
        <v>200.0</v>
      </c>
      <c r="F222" s="21">
        <f t="shared" si="2"/>
        <v>0</v>
      </c>
      <c r="G222" s="23"/>
      <c r="H222" s="2"/>
      <c r="I222" s="2"/>
      <c r="J222" s="2"/>
      <c r="K222" s="2"/>
    </row>
    <row r="223" ht="15.75" customHeight="1">
      <c r="A223" s="23"/>
      <c r="B223" s="23"/>
      <c r="C223" s="18" t="s">
        <v>32</v>
      </c>
      <c r="D223" s="19"/>
      <c r="E223" s="20">
        <v>1000.0</v>
      </c>
      <c r="F223" s="21">
        <f t="shared" si="2"/>
        <v>0</v>
      </c>
      <c r="G223" s="23"/>
      <c r="H223" s="2"/>
      <c r="I223" s="2"/>
      <c r="J223" s="2"/>
      <c r="K223" s="2"/>
    </row>
    <row r="224" ht="15.75" customHeight="1">
      <c r="A224" s="23"/>
      <c r="B224" s="23"/>
      <c r="C224" s="18" t="s">
        <v>33</v>
      </c>
      <c r="D224" s="19"/>
      <c r="E224" s="20">
        <v>300.0</v>
      </c>
      <c r="F224" s="21">
        <f t="shared" si="2"/>
        <v>0</v>
      </c>
      <c r="G224" s="23"/>
      <c r="H224" s="2"/>
      <c r="I224" s="2"/>
      <c r="J224" s="2"/>
      <c r="K224" s="2"/>
    </row>
    <row r="225" ht="15.75" customHeight="1">
      <c r="A225" s="23"/>
      <c r="B225" s="23"/>
      <c r="C225" s="18" t="s">
        <v>34</v>
      </c>
      <c r="D225" s="19"/>
      <c r="E225" s="20">
        <v>100.0</v>
      </c>
      <c r="F225" s="21">
        <f t="shared" si="2"/>
        <v>0</v>
      </c>
      <c r="G225" s="23"/>
      <c r="H225" s="2"/>
      <c r="I225" s="2"/>
      <c r="J225" s="2"/>
      <c r="K225" s="2"/>
    </row>
    <row r="226" ht="15.75" customHeight="1">
      <c r="A226" s="23"/>
      <c r="B226" s="23"/>
      <c r="C226" s="18" t="s">
        <v>35</v>
      </c>
      <c r="D226" s="19"/>
      <c r="E226" s="20">
        <v>500.0</v>
      </c>
      <c r="F226" s="21">
        <f t="shared" si="2"/>
        <v>0</v>
      </c>
      <c r="G226" s="23"/>
      <c r="H226" s="2"/>
      <c r="I226" s="2"/>
      <c r="J226" s="2"/>
      <c r="K226" s="2"/>
    </row>
    <row r="227" ht="15.75" customHeight="1">
      <c r="A227" s="23"/>
      <c r="B227" s="23"/>
      <c r="C227" s="18" t="s">
        <v>36</v>
      </c>
      <c r="D227" s="19"/>
      <c r="E227" s="20">
        <v>1500.0</v>
      </c>
      <c r="F227" s="21">
        <f t="shared" si="2"/>
        <v>0</v>
      </c>
      <c r="G227" s="23"/>
      <c r="H227" s="2"/>
      <c r="I227" s="2"/>
      <c r="J227" s="2"/>
      <c r="K227" s="2"/>
    </row>
    <row r="228" ht="15.75" customHeight="1">
      <c r="A228" s="23"/>
      <c r="B228" s="23"/>
      <c r="C228" s="18" t="s">
        <v>37</v>
      </c>
      <c r="D228" s="19"/>
      <c r="E228" s="20">
        <v>4000.0</v>
      </c>
      <c r="F228" s="21">
        <f t="shared" si="2"/>
        <v>0</v>
      </c>
      <c r="G228" s="23"/>
      <c r="H228" s="2"/>
      <c r="I228" s="2"/>
      <c r="J228" s="2"/>
      <c r="K228" s="2"/>
    </row>
    <row r="229" ht="15.75" customHeight="1">
      <c r="A229" s="25"/>
      <c r="B229" s="25"/>
      <c r="C229" s="18" t="s">
        <v>38</v>
      </c>
      <c r="D229" s="19"/>
      <c r="E229" s="20">
        <v>0.0</v>
      </c>
      <c r="F229" s="21">
        <f t="shared" si="2"/>
        <v>0</v>
      </c>
      <c r="G229" s="25"/>
      <c r="H229" s="2"/>
      <c r="I229" s="2"/>
      <c r="J229" s="2"/>
      <c r="K229" s="2"/>
    </row>
    <row r="230" ht="15.75" customHeight="1">
      <c r="A230" s="16">
        <v>10.0</v>
      </c>
      <c r="B230" s="17"/>
      <c r="C230" s="18" t="s">
        <v>11</v>
      </c>
      <c r="D230" s="19"/>
      <c r="E230" s="20">
        <v>5000.0</v>
      </c>
      <c r="F230" s="21">
        <f t="shared" si="2"/>
        <v>0</v>
      </c>
      <c r="G230" s="22">
        <f>SUM(F230:F257)</f>
        <v>0</v>
      </c>
      <c r="H230" s="2"/>
      <c r="I230" s="2"/>
      <c r="J230" s="2"/>
      <c r="K230" s="2"/>
    </row>
    <row r="231" ht="15.75" customHeight="1">
      <c r="A231" s="23"/>
      <c r="B231" s="23"/>
      <c r="C231" s="18" t="s">
        <v>12</v>
      </c>
      <c r="D231" s="19"/>
      <c r="E231" s="20">
        <v>3000.0</v>
      </c>
      <c r="F231" s="21">
        <f t="shared" si="2"/>
        <v>0</v>
      </c>
      <c r="G231" s="23"/>
      <c r="H231" s="2"/>
      <c r="I231" s="2"/>
      <c r="J231" s="2"/>
      <c r="K231" s="2"/>
    </row>
    <row r="232" ht="15.75" customHeight="1">
      <c r="A232" s="23"/>
      <c r="B232" s="23"/>
      <c r="C232" s="18" t="s">
        <v>13</v>
      </c>
      <c r="D232" s="19"/>
      <c r="E232" s="20">
        <v>1000.0</v>
      </c>
      <c r="F232" s="21">
        <f t="shared" si="2"/>
        <v>0</v>
      </c>
      <c r="G232" s="23"/>
      <c r="H232" s="2"/>
      <c r="I232" s="2"/>
      <c r="J232" s="2"/>
      <c r="K232" s="2"/>
    </row>
    <row r="233" ht="15.75" customHeight="1">
      <c r="A233" s="23"/>
      <c r="B233" s="23"/>
      <c r="C233" s="18" t="s">
        <v>14</v>
      </c>
      <c r="D233" s="19"/>
      <c r="E233" s="20">
        <v>2800.0</v>
      </c>
      <c r="F233" s="21">
        <f t="shared" si="2"/>
        <v>0</v>
      </c>
      <c r="G233" s="23"/>
      <c r="H233" s="2"/>
      <c r="I233" s="2"/>
      <c r="J233" s="2"/>
      <c r="K233" s="2"/>
    </row>
    <row r="234" ht="15.75" customHeight="1">
      <c r="A234" s="23"/>
      <c r="B234" s="23"/>
      <c r="C234" s="18" t="s">
        <v>15</v>
      </c>
      <c r="D234" s="19"/>
      <c r="E234" s="20">
        <v>3500.0</v>
      </c>
      <c r="F234" s="21">
        <f t="shared" si="2"/>
        <v>0</v>
      </c>
      <c r="G234" s="23"/>
      <c r="H234" s="2"/>
      <c r="I234" s="2"/>
      <c r="J234" s="2"/>
      <c r="K234" s="2"/>
    </row>
    <row r="235" ht="15.75" customHeight="1">
      <c r="A235" s="23"/>
      <c r="B235" s="23"/>
      <c r="C235" s="18" t="s">
        <v>16</v>
      </c>
      <c r="D235" s="19"/>
      <c r="E235" s="20">
        <v>1000.0</v>
      </c>
      <c r="F235" s="21">
        <f t="shared" si="2"/>
        <v>0</v>
      </c>
      <c r="G235" s="23"/>
      <c r="H235" s="2"/>
      <c r="I235" s="2"/>
      <c r="J235" s="2"/>
      <c r="K235" s="2"/>
    </row>
    <row r="236" ht="15.75" customHeight="1">
      <c r="A236" s="23"/>
      <c r="B236" s="23"/>
      <c r="C236" s="18" t="s">
        <v>17</v>
      </c>
      <c r="D236" s="19"/>
      <c r="E236" s="20">
        <v>2000.0</v>
      </c>
      <c r="F236" s="21">
        <f t="shared" si="2"/>
        <v>0</v>
      </c>
      <c r="G236" s="23"/>
      <c r="H236" s="2"/>
      <c r="I236" s="2"/>
      <c r="J236" s="2"/>
      <c r="K236" s="2"/>
    </row>
    <row r="237" ht="15.75" customHeight="1">
      <c r="A237" s="23"/>
      <c r="B237" s="23"/>
      <c r="C237" s="18" t="s">
        <v>18</v>
      </c>
      <c r="D237" s="19"/>
      <c r="E237" s="20">
        <v>2000.0</v>
      </c>
      <c r="F237" s="21">
        <f t="shared" si="2"/>
        <v>0</v>
      </c>
      <c r="G237" s="23"/>
      <c r="H237" s="2"/>
      <c r="I237" s="2"/>
      <c r="J237" s="2"/>
      <c r="K237" s="2"/>
    </row>
    <row r="238" ht="15.75" customHeight="1">
      <c r="A238" s="23"/>
      <c r="B238" s="23"/>
      <c r="C238" s="18" t="s">
        <v>19</v>
      </c>
      <c r="D238" s="19"/>
      <c r="E238" s="20">
        <v>1300.0</v>
      </c>
      <c r="F238" s="21">
        <f t="shared" si="2"/>
        <v>0</v>
      </c>
      <c r="G238" s="23"/>
      <c r="H238" s="2"/>
      <c r="I238" s="2"/>
      <c r="J238" s="2"/>
      <c r="K238" s="2"/>
    </row>
    <row r="239" ht="15.75" customHeight="1">
      <c r="A239" s="23"/>
      <c r="B239" s="23"/>
      <c r="C239" s="18" t="s">
        <v>20</v>
      </c>
      <c r="D239" s="19"/>
      <c r="E239" s="20">
        <v>1000.0</v>
      </c>
      <c r="F239" s="21">
        <f t="shared" si="2"/>
        <v>0</v>
      </c>
      <c r="G239" s="23"/>
      <c r="H239" s="2"/>
      <c r="I239" s="2"/>
      <c r="J239" s="2"/>
      <c r="K239" s="2"/>
    </row>
    <row r="240" ht="15.75" customHeight="1">
      <c r="A240" s="23"/>
      <c r="B240" s="23"/>
      <c r="C240" s="18" t="s">
        <v>21</v>
      </c>
      <c r="D240" s="19"/>
      <c r="E240" s="20">
        <v>400.0</v>
      </c>
      <c r="F240" s="21">
        <f t="shared" si="2"/>
        <v>0</v>
      </c>
      <c r="G240" s="23"/>
      <c r="H240" s="2"/>
      <c r="I240" s="2"/>
      <c r="J240" s="2"/>
      <c r="K240" s="2"/>
    </row>
    <row r="241" ht="15.75" customHeight="1">
      <c r="A241" s="23"/>
      <c r="B241" s="23"/>
      <c r="C241" s="18" t="s">
        <v>22</v>
      </c>
      <c r="D241" s="19"/>
      <c r="E241" s="20">
        <v>7500.0</v>
      </c>
      <c r="F241" s="21">
        <f t="shared" si="2"/>
        <v>0</v>
      </c>
      <c r="G241" s="23"/>
      <c r="H241" s="2"/>
      <c r="I241" s="2"/>
      <c r="J241" s="2"/>
      <c r="K241" s="2"/>
    </row>
    <row r="242" ht="15.75" customHeight="1">
      <c r="A242" s="23"/>
      <c r="B242" s="23"/>
      <c r="C242" s="18" t="s">
        <v>23</v>
      </c>
      <c r="D242" s="19"/>
      <c r="E242" s="20">
        <v>2000.0</v>
      </c>
      <c r="F242" s="21">
        <f t="shared" si="2"/>
        <v>0</v>
      </c>
      <c r="G242" s="23"/>
      <c r="H242" s="2"/>
      <c r="I242" s="2"/>
      <c r="J242" s="2"/>
      <c r="K242" s="2"/>
    </row>
    <row r="243" ht="15.75" customHeight="1">
      <c r="A243" s="23"/>
      <c r="B243" s="23"/>
      <c r="C243" s="18" t="s">
        <v>24</v>
      </c>
      <c r="D243" s="19"/>
      <c r="E243" s="20">
        <v>800.0</v>
      </c>
      <c r="F243" s="21">
        <f t="shared" si="2"/>
        <v>0</v>
      </c>
      <c r="G243" s="23"/>
      <c r="H243" s="2"/>
      <c r="I243" s="2"/>
      <c r="J243" s="2"/>
      <c r="K243" s="2"/>
    </row>
    <row r="244" ht="15.75" customHeight="1">
      <c r="A244" s="23"/>
      <c r="B244" s="23"/>
      <c r="C244" s="18" t="s">
        <v>25</v>
      </c>
      <c r="D244" s="19"/>
      <c r="E244" s="20">
        <v>5000.0</v>
      </c>
      <c r="F244" s="21">
        <f t="shared" si="2"/>
        <v>0</v>
      </c>
      <c r="G244" s="23"/>
      <c r="H244" s="2"/>
      <c r="I244" s="2"/>
      <c r="J244" s="2"/>
      <c r="K244" s="2"/>
    </row>
    <row r="245" ht="15.75" customHeight="1">
      <c r="A245" s="23"/>
      <c r="B245" s="23"/>
      <c r="C245" s="18" t="s">
        <v>26</v>
      </c>
      <c r="D245" s="19"/>
      <c r="E245" s="20">
        <v>2700.0</v>
      </c>
      <c r="F245" s="21">
        <f t="shared" si="2"/>
        <v>0</v>
      </c>
      <c r="G245" s="23"/>
      <c r="H245" s="2"/>
      <c r="I245" s="2"/>
      <c r="J245" s="2"/>
      <c r="K245" s="2"/>
    </row>
    <row r="246" ht="15.75" customHeight="1">
      <c r="A246" s="23"/>
      <c r="B246" s="23"/>
      <c r="C246" s="18" t="s">
        <v>27</v>
      </c>
      <c r="D246" s="19"/>
      <c r="E246" s="20">
        <v>50000.0</v>
      </c>
      <c r="F246" s="21">
        <f t="shared" si="2"/>
        <v>0</v>
      </c>
      <c r="G246" s="23"/>
      <c r="H246" s="2"/>
      <c r="I246" s="2"/>
      <c r="J246" s="2"/>
      <c r="K246" s="2"/>
    </row>
    <row r="247" ht="15.75" customHeight="1">
      <c r="A247" s="23"/>
      <c r="B247" s="23"/>
      <c r="C247" s="18" t="s">
        <v>28</v>
      </c>
      <c r="D247" s="19"/>
      <c r="E247" s="20">
        <v>10000.0</v>
      </c>
      <c r="F247" s="21">
        <f t="shared" si="2"/>
        <v>0</v>
      </c>
      <c r="G247" s="23"/>
      <c r="H247" s="2"/>
      <c r="I247" s="2"/>
      <c r="J247" s="2"/>
      <c r="K247" s="2"/>
    </row>
    <row r="248" ht="15.75" customHeight="1">
      <c r="A248" s="23"/>
      <c r="B248" s="23"/>
      <c r="C248" s="18" t="s">
        <v>29</v>
      </c>
      <c r="D248" s="19"/>
      <c r="E248" s="20">
        <v>1000.0</v>
      </c>
      <c r="F248" s="21">
        <f t="shared" si="2"/>
        <v>0</v>
      </c>
      <c r="G248" s="23"/>
      <c r="H248" s="2"/>
      <c r="I248" s="2"/>
      <c r="J248" s="2"/>
      <c r="K248" s="2"/>
    </row>
    <row r="249" ht="15.75" customHeight="1">
      <c r="A249" s="23"/>
      <c r="B249" s="23"/>
      <c r="C249" s="18" t="s">
        <v>30</v>
      </c>
      <c r="D249" s="19"/>
      <c r="E249" s="20">
        <v>500.0</v>
      </c>
      <c r="F249" s="21">
        <f t="shared" si="2"/>
        <v>0</v>
      </c>
      <c r="G249" s="23"/>
      <c r="H249" s="2"/>
      <c r="I249" s="2"/>
      <c r="J249" s="2"/>
      <c r="K249" s="2"/>
    </row>
    <row r="250" ht="15.75" customHeight="1">
      <c r="A250" s="23"/>
      <c r="B250" s="23"/>
      <c r="C250" s="18" t="s">
        <v>31</v>
      </c>
      <c r="D250" s="19"/>
      <c r="E250" s="20">
        <v>200.0</v>
      </c>
      <c r="F250" s="21">
        <f t="shared" si="2"/>
        <v>0</v>
      </c>
      <c r="G250" s="23"/>
      <c r="H250" s="2"/>
      <c r="I250" s="2"/>
      <c r="J250" s="2"/>
      <c r="K250" s="2"/>
    </row>
    <row r="251" ht="15.75" customHeight="1">
      <c r="A251" s="23"/>
      <c r="B251" s="23"/>
      <c r="C251" s="18" t="s">
        <v>32</v>
      </c>
      <c r="D251" s="19"/>
      <c r="E251" s="20">
        <v>1000.0</v>
      </c>
      <c r="F251" s="21">
        <f t="shared" si="2"/>
        <v>0</v>
      </c>
      <c r="G251" s="23"/>
      <c r="H251" s="2"/>
      <c r="I251" s="2"/>
      <c r="J251" s="2"/>
      <c r="K251" s="2"/>
    </row>
    <row r="252" ht="15.75" customHeight="1">
      <c r="A252" s="23"/>
      <c r="B252" s="23"/>
      <c r="C252" s="18" t="s">
        <v>33</v>
      </c>
      <c r="D252" s="19"/>
      <c r="E252" s="20">
        <v>300.0</v>
      </c>
      <c r="F252" s="21">
        <f t="shared" si="2"/>
        <v>0</v>
      </c>
      <c r="G252" s="23"/>
      <c r="H252" s="2"/>
      <c r="I252" s="2"/>
      <c r="J252" s="2"/>
      <c r="K252" s="2"/>
    </row>
    <row r="253" ht="15.75" customHeight="1">
      <c r="A253" s="23"/>
      <c r="B253" s="23"/>
      <c r="C253" s="18" t="s">
        <v>34</v>
      </c>
      <c r="D253" s="19"/>
      <c r="E253" s="20">
        <v>100.0</v>
      </c>
      <c r="F253" s="21">
        <f t="shared" si="2"/>
        <v>0</v>
      </c>
      <c r="G253" s="23"/>
      <c r="H253" s="2"/>
      <c r="I253" s="2"/>
      <c r="J253" s="2"/>
      <c r="K253" s="2"/>
    </row>
    <row r="254" ht="15.75" customHeight="1">
      <c r="A254" s="23"/>
      <c r="B254" s="23"/>
      <c r="C254" s="18" t="s">
        <v>35</v>
      </c>
      <c r="D254" s="19"/>
      <c r="E254" s="20">
        <v>500.0</v>
      </c>
      <c r="F254" s="21">
        <f t="shared" si="2"/>
        <v>0</v>
      </c>
      <c r="G254" s="23"/>
      <c r="H254" s="2"/>
      <c r="I254" s="2"/>
      <c r="J254" s="2"/>
      <c r="K254" s="2"/>
    </row>
    <row r="255" ht="15.75" customHeight="1">
      <c r="A255" s="23"/>
      <c r="B255" s="23"/>
      <c r="C255" s="18" t="s">
        <v>36</v>
      </c>
      <c r="D255" s="19"/>
      <c r="E255" s="20">
        <v>1500.0</v>
      </c>
      <c r="F255" s="21">
        <f t="shared" si="2"/>
        <v>0</v>
      </c>
      <c r="G255" s="23"/>
      <c r="H255" s="2"/>
      <c r="I255" s="2"/>
      <c r="J255" s="2"/>
      <c r="K255" s="2"/>
    </row>
    <row r="256" ht="15.75" customHeight="1">
      <c r="A256" s="23"/>
      <c r="B256" s="23"/>
      <c r="C256" s="18" t="s">
        <v>37</v>
      </c>
      <c r="D256" s="19"/>
      <c r="E256" s="20">
        <v>4000.0</v>
      </c>
      <c r="F256" s="21">
        <f t="shared" si="2"/>
        <v>0</v>
      </c>
      <c r="G256" s="23"/>
      <c r="H256" s="2"/>
      <c r="I256" s="2"/>
      <c r="J256" s="2"/>
      <c r="K256" s="2"/>
    </row>
    <row r="257" ht="15.75" customHeight="1">
      <c r="A257" s="25"/>
      <c r="B257" s="25"/>
      <c r="C257" s="18" t="s">
        <v>38</v>
      </c>
      <c r="D257" s="19"/>
      <c r="E257" s="20">
        <v>0.0</v>
      </c>
      <c r="F257" s="21">
        <f t="shared" si="2"/>
        <v>0</v>
      </c>
      <c r="G257" s="25"/>
      <c r="H257" s="2"/>
      <c r="I257" s="2"/>
      <c r="J257" s="2"/>
      <c r="K257" s="2"/>
    </row>
    <row r="258" ht="15.75" customHeight="1">
      <c r="A258" s="33" t="s">
        <v>55</v>
      </c>
      <c r="B258" s="4"/>
      <c r="C258" s="4"/>
      <c r="D258" s="4"/>
      <c r="E258" s="4"/>
      <c r="F258" s="5"/>
      <c r="G258" s="31">
        <f>SUM(G5:G257)</f>
        <v>259850</v>
      </c>
      <c r="H258" s="2"/>
      <c r="I258" s="2"/>
      <c r="J258" s="2"/>
      <c r="K258" s="2"/>
    </row>
    <row r="259" ht="15.75" customHeight="1">
      <c r="A259" s="33" t="s">
        <v>56</v>
      </c>
      <c r="B259" s="4"/>
      <c r="C259" s="4"/>
      <c r="D259" s="4"/>
      <c r="E259" s="4"/>
      <c r="F259" s="5"/>
      <c r="G259" s="31">
        <f>G258*5%</f>
        <v>12992.5</v>
      </c>
      <c r="H259" s="2"/>
      <c r="I259" s="2"/>
      <c r="J259" s="2"/>
      <c r="K259" s="2"/>
    </row>
    <row r="260" ht="15.7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</row>
    <row r="261" ht="15.75" customHeight="1">
      <c r="A261" s="1"/>
      <c r="B261" s="1"/>
      <c r="C261" s="2"/>
      <c r="D261" s="2"/>
      <c r="E261" s="2"/>
      <c r="F261" s="2"/>
      <c r="G261" s="2">
        <f>G258/8</f>
        <v>32481.25</v>
      </c>
      <c r="H261" s="2"/>
      <c r="I261" s="2"/>
      <c r="J261" s="2"/>
      <c r="K261" s="2"/>
    </row>
    <row r="262" ht="15.7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</row>
    <row r="263" ht="15.7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</row>
    <row r="264" ht="15.7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</row>
    <row r="265" ht="15.7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</row>
    <row r="266" ht="15.7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</row>
    <row r="267" ht="15.7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>
      <c r="A382" s="1"/>
      <c r="B382" s="1"/>
    </row>
    <row r="383" ht="15.75" customHeight="1">
      <c r="A383" s="1"/>
      <c r="B383" s="1"/>
    </row>
    <row r="384" ht="15.75" customHeight="1">
      <c r="A384" s="1"/>
      <c r="B384" s="1"/>
    </row>
    <row r="385" ht="15.75" customHeight="1">
      <c r="A385" s="1"/>
      <c r="B385" s="1"/>
    </row>
    <row r="386" ht="15.75" customHeight="1">
      <c r="A386" s="1"/>
      <c r="B386" s="1"/>
    </row>
    <row r="387" ht="15.75" customHeight="1">
      <c r="A387" s="1"/>
      <c r="B387" s="1"/>
    </row>
    <row r="388" ht="15.75" customHeight="1">
      <c r="A388" s="1"/>
      <c r="B388" s="1"/>
    </row>
    <row r="389" ht="15.75" customHeight="1">
      <c r="A389" s="1"/>
      <c r="B389" s="1"/>
    </row>
    <row r="390" ht="15.75" customHeight="1">
      <c r="A390" s="1"/>
      <c r="B390" s="1"/>
    </row>
    <row r="391" ht="15.75" customHeight="1">
      <c r="A391" s="1"/>
      <c r="B391" s="1"/>
    </row>
    <row r="392" ht="15.75" customHeight="1">
      <c r="A392" s="1"/>
      <c r="B392" s="1"/>
    </row>
    <row r="393" ht="15.75" customHeight="1">
      <c r="A393" s="1"/>
      <c r="B393" s="1"/>
    </row>
    <row r="394" ht="15.75" customHeight="1">
      <c r="A394" s="1"/>
      <c r="B394" s="1"/>
    </row>
    <row r="395" ht="15.75" customHeight="1">
      <c r="A395" s="1"/>
      <c r="B395" s="1"/>
    </row>
    <row r="396" ht="15.75" customHeight="1">
      <c r="A396" s="1"/>
      <c r="B396" s="1"/>
    </row>
    <row r="397" ht="15.75" customHeight="1">
      <c r="A397" s="1"/>
      <c r="B397" s="1"/>
    </row>
    <row r="398" ht="15.75" customHeight="1">
      <c r="A398" s="1"/>
      <c r="B398" s="1"/>
    </row>
    <row r="399" ht="15.75" customHeight="1">
      <c r="A399" s="1"/>
      <c r="B399" s="1"/>
    </row>
    <row r="400" ht="15.75" customHeight="1">
      <c r="A400" s="1"/>
      <c r="B400" s="1"/>
    </row>
    <row r="401" ht="15.75" customHeight="1">
      <c r="A401" s="1"/>
      <c r="B401" s="1"/>
    </row>
    <row r="402" ht="15.75" customHeight="1">
      <c r="A402" s="1"/>
      <c r="B402" s="1"/>
    </row>
    <row r="403" ht="15.75" customHeight="1">
      <c r="A403" s="1"/>
      <c r="B403" s="1"/>
    </row>
    <row r="404" ht="15.75" customHeight="1">
      <c r="A404" s="1"/>
      <c r="B404" s="1"/>
    </row>
    <row r="405" ht="15.75" customHeight="1">
      <c r="A405" s="1"/>
      <c r="B405" s="1"/>
    </row>
    <row r="406" ht="15.75" customHeight="1">
      <c r="A406" s="1"/>
      <c r="B406" s="1"/>
    </row>
    <row r="407" ht="15.75" customHeight="1">
      <c r="A407" s="1"/>
      <c r="B407" s="1"/>
    </row>
    <row r="408" ht="15.75" customHeight="1">
      <c r="A408" s="1"/>
      <c r="B408" s="1"/>
    </row>
    <row r="409" ht="15.75" customHeight="1">
      <c r="A409" s="1"/>
      <c r="B409" s="1"/>
    </row>
    <row r="410" ht="15.75" customHeight="1">
      <c r="A410" s="1"/>
      <c r="B410" s="1"/>
    </row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G61:G88"/>
    <mergeCell ref="G89:G116"/>
    <mergeCell ref="G117:G144"/>
    <mergeCell ref="G145:G172"/>
    <mergeCell ref="G173:G200"/>
    <mergeCell ref="G202:G229"/>
    <mergeCell ref="G230:G257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B230:B257"/>
    <mergeCell ref="A258:F258"/>
    <mergeCell ref="A259:F259"/>
    <mergeCell ref="A145:A172"/>
    <mergeCell ref="B145:B172"/>
    <mergeCell ref="A173:A200"/>
    <mergeCell ref="B173:B200"/>
    <mergeCell ref="A202:A229"/>
    <mergeCell ref="B202:B229"/>
    <mergeCell ref="A230:A25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  <col customWidth="1" min="14" max="14" width="23.88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65</v>
      </c>
      <c r="C5" s="18" t="s">
        <v>11</v>
      </c>
      <c r="D5" s="19"/>
      <c r="E5" s="20">
        <v>5000.0</v>
      </c>
      <c r="F5" s="21">
        <f t="shared" ref="F5:F175" si="1">D5*E5</f>
        <v>0</v>
      </c>
      <c r="G5" s="22">
        <f>SUM(F5:F32)</f>
        <v>27000</v>
      </c>
      <c r="H5" s="2"/>
      <c r="I5" s="18" t="s">
        <v>11</v>
      </c>
      <c r="J5" s="15">
        <f>SUMIF(C5:C427,"Gelas bersih",D5:D427)</f>
        <v>0</v>
      </c>
      <c r="K5" s="2"/>
    </row>
    <row r="6" ht="15.75" customHeight="1">
      <c r="A6" s="23"/>
      <c r="B6" s="23"/>
      <c r="C6" s="18" t="s">
        <v>12</v>
      </c>
      <c r="D6" s="19">
        <v>2.5</v>
      </c>
      <c r="E6" s="20">
        <v>3000.0</v>
      </c>
      <c r="F6" s="21">
        <f t="shared" si="1"/>
        <v>7500</v>
      </c>
      <c r="G6" s="23"/>
      <c r="H6" s="2"/>
      <c r="I6" s="18" t="s">
        <v>12</v>
      </c>
      <c r="J6" s="15">
        <f>SUMIF(C6:C428,"Botol bersih",D6:D428)</f>
        <v>4</v>
      </c>
      <c r="K6" s="2"/>
    </row>
    <row r="7" ht="15.75" customHeight="1">
      <c r="A7" s="23"/>
      <c r="B7" s="23"/>
      <c r="C7" s="18" t="s">
        <v>13</v>
      </c>
      <c r="D7" s="19"/>
      <c r="E7" s="20">
        <v>1000.0</v>
      </c>
      <c r="F7" s="21">
        <f t="shared" si="1"/>
        <v>0</v>
      </c>
      <c r="G7" s="23"/>
      <c r="H7" s="2"/>
      <c r="I7" s="18" t="s">
        <v>13</v>
      </c>
      <c r="J7" s="15">
        <f>SUMIF(C7:C429,"Botol Warna",D7:D429)</f>
        <v>0</v>
      </c>
      <c r="K7" s="2"/>
    </row>
    <row r="8" ht="15.75" customHeight="1">
      <c r="A8" s="23"/>
      <c r="B8" s="23"/>
      <c r="C8" s="18" t="s">
        <v>14</v>
      </c>
      <c r="D8" s="19"/>
      <c r="E8" s="20">
        <v>2800.0</v>
      </c>
      <c r="F8" s="21">
        <f t="shared" si="1"/>
        <v>0</v>
      </c>
      <c r="G8" s="23"/>
      <c r="H8" s="2"/>
      <c r="I8" s="18" t="s">
        <v>14</v>
      </c>
      <c r="J8" s="15">
        <f>SUMIF(C8:C430,"Tutup botol",D8:D430)</f>
        <v>0</v>
      </c>
      <c r="K8" s="2"/>
    </row>
    <row r="9" ht="15.75" customHeight="1">
      <c r="A9" s="23"/>
      <c r="B9" s="23"/>
      <c r="C9" s="18" t="s">
        <v>15</v>
      </c>
      <c r="D9" s="19"/>
      <c r="E9" s="20">
        <v>3500.0</v>
      </c>
      <c r="F9" s="21">
        <f t="shared" si="1"/>
        <v>0</v>
      </c>
      <c r="G9" s="23"/>
      <c r="H9" s="2"/>
      <c r="I9" s="18" t="s">
        <v>15</v>
      </c>
      <c r="J9" s="15">
        <f>SUMIF(C9:C431,"Tutup galon",D9:D431)</f>
        <v>0</v>
      </c>
      <c r="K9" s="2"/>
    </row>
    <row r="10" ht="15.75" customHeight="1">
      <c r="A10" s="23"/>
      <c r="B10" s="23"/>
      <c r="C10" s="18" t="s">
        <v>16</v>
      </c>
      <c r="D10" s="19">
        <f>8+6.5</f>
        <v>14.5</v>
      </c>
      <c r="E10" s="20">
        <v>1000.0</v>
      </c>
      <c r="F10" s="21">
        <f t="shared" si="1"/>
        <v>14500</v>
      </c>
      <c r="G10" s="23"/>
      <c r="H10" s="2"/>
      <c r="I10" s="18" t="s">
        <v>16</v>
      </c>
      <c r="J10" s="15">
        <f>SUMIF(C10:C432,"Hitam",D10:D432)</f>
        <v>112</v>
      </c>
      <c r="K10" s="2"/>
    </row>
    <row r="11" ht="15.75" customHeight="1">
      <c r="A11" s="23"/>
      <c r="B11" s="23"/>
      <c r="C11" s="18" t="s">
        <v>17</v>
      </c>
      <c r="D11" s="19"/>
      <c r="E11" s="20">
        <v>2000.0</v>
      </c>
      <c r="F11" s="21">
        <f t="shared" si="1"/>
        <v>0</v>
      </c>
      <c r="G11" s="23"/>
      <c r="H11" s="2"/>
      <c r="I11" s="18" t="s">
        <v>17</v>
      </c>
      <c r="J11" s="15">
        <f>SUMIF(C11:C433,"Plastik Campur",D11:D433)</f>
        <v>8.5</v>
      </c>
      <c r="K11" s="2"/>
    </row>
    <row r="12" ht="15.75" customHeight="1">
      <c r="A12" s="23"/>
      <c r="B12" s="23"/>
      <c r="C12" s="18" t="s">
        <v>18</v>
      </c>
      <c r="D12" s="19">
        <v>2.5</v>
      </c>
      <c r="E12" s="20">
        <v>2000.0</v>
      </c>
      <c r="F12" s="21">
        <f t="shared" si="1"/>
        <v>5000</v>
      </c>
      <c r="G12" s="23"/>
      <c r="H12" s="2"/>
      <c r="I12" s="18" t="s">
        <v>18</v>
      </c>
      <c r="J12" s="15">
        <f>SUMIF(C12:C434,"Kardus",D12:D434)</f>
        <v>45.5</v>
      </c>
      <c r="K12" s="2"/>
    </row>
    <row r="13" ht="15.75" customHeight="1">
      <c r="A13" s="23"/>
      <c r="B13" s="23"/>
      <c r="C13" s="18" t="s">
        <v>19</v>
      </c>
      <c r="D13" s="19"/>
      <c r="E13" s="20">
        <v>1300.0</v>
      </c>
      <c r="F13" s="21">
        <f t="shared" si="1"/>
        <v>0</v>
      </c>
      <c r="G13" s="23"/>
      <c r="H13" s="2"/>
      <c r="I13" s="18" t="s">
        <v>19</v>
      </c>
      <c r="J13" s="15">
        <f>SUMIF(C13:C435,"Kertas Putihan/ HVS",D13:D435)</f>
        <v>3</v>
      </c>
      <c r="K13" s="2"/>
    </row>
    <row r="14" ht="15.75" customHeight="1">
      <c r="A14" s="23"/>
      <c r="B14" s="23"/>
      <c r="C14" s="18" t="s">
        <v>20</v>
      </c>
      <c r="D14" s="19"/>
      <c r="E14" s="20">
        <v>1000.0</v>
      </c>
      <c r="F14" s="21">
        <f t="shared" si="1"/>
        <v>0</v>
      </c>
      <c r="G14" s="23"/>
      <c r="H14" s="2"/>
      <c r="I14" s="18" t="s">
        <v>20</v>
      </c>
      <c r="J14" s="15">
        <f>SUMIF(C14:C436,"Koran/Buku",D14:D436)</f>
        <v>18</v>
      </c>
      <c r="K14" s="2"/>
    </row>
    <row r="15" ht="15.75" customHeight="1">
      <c r="A15" s="23"/>
      <c r="B15" s="23"/>
      <c r="C15" s="18" t="s">
        <v>21</v>
      </c>
      <c r="D15" s="19"/>
      <c r="E15" s="20">
        <v>400.0</v>
      </c>
      <c r="F15" s="21">
        <f t="shared" si="1"/>
        <v>0</v>
      </c>
      <c r="G15" s="23"/>
      <c r="H15" s="2"/>
      <c r="I15" s="18" t="s">
        <v>21</v>
      </c>
      <c r="J15" s="15">
        <f>SUMIF(C15:C437,"Duplex",D15:D437)</f>
        <v>6.5</v>
      </c>
      <c r="K15" s="2"/>
    </row>
    <row r="16" ht="15.75" customHeight="1">
      <c r="A16" s="23"/>
      <c r="B16" s="23"/>
      <c r="C16" s="18" t="s">
        <v>22</v>
      </c>
      <c r="D16" s="19"/>
      <c r="E16" s="20">
        <v>7500.0</v>
      </c>
      <c r="F16" s="21">
        <f t="shared" si="1"/>
        <v>0</v>
      </c>
      <c r="G16" s="23"/>
      <c r="H16" s="2"/>
      <c r="I16" s="18" t="s">
        <v>22</v>
      </c>
      <c r="J16" s="15">
        <f>SUMIF(C16:C438,"Alumunium",D16:D438)</f>
        <v>3</v>
      </c>
      <c r="K16" s="2"/>
    </row>
    <row r="17" ht="15.75" customHeight="1">
      <c r="A17" s="23"/>
      <c r="B17" s="23"/>
      <c r="C17" s="18" t="s">
        <v>23</v>
      </c>
      <c r="D17" s="19"/>
      <c r="E17" s="20">
        <v>2000.0</v>
      </c>
      <c r="F17" s="21">
        <f t="shared" si="1"/>
        <v>0</v>
      </c>
      <c r="G17" s="23"/>
      <c r="H17" s="2"/>
      <c r="I17" s="18" t="s">
        <v>23</v>
      </c>
      <c r="J17" s="15">
        <f>SUMIF(C17:C439,"Besi",D17:D439)</f>
        <v>33.5</v>
      </c>
      <c r="K17" s="2"/>
    </row>
    <row r="18" ht="15.75" customHeight="1">
      <c r="A18" s="23"/>
      <c r="B18" s="23"/>
      <c r="C18" s="18" t="s">
        <v>24</v>
      </c>
      <c r="D18" s="19"/>
      <c r="E18" s="20">
        <v>800.0</v>
      </c>
      <c r="F18" s="21">
        <f t="shared" si="1"/>
        <v>0</v>
      </c>
      <c r="G18" s="23"/>
      <c r="H18" s="2"/>
      <c r="I18" s="18" t="s">
        <v>24</v>
      </c>
      <c r="J18" s="15">
        <f>SUMIF(C18:C440,"Kaleng kue/susu",D18:D440)</f>
        <v>20.5</v>
      </c>
      <c r="K18" s="2"/>
    </row>
    <row r="19" ht="15.75" customHeight="1">
      <c r="A19" s="23"/>
      <c r="B19" s="23"/>
      <c r="C19" s="18" t="s">
        <v>25</v>
      </c>
      <c r="D19" s="19"/>
      <c r="E19" s="20">
        <v>5000.0</v>
      </c>
      <c r="F19" s="21">
        <f t="shared" si="1"/>
        <v>0</v>
      </c>
      <c r="G19" s="23"/>
      <c r="H19" s="2"/>
      <c r="I19" s="18" t="s">
        <v>25</v>
      </c>
      <c r="J19" s="15">
        <f>SUMIF(C19:C441,"Kaleng Minuman",D19:D441)</f>
        <v>0</v>
      </c>
      <c r="K19" s="2"/>
    </row>
    <row r="20" ht="15.75" customHeight="1">
      <c r="A20" s="23"/>
      <c r="B20" s="23"/>
      <c r="C20" s="18" t="s">
        <v>26</v>
      </c>
      <c r="D20" s="19"/>
      <c r="E20" s="20">
        <v>2700.0</v>
      </c>
      <c r="F20" s="21">
        <f t="shared" si="1"/>
        <v>0</v>
      </c>
      <c r="G20" s="23"/>
      <c r="H20" s="2"/>
      <c r="I20" s="18" t="s">
        <v>26</v>
      </c>
      <c r="J20" s="15">
        <f>SUMIF(C20:C442,"Stanless",D20:D442)</f>
        <v>0</v>
      </c>
      <c r="K20" s="2"/>
    </row>
    <row r="21" ht="15.75" customHeight="1">
      <c r="A21" s="23"/>
      <c r="B21" s="23"/>
      <c r="C21" s="18" t="s">
        <v>27</v>
      </c>
      <c r="D21" s="19"/>
      <c r="E21" s="20">
        <v>50000.0</v>
      </c>
      <c r="F21" s="21">
        <f t="shared" si="1"/>
        <v>0</v>
      </c>
      <c r="G21" s="23"/>
      <c r="H21" s="2"/>
      <c r="I21" s="18" t="s">
        <v>27</v>
      </c>
      <c r="J21" s="15">
        <f>SUMIF(C21:C443,"Tembaga",D21:D443)</f>
        <v>0</v>
      </c>
      <c r="K21" s="2"/>
    </row>
    <row r="22" ht="15.75" customHeight="1">
      <c r="A22" s="23"/>
      <c r="B22" s="23"/>
      <c r="C22" s="18" t="s">
        <v>28</v>
      </c>
      <c r="D22" s="19"/>
      <c r="E22" s="20">
        <v>10000.0</v>
      </c>
      <c r="F22" s="21">
        <f t="shared" si="1"/>
        <v>0</v>
      </c>
      <c r="G22" s="23"/>
      <c r="H22" s="2"/>
      <c r="I22" s="18" t="s">
        <v>28</v>
      </c>
      <c r="J22" s="15">
        <f>SUMIF(C22:C444,"Aki Motor",D22:D444)</f>
        <v>0</v>
      </c>
      <c r="K22" s="2"/>
    </row>
    <row r="23" ht="15.75" customHeight="1">
      <c r="A23" s="23"/>
      <c r="B23" s="23"/>
      <c r="C23" s="18" t="s">
        <v>29</v>
      </c>
      <c r="D23" s="19"/>
      <c r="E23" s="20">
        <v>1000.0</v>
      </c>
      <c r="F23" s="21">
        <f t="shared" si="1"/>
        <v>0</v>
      </c>
      <c r="G23" s="23"/>
      <c r="H23" s="2"/>
      <c r="I23" s="18" t="s">
        <v>29</v>
      </c>
      <c r="J23" s="15">
        <f>SUMIF(C23:C445,"Paralon",D23:D445)</f>
        <v>5</v>
      </c>
      <c r="K23" s="2"/>
    </row>
    <row r="24" ht="15.75" customHeight="1">
      <c r="A24" s="23"/>
      <c r="B24" s="23"/>
      <c r="C24" s="18" t="s">
        <v>30</v>
      </c>
      <c r="D24" s="19"/>
      <c r="E24" s="20">
        <v>500.0</v>
      </c>
      <c r="F24" s="21">
        <f t="shared" si="1"/>
        <v>0</v>
      </c>
      <c r="G24" s="23"/>
      <c r="H24" s="2"/>
      <c r="I24" s="18" t="s">
        <v>30</v>
      </c>
      <c r="J24" s="15">
        <f>SUMIF(C24:C446,"Plastik bening",D24:D446)</f>
        <v>1.5</v>
      </c>
      <c r="K24" s="2"/>
    </row>
    <row r="25" ht="15.75" customHeight="1">
      <c r="A25" s="23"/>
      <c r="B25" s="23"/>
      <c r="C25" s="18" t="s">
        <v>31</v>
      </c>
      <c r="D25" s="19"/>
      <c r="E25" s="20">
        <v>200.0</v>
      </c>
      <c r="F25" s="21">
        <f t="shared" si="1"/>
        <v>0</v>
      </c>
      <c r="G25" s="23"/>
      <c r="H25" s="2"/>
      <c r="I25" s="18" t="s">
        <v>31</v>
      </c>
      <c r="J25" s="15">
        <f>SUMIF(C25:C447,"Plastik Warna",D25:D447)</f>
        <v>0</v>
      </c>
      <c r="K25" s="2"/>
    </row>
    <row r="26" ht="15.75" customHeight="1">
      <c r="A26" s="23"/>
      <c r="B26" s="23"/>
      <c r="C26" s="18" t="s">
        <v>32</v>
      </c>
      <c r="D26" s="19"/>
      <c r="E26" s="20">
        <v>1000.0</v>
      </c>
      <c r="F26" s="21">
        <f t="shared" si="1"/>
        <v>0</v>
      </c>
      <c r="G26" s="23"/>
      <c r="H26" s="2"/>
      <c r="I26" s="18" t="s">
        <v>32</v>
      </c>
      <c r="J26" s="15">
        <f>SUMIF(C26:C448,"Selang",D26:D448)</f>
        <v>0</v>
      </c>
      <c r="K26" s="2"/>
    </row>
    <row r="27" ht="15.75" customHeight="1">
      <c r="A27" s="23"/>
      <c r="B27" s="23"/>
      <c r="C27" s="18" t="s">
        <v>33</v>
      </c>
      <c r="D27" s="19"/>
      <c r="E27" s="20">
        <v>300.0</v>
      </c>
      <c r="F27" s="21">
        <f t="shared" si="1"/>
        <v>0</v>
      </c>
      <c r="G27" s="23"/>
      <c r="H27" s="2"/>
      <c r="I27" s="18" t="s">
        <v>33</v>
      </c>
      <c r="J27" s="15">
        <f>SUMIF(C27:C449,"Beling",D27:D449)</f>
        <v>8.5</v>
      </c>
      <c r="K27" s="2"/>
    </row>
    <row r="28" ht="15.75" customHeight="1">
      <c r="A28" s="23"/>
      <c r="B28" s="23"/>
      <c r="C28" s="18" t="s">
        <v>34</v>
      </c>
      <c r="D28" s="19"/>
      <c r="E28" s="20">
        <v>100.0</v>
      </c>
      <c r="F28" s="21">
        <f t="shared" si="1"/>
        <v>0</v>
      </c>
      <c r="G28" s="23"/>
      <c r="H28" s="2"/>
      <c r="I28" s="18" t="s">
        <v>34</v>
      </c>
      <c r="J28" s="15">
        <f>SUMIF(C28:C450,"Pecahan",D28:D450)</f>
        <v>6</v>
      </c>
      <c r="K28" s="2"/>
    </row>
    <row r="29" ht="15.75" customHeight="1">
      <c r="A29" s="23"/>
      <c r="B29" s="23"/>
      <c r="C29" s="18" t="s">
        <v>35</v>
      </c>
      <c r="D29" s="19"/>
      <c r="E29" s="20">
        <v>500.0</v>
      </c>
      <c r="F29" s="21">
        <f t="shared" si="1"/>
        <v>0</v>
      </c>
      <c r="G29" s="23"/>
      <c r="H29" s="2"/>
      <c r="I29" s="18" t="s">
        <v>35</v>
      </c>
      <c r="J29" s="15">
        <f>SUMIF(C29:C451,"Sendal/Sepatu",D29:D451)</f>
        <v>4.5</v>
      </c>
      <c r="K29" s="2"/>
    </row>
    <row r="30" ht="15.75" customHeight="1">
      <c r="A30" s="23"/>
      <c r="B30" s="23"/>
      <c r="C30" s="18" t="s">
        <v>36</v>
      </c>
      <c r="D30" s="19"/>
      <c r="E30" s="20">
        <v>1500.0</v>
      </c>
      <c r="F30" s="21">
        <f t="shared" si="1"/>
        <v>0</v>
      </c>
      <c r="G30" s="23"/>
      <c r="H30" s="2"/>
      <c r="I30" s="18" t="s">
        <v>36</v>
      </c>
      <c r="J30" s="15">
        <f>SUMIF(C30:C452,"Paku",D30:D452)</f>
        <v>0</v>
      </c>
      <c r="K30" s="2"/>
    </row>
    <row r="31" ht="15.75" customHeight="1">
      <c r="A31" s="23"/>
      <c r="B31" s="23"/>
      <c r="C31" s="18" t="s">
        <v>37</v>
      </c>
      <c r="D31" s="19"/>
      <c r="E31" s="20">
        <v>4000.0</v>
      </c>
      <c r="F31" s="21">
        <f t="shared" si="1"/>
        <v>0</v>
      </c>
      <c r="G31" s="23"/>
      <c r="H31" s="2"/>
      <c r="I31" s="18" t="s">
        <v>37</v>
      </c>
      <c r="J31" s="15">
        <f>SUMIF(C31:C453,"Minyak Jelantah",D31:D453)</f>
        <v>1.5</v>
      </c>
      <c r="K31" s="2"/>
    </row>
    <row r="32" ht="15.75" customHeight="1">
      <c r="A32" s="25"/>
      <c r="B32" s="25"/>
      <c r="C32" s="18" t="s">
        <v>38</v>
      </c>
      <c r="D32" s="19"/>
      <c r="E32" s="20">
        <v>0.0</v>
      </c>
      <c r="F32" s="21">
        <f t="shared" si="1"/>
        <v>0</v>
      </c>
      <c r="G32" s="25"/>
      <c r="H32" s="2"/>
      <c r="I32" s="18" t="s">
        <v>38</v>
      </c>
      <c r="J32" s="15">
        <f>SUMIF(C32:C454,"Lainnya",D32:D454)</f>
        <v>23</v>
      </c>
      <c r="K32" s="2"/>
    </row>
    <row r="33" ht="15.75" customHeight="1">
      <c r="A33" s="16">
        <v>2.0</v>
      </c>
      <c r="B33" s="17" t="s">
        <v>66</v>
      </c>
      <c r="C33" s="18" t="s">
        <v>11</v>
      </c>
      <c r="D33" s="19"/>
      <c r="E33" s="20">
        <v>5000.0</v>
      </c>
      <c r="F33" s="21">
        <f t="shared" si="1"/>
        <v>0</v>
      </c>
      <c r="G33" s="22">
        <f>SUM(F33:F60)</f>
        <v>18000</v>
      </c>
      <c r="H33" s="2"/>
      <c r="I33" s="2"/>
      <c r="J33" s="2"/>
      <c r="K33" s="2"/>
    </row>
    <row r="34" ht="15.75" customHeight="1">
      <c r="A34" s="23"/>
      <c r="B34" s="23"/>
      <c r="C34" s="18" t="s">
        <v>12</v>
      </c>
      <c r="D34" s="19"/>
      <c r="E34" s="20">
        <v>3000.0</v>
      </c>
      <c r="F34" s="21">
        <f t="shared" si="1"/>
        <v>0</v>
      </c>
      <c r="G34" s="23"/>
      <c r="H34" s="2"/>
      <c r="I34" s="26" t="s">
        <v>40</v>
      </c>
      <c r="J34" s="26" t="s">
        <v>41</v>
      </c>
      <c r="K34" s="26" t="s">
        <v>42</v>
      </c>
      <c r="L34" s="26" t="s">
        <v>33</v>
      </c>
      <c r="M34" s="26" t="s">
        <v>43</v>
      </c>
      <c r="N34" s="26" t="s">
        <v>37</v>
      </c>
    </row>
    <row r="35" ht="15.75" customHeight="1">
      <c r="A35" s="23"/>
      <c r="B35" s="23"/>
      <c r="C35" s="18" t="s">
        <v>13</v>
      </c>
      <c r="D35" s="19"/>
      <c r="E35" s="20">
        <v>1000.0</v>
      </c>
      <c r="F35" s="21">
        <f t="shared" si="1"/>
        <v>0</v>
      </c>
      <c r="G35" s="23"/>
      <c r="H35" s="2"/>
      <c r="I35" s="27">
        <f>J5+J6+J7+J8+J9+J10+J11+J23+J24+J25+J26</f>
        <v>131</v>
      </c>
      <c r="J35" s="27">
        <f>J12+J13+J14+J15</f>
        <v>73</v>
      </c>
      <c r="K35" s="27">
        <f>J19+J18+J20+J21+J30+J17+J16</f>
        <v>57</v>
      </c>
      <c r="L35" s="27">
        <f>J27+J28</f>
        <v>14.5</v>
      </c>
      <c r="M35" s="27">
        <f>J32</f>
        <v>23</v>
      </c>
      <c r="N35" s="27">
        <f>J31</f>
        <v>1.5</v>
      </c>
    </row>
    <row r="36" ht="15.75" customHeight="1">
      <c r="A36" s="23"/>
      <c r="B36" s="23"/>
      <c r="C36" s="18" t="s">
        <v>14</v>
      </c>
      <c r="D36" s="19"/>
      <c r="E36" s="20">
        <v>2800.0</v>
      </c>
      <c r="F36" s="21">
        <f t="shared" si="1"/>
        <v>0</v>
      </c>
      <c r="G36" s="23"/>
      <c r="H36" s="2"/>
      <c r="I36" s="2"/>
      <c r="J36" s="2"/>
      <c r="K36" s="2"/>
    </row>
    <row r="37" ht="15.75" customHeight="1">
      <c r="A37" s="23"/>
      <c r="B37" s="23"/>
      <c r="C37" s="18" t="s">
        <v>15</v>
      </c>
      <c r="D37" s="19"/>
      <c r="E37" s="20">
        <v>3500.0</v>
      </c>
      <c r="F37" s="21">
        <f t="shared" si="1"/>
        <v>0</v>
      </c>
      <c r="G37" s="23"/>
      <c r="H37" s="2"/>
      <c r="I37" s="2"/>
      <c r="J37" s="2"/>
      <c r="K37" s="2"/>
    </row>
    <row r="38" ht="15.75" customHeight="1">
      <c r="A38" s="23"/>
      <c r="B38" s="23"/>
      <c r="C38" s="18" t="s">
        <v>16</v>
      </c>
      <c r="D38" s="19">
        <f>5.5+7.5+5</f>
        <v>18</v>
      </c>
      <c r="E38" s="20">
        <v>1000.0</v>
      </c>
      <c r="F38" s="21">
        <f t="shared" si="1"/>
        <v>18000</v>
      </c>
      <c r="G38" s="23"/>
      <c r="H38" s="2"/>
      <c r="I38" s="2"/>
      <c r="J38" s="2"/>
      <c r="K38" s="2"/>
    </row>
    <row r="39" ht="15.75" customHeight="1">
      <c r="A39" s="23"/>
      <c r="B39" s="23"/>
      <c r="C39" s="18" t="s">
        <v>17</v>
      </c>
      <c r="D39" s="19"/>
      <c r="E39" s="20">
        <v>2000.0</v>
      </c>
      <c r="F39" s="21">
        <f t="shared" si="1"/>
        <v>0</v>
      </c>
      <c r="G39" s="23"/>
      <c r="H39" s="2"/>
      <c r="I39" s="2"/>
      <c r="J39" s="2"/>
      <c r="K39" s="2"/>
    </row>
    <row r="40" ht="15.75" customHeight="1">
      <c r="A40" s="23"/>
      <c r="B40" s="23"/>
      <c r="C40" s="18" t="s">
        <v>18</v>
      </c>
      <c r="D40" s="19"/>
      <c r="E40" s="20">
        <v>2000.0</v>
      </c>
      <c r="F40" s="21">
        <f t="shared" si="1"/>
        <v>0</v>
      </c>
      <c r="G40" s="23"/>
      <c r="H40" s="2"/>
      <c r="I40" s="2"/>
      <c r="J40" s="2"/>
      <c r="K40" s="2"/>
    </row>
    <row r="41" ht="15.75" customHeight="1">
      <c r="A41" s="23"/>
      <c r="B41" s="23"/>
      <c r="C41" s="18" t="s">
        <v>19</v>
      </c>
      <c r="D41" s="19"/>
      <c r="E41" s="20">
        <v>1300.0</v>
      </c>
      <c r="F41" s="21">
        <f t="shared" si="1"/>
        <v>0</v>
      </c>
      <c r="G41" s="23"/>
      <c r="H41" s="2"/>
      <c r="I41" s="2"/>
      <c r="J41" s="2"/>
      <c r="K41" s="2"/>
    </row>
    <row r="42" ht="15.75" customHeight="1">
      <c r="A42" s="23"/>
      <c r="B42" s="23"/>
      <c r="C42" s="18" t="s">
        <v>20</v>
      </c>
      <c r="D42" s="19"/>
      <c r="E42" s="20">
        <v>1000.0</v>
      </c>
      <c r="F42" s="21">
        <f t="shared" si="1"/>
        <v>0</v>
      </c>
      <c r="G42" s="23"/>
      <c r="H42" s="2"/>
      <c r="I42" s="2"/>
      <c r="J42" s="2"/>
      <c r="K42" s="2"/>
    </row>
    <row r="43" ht="15.75" customHeight="1">
      <c r="A43" s="23"/>
      <c r="B43" s="23"/>
      <c r="C43" s="18" t="s">
        <v>21</v>
      </c>
      <c r="D43" s="19"/>
      <c r="E43" s="20">
        <v>400.0</v>
      </c>
      <c r="F43" s="21">
        <f t="shared" si="1"/>
        <v>0</v>
      </c>
      <c r="G43" s="23"/>
      <c r="H43" s="2"/>
      <c r="I43" s="2"/>
      <c r="J43" s="2"/>
      <c r="K43" s="2"/>
    </row>
    <row r="44" ht="15.75" customHeight="1">
      <c r="A44" s="23"/>
      <c r="B44" s="23"/>
      <c r="C44" s="18" t="s">
        <v>22</v>
      </c>
      <c r="D44" s="19"/>
      <c r="E44" s="20">
        <v>7500.0</v>
      </c>
      <c r="F44" s="21">
        <f t="shared" si="1"/>
        <v>0</v>
      </c>
      <c r="G44" s="23"/>
      <c r="H44" s="2"/>
      <c r="I44" s="2"/>
      <c r="J44" s="2"/>
      <c r="K44" s="2"/>
    </row>
    <row r="45" ht="15.75" customHeight="1">
      <c r="A45" s="23"/>
      <c r="B45" s="23"/>
      <c r="C45" s="18" t="s">
        <v>23</v>
      </c>
      <c r="D45" s="19"/>
      <c r="E45" s="20">
        <v>2000.0</v>
      </c>
      <c r="F45" s="21">
        <f t="shared" si="1"/>
        <v>0</v>
      </c>
      <c r="G45" s="23"/>
      <c r="H45" s="2"/>
      <c r="I45" s="2"/>
      <c r="J45" s="2"/>
      <c r="K45" s="2"/>
    </row>
    <row r="46" ht="15.75" customHeight="1">
      <c r="A46" s="23"/>
      <c r="B46" s="23"/>
      <c r="C46" s="18" t="s">
        <v>24</v>
      </c>
      <c r="D46" s="19"/>
      <c r="E46" s="20">
        <v>800.0</v>
      </c>
      <c r="F46" s="21">
        <f t="shared" si="1"/>
        <v>0</v>
      </c>
      <c r="G46" s="23"/>
      <c r="H46" s="2"/>
      <c r="I46" s="2"/>
      <c r="J46" s="2"/>
      <c r="K46" s="2"/>
    </row>
    <row r="47" ht="15.75" customHeight="1">
      <c r="A47" s="23"/>
      <c r="B47" s="23"/>
      <c r="C47" s="18" t="s">
        <v>25</v>
      </c>
      <c r="D47" s="19"/>
      <c r="E47" s="20">
        <v>5000.0</v>
      </c>
      <c r="F47" s="21">
        <f t="shared" si="1"/>
        <v>0</v>
      </c>
      <c r="G47" s="23"/>
      <c r="H47" s="2"/>
      <c r="I47" s="2"/>
      <c r="J47" s="2"/>
      <c r="K47" s="2"/>
    </row>
    <row r="48" ht="15.75" customHeight="1">
      <c r="A48" s="23"/>
      <c r="B48" s="23"/>
      <c r="C48" s="18" t="s">
        <v>26</v>
      </c>
      <c r="D48" s="19"/>
      <c r="E48" s="20">
        <v>2700.0</v>
      </c>
      <c r="F48" s="21">
        <f t="shared" si="1"/>
        <v>0</v>
      </c>
      <c r="G48" s="23"/>
      <c r="H48" s="2"/>
      <c r="I48" s="2"/>
      <c r="J48" s="2"/>
      <c r="K48" s="2"/>
    </row>
    <row r="49" ht="15.75" customHeight="1">
      <c r="A49" s="23"/>
      <c r="B49" s="23"/>
      <c r="C49" s="18" t="s">
        <v>27</v>
      </c>
      <c r="D49" s="19"/>
      <c r="E49" s="20">
        <v>50000.0</v>
      </c>
      <c r="F49" s="21">
        <f t="shared" si="1"/>
        <v>0</v>
      </c>
      <c r="G49" s="23"/>
      <c r="H49" s="2"/>
      <c r="I49" s="2"/>
      <c r="J49" s="2"/>
      <c r="K49" s="2"/>
    </row>
    <row r="50" ht="15.75" customHeight="1">
      <c r="A50" s="23"/>
      <c r="B50" s="23"/>
      <c r="C50" s="18" t="s">
        <v>28</v>
      </c>
      <c r="D50" s="19"/>
      <c r="E50" s="20">
        <v>10000.0</v>
      </c>
      <c r="F50" s="21">
        <f t="shared" si="1"/>
        <v>0</v>
      </c>
      <c r="G50" s="23"/>
      <c r="H50" s="2"/>
      <c r="I50" s="2"/>
      <c r="J50" s="2"/>
      <c r="K50" s="2"/>
    </row>
    <row r="51" ht="15.75" customHeight="1">
      <c r="A51" s="23"/>
      <c r="B51" s="23"/>
      <c r="C51" s="18" t="s">
        <v>29</v>
      </c>
      <c r="D51" s="19"/>
      <c r="E51" s="20">
        <v>1000.0</v>
      </c>
      <c r="F51" s="21">
        <f t="shared" si="1"/>
        <v>0</v>
      </c>
      <c r="G51" s="23"/>
      <c r="H51" s="2"/>
      <c r="I51" s="2"/>
      <c r="J51" s="2"/>
      <c r="K51" s="2"/>
    </row>
    <row r="52" ht="15.75" customHeight="1">
      <c r="A52" s="23"/>
      <c r="B52" s="23"/>
      <c r="C52" s="18" t="s">
        <v>30</v>
      </c>
      <c r="D52" s="19"/>
      <c r="E52" s="20">
        <v>500.0</v>
      </c>
      <c r="F52" s="21">
        <f t="shared" si="1"/>
        <v>0</v>
      </c>
      <c r="G52" s="23"/>
      <c r="H52" s="2"/>
      <c r="I52" s="2"/>
      <c r="J52" s="2"/>
      <c r="K52" s="2"/>
    </row>
    <row r="53" ht="15.75" customHeight="1">
      <c r="A53" s="23"/>
      <c r="B53" s="23"/>
      <c r="C53" s="18" t="s">
        <v>31</v>
      </c>
      <c r="D53" s="19"/>
      <c r="E53" s="20">
        <v>200.0</v>
      </c>
      <c r="F53" s="21">
        <f t="shared" si="1"/>
        <v>0</v>
      </c>
      <c r="G53" s="23"/>
      <c r="H53" s="2"/>
      <c r="I53" s="2"/>
      <c r="J53" s="2"/>
      <c r="K53" s="2"/>
    </row>
    <row r="54" ht="15.75" customHeight="1">
      <c r="A54" s="23"/>
      <c r="B54" s="23"/>
      <c r="C54" s="18" t="s">
        <v>32</v>
      </c>
      <c r="D54" s="19"/>
      <c r="E54" s="20">
        <v>1000.0</v>
      </c>
      <c r="F54" s="21">
        <f t="shared" si="1"/>
        <v>0</v>
      </c>
      <c r="G54" s="23"/>
      <c r="H54" s="2"/>
      <c r="I54" s="2"/>
      <c r="J54" s="2"/>
      <c r="K54" s="2"/>
    </row>
    <row r="55" ht="15.75" customHeight="1">
      <c r="A55" s="23"/>
      <c r="B55" s="23"/>
      <c r="C55" s="18" t="s">
        <v>33</v>
      </c>
      <c r="D55" s="19"/>
      <c r="E55" s="20">
        <v>300.0</v>
      </c>
      <c r="F55" s="21">
        <f t="shared" si="1"/>
        <v>0</v>
      </c>
      <c r="G55" s="23"/>
      <c r="H55" s="2"/>
      <c r="I55" s="2"/>
      <c r="J55" s="2"/>
      <c r="K55" s="2"/>
    </row>
    <row r="56" ht="15.75" customHeight="1">
      <c r="A56" s="23"/>
      <c r="B56" s="23"/>
      <c r="C56" s="18" t="s">
        <v>34</v>
      </c>
      <c r="D56" s="19"/>
      <c r="E56" s="20">
        <v>100.0</v>
      </c>
      <c r="F56" s="21">
        <f t="shared" si="1"/>
        <v>0</v>
      </c>
      <c r="G56" s="23"/>
      <c r="H56" s="2"/>
      <c r="I56" s="2"/>
      <c r="J56" s="2"/>
      <c r="K56" s="2"/>
    </row>
    <row r="57" ht="15.75" customHeight="1">
      <c r="A57" s="23"/>
      <c r="B57" s="23"/>
      <c r="C57" s="18" t="s">
        <v>35</v>
      </c>
      <c r="D57" s="19"/>
      <c r="E57" s="20">
        <v>500.0</v>
      </c>
      <c r="F57" s="21">
        <f t="shared" si="1"/>
        <v>0</v>
      </c>
      <c r="G57" s="23"/>
      <c r="H57" s="2"/>
      <c r="I57" s="2"/>
      <c r="J57" s="2"/>
      <c r="K57" s="2"/>
    </row>
    <row r="58" ht="15.75" customHeight="1">
      <c r="A58" s="23"/>
      <c r="B58" s="23"/>
      <c r="C58" s="18" t="s">
        <v>36</v>
      </c>
      <c r="D58" s="19"/>
      <c r="E58" s="20">
        <v>1500.0</v>
      </c>
      <c r="F58" s="21">
        <f t="shared" si="1"/>
        <v>0</v>
      </c>
      <c r="G58" s="23"/>
      <c r="H58" s="2"/>
      <c r="I58" s="2"/>
      <c r="J58" s="2"/>
      <c r="K58" s="2"/>
    </row>
    <row r="59" ht="15.75" customHeight="1">
      <c r="A59" s="23"/>
      <c r="B59" s="23"/>
      <c r="C59" s="18" t="s">
        <v>37</v>
      </c>
      <c r="D59" s="19"/>
      <c r="E59" s="20">
        <v>4000.0</v>
      </c>
      <c r="F59" s="21">
        <f t="shared" si="1"/>
        <v>0</v>
      </c>
      <c r="G59" s="23"/>
      <c r="H59" s="2"/>
      <c r="I59" s="2"/>
      <c r="J59" s="2"/>
      <c r="K59" s="2"/>
    </row>
    <row r="60" ht="15.75" customHeight="1">
      <c r="A60" s="25"/>
      <c r="B60" s="25"/>
      <c r="C60" s="18" t="s">
        <v>38</v>
      </c>
      <c r="D60" s="19"/>
      <c r="E60" s="20">
        <v>0.0</v>
      </c>
      <c r="F60" s="21">
        <f t="shared" si="1"/>
        <v>0</v>
      </c>
      <c r="G60" s="25"/>
      <c r="H60" s="2"/>
      <c r="I60" s="2"/>
      <c r="J60" s="2"/>
      <c r="K60" s="2"/>
    </row>
    <row r="61" ht="15.75" customHeight="1">
      <c r="A61" s="16">
        <v>3.0</v>
      </c>
      <c r="B61" s="17" t="s">
        <v>67</v>
      </c>
      <c r="C61" s="18" t="s">
        <v>11</v>
      </c>
      <c r="D61" s="19"/>
      <c r="E61" s="20">
        <v>5000.0</v>
      </c>
      <c r="F61" s="21">
        <f t="shared" si="1"/>
        <v>0</v>
      </c>
      <c r="G61" s="22">
        <f>SUM(F61:F88)</f>
        <v>16100</v>
      </c>
      <c r="H61" s="2"/>
      <c r="I61" s="2"/>
      <c r="J61" s="2"/>
      <c r="K61" s="2"/>
    </row>
    <row r="62" ht="15.75" customHeight="1">
      <c r="A62" s="23"/>
      <c r="B62" s="23"/>
      <c r="C62" s="18" t="s">
        <v>12</v>
      </c>
      <c r="D62" s="19"/>
      <c r="E62" s="20">
        <v>3000.0</v>
      </c>
      <c r="F62" s="21">
        <f t="shared" si="1"/>
        <v>0</v>
      </c>
      <c r="G62" s="23"/>
      <c r="H62" s="2"/>
      <c r="I62" s="2"/>
      <c r="J62" s="2"/>
      <c r="K62" s="2"/>
    </row>
    <row r="63" ht="15.75" customHeight="1">
      <c r="A63" s="23"/>
      <c r="B63" s="23"/>
      <c r="C63" s="18" t="s">
        <v>13</v>
      </c>
      <c r="D63" s="19"/>
      <c r="E63" s="20">
        <v>1000.0</v>
      </c>
      <c r="F63" s="21">
        <f t="shared" si="1"/>
        <v>0</v>
      </c>
      <c r="G63" s="23"/>
      <c r="H63" s="2"/>
      <c r="I63" s="2"/>
      <c r="J63" s="2"/>
      <c r="K63" s="2"/>
    </row>
    <row r="64" ht="15.75" customHeight="1">
      <c r="A64" s="23"/>
      <c r="B64" s="23"/>
      <c r="C64" s="18" t="s">
        <v>14</v>
      </c>
      <c r="D64" s="19"/>
      <c r="E64" s="20">
        <v>2800.0</v>
      </c>
      <c r="F64" s="21">
        <f t="shared" si="1"/>
        <v>0</v>
      </c>
      <c r="G64" s="23"/>
      <c r="H64" s="2"/>
      <c r="I64" s="2"/>
      <c r="J64" s="2"/>
      <c r="K64" s="2"/>
    </row>
    <row r="65" ht="15.75" customHeight="1">
      <c r="A65" s="23"/>
      <c r="B65" s="23"/>
      <c r="C65" s="18" t="s">
        <v>15</v>
      </c>
      <c r="D65" s="19"/>
      <c r="E65" s="20">
        <v>3500.0</v>
      </c>
      <c r="F65" s="21">
        <f t="shared" si="1"/>
        <v>0</v>
      </c>
      <c r="G65" s="23"/>
      <c r="H65" s="2"/>
      <c r="I65" s="2"/>
      <c r="J65" s="2"/>
      <c r="K65" s="2"/>
    </row>
    <row r="66" ht="15.75" customHeight="1">
      <c r="A66" s="23"/>
      <c r="B66" s="23"/>
      <c r="C66" s="18" t="s">
        <v>16</v>
      </c>
      <c r="D66" s="19">
        <v>3.5</v>
      </c>
      <c r="E66" s="20">
        <v>1000.0</v>
      </c>
      <c r="F66" s="21">
        <f t="shared" si="1"/>
        <v>3500</v>
      </c>
      <c r="G66" s="23"/>
      <c r="H66" s="2"/>
      <c r="I66" s="2"/>
      <c r="J66" s="2"/>
      <c r="K66" s="2"/>
    </row>
    <row r="67" ht="15.75" customHeight="1">
      <c r="A67" s="23"/>
      <c r="B67" s="23"/>
      <c r="C67" s="18" t="s">
        <v>17</v>
      </c>
      <c r="D67" s="19"/>
      <c r="E67" s="20">
        <v>2000.0</v>
      </c>
      <c r="F67" s="21">
        <f t="shared" si="1"/>
        <v>0</v>
      </c>
      <c r="G67" s="23"/>
      <c r="H67" s="2"/>
      <c r="I67" s="2"/>
      <c r="J67" s="2"/>
      <c r="K67" s="2"/>
    </row>
    <row r="68" ht="15.75" customHeight="1">
      <c r="A68" s="23"/>
      <c r="B68" s="23"/>
      <c r="C68" s="18" t="s">
        <v>18</v>
      </c>
      <c r="D68" s="19"/>
      <c r="E68" s="20">
        <v>2000.0</v>
      </c>
      <c r="F68" s="21">
        <f t="shared" si="1"/>
        <v>0</v>
      </c>
      <c r="G68" s="23"/>
      <c r="H68" s="2"/>
      <c r="I68" s="2"/>
      <c r="J68" s="2"/>
      <c r="K68" s="2"/>
    </row>
    <row r="69" ht="15.75" customHeight="1">
      <c r="A69" s="23"/>
      <c r="B69" s="23"/>
      <c r="C69" s="18" t="s">
        <v>19</v>
      </c>
      <c r="D69" s="19"/>
      <c r="E69" s="20">
        <v>1300.0</v>
      </c>
      <c r="F69" s="21">
        <f t="shared" si="1"/>
        <v>0</v>
      </c>
      <c r="G69" s="23"/>
      <c r="H69" s="2"/>
      <c r="I69" s="2"/>
      <c r="J69" s="2"/>
      <c r="K69" s="2"/>
    </row>
    <row r="70" ht="15.75" customHeight="1">
      <c r="A70" s="23"/>
      <c r="B70" s="23"/>
      <c r="C70" s="18" t="s">
        <v>20</v>
      </c>
      <c r="D70" s="19"/>
      <c r="E70" s="20">
        <v>1000.0</v>
      </c>
      <c r="F70" s="21">
        <f t="shared" si="1"/>
        <v>0</v>
      </c>
      <c r="G70" s="23"/>
      <c r="H70" s="2"/>
      <c r="I70" s="2"/>
      <c r="J70" s="2"/>
      <c r="K70" s="2"/>
    </row>
    <row r="71" ht="15.75" customHeight="1">
      <c r="A71" s="23"/>
      <c r="B71" s="23"/>
      <c r="C71" s="18" t="s">
        <v>21</v>
      </c>
      <c r="D71" s="19">
        <v>1.5</v>
      </c>
      <c r="E71" s="20">
        <v>400.0</v>
      </c>
      <c r="F71" s="21">
        <f t="shared" si="1"/>
        <v>600</v>
      </c>
      <c r="G71" s="23"/>
      <c r="H71" s="2"/>
      <c r="I71" s="2"/>
      <c r="J71" s="2"/>
      <c r="K71" s="2"/>
    </row>
    <row r="72" ht="15.75" customHeight="1">
      <c r="A72" s="23"/>
      <c r="B72" s="23"/>
      <c r="C72" s="18" t="s">
        <v>22</v>
      </c>
      <c r="D72" s="19"/>
      <c r="E72" s="20">
        <v>7500.0</v>
      </c>
      <c r="F72" s="21">
        <f t="shared" si="1"/>
        <v>0</v>
      </c>
      <c r="G72" s="23"/>
      <c r="H72" s="2"/>
      <c r="I72" s="2"/>
      <c r="J72" s="2"/>
      <c r="K72" s="2"/>
    </row>
    <row r="73" ht="15.75" customHeight="1">
      <c r="A73" s="23"/>
      <c r="B73" s="23"/>
      <c r="C73" s="18" t="s">
        <v>23</v>
      </c>
      <c r="D73" s="19">
        <v>1.5</v>
      </c>
      <c r="E73" s="20">
        <v>2000.0</v>
      </c>
      <c r="F73" s="21">
        <f t="shared" si="1"/>
        <v>3000</v>
      </c>
      <c r="G73" s="23"/>
      <c r="H73" s="2"/>
      <c r="I73" s="2"/>
      <c r="J73" s="2"/>
      <c r="K73" s="2"/>
    </row>
    <row r="74" ht="15.75" customHeight="1">
      <c r="A74" s="23"/>
      <c r="B74" s="23"/>
      <c r="C74" s="18" t="s">
        <v>24</v>
      </c>
      <c r="D74" s="19"/>
      <c r="E74" s="20">
        <v>800.0</v>
      </c>
      <c r="F74" s="21">
        <f t="shared" si="1"/>
        <v>0</v>
      </c>
      <c r="G74" s="23"/>
      <c r="H74" s="2"/>
      <c r="I74" s="2"/>
      <c r="J74" s="2"/>
      <c r="K74" s="2"/>
    </row>
    <row r="75" ht="15.75" customHeight="1">
      <c r="A75" s="23"/>
      <c r="B75" s="23"/>
      <c r="C75" s="18" t="s">
        <v>25</v>
      </c>
      <c r="D75" s="19"/>
      <c r="E75" s="20">
        <v>5000.0</v>
      </c>
      <c r="F75" s="21">
        <f t="shared" si="1"/>
        <v>0</v>
      </c>
      <c r="G75" s="23"/>
      <c r="H75" s="2"/>
      <c r="I75" s="2"/>
      <c r="J75" s="2"/>
      <c r="K75" s="2"/>
    </row>
    <row r="76" ht="15.75" customHeight="1">
      <c r="A76" s="23"/>
      <c r="B76" s="23"/>
      <c r="C76" s="18" t="s">
        <v>26</v>
      </c>
      <c r="D76" s="19"/>
      <c r="E76" s="20">
        <v>2700.0</v>
      </c>
      <c r="F76" s="21">
        <f t="shared" si="1"/>
        <v>0</v>
      </c>
      <c r="G76" s="23"/>
      <c r="H76" s="2"/>
      <c r="I76" s="2"/>
      <c r="J76" s="2"/>
      <c r="K76" s="2"/>
    </row>
    <row r="77" ht="15.75" customHeight="1">
      <c r="A77" s="23"/>
      <c r="B77" s="23"/>
      <c r="C77" s="18" t="s">
        <v>27</v>
      </c>
      <c r="D77" s="19"/>
      <c r="E77" s="20">
        <v>50000.0</v>
      </c>
      <c r="F77" s="21">
        <f t="shared" si="1"/>
        <v>0</v>
      </c>
      <c r="G77" s="23"/>
      <c r="H77" s="2"/>
      <c r="I77" s="2"/>
      <c r="J77" s="2"/>
      <c r="K77" s="2"/>
    </row>
    <row r="78" ht="15.75" customHeight="1">
      <c r="A78" s="23"/>
      <c r="B78" s="23"/>
      <c r="C78" s="18" t="s">
        <v>28</v>
      </c>
      <c r="D78" s="19"/>
      <c r="E78" s="20">
        <v>10000.0</v>
      </c>
      <c r="F78" s="21">
        <f t="shared" si="1"/>
        <v>0</v>
      </c>
      <c r="G78" s="23"/>
      <c r="H78" s="2"/>
      <c r="I78" s="2"/>
      <c r="J78" s="2"/>
      <c r="K78" s="2"/>
    </row>
    <row r="79" ht="15.75" customHeight="1">
      <c r="A79" s="23"/>
      <c r="B79" s="23"/>
      <c r="C79" s="18" t="s">
        <v>29</v>
      </c>
      <c r="D79" s="19">
        <v>3.0</v>
      </c>
      <c r="E79" s="20">
        <v>1000.0</v>
      </c>
      <c r="F79" s="21">
        <f t="shared" si="1"/>
        <v>3000</v>
      </c>
      <c r="G79" s="23"/>
      <c r="H79" s="2"/>
      <c r="I79" s="2"/>
      <c r="J79" s="2"/>
      <c r="K79" s="2"/>
    </row>
    <row r="80" ht="15.75" customHeight="1">
      <c r="A80" s="23"/>
      <c r="B80" s="23"/>
      <c r="C80" s="18" t="s">
        <v>30</v>
      </c>
      <c r="D80" s="19"/>
      <c r="E80" s="20">
        <v>500.0</v>
      </c>
      <c r="F80" s="21">
        <f t="shared" si="1"/>
        <v>0</v>
      </c>
      <c r="G80" s="23"/>
      <c r="H80" s="2"/>
      <c r="I80" s="2"/>
      <c r="J80" s="2"/>
      <c r="K80" s="2"/>
    </row>
    <row r="81" ht="15.75" customHeight="1">
      <c r="A81" s="23"/>
      <c r="B81" s="23"/>
      <c r="C81" s="18" t="s">
        <v>31</v>
      </c>
      <c r="D81" s="19"/>
      <c r="E81" s="20">
        <v>200.0</v>
      </c>
      <c r="F81" s="21">
        <f t="shared" si="1"/>
        <v>0</v>
      </c>
      <c r="G81" s="23"/>
      <c r="H81" s="2"/>
      <c r="I81" s="2"/>
      <c r="J81" s="2"/>
      <c r="K81" s="2"/>
    </row>
    <row r="82" ht="15.75" customHeight="1">
      <c r="A82" s="23"/>
      <c r="B82" s="23"/>
      <c r="C82" s="18" t="s">
        <v>32</v>
      </c>
      <c r="D82" s="19"/>
      <c r="E82" s="20">
        <v>1000.0</v>
      </c>
      <c r="F82" s="21">
        <f t="shared" si="1"/>
        <v>0</v>
      </c>
      <c r="G82" s="23"/>
      <c r="H82" s="2"/>
      <c r="I82" s="2"/>
      <c r="J82" s="2"/>
      <c r="K82" s="2"/>
    </row>
    <row r="83" ht="15.75" customHeight="1">
      <c r="A83" s="23"/>
      <c r="B83" s="23"/>
      <c r="C83" s="18" t="s">
        <v>33</v>
      </c>
      <c r="D83" s="19"/>
      <c r="E83" s="20">
        <v>300.0</v>
      </c>
      <c r="F83" s="21">
        <f t="shared" si="1"/>
        <v>0</v>
      </c>
      <c r="G83" s="23"/>
      <c r="H83" s="2"/>
      <c r="I83" s="2"/>
      <c r="J83" s="2"/>
      <c r="K83" s="2"/>
    </row>
    <row r="84" ht="15.75" customHeight="1">
      <c r="A84" s="23"/>
      <c r="B84" s="23"/>
      <c r="C84" s="18" t="s">
        <v>34</v>
      </c>
      <c r="D84" s="19"/>
      <c r="E84" s="20">
        <v>100.0</v>
      </c>
      <c r="F84" s="21">
        <f t="shared" si="1"/>
        <v>0</v>
      </c>
      <c r="G84" s="23"/>
      <c r="H84" s="2"/>
      <c r="I84" s="2"/>
      <c r="J84" s="2"/>
      <c r="K84" s="2"/>
    </row>
    <row r="85" ht="15.75" customHeight="1">
      <c r="A85" s="23"/>
      <c r="B85" s="23"/>
      <c r="C85" s="18" t="s">
        <v>35</v>
      </c>
      <c r="D85" s="19"/>
      <c r="E85" s="20">
        <v>500.0</v>
      </c>
      <c r="F85" s="21">
        <f t="shared" si="1"/>
        <v>0</v>
      </c>
      <c r="G85" s="23"/>
      <c r="H85" s="2"/>
      <c r="I85" s="2"/>
      <c r="J85" s="2"/>
      <c r="K85" s="2"/>
    </row>
    <row r="86" ht="15.75" customHeight="1">
      <c r="A86" s="23"/>
      <c r="B86" s="23"/>
      <c r="C86" s="18" t="s">
        <v>36</v>
      </c>
      <c r="D86" s="19"/>
      <c r="E86" s="20">
        <v>1500.0</v>
      </c>
      <c r="F86" s="21">
        <f t="shared" si="1"/>
        <v>0</v>
      </c>
      <c r="G86" s="23"/>
      <c r="H86" s="2"/>
      <c r="I86" s="2"/>
      <c r="J86" s="2"/>
      <c r="K86" s="2"/>
    </row>
    <row r="87" ht="15.75" customHeight="1">
      <c r="A87" s="23"/>
      <c r="B87" s="23"/>
      <c r="C87" s="18" t="s">
        <v>37</v>
      </c>
      <c r="D87" s="19">
        <v>1.5</v>
      </c>
      <c r="E87" s="20">
        <v>4000.0</v>
      </c>
      <c r="F87" s="21">
        <f t="shared" si="1"/>
        <v>6000</v>
      </c>
      <c r="G87" s="23"/>
      <c r="H87" s="2"/>
      <c r="I87" s="2"/>
      <c r="J87" s="2"/>
      <c r="K87" s="2"/>
    </row>
    <row r="88" ht="15.75" customHeight="1">
      <c r="A88" s="25"/>
      <c r="B88" s="25"/>
      <c r="C88" s="18" t="s">
        <v>38</v>
      </c>
      <c r="D88" s="19">
        <v>1.5</v>
      </c>
      <c r="E88" s="20">
        <v>0.0</v>
      </c>
      <c r="F88" s="21">
        <f t="shared" si="1"/>
        <v>0</v>
      </c>
      <c r="G88" s="25"/>
      <c r="H88" s="2"/>
      <c r="I88" s="2"/>
      <c r="J88" s="2"/>
      <c r="K88" s="2"/>
    </row>
    <row r="89" ht="15.75" customHeight="1">
      <c r="A89" s="16">
        <v>4.0</v>
      </c>
      <c r="B89" s="17" t="s">
        <v>68</v>
      </c>
      <c r="C89" s="18" t="s">
        <v>11</v>
      </c>
      <c r="D89" s="19"/>
      <c r="E89" s="20">
        <v>5000.0</v>
      </c>
      <c r="F89" s="21">
        <f t="shared" si="1"/>
        <v>0</v>
      </c>
      <c r="G89" s="22">
        <f>SUM(F89:F116)</f>
        <v>58000</v>
      </c>
      <c r="H89" s="2"/>
      <c r="I89" s="2"/>
      <c r="J89" s="2"/>
      <c r="K89" s="2"/>
    </row>
    <row r="90" ht="15.75" customHeight="1">
      <c r="A90" s="23"/>
      <c r="B90" s="23"/>
      <c r="C90" s="18" t="s">
        <v>12</v>
      </c>
      <c r="D90" s="19"/>
      <c r="E90" s="20">
        <v>3000.0</v>
      </c>
      <c r="F90" s="21">
        <f t="shared" si="1"/>
        <v>0</v>
      </c>
      <c r="G90" s="23"/>
      <c r="H90" s="2"/>
      <c r="I90" s="2"/>
      <c r="J90" s="2"/>
      <c r="K90" s="2"/>
    </row>
    <row r="91" ht="15.75" customHeight="1">
      <c r="A91" s="23"/>
      <c r="B91" s="23"/>
      <c r="C91" s="18" t="s">
        <v>13</v>
      </c>
      <c r="D91" s="19"/>
      <c r="E91" s="20">
        <v>1000.0</v>
      </c>
      <c r="F91" s="21">
        <f t="shared" si="1"/>
        <v>0</v>
      </c>
      <c r="G91" s="23"/>
      <c r="H91" s="2"/>
      <c r="I91" s="2"/>
      <c r="J91" s="2"/>
      <c r="K91" s="2"/>
    </row>
    <row r="92" ht="15.75" customHeight="1">
      <c r="A92" s="23"/>
      <c r="B92" s="23"/>
      <c r="C92" s="18" t="s">
        <v>14</v>
      </c>
      <c r="D92" s="19"/>
      <c r="E92" s="20">
        <v>2800.0</v>
      </c>
      <c r="F92" s="21">
        <f t="shared" si="1"/>
        <v>0</v>
      </c>
      <c r="G92" s="23"/>
      <c r="H92" s="2"/>
      <c r="I92" s="2"/>
      <c r="J92" s="2"/>
      <c r="K92" s="2"/>
    </row>
    <row r="93" ht="15.75" customHeight="1">
      <c r="A93" s="23"/>
      <c r="B93" s="23"/>
      <c r="C93" s="18" t="s">
        <v>15</v>
      </c>
      <c r="D93" s="19"/>
      <c r="E93" s="20">
        <v>3500.0</v>
      </c>
      <c r="F93" s="21">
        <f t="shared" si="1"/>
        <v>0</v>
      </c>
      <c r="G93" s="23"/>
      <c r="H93" s="2"/>
      <c r="I93" s="2"/>
      <c r="J93" s="2"/>
      <c r="K93" s="2"/>
    </row>
    <row r="94" ht="15.75" customHeight="1">
      <c r="A94" s="23"/>
      <c r="B94" s="23"/>
      <c r="C94" s="18" t="s">
        <v>16</v>
      </c>
      <c r="D94" s="19">
        <v>7.5</v>
      </c>
      <c r="E94" s="20">
        <v>1000.0</v>
      </c>
      <c r="F94" s="21">
        <f t="shared" si="1"/>
        <v>7500</v>
      </c>
      <c r="G94" s="23"/>
      <c r="H94" s="2"/>
      <c r="I94" s="2"/>
      <c r="J94" s="2"/>
      <c r="K94" s="2"/>
    </row>
    <row r="95" ht="15.75" customHeight="1">
      <c r="A95" s="23"/>
      <c r="B95" s="23"/>
      <c r="C95" s="18" t="s">
        <v>17</v>
      </c>
      <c r="D95" s="19"/>
      <c r="E95" s="20">
        <v>2000.0</v>
      </c>
      <c r="F95" s="21">
        <f t="shared" si="1"/>
        <v>0</v>
      </c>
      <c r="G95" s="23"/>
      <c r="H95" s="2"/>
      <c r="I95" s="2"/>
      <c r="J95" s="2"/>
      <c r="K95" s="2"/>
    </row>
    <row r="96" ht="15.75" customHeight="1">
      <c r="A96" s="23"/>
      <c r="B96" s="23"/>
      <c r="C96" s="18" t="s">
        <v>18</v>
      </c>
      <c r="D96" s="19"/>
      <c r="E96" s="20">
        <v>2000.0</v>
      </c>
      <c r="F96" s="21">
        <f t="shared" si="1"/>
        <v>0</v>
      </c>
      <c r="G96" s="23"/>
      <c r="H96" s="2"/>
      <c r="I96" s="2"/>
      <c r="J96" s="2"/>
      <c r="K96" s="2"/>
    </row>
    <row r="97" ht="15.75" customHeight="1">
      <c r="A97" s="23"/>
      <c r="B97" s="23"/>
      <c r="C97" s="18" t="s">
        <v>19</v>
      </c>
      <c r="D97" s="19"/>
      <c r="E97" s="20">
        <v>1300.0</v>
      </c>
      <c r="F97" s="21">
        <f t="shared" si="1"/>
        <v>0</v>
      </c>
      <c r="G97" s="23"/>
      <c r="H97" s="2"/>
      <c r="I97" s="2"/>
      <c r="J97" s="2"/>
      <c r="K97" s="2"/>
    </row>
    <row r="98" ht="15.75" customHeight="1">
      <c r="A98" s="23"/>
      <c r="B98" s="23"/>
      <c r="C98" s="18" t="s">
        <v>20</v>
      </c>
      <c r="D98" s="19"/>
      <c r="E98" s="20">
        <v>1000.0</v>
      </c>
      <c r="F98" s="21">
        <f t="shared" si="1"/>
        <v>0</v>
      </c>
      <c r="G98" s="23"/>
      <c r="H98" s="2"/>
      <c r="I98" s="2"/>
      <c r="J98" s="2"/>
      <c r="K98" s="2"/>
    </row>
    <row r="99" ht="15.75" customHeight="1">
      <c r="A99" s="23"/>
      <c r="B99" s="23"/>
      <c r="C99" s="18" t="s">
        <v>21</v>
      </c>
      <c r="D99" s="19"/>
      <c r="E99" s="20">
        <v>400.0</v>
      </c>
      <c r="F99" s="21">
        <f t="shared" si="1"/>
        <v>0</v>
      </c>
      <c r="G99" s="23"/>
      <c r="H99" s="2"/>
      <c r="I99" s="2"/>
      <c r="J99" s="2"/>
      <c r="K99" s="2"/>
    </row>
    <row r="100" ht="15.75" customHeight="1">
      <c r="A100" s="23"/>
      <c r="B100" s="23"/>
      <c r="C100" s="18" t="s">
        <v>22</v>
      </c>
      <c r="D100" s="19"/>
      <c r="E100" s="20">
        <v>7500.0</v>
      </c>
      <c r="F100" s="21">
        <f t="shared" si="1"/>
        <v>0</v>
      </c>
      <c r="G100" s="23"/>
      <c r="H100" s="2"/>
      <c r="I100" s="2"/>
      <c r="J100" s="2"/>
      <c r="K100" s="2"/>
    </row>
    <row r="101" ht="15.75" customHeight="1">
      <c r="A101" s="23"/>
      <c r="B101" s="23"/>
      <c r="C101" s="18" t="s">
        <v>23</v>
      </c>
      <c r="D101" s="19">
        <f>13+11</f>
        <v>24</v>
      </c>
      <c r="E101" s="20">
        <v>2000.0</v>
      </c>
      <c r="F101" s="21">
        <f t="shared" si="1"/>
        <v>48000</v>
      </c>
      <c r="G101" s="23"/>
      <c r="H101" s="2"/>
      <c r="I101" s="2"/>
      <c r="J101" s="2"/>
      <c r="K101" s="2"/>
    </row>
    <row r="102" ht="15.75" customHeight="1">
      <c r="A102" s="23"/>
      <c r="B102" s="23"/>
      <c r="C102" s="18" t="s">
        <v>24</v>
      </c>
      <c r="D102" s="19">
        <v>2.0</v>
      </c>
      <c r="E102" s="20">
        <v>800.0</v>
      </c>
      <c r="F102" s="21">
        <f t="shared" si="1"/>
        <v>1600</v>
      </c>
      <c r="G102" s="23"/>
      <c r="H102" s="2"/>
      <c r="I102" s="2"/>
      <c r="J102" s="2"/>
      <c r="K102" s="2"/>
    </row>
    <row r="103" ht="15.75" customHeight="1">
      <c r="A103" s="23"/>
      <c r="B103" s="23"/>
      <c r="C103" s="18" t="s">
        <v>25</v>
      </c>
      <c r="D103" s="19"/>
      <c r="E103" s="20">
        <v>5000.0</v>
      </c>
      <c r="F103" s="21">
        <f t="shared" si="1"/>
        <v>0</v>
      </c>
      <c r="G103" s="23"/>
      <c r="H103" s="2"/>
      <c r="I103" s="2"/>
      <c r="J103" s="2"/>
      <c r="K103" s="2"/>
    </row>
    <row r="104" ht="15.75" customHeight="1">
      <c r="A104" s="23"/>
      <c r="B104" s="23"/>
      <c r="C104" s="18" t="s">
        <v>26</v>
      </c>
      <c r="D104" s="19"/>
      <c r="E104" s="20">
        <v>2700.0</v>
      </c>
      <c r="F104" s="21">
        <f t="shared" si="1"/>
        <v>0</v>
      </c>
      <c r="G104" s="23"/>
      <c r="H104" s="2"/>
      <c r="I104" s="2"/>
      <c r="J104" s="2"/>
      <c r="K104" s="2"/>
    </row>
    <row r="105" ht="15.75" customHeight="1">
      <c r="A105" s="23"/>
      <c r="B105" s="23"/>
      <c r="C105" s="18" t="s">
        <v>27</v>
      </c>
      <c r="D105" s="19"/>
      <c r="E105" s="20">
        <v>50000.0</v>
      </c>
      <c r="F105" s="21">
        <f t="shared" si="1"/>
        <v>0</v>
      </c>
      <c r="G105" s="23"/>
      <c r="H105" s="2"/>
      <c r="I105" s="2"/>
      <c r="J105" s="2"/>
      <c r="K105" s="2"/>
    </row>
    <row r="106" ht="15.75" customHeight="1">
      <c r="A106" s="23"/>
      <c r="B106" s="23"/>
      <c r="C106" s="18" t="s">
        <v>28</v>
      </c>
      <c r="D106" s="19"/>
      <c r="E106" s="20">
        <v>10000.0</v>
      </c>
      <c r="F106" s="21">
        <f t="shared" si="1"/>
        <v>0</v>
      </c>
      <c r="G106" s="23"/>
      <c r="H106" s="2"/>
      <c r="I106" s="2"/>
      <c r="J106" s="2"/>
      <c r="K106" s="2"/>
    </row>
    <row r="107" ht="15.75" customHeight="1">
      <c r="A107" s="23"/>
      <c r="B107" s="23"/>
      <c r="C107" s="18" t="s">
        <v>29</v>
      </c>
      <c r="D107" s="19"/>
      <c r="E107" s="20">
        <v>1000.0</v>
      </c>
      <c r="F107" s="21">
        <f t="shared" si="1"/>
        <v>0</v>
      </c>
      <c r="G107" s="23"/>
      <c r="H107" s="2"/>
      <c r="I107" s="2"/>
      <c r="J107" s="2"/>
      <c r="K107" s="2"/>
    </row>
    <row r="108" ht="15.75" customHeight="1">
      <c r="A108" s="23"/>
      <c r="B108" s="23"/>
      <c r="C108" s="18" t="s">
        <v>30</v>
      </c>
      <c r="D108" s="19"/>
      <c r="E108" s="20">
        <v>500.0</v>
      </c>
      <c r="F108" s="21">
        <f t="shared" si="1"/>
        <v>0</v>
      </c>
      <c r="G108" s="23"/>
      <c r="H108" s="2"/>
      <c r="I108" s="2"/>
      <c r="J108" s="2"/>
      <c r="K108" s="2"/>
    </row>
    <row r="109" ht="15.75" customHeight="1">
      <c r="A109" s="23"/>
      <c r="B109" s="23"/>
      <c r="C109" s="18" t="s">
        <v>31</v>
      </c>
      <c r="D109" s="19"/>
      <c r="E109" s="20">
        <v>200.0</v>
      </c>
      <c r="F109" s="21">
        <f t="shared" si="1"/>
        <v>0</v>
      </c>
      <c r="G109" s="23"/>
      <c r="H109" s="2"/>
      <c r="I109" s="2"/>
      <c r="J109" s="2"/>
      <c r="K109" s="2"/>
    </row>
    <row r="110" ht="15.75" customHeight="1">
      <c r="A110" s="23"/>
      <c r="B110" s="23"/>
      <c r="C110" s="18" t="s">
        <v>32</v>
      </c>
      <c r="D110" s="19"/>
      <c r="E110" s="20">
        <v>1000.0</v>
      </c>
      <c r="F110" s="21">
        <f t="shared" si="1"/>
        <v>0</v>
      </c>
      <c r="G110" s="23"/>
      <c r="H110" s="2"/>
      <c r="I110" s="2"/>
      <c r="J110" s="2"/>
      <c r="K110" s="2"/>
    </row>
    <row r="111" ht="15.75" customHeight="1">
      <c r="A111" s="23"/>
      <c r="B111" s="23"/>
      <c r="C111" s="18" t="s">
        <v>33</v>
      </c>
      <c r="D111" s="19">
        <v>3.0</v>
      </c>
      <c r="E111" s="20">
        <v>300.0</v>
      </c>
      <c r="F111" s="21">
        <f t="shared" si="1"/>
        <v>900</v>
      </c>
      <c r="G111" s="23"/>
      <c r="H111" s="2"/>
      <c r="I111" s="2"/>
      <c r="J111" s="2"/>
      <c r="K111" s="2"/>
    </row>
    <row r="112" ht="15.75" customHeight="1">
      <c r="A112" s="23"/>
      <c r="B112" s="23"/>
      <c r="C112" s="18" t="s">
        <v>34</v>
      </c>
      <c r="D112" s="19"/>
      <c r="E112" s="20">
        <v>100.0</v>
      </c>
      <c r="F112" s="21">
        <f t="shared" si="1"/>
        <v>0</v>
      </c>
      <c r="G112" s="23"/>
      <c r="H112" s="2"/>
      <c r="I112" s="2"/>
      <c r="J112" s="2"/>
      <c r="K112" s="2"/>
    </row>
    <row r="113" ht="15.75" customHeight="1">
      <c r="A113" s="23"/>
      <c r="B113" s="23"/>
      <c r="C113" s="18" t="s">
        <v>35</v>
      </c>
      <c r="D113" s="19"/>
      <c r="E113" s="20">
        <v>500.0</v>
      </c>
      <c r="F113" s="21">
        <f t="shared" si="1"/>
        <v>0</v>
      </c>
      <c r="G113" s="23"/>
      <c r="H113" s="2"/>
      <c r="I113" s="2"/>
      <c r="J113" s="2"/>
      <c r="K113" s="2"/>
    </row>
    <row r="114" ht="15.75" customHeight="1">
      <c r="A114" s="23"/>
      <c r="B114" s="23"/>
      <c r="C114" s="18" t="s">
        <v>36</v>
      </c>
      <c r="D114" s="19"/>
      <c r="E114" s="20">
        <v>1500.0</v>
      </c>
      <c r="F114" s="21">
        <f t="shared" si="1"/>
        <v>0</v>
      </c>
      <c r="G114" s="23"/>
      <c r="H114" s="2"/>
      <c r="I114" s="2"/>
      <c r="J114" s="2"/>
      <c r="K114" s="2"/>
    </row>
    <row r="115" ht="15.75" customHeight="1">
      <c r="A115" s="23"/>
      <c r="B115" s="23"/>
      <c r="C115" s="18" t="s">
        <v>37</v>
      </c>
      <c r="D115" s="19"/>
      <c r="E115" s="20">
        <v>4000.0</v>
      </c>
      <c r="F115" s="21">
        <f t="shared" si="1"/>
        <v>0</v>
      </c>
      <c r="G115" s="23"/>
      <c r="H115" s="2"/>
      <c r="I115" s="2"/>
      <c r="J115" s="2"/>
      <c r="K115" s="2"/>
    </row>
    <row r="116" ht="15.75" customHeight="1">
      <c r="A116" s="25"/>
      <c r="B116" s="25"/>
      <c r="C116" s="18" t="s">
        <v>38</v>
      </c>
      <c r="D116" s="19"/>
      <c r="E116" s="20">
        <v>0.0</v>
      </c>
      <c r="F116" s="21">
        <f t="shared" si="1"/>
        <v>0</v>
      </c>
      <c r="G116" s="25"/>
      <c r="H116" s="2"/>
      <c r="I116" s="2"/>
      <c r="J116" s="2"/>
      <c r="K116" s="2"/>
    </row>
    <row r="117" ht="15.75" customHeight="1">
      <c r="A117" s="16">
        <v>5.0</v>
      </c>
      <c r="B117" s="17" t="s">
        <v>69</v>
      </c>
      <c r="C117" s="18" t="s">
        <v>11</v>
      </c>
      <c r="D117" s="19"/>
      <c r="E117" s="20">
        <v>5000.0</v>
      </c>
      <c r="F117" s="21">
        <f t="shared" si="1"/>
        <v>0</v>
      </c>
      <c r="G117" s="22">
        <f>SUM(F117:F144)</f>
        <v>24900</v>
      </c>
      <c r="H117" s="2"/>
      <c r="I117" s="2"/>
      <c r="J117" s="2"/>
      <c r="K117" s="2"/>
    </row>
    <row r="118" ht="15.75" customHeight="1">
      <c r="A118" s="23"/>
      <c r="B118" s="23"/>
      <c r="C118" s="18" t="s">
        <v>12</v>
      </c>
      <c r="D118" s="19"/>
      <c r="E118" s="20">
        <v>3000.0</v>
      </c>
      <c r="F118" s="21">
        <f t="shared" si="1"/>
        <v>0</v>
      </c>
      <c r="G118" s="23"/>
      <c r="H118" s="2"/>
      <c r="I118" s="2"/>
      <c r="J118" s="2"/>
      <c r="K118" s="2"/>
    </row>
    <row r="119" ht="15.75" customHeight="1">
      <c r="A119" s="23"/>
      <c r="B119" s="23"/>
      <c r="C119" s="18" t="s">
        <v>13</v>
      </c>
      <c r="D119" s="19"/>
      <c r="E119" s="20">
        <v>1000.0</v>
      </c>
      <c r="F119" s="21">
        <f t="shared" si="1"/>
        <v>0</v>
      </c>
      <c r="G119" s="23"/>
      <c r="H119" s="2"/>
      <c r="I119" s="2"/>
      <c r="J119" s="2"/>
      <c r="K119" s="2"/>
    </row>
    <row r="120" ht="15.75" customHeight="1">
      <c r="A120" s="23"/>
      <c r="B120" s="23"/>
      <c r="C120" s="18" t="s">
        <v>14</v>
      </c>
      <c r="D120" s="19"/>
      <c r="E120" s="20">
        <v>2800.0</v>
      </c>
      <c r="F120" s="21">
        <f t="shared" si="1"/>
        <v>0</v>
      </c>
      <c r="G120" s="23"/>
      <c r="H120" s="2"/>
      <c r="I120" s="2"/>
      <c r="J120" s="2"/>
      <c r="K120" s="2"/>
    </row>
    <row r="121" ht="15.75" customHeight="1">
      <c r="A121" s="23"/>
      <c r="B121" s="23"/>
      <c r="C121" s="18" t="s">
        <v>15</v>
      </c>
      <c r="D121" s="19"/>
      <c r="E121" s="20">
        <v>3500.0</v>
      </c>
      <c r="F121" s="21">
        <f t="shared" si="1"/>
        <v>0</v>
      </c>
      <c r="G121" s="23"/>
      <c r="H121" s="2"/>
      <c r="I121" s="2"/>
      <c r="J121" s="2"/>
      <c r="K121" s="2"/>
    </row>
    <row r="122" ht="15.75" customHeight="1">
      <c r="A122" s="23"/>
      <c r="B122" s="23"/>
      <c r="C122" s="18" t="s">
        <v>16</v>
      </c>
      <c r="D122" s="19">
        <f>4+2</f>
        <v>6</v>
      </c>
      <c r="E122" s="20">
        <v>1000.0</v>
      </c>
      <c r="F122" s="21">
        <f t="shared" si="1"/>
        <v>6000</v>
      </c>
      <c r="G122" s="23"/>
      <c r="H122" s="2"/>
      <c r="I122" s="2"/>
      <c r="J122" s="2"/>
      <c r="K122" s="2"/>
    </row>
    <row r="123" ht="15.75" customHeight="1">
      <c r="A123" s="23"/>
      <c r="B123" s="23"/>
      <c r="C123" s="18" t="s">
        <v>17</v>
      </c>
      <c r="D123" s="19"/>
      <c r="E123" s="20">
        <v>2000.0</v>
      </c>
      <c r="F123" s="21">
        <f t="shared" si="1"/>
        <v>0</v>
      </c>
      <c r="G123" s="23"/>
      <c r="H123" s="2"/>
      <c r="I123" s="2"/>
      <c r="J123" s="2"/>
      <c r="K123" s="2"/>
    </row>
    <row r="124" ht="15.75" customHeight="1">
      <c r="A124" s="23"/>
      <c r="B124" s="23"/>
      <c r="C124" s="18" t="s">
        <v>18</v>
      </c>
      <c r="D124" s="19">
        <f>3+2.5</f>
        <v>5.5</v>
      </c>
      <c r="E124" s="20">
        <v>2000.0</v>
      </c>
      <c r="F124" s="21">
        <f t="shared" si="1"/>
        <v>11000</v>
      </c>
      <c r="G124" s="23"/>
      <c r="H124" s="2"/>
      <c r="I124" s="2"/>
      <c r="J124" s="2"/>
      <c r="K124" s="2"/>
    </row>
    <row r="125" ht="15.75" customHeight="1">
      <c r="A125" s="23"/>
      <c r="B125" s="23"/>
      <c r="C125" s="18" t="s">
        <v>19</v>
      </c>
      <c r="D125" s="19"/>
      <c r="E125" s="20">
        <v>1300.0</v>
      </c>
      <c r="F125" s="21">
        <f t="shared" si="1"/>
        <v>0</v>
      </c>
      <c r="G125" s="23"/>
      <c r="H125" s="2"/>
      <c r="I125" s="2"/>
      <c r="J125" s="2"/>
      <c r="K125" s="2"/>
    </row>
    <row r="126" ht="15.75" customHeight="1">
      <c r="A126" s="23"/>
      <c r="B126" s="23"/>
      <c r="C126" s="18" t="s">
        <v>20</v>
      </c>
      <c r="D126" s="19"/>
      <c r="E126" s="20">
        <v>1000.0</v>
      </c>
      <c r="F126" s="21">
        <f t="shared" si="1"/>
        <v>0</v>
      </c>
      <c r="G126" s="23"/>
      <c r="H126" s="2"/>
      <c r="I126" s="2"/>
      <c r="J126" s="2"/>
      <c r="K126" s="2"/>
    </row>
    <row r="127" ht="15.75" customHeight="1">
      <c r="A127" s="23"/>
      <c r="B127" s="23"/>
      <c r="C127" s="18" t="s">
        <v>21</v>
      </c>
      <c r="D127" s="19">
        <v>1.0</v>
      </c>
      <c r="E127" s="20">
        <v>400.0</v>
      </c>
      <c r="F127" s="21">
        <f t="shared" si="1"/>
        <v>400</v>
      </c>
      <c r="G127" s="23"/>
      <c r="H127" s="2"/>
      <c r="I127" s="2"/>
      <c r="J127" s="2"/>
      <c r="K127" s="2"/>
    </row>
    <row r="128" ht="15.75" customHeight="1">
      <c r="A128" s="23"/>
      <c r="B128" s="23"/>
      <c r="C128" s="18" t="s">
        <v>22</v>
      </c>
      <c r="D128" s="19"/>
      <c r="E128" s="20">
        <v>7500.0</v>
      </c>
      <c r="F128" s="21">
        <f t="shared" si="1"/>
        <v>0</v>
      </c>
      <c r="G128" s="23"/>
      <c r="H128" s="2"/>
      <c r="I128" s="2"/>
      <c r="J128" s="2"/>
      <c r="K128" s="2"/>
    </row>
    <row r="129" ht="15.75" customHeight="1">
      <c r="A129" s="23"/>
      <c r="B129" s="23"/>
      <c r="C129" s="18" t="s">
        <v>23</v>
      </c>
      <c r="D129" s="19">
        <v>2.5</v>
      </c>
      <c r="E129" s="20">
        <v>2000.0</v>
      </c>
      <c r="F129" s="21">
        <f t="shared" si="1"/>
        <v>5000</v>
      </c>
      <c r="G129" s="23"/>
      <c r="H129" s="2"/>
      <c r="I129" s="2"/>
      <c r="J129" s="2"/>
      <c r="K129" s="2"/>
    </row>
    <row r="130" ht="15.75" customHeight="1">
      <c r="A130" s="23"/>
      <c r="B130" s="23"/>
      <c r="C130" s="18" t="s">
        <v>24</v>
      </c>
      <c r="D130" s="19">
        <v>1.5</v>
      </c>
      <c r="E130" s="20">
        <v>800.0</v>
      </c>
      <c r="F130" s="21">
        <f t="shared" si="1"/>
        <v>1200</v>
      </c>
      <c r="G130" s="23"/>
      <c r="H130" s="2"/>
      <c r="I130" s="2"/>
      <c r="J130" s="2"/>
      <c r="K130" s="2"/>
    </row>
    <row r="131" ht="15.75" customHeight="1">
      <c r="A131" s="23"/>
      <c r="B131" s="23"/>
      <c r="C131" s="18" t="s">
        <v>25</v>
      </c>
      <c r="D131" s="19"/>
      <c r="E131" s="20">
        <v>5000.0</v>
      </c>
      <c r="F131" s="21">
        <f t="shared" si="1"/>
        <v>0</v>
      </c>
      <c r="G131" s="23"/>
      <c r="H131" s="2"/>
      <c r="I131" s="2"/>
      <c r="J131" s="2"/>
      <c r="K131" s="2"/>
    </row>
    <row r="132" ht="15.75" customHeight="1">
      <c r="A132" s="23"/>
      <c r="B132" s="23"/>
      <c r="C132" s="18" t="s">
        <v>26</v>
      </c>
      <c r="D132" s="19"/>
      <c r="E132" s="20">
        <v>2700.0</v>
      </c>
      <c r="F132" s="21">
        <f t="shared" si="1"/>
        <v>0</v>
      </c>
      <c r="G132" s="23"/>
      <c r="H132" s="2"/>
      <c r="I132" s="2"/>
      <c r="J132" s="2"/>
      <c r="K132" s="2"/>
    </row>
    <row r="133" ht="15.75" customHeight="1">
      <c r="A133" s="23"/>
      <c r="B133" s="23"/>
      <c r="C133" s="18" t="s">
        <v>27</v>
      </c>
      <c r="D133" s="19"/>
      <c r="E133" s="20">
        <v>50000.0</v>
      </c>
      <c r="F133" s="21">
        <f t="shared" si="1"/>
        <v>0</v>
      </c>
      <c r="G133" s="23"/>
      <c r="H133" s="2"/>
      <c r="I133" s="2"/>
      <c r="J133" s="2"/>
      <c r="K133" s="2"/>
    </row>
    <row r="134" ht="15.75" customHeight="1">
      <c r="A134" s="23"/>
      <c r="B134" s="23"/>
      <c r="C134" s="18" t="s">
        <v>28</v>
      </c>
      <c r="D134" s="19"/>
      <c r="E134" s="20">
        <v>10000.0</v>
      </c>
      <c r="F134" s="21">
        <f t="shared" si="1"/>
        <v>0</v>
      </c>
      <c r="G134" s="23"/>
      <c r="H134" s="2"/>
      <c r="I134" s="2"/>
      <c r="J134" s="2"/>
      <c r="K134" s="2"/>
    </row>
    <row r="135" ht="15.75" customHeight="1">
      <c r="A135" s="23"/>
      <c r="B135" s="23"/>
      <c r="C135" s="18" t="s">
        <v>29</v>
      </c>
      <c r="D135" s="19"/>
      <c r="E135" s="20">
        <v>1000.0</v>
      </c>
      <c r="F135" s="21">
        <f t="shared" si="1"/>
        <v>0</v>
      </c>
      <c r="G135" s="23"/>
      <c r="H135" s="2"/>
      <c r="I135" s="2"/>
      <c r="J135" s="2"/>
      <c r="K135" s="2"/>
    </row>
    <row r="136" ht="15.75" customHeight="1">
      <c r="A136" s="23"/>
      <c r="B136" s="23"/>
      <c r="C136" s="18" t="s">
        <v>30</v>
      </c>
      <c r="D136" s="19">
        <v>0.5</v>
      </c>
      <c r="E136" s="20">
        <v>500.0</v>
      </c>
      <c r="F136" s="21">
        <f t="shared" si="1"/>
        <v>250</v>
      </c>
      <c r="G136" s="23"/>
      <c r="H136" s="2"/>
      <c r="I136" s="2"/>
      <c r="J136" s="2"/>
      <c r="K136" s="2"/>
    </row>
    <row r="137" ht="15.75" customHeight="1">
      <c r="A137" s="23"/>
      <c r="B137" s="23"/>
      <c r="C137" s="18" t="s">
        <v>31</v>
      </c>
      <c r="D137" s="19"/>
      <c r="E137" s="20">
        <v>200.0</v>
      </c>
      <c r="F137" s="21">
        <f t="shared" si="1"/>
        <v>0</v>
      </c>
      <c r="G137" s="23"/>
      <c r="H137" s="2"/>
      <c r="I137" s="2"/>
      <c r="J137" s="2"/>
      <c r="K137" s="2"/>
    </row>
    <row r="138" ht="15.75" customHeight="1">
      <c r="A138" s="23"/>
      <c r="B138" s="23"/>
      <c r="C138" s="18" t="s">
        <v>32</v>
      </c>
      <c r="D138" s="19"/>
      <c r="E138" s="20">
        <v>1000.0</v>
      </c>
      <c r="F138" s="21">
        <f t="shared" si="1"/>
        <v>0</v>
      </c>
      <c r="G138" s="23"/>
      <c r="H138" s="2"/>
      <c r="I138" s="2"/>
      <c r="J138" s="2"/>
      <c r="K138" s="2"/>
    </row>
    <row r="139" ht="15.75" customHeight="1">
      <c r="A139" s="23"/>
      <c r="B139" s="23"/>
      <c r="C139" s="18" t="s">
        <v>33</v>
      </c>
      <c r="D139" s="19">
        <v>1.5</v>
      </c>
      <c r="E139" s="20">
        <v>300.0</v>
      </c>
      <c r="F139" s="21">
        <f t="shared" si="1"/>
        <v>450</v>
      </c>
      <c r="G139" s="23"/>
      <c r="H139" s="2"/>
      <c r="I139" s="2"/>
      <c r="J139" s="2"/>
      <c r="K139" s="2"/>
    </row>
    <row r="140" ht="15.75" customHeight="1">
      <c r="A140" s="23"/>
      <c r="B140" s="23"/>
      <c r="C140" s="18" t="s">
        <v>34</v>
      </c>
      <c r="D140" s="19">
        <v>6.0</v>
      </c>
      <c r="E140" s="20">
        <v>100.0</v>
      </c>
      <c r="F140" s="21">
        <f t="shared" si="1"/>
        <v>600</v>
      </c>
      <c r="G140" s="23"/>
      <c r="H140" s="2"/>
      <c r="I140" s="2"/>
      <c r="J140" s="2"/>
      <c r="K140" s="2"/>
    </row>
    <row r="141" ht="15.75" customHeight="1">
      <c r="A141" s="23"/>
      <c r="B141" s="23"/>
      <c r="C141" s="18" t="s">
        <v>35</v>
      </c>
      <c r="D141" s="19"/>
      <c r="E141" s="20">
        <v>500.0</v>
      </c>
      <c r="F141" s="21">
        <f t="shared" si="1"/>
        <v>0</v>
      </c>
      <c r="G141" s="23"/>
      <c r="H141" s="2"/>
      <c r="I141" s="2"/>
      <c r="J141" s="2"/>
      <c r="K141" s="2"/>
    </row>
    <row r="142" ht="15.75" customHeight="1">
      <c r="A142" s="23"/>
      <c r="B142" s="23"/>
      <c r="C142" s="18" t="s">
        <v>36</v>
      </c>
      <c r="D142" s="19"/>
      <c r="E142" s="20">
        <v>1500.0</v>
      </c>
      <c r="F142" s="21">
        <f t="shared" si="1"/>
        <v>0</v>
      </c>
      <c r="G142" s="23"/>
      <c r="H142" s="2"/>
      <c r="I142" s="2"/>
      <c r="J142" s="2"/>
      <c r="K142" s="2"/>
    </row>
    <row r="143" ht="15.75" customHeight="1">
      <c r="A143" s="23"/>
      <c r="B143" s="23"/>
      <c r="C143" s="18" t="s">
        <v>37</v>
      </c>
      <c r="D143" s="19"/>
      <c r="E143" s="20">
        <v>4000.0</v>
      </c>
      <c r="F143" s="21">
        <f t="shared" si="1"/>
        <v>0</v>
      </c>
      <c r="G143" s="23"/>
      <c r="H143" s="2"/>
      <c r="I143" s="2"/>
      <c r="J143" s="2"/>
      <c r="K143" s="2"/>
    </row>
    <row r="144" ht="15.75" customHeight="1">
      <c r="A144" s="25"/>
      <c r="B144" s="25"/>
      <c r="C144" s="18" t="s">
        <v>38</v>
      </c>
      <c r="D144" s="19">
        <v>1.5</v>
      </c>
      <c r="E144" s="20">
        <v>0.0</v>
      </c>
      <c r="F144" s="21">
        <f t="shared" si="1"/>
        <v>0</v>
      </c>
      <c r="G144" s="25"/>
      <c r="H144" s="2"/>
      <c r="I144" s="2"/>
      <c r="J144" s="2"/>
      <c r="K144" s="2"/>
    </row>
    <row r="145" ht="15.75" customHeight="1">
      <c r="A145" s="16">
        <v>6.0</v>
      </c>
      <c r="B145" s="32" t="s">
        <v>70</v>
      </c>
      <c r="C145" s="18" t="s">
        <v>11</v>
      </c>
      <c r="D145" s="19"/>
      <c r="E145" s="20">
        <v>5000.0</v>
      </c>
      <c r="F145" s="21">
        <f t="shared" si="1"/>
        <v>0</v>
      </c>
      <c r="G145" s="22">
        <f>SUM(F145:F172)</f>
        <v>28900</v>
      </c>
      <c r="H145" s="2"/>
      <c r="I145" s="2"/>
      <c r="J145" s="2"/>
      <c r="K145" s="2"/>
    </row>
    <row r="146" ht="15.75" customHeight="1">
      <c r="A146" s="23"/>
      <c r="B146" s="23"/>
      <c r="C146" s="18" t="s">
        <v>12</v>
      </c>
      <c r="D146" s="19">
        <v>1.0</v>
      </c>
      <c r="E146" s="20">
        <v>3000.0</v>
      </c>
      <c r="F146" s="21">
        <f t="shared" si="1"/>
        <v>3000</v>
      </c>
      <c r="G146" s="23"/>
      <c r="H146" s="2"/>
      <c r="I146" s="2"/>
      <c r="J146" s="2"/>
      <c r="K146" s="2"/>
    </row>
    <row r="147" ht="15.75" customHeight="1">
      <c r="A147" s="23"/>
      <c r="B147" s="23"/>
      <c r="C147" s="18" t="s">
        <v>13</v>
      </c>
      <c r="D147" s="19"/>
      <c r="E147" s="20">
        <v>1000.0</v>
      </c>
      <c r="F147" s="21">
        <f t="shared" si="1"/>
        <v>0</v>
      </c>
      <c r="G147" s="23"/>
      <c r="H147" s="2"/>
      <c r="I147" s="2"/>
      <c r="J147" s="2"/>
      <c r="K147" s="2"/>
    </row>
    <row r="148" ht="15.75" customHeight="1">
      <c r="A148" s="23"/>
      <c r="B148" s="23"/>
      <c r="C148" s="18" t="s">
        <v>14</v>
      </c>
      <c r="D148" s="19"/>
      <c r="E148" s="20">
        <v>2800.0</v>
      </c>
      <c r="F148" s="21">
        <f t="shared" si="1"/>
        <v>0</v>
      </c>
      <c r="G148" s="23"/>
      <c r="H148" s="2"/>
      <c r="I148" s="2"/>
      <c r="J148" s="2"/>
      <c r="K148" s="2"/>
    </row>
    <row r="149" ht="15.75" customHeight="1">
      <c r="A149" s="23"/>
      <c r="B149" s="23"/>
      <c r="C149" s="18" t="s">
        <v>15</v>
      </c>
      <c r="D149" s="19"/>
      <c r="E149" s="20">
        <v>3500.0</v>
      </c>
      <c r="F149" s="21">
        <f t="shared" si="1"/>
        <v>0</v>
      </c>
      <c r="G149" s="23"/>
      <c r="H149" s="2"/>
      <c r="I149" s="2"/>
      <c r="J149" s="2"/>
      <c r="K149" s="2"/>
    </row>
    <row r="150" ht="15.75" customHeight="1">
      <c r="A150" s="23"/>
      <c r="B150" s="23"/>
      <c r="C150" s="18" t="s">
        <v>16</v>
      </c>
      <c r="D150" s="19">
        <v>8.0</v>
      </c>
      <c r="E150" s="20">
        <v>1000.0</v>
      </c>
      <c r="F150" s="21">
        <f t="shared" si="1"/>
        <v>8000</v>
      </c>
      <c r="G150" s="23"/>
      <c r="H150" s="2"/>
      <c r="I150" s="2"/>
      <c r="J150" s="2"/>
      <c r="K150" s="2"/>
    </row>
    <row r="151" ht="15.75" customHeight="1">
      <c r="A151" s="23"/>
      <c r="B151" s="23"/>
      <c r="C151" s="18" t="s">
        <v>17</v>
      </c>
      <c r="D151" s="19">
        <v>1.0</v>
      </c>
      <c r="E151" s="20">
        <v>2000.0</v>
      </c>
      <c r="F151" s="21">
        <f t="shared" si="1"/>
        <v>2000</v>
      </c>
      <c r="G151" s="23"/>
      <c r="H151" s="2"/>
      <c r="I151" s="2"/>
      <c r="J151" s="2"/>
      <c r="K151" s="2"/>
    </row>
    <row r="152" ht="15.75" customHeight="1">
      <c r="A152" s="23"/>
      <c r="B152" s="23"/>
      <c r="C152" s="18" t="s">
        <v>18</v>
      </c>
      <c r="D152" s="19"/>
      <c r="E152" s="20">
        <v>2000.0</v>
      </c>
      <c r="F152" s="21">
        <f t="shared" si="1"/>
        <v>0</v>
      </c>
      <c r="G152" s="23"/>
      <c r="H152" s="2"/>
      <c r="I152" s="2"/>
      <c r="J152" s="2"/>
      <c r="K152" s="2"/>
    </row>
    <row r="153" ht="15.75" customHeight="1">
      <c r="A153" s="23"/>
      <c r="B153" s="23"/>
      <c r="C153" s="18" t="s">
        <v>19</v>
      </c>
      <c r="D153" s="19"/>
      <c r="E153" s="20">
        <v>1300.0</v>
      </c>
      <c r="F153" s="21">
        <f t="shared" si="1"/>
        <v>0</v>
      </c>
      <c r="G153" s="23"/>
      <c r="H153" s="2"/>
      <c r="I153" s="2"/>
      <c r="J153" s="2"/>
      <c r="K153" s="2"/>
    </row>
    <row r="154" ht="15.75" customHeight="1">
      <c r="A154" s="23"/>
      <c r="B154" s="23"/>
      <c r="C154" s="18" t="s">
        <v>20</v>
      </c>
      <c r="D154" s="19"/>
      <c r="E154" s="20">
        <v>1000.0</v>
      </c>
      <c r="F154" s="21">
        <f t="shared" si="1"/>
        <v>0</v>
      </c>
      <c r="G154" s="23"/>
      <c r="H154" s="2"/>
      <c r="I154" s="2"/>
      <c r="J154" s="2"/>
      <c r="K154" s="2"/>
    </row>
    <row r="155" ht="15.75" customHeight="1">
      <c r="A155" s="23"/>
      <c r="B155" s="23"/>
      <c r="C155" s="18" t="s">
        <v>21</v>
      </c>
      <c r="D155" s="19"/>
      <c r="E155" s="20">
        <v>400.0</v>
      </c>
      <c r="F155" s="21">
        <f t="shared" si="1"/>
        <v>0</v>
      </c>
      <c r="G155" s="23"/>
      <c r="H155" s="2"/>
      <c r="I155" s="2"/>
      <c r="J155" s="2"/>
      <c r="K155" s="2"/>
    </row>
    <row r="156" ht="15.75" customHeight="1">
      <c r="A156" s="23"/>
      <c r="B156" s="23"/>
      <c r="C156" s="18" t="s">
        <v>22</v>
      </c>
      <c r="D156" s="19">
        <v>1.0</v>
      </c>
      <c r="E156" s="20">
        <v>7500.0</v>
      </c>
      <c r="F156" s="21">
        <f t="shared" si="1"/>
        <v>7500</v>
      </c>
      <c r="G156" s="23"/>
      <c r="H156" s="2"/>
      <c r="I156" s="2"/>
      <c r="J156" s="2"/>
      <c r="K156" s="2"/>
    </row>
    <row r="157" ht="15.75" customHeight="1">
      <c r="A157" s="23"/>
      <c r="B157" s="23"/>
      <c r="C157" s="18" t="s">
        <v>23</v>
      </c>
      <c r="D157" s="19"/>
      <c r="E157" s="20">
        <v>2000.0</v>
      </c>
      <c r="F157" s="21">
        <f t="shared" si="1"/>
        <v>0</v>
      </c>
      <c r="G157" s="23"/>
      <c r="H157" s="2"/>
      <c r="I157" s="2"/>
      <c r="J157" s="2"/>
      <c r="K157" s="2"/>
    </row>
    <row r="158" ht="15.75" customHeight="1">
      <c r="A158" s="23"/>
      <c r="B158" s="23"/>
      <c r="C158" s="18" t="s">
        <v>24</v>
      </c>
      <c r="D158" s="19">
        <v>8.0</v>
      </c>
      <c r="E158" s="20">
        <v>800.0</v>
      </c>
      <c r="F158" s="21">
        <f t="shared" si="1"/>
        <v>6400</v>
      </c>
      <c r="G158" s="23"/>
      <c r="H158" s="2"/>
      <c r="I158" s="2"/>
      <c r="J158" s="2"/>
      <c r="K158" s="2"/>
    </row>
    <row r="159" ht="15.75" customHeight="1">
      <c r="A159" s="23"/>
      <c r="B159" s="23"/>
      <c r="C159" s="18" t="s">
        <v>25</v>
      </c>
      <c r="D159" s="19"/>
      <c r="E159" s="20">
        <v>5000.0</v>
      </c>
      <c r="F159" s="21">
        <f t="shared" si="1"/>
        <v>0</v>
      </c>
      <c r="G159" s="23"/>
      <c r="H159" s="2"/>
      <c r="I159" s="2"/>
      <c r="J159" s="2"/>
      <c r="K159" s="2"/>
    </row>
    <row r="160" ht="15.75" customHeight="1">
      <c r="A160" s="23"/>
      <c r="B160" s="23"/>
      <c r="C160" s="18" t="s">
        <v>26</v>
      </c>
      <c r="D160" s="19"/>
      <c r="E160" s="20">
        <v>2700.0</v>
      </c>
      <c r="F160" s="21">
        <f t="shared" si="1"/>
        <v>0</v>
      </c>
      <c r="G160" s="23"/>
      <c r="H160" s="2"/>
      <c r="I160" s="2"/>
      <c r="J160" s="2"/>
      <c r="K160" s="2"/>
    </row>
    <row r="161" ht="15.75" customHeight="1">
      <c r="A161" s="23"/>
      <c r="B161" s="23"/>
      <c r="C161" s="18" t="s">
        <v>27</v>
      </c>
      <c r="D161" s="19"/>
      <c r="E161" s="20">
        <v>50000.0</v>
      </c>
      <c r="F161" s="21">
        <f t="shared" si="1"/>
        <v>0</v>
      </c>
      <c r="G161" s="23"/>
      <c r="H161" s="2"/>
      <c r="I161" s="2"/>
      <c r="J161" s="2"/>
      <c r="K161" s="2"/>
    </row>
    <row r="162" ht="15.75" customHeight="1">
      <c r="A162" s="23"/>
      <c r="B162" s="23"/>
      <c r="C162" s="18" t="s">
        <v>28</v>
      </c>
      <c r="D162" s="19"/>
      <c r="E162" s="20">
        <v>10000.0</v>
      </c>
      <c r="F162" s="21">
        <f t="shared" si="1"/>
        <v>0</v>
      </c>
      <c r="G162" s="23"/>
      <c r="H162" s="2"/>
      <c r="I162" s="2"/>
      <c r="J162" s="2"/>
      <c r="K162" s="2"/>
    </row>
    <row r="163" ht="15.75" customHeight="1">
      <c r="A163" s="23"/>
      <c r="B163" s="23"/>
      <c r="C163" s="18" t="s">
        <v>29</v>
      </c>
      <c r="D163" s="19">
        <v>2.0</v>
      </c>
      <c r="E163" s="20">
        <v>1000.0</v>
      </c>
      <c r="F163" s="21">
        <f t="shared" si="1"/>
        <v>2000</v>
      </c>
      <c r="G163" s="23"/>
      <c r="H163" s="2"/>
      <c r="I163" s="2"/>
      <c r="J163" s="2"/>
      <c r="K163" s="2"/>
    </row>
    <row r="164" ht="15.75" customHeight="1">
      <c r="A164" s="23"/>
      <c r="B164" s="23"/>
      <c r="C164" s="18" t="s">
        <v>30</v>
      </c>
      <c r="D164" s="19"/>
      <c r="E164" s="20">
        <v>500.0</v>
      </c>
      <c r="F164" s="21">
        <f t="shared" si="1"/>
        <v>0</v>
      </c>
      <c r="G164" s="23"/>
      <c r="H164" s="2"/>
      <c r="I164" s="2"/>
      <c r="J164" s="2"/>
      <c r="K164" s="2"/>
    </row>
    <row r="165" ht="15.75" customHeight="1">
      <c r="A165" s="23"/>
      <c r="B165" s="23"/>
      <c r="C165" s="18" t="s">
        <v>31</v>
      </c>
      <c r="D165" s="19"/>
      <c r="E165" s="20">
        <v>200.0</v>
      </c>
      <c r="F165" s="21">
        <f t="shared" si="1"/>
        <v>0</v>
      </c>
      <c r="G165" s="23"/>
      <c r="H165" s="2"/>
      <c r="I165" s="2"/>
      <c r="J165" s="2"/>
      <c r="K165" s="2"/>
    </row>
    <row r="166" ht="15.75" customHeight="1">
      <c r="A166" s="23"/>
      <c r="B166" s="23"/>
      <c r="C166" s="18" t="s">
        <v>32</v>
      </c>
      <c r="D166" s="19"/>
      <c r="E166" s="20">
        <v>1000.0</v>
      </c>
      <c r="F166" s="21">
        <f t="shared" si="1"/>
        <v>0</v>
      </c>
      <c r="G166" s="23"/>
      <c r="H166" s="2"/>
      <c r="I166" s="2"/>
      <c r="J166" s="2"/>
      <c r="K166" s="2"/>
    </row>
    <row r="167" ht="15.75" customHeight="1">
      <c r="A167" s="23"/>
      <c r="B167" s="23"/>
      <c r="C167" s="18" t="s">
        <v>33</v>
      </c>
      <c r="D167" s="19"/>
      <c r="E167" s="20">
        <v>300.0</v>
      </c>
      <c r="F167" s="21">
        <f t="shared" si="1"/>
        <v>0</v>
      </c>
      <c r="G167" s="23"/>
      <c r="H167" s="2"/>
      <c r="I167" s="2"/>
      <c r="J167" s="2"/>
      <c r="K167" s="2"/>
    </row>
    <row r="168" ht="15.75" customHeight="1">
      <c r="A168" s="23"/>
      <c r="B168" s="23"/>
      <c r="C168" s="18" t="s">
        <v>34</v>
      </c>
      <c r="D168" s="19"/>
      <c r="E168" s="20">
        <v>100.0</v>
      </c>
      <c r="F168" s="21">
        <f t="shared" si="1"/>
        <v>0</v>
      </c>
      <c r="G168" s="23"/>
      <c r="H168" s="2"/>
      <c r="I168" s="2"/>
      <c r="J168" s="2"/>
      <c r="K168" s="2"/>
    </row>
    <row r="169" ht="15.75" customHeight="1">
      <c r="A169" s="23"/>
      <c r="B169" s="23"/>
      <c r="C169" s="18" t="s">
        <v>35</v>
      </c>
      <c r="D169" s="19"/>
      <c r="E169" s="20">
        <v>500.0</v>
      </c>
      <c r="F169" s="21">
        <f t="shared" si="1"/>
        <v>0</v>
      </c>
      <c r="G169" s="23"/>
      <c r="H169" s="2"/>
      <c r="I169" s="2"/>
      <c r="J169" s="2"/>
      <c r="K169" s="2"/>
    </row>
    <row r="170" ht="15.75" customHeight="1">
      <c r="A170" s="23"/>
      <c r="B170" s="23"/>
      <c r="C170" s="18" t="s">
        <v>36</v>
      </c>
      <c r="D170" s="19"/>
      <c r="E170" s="20">
        <v>1500.0</v>
      </c>
      <c r="F170" s="21">
        <f t="shared" si="1"/>
        <v>0</v>
      </c>
      <c r="G170" s="23"/>
      <c r="H170" s="2"/>
      <c r="I170" s="2"/>
      <c r="J170" s="2"/>
      <c r="K170" s="2"/>
    </row>
    <row r="171" ht="15.75" customHeight="1">
      <c r="A171" s="23"/>
      <c r="B171" s="23"/>
      <c r="C171" s="18" t="s">
        <v>37</v>
      </c>
      <c r="D171" s="19"/>
      <c r="E171" s="20">
        <v>4000.0</v>
      </c>
      <c r="F171" s="21">
        <f t="shared" si="1"/>
        <v>0</v>
      </c>
      <c r="G171" s="23"/>
      <c r="H171" s="2"/>
      <c r="I171" s="2"/>
      <c r="J171" s="2"/>
      <c r="K171" s="2"/>
    </row>
    <row r="172" ht="15.75" customHeight="1">
      <c r="A172" s="25"/>
      <c r="B172" s="25"/>
      <c r="C172" s="18" t="s">
        <v>38</v>
      </c>
      <c r="D172" s="19">
        <v>4.0</v>
      </c>
      <c r="E172" s="20">
        <v>0.0</v>
      </c>
      <c r="F172" s="21">
        <f t="shared" si="1"/>
        <v>0</v>
      </c>
      <c r="G172" s="25"/>
      <c r="H172" s="2"/>
      <c r="I172" s="2"/>
      <c r="J172" s="2"/>
      <c r="K172" s="2"/>
    </row>
    <row r="173" ht="15.75" customHeight="1">
      <c r="A173" s="16">
        <v>7.0</v>
      </c>
      <c r="B173" s="32" t="s">
        <v>71</v>
      </c>
      <c r="C173" s="18" t="s">
        <v>11</v>
      </c>
      <c r="D173" s="19"/>
      <c r="E173" s="20">
        <v>5000.0</v>
      </c>
      <c r="F173" s="21">
        <f t="shared" si="1"/>
        <v>0</v>
      </c>
      <c r="G173" s="22">
        <f>SUM(F173:F201)</f>
        <v>27600</v>
      </c>
      <c r="H173" s="2"/>
      <c r="I173" s="2"/>
      <c r="J173" s="2"/>
      <c r="K173" s="2"/>
    </row>
    <row r="174" ht="15.75" customHeight="1">
      <c r="A174" s="23"/>
      <c r="B174" s="23"/>
      <c r="C174" s="18" t="s">
        <v>12</v>
      </c>
      <c r="D174" s="19"/>
      <c r="E174" s="20">
        <v>3000.0</v>
      </c>
      <c r="F174" s="21">
        <f t="shared" si="1"/>
        <v>0</v>
      </c>
      <c r="G174" s="23"/>
      <c r="H174" s="2"/>
      <c r="I174" s="2"/>
      <c r="J174" s="2"/>
      <c r="K174" s="2"/>
    </row>
    <row r="175" ht="15.75" customHeight="1">
      <c r="A175" s="23"/>
      <c r="B175" s="23"/>
      <c r="C175" s="18" t="s">
        <v>13</v>
      </c>
      <c r="D175" s="19"/>
      <c r="E175" s="20">
        <v>1000.0</v>
      </c>
      <c r="F175" s="21">
        <f t="shared" si="1"/>
        <v>0</v>
      </c>
      <c r="G175" s="23"/>
      <c r="H175" s="2"/>
      <c r="I175" s="2"/>
      <c r="J175" s="2"/>
      <c r="K175" s="2"/>
    </row>
    <row r="176" ht="15.75" customHeight="1">
      <c r="A176" s="23"/>
      <c r="B176" s="23"/>
      <c r="C176" s="18" t="s">
        <v>14</v>
      </c>
      <c r="D176" s="19"/>
      <c r="E176" s="20">
        <v>2800.0</v>
      </c>
      <c r="F176" s="21"/>
      <c r="G176" s="23"/>
      <c r="H176" s="2"/>
      <c r="I176" s="2"/>
      <c r="J176" s="2"/>
      <c r="K176" s="2"/>
    </row>
    <row r="177" ht="15.75" customHeight="1">
      <c r="A177" s="23"/>
      <c r="B177" s="23"/>
      <c r="C177" s="18" t="s">
        <v>15</v>
      </c>
      <c r="D177" s="19"/>
      <c r="E177" s="20">
        <v>3500.0</v>
      </c>
      <c r="F177" s="21">
        <f t="shared" ref="F177:F190" si="2">D177*E177</f>
        <v>0</v>
      </c>
      <c r="G177" s="23"/>
      <c r="H177" s="2"/>
      <c r="I177" s="2"/>
      <c r="J177" s="2"/>
      <c r="K177" s="2"/>
    </row>
    <row r="178" ht="15.75" customHeight="1">
      <c r="A178" s="23"/>
      <c r="B178" s="23"/>
      <c r="C178" s="18" t="s">
        <v>16</v>
      </c>
      <c r="D178" s="19">
        <f>5.5+8+4.5</f>
        <v>18</v>
      </c>
      <c r="E178" s="20">
        <v>1000.0</v>
      </c>
      <c r="F178" s="21">
        <f t="shared" si="2"/>
        <v>18000</v>
      </c>
      <c r="G178" s="23"/>
      <c r="H178" s="2"/>
      <c r="I178" s="2"/>
      <c r="J178" s="2"/>
      <c r="K178" s="2"/>
    </row>
    <row r="179" ht="15.75" customHeight="1">
      <c r="A179" s="23"/>
      <c r="B179" s="23"/>
      <c r="C179" s="18" t="s">
        <v>17</v>
      </c>
      <c r="D179" s="19">
        <v>4.0</v>
      </c>
      <c r="E179" s="20">
        <v>2000.0</v>
      </c>
      <c r="F179" s="21">
        <f t="shared" si="2"/>
        <v>8000</v>
      </c>
      <c r="G179" s="23"/>
      <c r="H179" s="2"/>
      <c r="I179" s="2"/>
      <c r="J179" s="2"/>
      <c r="K179" s="2"/>
    </row>
    <row r="180" ht="15.75" customHeight="1">
      <c r="A180" s="23"/>
      <c r="B180" s="23"/>
      <c r="C180" s="18" t="s">
        <v>18</v>
      </c>
      <c r="D180" s="19"/>
      <c r="E180" s="20">
        <v>2000.0</v>
      </c>
      <c r="F180" s="21">
        <f t="shared" si="2"/>
        <v>0</v>
      </c>
      <c r="G180" s="23"/>
      <c r="H180" s="2"/>
      <c r="I180" s="2"/>
      <c r="J180" s="2"/>
      <c r="K180" s="2"/>
    </row>
    <row r="181" ht="15.75" customHeight="1">
      <c r="A181" s="23"/>
      <c r="B181" s="23"/>
      <c r="C181" s="18" t="s">
        <v>19</v>
      </c>
      <c r="D181" s="19"/>
      <c r="E181" s="20">
        <v>1300.0</v>
      </c>
      <c r="F181" s="21">
        <f t="shared" si="2"/>
        <v>0</v>
      </c>
      <c r="G181" s="23"/>
      <c r="H181" s="2"/>
      <c r="I181" s="2"/>
      <c r="J181" s="2"/>
      <c r="K181" s="2"/>
    </row>
    <row r="182" ht="15.75" customHeight="1">
      <c r="A182" s="23"/>
      <c r="B182" s="23"/>
      <c r="C182" s="18" t="s">
        <v>20</v>
      </c>
      <c r="D182" s="19"/>
      <c r="E182" s="20">
        <v>1000.0</v>
      </c>
      <c r="F182" s="21">
        <f t="shared" si="2"/>
        <v>0</v>
      </c>
      <c r="G182" s="23"/>
      <c r="H182" s="2"/>
      <c r="I182" s="2"/>
      <c r="J182" s="2"/>
      <c r="K182" s="2"/>
    </row>
    <row r="183" ht="15.75" customHeight="1">
      <c r="A183" s="23"/>
      <c r="B183" s="23"/>
      <c r="C183" s="18" t="s">
        <v>21</v>
      </c>
      <c r="D183" s="19"/>
      <c r="E183" s="20">
        <v>400.0</v>
      </c>
      <c r="F183" s="21">
        <f t="shared" si="2"/>
        <v>0</v>
      </c>
      <c r="G183" s="23"/>
      <c r="H183" s="2"/>
      <c r="I183" s="2"/>
      <c r="J183" s="2"/>
      <c r="K183" s="2"/>
    </row>
    <row r="184" ht="15.75" customHeight="1">
      <c r="A184" s="23"/>
      <c r="B184" s="23"/>
      <c r="C184" s="18" t="s">
        <v>22</v>
      </c>
      <c r="D184" s="19"/>
      <c r="E184" s="20">
        <v>7500.0</v>
      </c>
      <c r="F184" s="21">
        <f t="shared" si="2"/>
        <v>0</v>
      </c>
      <c r="G184" s="23"/>
      <c r="H184" s="2"/>
      <c r="I184" s="2"/>
      <c r="J184" s="2"/>
      <c r="K184" s="2"/>
    </row>
    <row r="185" ht="15.75" customHeight="1">
      <c r="A185" s="23"/>
      <c r="B185" s="23"/>
      <c r="C185" s="18" t="s">
        <v>23</v>
      </c>
      <c r="D185" s="19"/>
      <c r="E185" s="20">
        <v>2000.0</v>
      </c>
      <c r="F185" s="21">
        <f t="shared" si="2"/>
        <v>0</v>
      </c>
      <c r="G185" s="23"/>
      <c r="H185" s="2"/>
      <c r="I185" s="2"/>
      <c r="J185" s="2"/>
      <c r="K185" s="2"/>
    </row>
    <row r="186" ht="15.75" customHeight="1">
      <c r="A186" s="23"/>
      <c r="B186" s="23"/>
      <c r="C186" s="18" t="s">
        <v>24</v>
      </c>
      <c r="D186" s="19">
        <v>2.0</v>
      </c>
      <c r="E186" s="20">
        <v>800.0</v>
      </c>
      <c r="F186" s="21">
        <f t="shared" si="2"/>
        <v>1600</v>
      </c>
      <c r="G186" s="23"/>
      <c r="H186" s="2"/>
      <c r="I186" s="2"/>
      <c r="J186" s="2"/>
      <c r="K186" s="2"/>
    </row>
    <row r="187" ht="15.75" customHeight="1">
      <c r="A187" s="23"/>
      <c r="B187" s="23"/>
      <c r="C187" s="18" t="s">
        <v>25</v>
      </c>
      <c r="D187" s="19"/>
      <c r="E187" s="20">
        <v>5000.0</v>
      </c>
      <c r="F187" s="21">
        <f t="shared" si="2"/>
        <v>0</v>
      </c>
      <c r="G187" s="23"/>
      <c r="H187" s="2"/>
      <c r="I187" s="2"/>
      <c r="J187" s="2"/>
      <c r="K187" s="2"/>
    </row>
    <row r="188" ht="15.75" customHeight="1">
      <c r="A188" s="23"/>
      <c r="B188" s="23"/>
      <c r="C188" s="18" t="s">
        <v>26</v>
      </c>
      <c r="D188" s="19"/>
      <c r="E188" s="20">
        <v>2700.0</v>
      </c>
      <c r="F188" s="21">
        <f t="shared" si="2"/>
        <v>0</v>
      </c>
      <c r="G188" s="23"/>
      <c r="H188" s="2"/>
      <c r="I188" s="2"/>
      <c r="J188" s="2"/>
      <c r="K188" s="2"/>
    </row>
    <row r="189" ht="15.75" customHeight="1">
      <c r="A189" s="23"/>
      <c r="B189" s="23"/>
      <c r="C189" s="18" t="s">
        <v>27</v>
      </c>
      <c r="D189" s="19"/>
      <c r="E189" s="20">
        <v>50000.0</v>
      </c>
      <c r="F189" s="21">
        <f t="shared" si="2"/>
        <v>0</v>
      </c>
      <c r="G189" s="23"/>
      <c r="H189" s="2"/>
      <c r="I189" s="2"/>
      <c r="J189" s="2"/>
      <c r="K189" s="2"/>
    </row>
    <row r="190" ht="15.75" customHeight="1">
      <c r="A190" s="23"/>
      <c r="B190" s="23"/>
      <c r="C190" s="18" t="s">
        <v>28</v>
      </c>
      <c r="D190" s="19"/>
      <c r="E190" s="20">
        <v>10000.0</v>
      </c>
      <c r="F190" s="21">
        <f t="shared" si="2"/>
        <v>0</v>
      </c>
      <c r="G190" s="23"/>
      <c r="H190" s="2"/>
      <c r="I190" s="2"/>
      <c r="J190" s="2"/>
      <c r="K190" s="2"/>
    </row>
    <row r="191" ht="15.75" customHeight="1">
      <c r="A191" s="23"/>
      <c r="B191" s="23"/>
      <c r="C191" s="18"/>
      <c r="D191" s="19"/>
      <c r="E191" s="20"/>
      <c r="F191" s="21"/>
      <c r="G191" s="23"/>
      <c r="H191" s="2"/>
      <c r="I191" s="2"/>
      <c r="J191" s="2"/>
      <c r="K191" s="2"/>
    </row>
    <row r="192" ht="15.75" customHeight="1">
      <c r="A192" s="23"/>
      <c r="B192" s="23"/>
      <c r="C192" s="18" t="s">
        <v>29</v>
      </c>
      <c r="D192" s="19"/>
      <c r="E192" s="20">
        <v>1000.0</v>
      </c>
      <c r="F192" s="21">
        <f t="shared" ref="F192:F202" si="3">D192*E192</f>
        <v>0</v>
      </c>
      <c r="G192" s="23"/>
      <c r="H192" s="2"/>
      <c r="I192" s="2"/>
      <c r="J192" s="2"/>
      <c r="K192" s="2"/>
    </row>
    <row r="193" ht="15.75" customHeight="1">
      <c r="A193" s="23"/>
      <c r="B193" s="23"/>
      <c r="C193" s="18" t="s">
        <v>30</v>
      </c>
      <c r="D193" s="19"/>
      <c r="E193" s="20">
        <v>500.0</v>
      </c>
      <c r="F193" s="21">
        <f t="shared" si="3"/>
        <v>0</v>
      </c>
      <c r="G193" s="23"/>
      <c r="H193" s="2"/>
      <c r="I193" s="2"/>
      <c r="J193" s="2"/>
      <c r="K193" s="2"/>
    </row>
    <row r="194" ht="15.75" customHeight="1">
      <c r="A194" s="23"/>
      <c r="B194" s="23"/>
      <c r="C194" s="18" t="s">
        <v>31</v>
      </c>
      <c r="D194" s="19"/>
      <c r="E194" s="20">
        <v>200.0</v>
      </c>
      <c r="F194" s="21">
        <f t="shared" si="3"/>
        <v>0</v>
      </c>
      <c r="G194" s="23"/>
      <c r="H194" s="2"/>
      <c r="I194" s="2"/>
      <c r="J194" s="2"/>
      <c r="K194" s="2"/>
    </row>
    <row r="195" ht="15.75" customHeight="1">
      <c r="A195" s="23"/>
      <c r="B195" s="23"/>
      <c r="C195" s="18" t="s">
        <v>32</v>
      </c>
      <c r="D195" s="19"/>
      <c r="E195" s="20">
        <v>1000.0</v>
      </c>
      <c r="F195" s="21">
        <f t="shared" si="3"/>
        <v>0</v>
      </c>
      <c r="G195" s="23"/>
      <c r="H195" s="2"/>
      <c r="I195" s="2"/>
      <c r="J195" s="2"/>
      <c r="K195" s="2"/>
    </row>
    <row r="196" ht="15.75" customHeight="1">
      <c r="A196" s="23"/>
      <c r="B196" s="23"/>
      <c r="C196" s="18" t="s">
        <v>33</v>
      </c>
      <c r="D196" s="19"/>
      <c r="E196" s="20">
        <v>300.0</v>
      </c>
      <c r="F196" s="21">
        <f t="shared" si="3"/>
        <v>0</v>
      </c>
      <c r="G196" s="23"/>
      <c r="H196" s="2"/>
      <c r="I196" s="2"/>
      <c r="J196" s="2"/>
      <c r="K196" s="2"/>
    </row>
    <row r="197" ht="15.75" customHeight="1">
      <c r="A197" s="23"/>
      <c r="B197" s="23"/>
      <c r="C197" s="18" t="s">
        <v>34</v>
      </c>
      <c r="D197" s="19"/>
      <c r="E197" s="20">
        <v>100.0</v>
      </c>
      <c r="F197" s="21">
        <f t="shared" si="3"/>
        <v>0</v>
      </c>
      <c r="G197" s="23"/>
      <c r="H197" s="2"/>
      <c r="I197" s="2"/>
      <c r="J197" s="2"/>
      <c r="K197" s="2"/>
    </row>
    <row r="198" ht="15.75" customHeight="1">
      <c r="A198" s="23"/>
      <c r="B198" s="23"/>
      <c r="C198" s="18" t="s">
        <v>35</v>
      </c>
      <c r="D198" s="19"/>
      <c r="E198" s="20">
        <v>500.0</v>
      </c>
      <c r="F198" s="21">
        <f t="shared" si="3"/>
        <v>0</v>
      </c>
      <c r="G198" s="23"/>
      <c r="H198" s="2"/>
      <c r="I198" s="2"/>
      <c r="J198" s="2"/>
      <c r="K198" s="2"/>
    </row>
    <row r="199" ht="15.75" customHeight="1">
      <c r="A199" s="23"/>
      <c r="B199" s="23"/>
      <c r="C199" s="18" t="s">
        <v>36</v>
      </c>
      <c r="D199" s="19"/>
      <c r="E199" s="20">
        <v>1500.0</v>
      </c>
      <c r="F199" s="21">
        <f t="shared" si="3"/>
        <v>0</v>
      </c>
      <c r="G199" s="23"/>
      <c r="H199" s="2"/>
      <c r="I199" s="2"/>
      <c r="J199" s="2"/>
      <c r="K199" s="2"/>
    </row>
    <row r="200" ht="15.75" customHeight="1">
      <c r="A200" s="23"/>
      <c r="B200" s="23"/>
      <c r="C200" s="18" t="s">
        <v>37</v>
      </c>
      <c r="D200" s="19"/>
      <c r="E200" s="20">
        <v>4000.0</v>
      </c>
      <c r="F200" s="21">
        <f t="shared" si="3"/>
        <v>0</v>
      </c>
      <c r="G200" s="23"/>
      <c r="H200" s="2"/>
      <c r="I200" s="2"/>
      <c r="J200" s="2"/>
      <c r="K200" s="2"/>
    </row>
    <row r="201" ht="15.75" customHeight="1">
      <c r="A201" s="25"/>
      <c r="B201" s="25"/>
      <c r="C201" s="18" t="s">
        <v>38</v>
      </c>
      <c r="D201" s="19"/>
      <c r="E201" s="20">
        <v>500.0</v>
      </c>
      <c r="F201" s="21">
        <f t="shared" si="3"/>
        <v>0</v>
      </c>
      <c r="G201" s="25"/>
      <c r="H201" s="2"/>
      <c r="I201" s="2"/>
      <c r="J201" s="2"/>
      <c r="K201" s="2"/>
    </row>
    <row r="202" ht="15.75" customHeight="1">
      <c r="A202" s="16">
        <v>8.0</v>
      </c>
      <c r="B202" s="32" t="s">
        <v>72</v>
      </c>
      <c r="C202" s="18" t="s">
        <v>11</v>
      </c>
      <c r="D202" s="19"/>
      <c r="E202" s="20">
        <v>5000.0</v>
      </c>
      <c r="F202" s="21">
        <f t="shared" si="3"/>
        <v>0</v>
      </c>
      <c r="G202" s="22">
        <f>SUM(F202:F231)</f>
        <v>22300</v>
      </c>
      <c r="H202" s="2"/>
      <c r="I202" s="2"/>
      <c r="J202" s="2"/>
      <c r="K202" s="2"/>
    </row>
    <row r="203" ht="15.75" customHeight="1">
      <c r="A203" s="23"/>
      <c r="B203" s="23"/>
      <c r="C203" s="18"/>
      <c r="D203" s="19"/>
      <c r="E203" s="20"/>
      <c r="F203" s="21"/>
      <c r="G203" s="23"/>
      <c r="H203" s="2"/>
      <c r="I203" s="2"/>
      <c r="J203" s="2"/>
      <c r="K203" s="2"/>
    </row>
    <row r="204" ht="15.75" customHeight="1">
      <c r="A204" s="23"/>
      <c r="B204" s="23"/>
      <c r="C204" s="18" t="s">
        <v>12</v>
      </c>
      <c r="D204" s="19"/>
      <c r="E204" s="20">
        <v>3000.0</v>
      </c>
      <c r="F204" s="21">
        <f>D204*E39</f>
        <v>0</v>
      </c>
      <c r="G204" s="23"/>
      <c r="H204" s="2"/>
      <c r="I204" s="2"/>
      <c r="J204" s="2"/>
      <c r="K204" s="2"/>
    </row>
    <row r="205" ht="15.75" customHeight="1">
      <c r="A205" s="23"/>
      <c r="B205" s="23"/>
      <c r="C205" s="18"/>
      <c r="D205" s="19"/>
      <c r="E205" s="20"/>
      <c r="F205" s="21"/>
      <c r="G205" s="23"/>
      <c r="H205" s="2"/>
      <c r="I205" s="2"/>
      <c r="J205" s="2"/>
      <c r="K205" s="2"/>
    </row>
    <row r="206" ht="15.75" customHeight="1">
      <c r="A206" s="23"/>
      <c r="B206" s="23"/>
      <c r="C206" s="18" t="s">
        <v>13</v>
      </c>
      <c r="D206" s="19"/>
      <c r="E206" s="20">
        <v>1000.0</v>
      </c>
      <c r="F206" s="21">
        <f t="shared" ref="F206:F371" si="4">D206*E206</f>
        <v>0</v>
      </c>
      <c r="G206" s="23"/>
      <c r="H206" s="2"/>
      <c r="I206" s="2"/>
      <c r="J206" s="2"/>
      <c r="K206" s="2"/>
    </row>
    <row r="207" ht="15.75" customHeight="1">
      <c r="A207" s="23"/>
      <c r="B207" s="23"/>
      <c r="C207" s="18" t="s">
        <v>14</v>
      </c>
      <c r="D207" s="19"/>
      <c r="E207" s="20">
        <v>2800.0</v>
      </c>
      <c r="F207" s="21">
        <f t="shared" si="4"/>
        <v>0</v>
      </c>
      <c r="G207" s="23"/>
      <c r="H207" s="2"/>
      <c r="I207" s="2"/>
      <c r="J207" s="2"/>
      <c r="K207" s="2"/>
    </row>
    <row r="208" ht="15.75" customHeight="1">
      <c r="A208" s="23"/>
      <c r="B208" s="23"/>
      <c r="C208" s="18" t="s">
        <v>15</v>
      </c>
      <c r="D208" s="19"/>
      <c r="E208" s="20">
        <v>3500.0</v>
      </c>
      <c r="F208" s="21">
        <f t="shared" si="4"/>
        <v>0</v>
      </c>
      <c r="G208" s="23"/>
      <c r="H208" s="2"/>
      <c r="I208" s="2"/>
      <c r="J208" s="2"/>
      <c r="K208" s="2"/>
    </row>
    <row r="209" ht="15.75" customHeight="1">
      <c r="A209" s="23"/>
      <c r="B209" s="23"/>
      <c r="C209" s="18" t="s">
        <v>16</v>
      </c>
      <c r="D209" s="19">
        <f>2+2</f>
        <v>4</v>
      </c>
      <c r="E209" s="20">
        <v>1000.0</v>
      </c>
      <c r="F209" s="21">
        <f t="shared" si="4"/>
        <v>4000</v>
      </c>
      <c r="G209" s="23"/>
      <c r="H209" s="2"/>
      <c r="I209" s="2"/>
      <c r="J209" s="2"/>
      <c r="K209" s="2"/>
    </row>
    <row r="210" ht="15.75" customHeight="1">
      <c r="A210" s="23"/>
      <c r="B210" s="23"/>
      <c r="C210" s="18" t="s">
        <v>17</v>
      </c>
      <c r="D210" s="19"/>
      <c r="E210" s="20">
        <v>2000.0</v>
      </c>
      <c r="F210" s="21">
        <f t="shared" si="4"/>
        <v>0</v>
      </c>
      <c r="G210" s="23"/>
      <c r="H210" s="2"/>
      <c r="I210" s="2"/>
      <c r="J210" s="2"/>
      <c r="K210" s="2"/>
    </row>
    <row r="211" ht="15.75" customHeight="1">
      <c r="A211" s="23"/>
      <c r="B211" s="23"/>
      <c r="C211" s="18" t="s">
        <v>18</v>
      </c>
      <c r="D211" s="19">
        <v>6.0</v>
      </c>
      <c r="E211" s="20">
        <v>2000.0</v>
      </c>
      <c r="F211" s="21">
        <f t="shared" si="4"/>
        <v>12000</v>
      </c>
      <c r="G211" s="23"/>
      <c r="H211" s="2"/>
      <c r="I211" s="2"/>
      <c r="J211" s="2"/>
      <c r="K211" s="2"/>
    </row>
    <row r="212" ht="15.75" customHeight="1">
      <c r="A212" s="23"/>
      <c r="B212" s="23"/>
      <c r="C212" s="18" t="s">
        <v>19</v>
      </c>
      <c r="D212" s="19">
        <v>3.0</v>
      </c>
      <c r="E212" s="20">
        <v>1300.0</v>
      </c>
      <c r="F212" s="21">
        <f t="shared" si="4"/>
        <v>3900</v>
      </c>
      <c r="G212" s="23"/>
      <c r="H212" s="2"/>
      <c r="I212" s="2"/>
      <c r="J212" s="2"/>
      <c r="K212" s="2"/>
    </row>
    <row r="213" ht="15.75" customHeight="1">
      <c r="A213" s="23"/>
      <c r="B213" s="23"/>
      <c r="C213" s="18" t="s">
        <v>20</v>
      </c>
      <c r="D213" s="19"/>
      <c r="E213" s="20">
        <v>1000.0</v>
      </c>
      <c r="F213" s="21">
        <f t="shared" si="4"/>
        <v>0</v>
      </c>
      <c r="G213" s="23"/>
      <c r="H213" s="2"/>
      <c r="I213" s="2"/>
      <c r="J213" s="2"/>
      <c r="K213" s="2"/>
    </row>
    <row r="214" ht="15.75" customHeight="1">
      <c r="A214" s="23"/>
      <c r="B214" s="23"/>
      <c r="C214" s="18" t="s">
        <v>21</v>
      </c>
      <c r="D214" s="19"/>
      <c r="E214" s="20">
        <v>400.0</v>
      </c>
      <c r="F214" s="21">
        <f t="shared" si="4"/>
        <v>0</v>
      </c>
      <c r="G214" s="23"/>
      <c r="H214" s="2"/>
      <c r="I214" s="2"/>
      <c r="J214" s="2"/>
      <c r="K214" s="2"/>
    </row>
    <row r="215" ht="15.75" customHeight="1">
      <c r="A215" s="23"/>
      <c r="B215" s="23"/>
      <c r="C215" s="18" t="s">
        <v>22</v>
      </c>
      <c r="D215" s="19"/>
      <c r="E215" s="20">
        <v>7500.0</v>
      </c>
      <c r="F215" s="21">
        <f t="shared" si="4"/>
        <v>0</v>
      </c>
      <c r="G215" s="23"/>
      <c r="H215" s="2"/>
      <c r="I215" s="2"/>
      <c r="J215" s="2"/>
      <c r="K215" s="2"/>
    </row>
    <row r="216" ht="15.75" customHeight="1">
      <c r="A216" s="23"/>
      <c r="B216" s="23"/>
      <c r="C216" s="18" t="s">
        <v>23</v>
      </c>
      <c r="D216" s="19">
        <v>0.5</v>
      </c>
      <c r="E216" s="20">
        <v>2000.0</v>
      </c>
      <c r="F216" s="21">
        <f t="shared" si="4"/>
        <v>1000</v>
      </c>
      <c r="G216" s="23"/>
      <c r="H216" s="2"/>
      <c r="I216" s="2"/>
      <c r="J216" s="2"/>
      <c r="K216" s="2"/>
    </row>
    <row r="217" ht="15.75" customHeight="1">
      <c r="A217" s="23"/>
      <c r="B217" s="23"/>
      <c r="C217" s="18" t="s">
        <v>24</v>
      </c>
      <c r="D217" s="19">
        <v>1.0</v>
      </c>
      <c r="E217" s="20">
        <v>800.0</v>
      </c>
      <c r="F217" s="21">
        <f t="shared" si="4"/>
        <v>800</v>
      </c>
      <c r="G217" s="23"/>
      <c r="H217" s="2"/>
      <c r="I217" s="2"/>
      <c r="J217" s="2"/>
      <c r="K217" s="2"/>
    </row>
    <row r="218" ht="15.75" customHeight="1">
      <c r="A218" s="23"/>
      <c r="B218" s="23"/>
      <c r="C218" s="18" t="s">
        <v>25</v>
      </c>
      <c r="D218" s="19"/>
      <c r="E218" s="20">
        <v>5000.0</v>
      </c>
      <c r="F218" s="21">
        <f t="shared" si="4"/>
        <v>0</v>
      </c>
      <c r="G218" s="23"/>
      <c r="H218" s="2"/>
      <c r="I218" s="2"/>
      <c r="J218" s="2"/>
      <c r="K218" s="2"/>
    </row>
    <row r="219" ht="15.75" customHeight="1">
      <c r="A219" s="23"/>
      <c r="B219" s="23"/>
      <c r="C219" s="18" t="s">
        <v>26</v>
      </c>
      <c r="D219" s="19"/>
      <c r="E219" s="20">
        <v>2700.0</v>
      </c>
      <c r="F219" s="21">
        <f t="shared" si="4"/>
        <v>0</v>
      </c>
      <c r="G219" s="23"/>
      <c r="H219" s="2"/>
      <c r="I219" s="2"/>
      <c r="J219" s="2"/>
      <c r="K219" s="2"/>
    </row>
    <row r="220" ht="15.75" customHeight="1">
      <c r="A220" s="23"/>
      <c r="B220" s="23"/>
      <c r="C220" s="18" t="s">
        <v>27</v>
      </c>
      <c r="D220" s="19"/>
      <c r="E220" s="20">
        <v>50000.0</v>
      </c>
      <c r="F220" s="21">
        <f t="shared" si="4"/>
        <v>0</v>
      </c>
      <c r="G220" s="23"/>
      <c r="H220" s="2"/>
      <c r="I220" s="2"/>
      <c r="J220" s="2"/>
      <c r="K220" s="2"/>
    </row>
    <row r="221" ht="15.75" customHeight="1">
      <c r="A221" s="23"/>
      <c r="B221" s="23"/>
      <c r="C221" s="18" t="s">
        <v>28</v>
      </c>
      <c r="D221" s="19"/>
      <c r="E221" s="20">
        <v>10000.0</v>
      </c>
      <c r="F221" s="21">
        <f t="shared" si="4"/>
        <v>0</v>
      </c>
      <c r="G221" s="23"/>
      <c r="H221" s="2"/>
      <c r="I221" s="2"/>
      <c r="J221" s="2"/>
      <c r="K221" s="2"/>
    </row>
    <row r="222" ht="15.75" customHeight="1">
      <c r="A222" s="23"/>
      <c r="B222" s="23"/>
      <c r="C222" s="18" t="s">
        <v>29</v>
      </c>
      <c r="D222" s="19"/>
      <c r="E222" s="20">
        <v>1000.0</v>
      </c>
      <c r="F222" s="21">
        <f t="shared" si="4"/>
        <v>0</v>
      </c>
      <c r="G222" s="23"/>
      <c r="H222" s="2"/>
      <c r="I222" s="2"/>
      <c r="J222" s="2"/>
      <c r="K222" s="2"/>
    </row>
    <row r="223" ht="15.75" customHeight="1">
      <c r="A223" s="23"/>
      <c r="B223" s="23"/>
      <c r="C223" s="18" t="s">
        <v>30</v>
      </c>
      <c r="D223" s="19"/>
      <c r="E223" s="20">
        <v>500.0</v>
      </c>
      <c r="F223" s="21">
        <f t="shared" si="4"/>
        <v>0</v>
      </c>
      <c r="G223" s="23"/>
      <c r="H223" s="2"/>
      <c r="I223" s="2"/>
      <c r="J223" s="2"/>
      <c r="K223" s="2"/>
    </row>
    <row r="224" ht="15.75" customHeight="1">
      <c r="A224" s="23"/>
      <c r="B224" s="23"/>
      <c r="C224" s="18" t="s">
        <v>31</v>
      </c>
      <c r="D224" s="19"/>
      <c r="E224" s="20">
        <v>200.0</v>
      </c>
      <c r="F224" s="21">
        <f t="shared" si="4"/>
        <v>0</v>
      </c>
      <c r="G224" s="23"/>
      <c r="H224" s="2"/>
      <c r="I224" s="2"/>
      <c r="J224" s="2"/>
      <c r="K224" s="2"/>
    </row>
    <row r="225" ht="15.75" customHeight="1">
      <c r="A225" s="23"/>
      <c r="B225" s="23"/>
      <c r="C225" s="18" t="s">
        <v>32</v>
      </c>
      <c r="D225" s="19"/>
      <c r="E225" s="20">
        <v>1000.0</v>
      </c>
      <c r="F225" s="21">
        <f t="shared" si="4"/>
        <v>0</v>
      </c>
      <c r="G225" s="23"/>
      <c r="H225" s="2"/>
      <c r="I225" s="2"/>
      <c r="J225" s="2"/>
      <c r="K225" s="2"/>
    </row>
    <row r="226" ht="15.75" customHeight="1">
      <c r="A226" s="23"/>
      <c r="B226" s="23"/>
      <c r="C226" s="18" t="s">
        <v>33</v>
      </c>
      <c r="D226" s="19">
        <v>2.0</v>
      </c>
      <c r="E226" s="20">
        <v>300.0</v>
      </c>
      <c r="F226" s="21">
        <f t="shared" si="4"/>
        <v>600</v>
      </c>
      <c r="G226" s="23"/>
      <c r="H226" s="2"/>
      <c r="I226" s="2"/>
      <c r="J226" s="2"/>
      <c r="K226" s="2"/>
    </row>
    <row r="227" ht="15.75" customHeight="1">
      <c r="A227" s="23"/>
      <c r="B227" s="23"/>
      <c r="C227" s="18" t="s">
        <v>34</v>
      </c>
      <c r="D227" s="19"/>
      <c r="E227" s="20">
        <v>100.0</v>
      </c>
      <c r="F227" s="21">
        <f t="shared" si="4"/>
        <v>0</v>
      </c>
      <c r="G227" s="23"/>
      <c r="H227" s="2"/>
      <c r="I227" s="2"/>
      <c r="J227" s="2"/>
      <c r="K227" s="2"/>
    </row>
    <row r="228" ht="15.75" customHeight="1">
      <c r="A228" s="23"/>
      <c r="B228" s="23"/>
      <c r="C228" s="18" t="s">
        <v>35</v>
      </c>
      <c r="D228" s="19"/>
      <c r="E228" s="20">
        <v>500.0</v>
      </c>
      <c r="F228" s="21">
        <f t="shared" si="4"/>
        <v>0</v>
      </c>
      <c r="G228" s="23"/>
      <c r="H228" s="2"/>
      <c r="I228" s="2"/>
      <c r="J228" s="2"/>
      <c r="K228" s="2"/>
    </row>
    <row r="229" ht="15.75" customHeight="1">
      <c r="A229" s="23"/>
      <c r="B229" s="23"/>
      <c r="C229" s="18" t="s">
        <v>36</v>
      </c>
      <c r="D229" s="19"/>
      <c r="E229" s="20">
        <v>1500.0</v>
      </c>
      <c r="F229" s="21">
        <f t="shared" si="4"/>
        <v>0</v>
      </c>
      <c r="G229" s="23"/>
      <c r="H229" s="2"/>
      <c r="I229" s="2"/>
      <c r="J229" s="2"/>
      <c r="K229" s="2"/>
    </row>
    <row r="230" ht="15.75" customHeight="1">
      <c r="A230" s="23"/>
      <c r="B230" s="23"/>
      <c r="C230" s="18" t="s">
        <v>37</v>
      </c>
      <c r="D230" s="19"/>
      <c r="E230" s="20">
        <v>4000.0</v>
      </c>
      <c r="F230" s="21">
        <f t="shared" si="4"/>
        <v>0</v>
      </c>
      <c r="G230" s="23"/>
      <c r="H230" s="2"/>
      <c r="I230" s="2"/>
      <c r="J230" s="2"/>
      <c r="K230" s="2"/>
    </row>
    <row r="231" ht="15.75" customHeight="1">
      <c r="A231" s="25"/>
      <c r="B231" s="25"/>
      <c r="C231" s="18" t="s">
        <v>38</v>
      </c>
      <c r="D231" s="19">
        <v>1.0</v>
      </c>
      <c r="E231" s="20">
        <v>0.0</v>
      </c>
      <c r="F231" s="21">
        <f t="shared" si="4"/>
        <v>0</v>
      </c>
      <c r="G231" s="25"/>
      <c r="H231" s="2"/>
      <c r="I231" s="2"/>
      <c r="J231" s="2"/>
      <c r="K231" s="2"/>
    </row>
    <row r="232" ht="15.75" customHeight="1">
      <c r="A232" s="16">
        <v>9.0</v>
      </c>
      <c r="B232" s="32" t="s">
        <v>73</v>
      </c>
      <c r="C232" s="18" t="s">
        <v>11</v>
      </c>
      <c r="D232" s="19"/>
      <c r="E232" s="20">
        <v>5000.0</v>
      </c>
      <c r="F232" s="21">
        <f t="shared" si="4"/>
        <v>0</v>
      </c>
      <c r="G232" s="22">
        <f>SUM(F232:F259)</f>
        <v>4000</v>
      </c>
      <c r="H232" s="2"/>
      <c r="I232" s="2"/>
      <c r="J232" s="2"/>
      <c r="K232" s="2"/>
    </row>
    <row r="233" ht="15.75" customHeight="1">
      <c r="A233" s="23"/>
      <c r="B233" s="23"/>
      <c r="C233" s="18" t="s">
        <v>12</v>
      </c>
      <c r="D233" s="19"/>
      <c r="E233" s="20">
        <v>3000.0</v>
      </c>
      <c r="F233" s="21">
        <f t="shared" si="4"/>
        <v>0</v>
      </c>
      <c r="G233" s="23"/>
      <c r="H233" s="2"/>
      <c r="I233" s="2"/>
      <c r="J233" s="2"/>
      <c r="K233" s="2"/>
    </row>
    <row r="234" ht="15.75" customHeight="1">
      <c r="A234" s="23"/>
      <c r="B234" s="23"/>
      <c r="C234" s="18" t="s">
        <v>13</v>
      </c>
      <c r="D234" s="19"/>
      <c r="E234" s="20">
        <v>1000.0</v>
      </c>
      <c r="F234" s="21">
        <f t="shared" si="4"/>
        <v>0</v>
      </c>
      <c r="G234" s="23"/>
      <c r="H234" s="2"/>
      <c r="I234" s="2"/>
      <c r="J234" s="2"/>
      <c r="K234" s="2"/>
    </row>
    <row r="235" ht="15.75" customHeight="1">
      <c r="A235" s="23"/>
      <c r="B235" s="23"/>
      <c r="C235" s="18" t="s">
        <v>14</v>
      </c>
      <c r="D235" s="19"/>
      <c r="E235" s="20">
        <v>2800.0</v>
      </c>
      <c r="F235" s="21">
        <f t="shared" si="4"/>
        <v>0</v>
      </c>
      <c r="G235" s="23"/>
      <c r="H235" s="2"/>
      <c r="I235" s="2"/>
      <c r="J235" s="2"/>
      <c r="K235" s="2"/>
    </row>
    <row r="236" ht="15.75" customHeight="1">
      <c r="A236" s="23"/>
      <c r="B236" s="23"/>
      <c r="C236" s="18" t="s">
        <v>15</v>
      </c>
      <c r="D236" s="19"/>
      <c r="E236" s="20">
        <v>3500.0</v>
      </c>
      <c r="F236" s="21">
        <f t="shared" si="4"/>
        <v>0</v>
      </c>
      <c r="G236" s="23"/>
      <c r="H236" s="2"/>
      <c r="I236" s="2"/>
      <c r="J236" s="2"/>
      <c r="K236" s="2"/>
    </row>
    <row r="237" ht="15.75" customHeight="1">
      <c r="A237" s="23"/>
      <c r="B237" s="23"/>
      <c r="C237" s="18" t="s">
        <v>16</v>
      </c>
      <c r="D237" s="19"/>
      <c r="E237" s="20">
        <v>1000.0</v>
      </c>
      <c r="F237" s="21">
        <f t="shared" si="4"/>
        <v>0</v>
      </c>
      <c r="G237" s="23"/>
      <c r="H237" s="2"/>
      <c r="I237" s="2"/>
      <c r="J237" s="2"/>
      <c r="K237" s="2"/>
    </row>
    <row r="238" ht="15.75" customHeight="1">
      <c r="A238" s="23"/>
      <c r="B238" s="23"/>
      <c r="C238" s="18" t="s">
        <v>17</v>
      </c>
      <c r="D238" s="19">
        <v>2.0</v>
      </c>
      <c r="E238" s="20">
        <v>2000.0</v>
      </c>
      <c r="F238" s="21">
        <f t="shared" si="4"/>
        <v>4000</v>
      </c>
      <c r="G238" s="23"/>
      <c r="H238" s="2"/>
      <c r="I238" s="2"/>
      <c r="J238" s="2"/>
      <c r="K238" s="2"/>
    </row>
    <row r="239" ht="15.75" customHeight="1">
      <c r="A239" s="23"/>
      <c r="B239" s="23"/>
      <c r="C239" s="18" t="s">
        <v>18</v>
      </c>
      <c r="D239" s="19"/>
      <c r="E239" s="20">
        <v>2000.0</v>
      </c>
      <c r="F239" s="21">
        <f t="shared" si="4"/>
        <v>0</v>
      </c>
      <c r="G239" s="23"/>
      <c r="H239" s="2"/>
      <c r="I239" s="2"/>
      <c r="J239" s="2"/>
      <c r="K239" s="2"/>
    </row>
    <row r="240" ht="15.75" customHeight="1">
      <c r="A240" s="23"/>
      <c r="B240" s="23"/>
      <c r="C240" s="18" t="s">
        <v>19</v>
      </c>
      <c r="D240" s="19"/>
      <c r="E240" s="20">
        <v>1300.0</v>
      </c>
      <c r="F240" s="21">
        <f t="shared" si="4"/>
        <v>0</v>
      </c>
      <c r="G240" s="23"/>
      <c r="H240" s="2"/>
      <c r="I240" s="2"/>
      <c r="J240" s="2"/>
      <c r="K240" s="2"/>
    </row>
    <row r="241" ht="15.75" customHeight="1">
      <c r="A241" s="23"/>
      <c r="B241" s="23"/>
      <c r="C241" s="18" t="s">
        <v>20</v>
      </c>
      <c r="D241" s="19"/>
      <c r="E241" s="20">
        <v>1000.0</v>
      </c>
      <c r="F241" s="21">
        <f t="shared" si="4"/>
        <v>0</v>
      </c>
      <c r="G241" s="23"/>
      <c r="H241" s="2"/>
      <c r="I241" s="2"/>
      <c r="J241" s="2"/>
      <c r="K241" s="2"/>
    </row>
    <row r="242" ht="15.75" customHeight="1">
      <c r="A242" s="23"/>
      <c r="B242" s="23"/>
      <c r="C242" s="18" t="s">
        <v>21</v>
      </c>
      <c r="D242" s="19"/>
      <c r="E242" s="20">
        <v>400.0</v>
      </c>
      <c r="F242" s="21">
        <f t="shared" si="4"/>
        <v>0</v>
      </c>
      <c r="G242" s="23"/>
      <c r="H242" s="2"/>
      <c r="I242" s="2"/>
      <c r="J242" s="2"/>
      <c r="K242" s="2"/>
    </row>
    <row r="243" ht="15.75" customHeight="1">
      <c r="A243" s="23"/>
      <c r="B243" s="23"/>
      <c r="C243" s="18" t="s">
        <v>22</v>
      </c>
      <c r="D243" s="19"/>
      <c r="E243" s="20">
        <v>7500.0</v>
      </c>
      <c r="F243" s="21">
        <f t="shared" si="4"/>
        <v>0</v>
      </c>
      <c r="G243" s="23"/>
      <c r="H243" s="2"/>
      <c r="I243" s="2"/>
      <c r="J243" s="2"/>
      <c r="K243" s="2"/>
    </row>
    <row r="244" ht="15.75" customHeight="1">
      <c r="A244" s="23"/>
      <c r="B244" s="23"/>
      <c r="C244" s="18" t="s">
        <v>23</v>
      </c>
      <c r="D244" s="19"/>
      <c r="E244" s="20">
        <v>2000.0</v>
      </c>
      <c r="F244" s="21">
        <f t="shared" si="4"/>
        <v>0</v>
      </c>
      <c r="G244" s="23"/>
      <c r="H244" s="2"/>
      <c r="I244" s="2"/>
      <c r="J244" s="2"/>
      <c r="K244" s="2"/>
    </row>
    <row r="245" ht="15.75" customHeight="1">
      <c r="A245" s="23"/>
      <c r="B245" s="23"/>
      <c r="C245" s="18" t="s">
        <v>24</v>
      </c>
      <c r="D245" s="19"/>
      <c r="E245" s="20">
        <v>800.0</v>
      </c>
      <c r="F245" s="21">
        <f t="shared" si="4"/>
        <v>0</v>
      </c>
      <c r="G245" s="23"/>
      <c r="H245" s="2"/>
      <c r="I245" s="2"/>
      <c r="J245" s="2"/>
      <c r="K245" s="2"/>
    </row>
    <row r="246" ht="15.75" customHeight="1">
      <c r="A246" s="23"/>
      <c r="B246" s="23"/>
      <c r="C246" s="18" t="s">
        <v>25</v>
      </c>
      <c r="D246" s="19"/>
      <c r="E246" s="20">
        <v>5000.0</v>
      </c>
      <c r="F246" s="21">
        <f t="shared" si="4"/>
        <v>0</v>
      </c>
      <c r="G246" s="23"/>
      <c r="H246" s="2"/>
      <c r="I246" s="2"/>
      <c r="J246" s="2"/>
      <c r="K246" s="2"/>
    </row>
    <row r="247" ht="15.75" customHeight="1">
      <c r="A247" s="23"/>
      <c r="B247" s="23"/>
      <c r="C247" s="18" t="s">
        <v>26</v>
      </c>
      <c r="D247" s="19"/>
      <c r="E247" s="20">
        <v>2700.0</v>
      </c>
      <c r="F247" s="21">
        <f t="shared" si="4"/>
        <v>0</v>
      </c>
      <c r="G247" s="23"/>
      <c r="H247" s="2"/>
      <c r="I247" s="2"/>
      <c r="J247" s="2"/>
      <c r="K247" s="2"/>
    </row>
    <row r="248" ht="15.75" customHeight="1">
      <c r="A248" s="23"/>
      <c r="B248" s="23"/>
      <c r="C248" s="18" t="s">
        <v>27</v>
      </c>
      <c r="D248" s="19"/>
      <c r="E248" s="20">
        <v>50000.0</v>
      </c>
      <c r="F248" s="21">
        <f t="shared" si="4"/>
        <v>0</v>
      </c>
      <c r="G248" s="23"/>
      <c r="H248" s="2"/>
      <c r="I248" s="2"/>
      <c r="J248" s="2"/>
      <c r="K248" s="2"/>
    </row>
    <row r="249" ht="15.75" customHeight="1">
      <c r="A249" s="23"/>
      <c r="B249" s="23"/>
      <c r="C249" s="18" t="s">
        <v>28</v>
      </c>
      <c r="D249" s="19"/>
      <c r="E249" s="20">
        <v>10000.0</v>
      </c>
      <c r="F249" s="21">
        <f t="shared" si="4"/>
        <v>0</v>
      </c>
      <c r="G249" s="23"/>
      <c r="H249" s="2"/>
      <c r="I249" s="2"/>
      <c r="J249" s="2"/>
      <c r="K249" s="2"/>
    </row>
    <row r="250" ht="15.75" customHeight="1">
      <c r="A250" s="23"/>
      <c r="B250" s="23"/>
      <c r="C250" s="18" t="s">
        <v>29</v>
      </c>
      <c r="D250" s="19"/>
      <c r="E250" s="20">
        <v>1000.0</v>
      </c>
      <c r="F250" s="21">
        <f t="shared" si="4"/>
        <v>0</v>
      </c>
      <c r="G250" s="23"/>
      <c r="H250" s="2"/>
      <c r="I250" s="2"/>
      <c r="J250" s="2"/>
      <c r="K250" s="2"/>
    </row>
    <row r="251" ht="15.75" customHeight="1">
      <c r="A251" s="23"/>
      <c r="B251" s="23"/>
      <c r="C251" s="18" t="s">
        <v>30</v>
      </c>
      <c r="D251" s="19"/>
      <c r="E251" s="20">
        <v>500.0</v>
      </c>
      <c r="F251" s="21">
        <f t="shared" si="4"/>
        <v>0</v>
      </c>
      <c r="G251" s="23"/>
      <c r="H251" s="2"/>
      <c r="I251" s="2"/>
      <c r="J251" s="2"/>
      <c r="K251" s="2"/>
    </row>
    <row r="252" ht="15.75" customHeight="1">
      <c r="A252" s="23"/>
      <c r="B252" s="23"/>
      <c r="C252" s="18" t="s">
        <v>31</v>
      </c>
      <c r="D252" s="19"/>
      <c r="E252" s="20">
        <v>200.0</v>
      </c>
      <c r="F252" s="21">
        <f t="shared" si="4"/>
        <v>0</v>
      </c>
      <c r="G252" s="23"/>
      <c r="H252" s="2"/>
      <c r="I252" s="2"/>
      <c r="J252" s="2"/>
      <c r="K252" s="2"/>
    </row>
    <row r="253" ht="15.75" customHeight="1">
      <c r="A253" s="23"/>
      <c r="B253" s="23"/>
      <c r="C253" s="18" t="s">
        <v>32</v>
      </c>
      <c r="D253" s="19"/>
      <c r="E253" s="20">
        <v>1000.0</v>
      </c>
      <c r="F253" s="21">
        <f t="shared" si="4"/>
        <v>0</v>
      </c>
      <c r="G253" s="23"/>
      <c r="H253" s="2"/>
      <c r="I253" s="2"/>
      <c r="J253" s="2"/>
      <c r="K253" s="2"/>
    </row>
    <row r="254" ht="15.75" customHeight="1">
      <c r="A254" s="23"/>
      <c r="B254" s="23"/>
      <c r="C254" s="18" t="s">
        <v>33</v>
      </c>
      <c r="D254" s="19"/>
      <c r="E254" s="20">
        <v>300.0</v>
      </c>
      <c r="F254" s="21">
        <f t="shared" si="4"/>
        <v>0</v>
      </c>
      <c r="G254" s="23"/>
      <c r="H254" s="2"/>
      <c r="I254" s="2"/>
      <c r="J254" s="2"/>
      <c r="K254" s="2"/>
    </row>
    <row r="255" ht="15.75" customHeight="1">
      <c r="A255" s="23"/>
      <c r="B255" s="23"/>
      <c r="C255" s="18" t="s">
        <v>34</v>
      </c>
      <c r="D255" s="19"/>
      <c r="E255" s="20">
        <v>100.0</v>
      </c>
      <c r="F255" s="21">
        <f t="shared" si="4"/>
        <v>0</v>
      </c>
      <c r="G255" s="23"/>
      <c r="H255" s="2"/>
      <c r="I255" s="2"/>
      <c r="J255" s="2"/>
      <c r="K255" s="2"/>
    </row>
    <row r="256" ht="15.75" customHeight="1">
      <c r="A256" s="23"/>
      <c r="B256" s="23"/>
      <c r="C256" s="18" t="s">
        <v>35</v>
      </c>
      <c r="D256" s="19"/>
      <c r="E256" s="20">
        <v>500.0</v>
      </c>
      <c r="F256" s="21">
        <f t="shared" si="4"/>
        <v>0</v>
      </c>
      <c r="G256" s="23"/>
      <c r="H256" s="2"/>
      <c r="I256" s="2"/>
      <c r="J256" s="2"/>
      <c r="K256" s="2"/>
    </row>
    <row r="257" ht="15.75" customHeight="1">
      <c r="A257" s="23"/>
      <c r="B257" s="23"/>
      <c r="C257" s="18" t="s">
        <v>36</v>
      </c>
      <c r="D257" s="19"/>
      <c r="E257" s="20">
        <v>1500.0</v>
      </c>
      <c r="F257" s="21">
        <f t="shared" si="4"/>
        <v>0</v>
      </c>
      <c r="G257" s="23"/>
      <c r="H257" s="2"/>
      <c r="I257" s="2"/>
      <c r="J257" s="2"/>
      <c r="K257" s="2"/>
    </row>
    <row r="258" ht="15.75" customHeight="1">
      <c r="A258" s="23"/>
      <c r="B258" s="23"/>
      <c r="C258" s="18" t="s">
        <v>37</v>
      </c>
      <c r="D258" s="19"/>
      <c r="E258" s="20">
        <v>4000.0</v>
      </c>
      <c r="F258" s="21">
        <f t="shared" si="4"/>
        <v>0</v>
      </c>
      <c r="G258" s="23"/>
      <c r="H258" s="2"/>
      <c r="I258" s="2"/>
      <c r="J258" s="2"/>
      <c r="K258" s="2"/>
    </row>
    <row r="259" ht="15.75" customHeight="1">
      <c r="A259" s="25"/>
      <c r="B259" s="25"/>
      <c r="C259" s="18" t="s">
        <v>38</v>
      </c>
      <c r="D259" s="19"/>
      <c r="E259" s="20">
        <v>0.0</v>
      </c>
      <c r="F259" s="21">
        <f t="shared" si="4"/>
        <v>0</v>
      </c>
      <c r="G259" s="25"/>
      <c r="H259" s="2"/>
      <c r="I259" s="2"/>
      <c r="J259" s="2"/>
      <c r="K259" s="2"/>
    </row>
    <row r="260" ht="15.75" customHeight="1">
      <c r="A260" s="16">
        <v>10.0</v>
      </c>
      <c r="B260" s="32" t="s">
        <v>74</v>
      </c>
      <c r="C260" s="18" t="s">
        <v>11</v>
      </c>
      <c r="D260" s="19"/>
      <c r="E260" s="20">
        <v>5000.0</v>
      </c>
      <c r="F260" s="21">
        <f t="shared" si="4"/>
        <v>0</v>
      </c>
      <c r="G260" s="22">
        <f>SUM(F260:F287)</f>
        <v>13400</v>
      </c>
      <c r="H260" s="2"/>
      <c r="I260" s="2"/>
      <c r="J260" s="2"/>
      <c r="K260" s="2"/>
    </row>
    <row r="261" ht="15.75" customHeight="1">
      <c r="A261" s="23"/>
      <c r="B261" s="23"/>
      <c r="C261" s="18" t="s">
        <v>12</v>
      </c>
      <c r="D261" s="19"/>
      <c r="E261" s="20">
        <v>3000.0</v>
      </c>
      <c r="F261" s="21">
        <f t="shared" si="4"/>
        <v>0</v>
      </c>
      <c r="G261" s="23"/>
      <c r="H261" s="2"/>
      <c r="I261" s="2"/>
      <c r="J261" s="2"/>
      <c r="K261" s="2"/>
    </row>
    <row r="262" ht="15.75" customHeight="1">
      <c r="A262" s="23"/>
      <c r="B262" s="23"/>
      <c r="C262" s="18" t="s">
        <v>13</v>
      </c>
      <c r="D262" s="19"/>
      <c r="E262" s="20">
        <v>1000.0</v>
      </c>
      <c r="F262" s="21">
        <f t="shared" si="4"/>
        <v>0</v>
      </c>
      <c r="G262" s="23"/>
      <c r="H262" s="2"/>
      <c r="I262" s="2"/>
      <c r="J262" s="2"/>
      <c r="K262" s="2"/>
    </row>
    <row r="263" ht="15.75" customHeight="1">
      <c r="A263" s="23"/>
      <c r="B263" s="23"/>
      <c r="C263" s="18" t="s">
        <v>14</v>
      </c>
      <c r="D263" s="19"/>
      <c r="E263" s="20">
        <v>2800.0</v>
      </c>
      <c r="F263" s="21">
        <f t="shared" si="4"/>
        <v>0</v>
      </c>
      <c r="G263" s="23"/>
      <c r="H263" s="2"/>
      <c r="I263" s="2"/>
      <c r="J263" s="2"/>
      <c r="K263" s="2"/>
    </row>
    <row r="264" ht="15.75" customHeight="1">
      <c r="A264" s="23"/>
      <c r="B264" s="23"/>
      <c r="C264" s="18" t="s">
        <v>15</v>
      </c>
      <c r="D264" s="19"/>
      <c r="E264" s="20">
        <v>3500.0</v>
      </c>
      <c r="F264" s="21">
        <f t="shared" si="4"/>
        <v>0</v>
      </c>
      <c r="G264" s="23"/>
      <c r="H264" s="2"/>
      <c r="I264" s="2"/>
      <c r="J264" s="2"/>
      <c r="K264" s="2"/>
    </row>
    <row r="265" ht="15.75" customHeight="1">
      <c r="A265" s="23"/>
      <c r="B265" s="23"/>
      <c r="C265" s="18" t="s">
        <v>16</v>
      </c>
      <c r="D265" s="19">
        <v>2.0</v>
      </c>
      <c r="E265" s="20">
        <v>1000.0</v>
      </c>
      <c r="F265" s="21">
        <f t="shared" si="4"/>
        <v>2000</v>
      </c>
      <c r="G265" s="23"/>
      <c r="H265" s="2"/>
      <c r="I265" s="2"/>
      <c r="J265" s="2"/>
      <c r="K265" s="2"/>
    </row>
    <row r="266" ht="15.75" customHeight="1">
      <c r="A266" s="23"/>
      <c r="B266" s="23"/>
      <c r="C266" s="18" t="s">
        <v>17</v>
      </c>
      <c r="D266" s="19">
        <v>1.5</v>
      </c>
      <c r="E266" s="20">
        <v>2000.0</v>
      </c>
      <c r="F266" s="21">
        <f t="shared" si="4"/>
        <v>3000</v>
      </c>
      <c r="G266" s="23"/>
      <c r="H266" s="2"/>
      <c r="I266" s="2"/>
      <c r="J266" s="2"/>
      <c r="K266" s="2"/>
    </row>
    <row r="267" ht="15.75" customHeight="1">
      <c r="A267" s="23"/>
      <c r="B267" s="23"/>
      <c r="C267" s="18" t="s">
        <v>18</v>
      </c>
      <c r="D267" s="19">
        <v>3.5</v>
      </c>
      <c r="E267" s="20">
        <v>2000.0</v>
      </c>
      <c r="F267" s="21">
        <f t="shared" si="4"/>
        <v>7000</v>
      </c>
      <c r="G267" s="23"/>
      <c r="H267" s="2"/>
      <c r="I267" s="2"/>
      <c r="J267" s="2"/>
      <c r="K267" s="2"/>
    </row>
    <row r="268" ht="15.75" customHeight="1">
      <c r="A268" s="23"/>
      <c r="B268" s="23"/>
      <c r="C268" s="18" t="s">
        <v>19</v>
      </c>
      <c r="D268" s="19"/>
      <c r="E268" s="20">
        <v>1300.0</v>
      </c>
      <c r="F268" s="21">
        <f t="shared" si="4"/>
        <v>0</v>
      </c>
      <c r="G268" s="23"/>
      <c r="H268" s="2"/>
      <c r="I268" s="2"/>
      <c r="J268" s="2"/>
      <c r="K268" s="2"/>
    </row>
    <row r="269" ht="15.75" customHeight="1">
      <c r="A269" s="23"/>
      <c r="B269" s="23"/>
      <c r="C269" s="18" t="s">
        <v>20</v>
      </c>
      <c r="D269" s="19"/>
      <c r="E269" s="20">
        <v>1000.0</v>
      </c>
      <c r="F269" s="21">
        <f t="shared" si="4"/>
        <v>0</v>
      </c>
      <c r="G269" s="23"/>
      <c r="H269" s="2"/>
      <c r="I269" s="2"/>
      <c r="J269" s="2"/>
      <c r="K269" s="2"/>
    </row>
    <row r="270" ht="15.75" customHeight="1">
      <c r="A270" s="23"/>
      <c r="B270" s="23"/>
      <c r="C270" s="18" t="s">
        <v>21</v>
      </c>
      <c r="D270" s="19">
        <v>3.5</v>
      </c>
      <c r="E270" s="20">
        <v>400.0</v>
      </c>
      <c r="F270" s="21">
        <f t="shared" si="4"/>
        <v>1400</v>
      </c>
      <c r="G270" s="23"/>
      <c r="H270" s="2"/>
      <c r="I270" s="2"/>
      <c r="J270" s="2"/>
      <c r="K270" s="2"/>
    </row>
    <row r="271" ht="15.75" customHeight="1">
      <c r="A271" s="23"/>
      <c r="B271" s="23"/>
      <c r="C271" s="18" t="s">
        <v>22</v>
      </c>
      <c r="D271" s="19"/>
      <c r="E271" s="20">
        <v>7500.0</v>
      </c>
      <c r="F271" s="21">
        <f t="shared" si="4"/>
        <v>0</v>
      </c>
      <c r="G271" s="23"/>
      <c r="H271" s="2"/>
      <c r="I271" s="2"/>
      <c r="J271" s="2"/>
      <c r="K271" s="2"/>
    </row>
    <row r="272" ht="15.75" customHeight="1">
      <c r="A272" s="23"/>
      <c r="B272" s="23"/>
      <c r="C272" s="18" t="s">
        <v>23</v>
      </c>
      <c r="D272" s="19"/>
      <c r="E272" s="20">
        <v>2000.0</v>
      </c>
      <c r="F272" s="21">
        <f t="shared" si="4"/>
        <v>0</v>
      </c>
      <c r="G272" s="23"/>
      <c r="H272" s="2"/>
      <c r="I272" s="2"/>
      <c r="J272" s="2"/>
      <c r="K272" s="2"/>
    </row>
    <row r="273" ht="15.75" customHeight="1">
      <c r="A273" s="23"/>
      <c r="B273" s="23"/>
      <c r="C273" s="18" t="s">
        <v>24</v>
      </c>
      <c r="D273" s="19"/>
      <c r="E273" s="20">
        <v>800.0</v>
      </c>
      <c r="F273" s="21">
        <f t="shared" si="4"/>
        <v>0</v>
      </c>
      <c r="G273" s="23"/>
      <c r="H273" s="2"/>
      <c r="I273" s="2"/>
      <c r="J273" s="2"/>
      <c r="K273" s="2"/>
    </row>
    <row r="274" ht="15.75" customHeight="1">
      <c r="A274" s="23"/>
      <c r="B274" s="23"/>
      <c r="C274" s="18" t="s">
        <v>25</v>
      </c>
      <c r="D274" s="19"/>
      <c r="E274" s="20">
        <v>5000.0</v>
      </c>
      <c r="F274" s="21">
        <f t="shared" si="4"/>
        <v>0</v>
      </c>
      <c r="G274" s="23"/>
      <c r="H274" s="2"/>
      <c r="I274" s="2"/>
      <c r="J274" s="2"/>
      <c r="K274" s="2"/>
    </row>
    <row r="275" ht="15.75" customHeight="1">
      <c r="A275" s="23"/>
      <c r="B275" s="23"/>
      <c r="C275" s="18" t="s">
        <v>26</v>
      </c>
      <c r="D275" s="19"/>
      <c r="E275" s="20">
        <v>2700.0</v>
      </c>
      <c r="F275" s="21">
        <f t="shared" si="4"/>
        <v>0</v>
      </c>
      <c r="G275" s="23"/>
      <c r="H275" s="2"/>
      <c r="I275" s="2"/>
      <c r="J275" s="2"/>
      <c r="K275" s="2"/>
    </row>
    <row r="276" ht="15.75" customHeight="1">
      <c r="A276" s="23"/>
      <c r="B276" s="23"/>
      <c r="C276" s="18" t="s">
        <v>27</v>
      </c>
      <c r="D276" s="19"/>
      <c r="E276" s="20">
        <v>50000.0</v>
      </c>
      <c r="F276" s="21">
        <f t="shared" si="4"/>
        <v>0</v>
      </c>
      <c r="G276" s="23"/>
      <c r="H276" s="2"/>
      <c r="I276" s="2"/>
      <c r="J276" s="2"/>
      <c r="K276" s="2"/>
    </row>
    <row r="277" ht="15.75" customHeight="1">
      <c r="A277" s="23"/>
      <c r="B277" s="23"/>
      <c r="C277" s="18" t="s">
        <v>28</v>
      </c>
      <c r="D277" s="19"/>
      <c r="E277" s="20">
        <v>10000.0</v>
      </c>
      <c r="F277" s="21">
        <f t="shared" si="4"/>
        <v>0</v>
      </c>
      <c r="G277" s="23"/>
      <c r="H277" s="2"/>
      <c r="I277" s="2"/>
      <c r="J277" s="2"/>
      <c r="K277" s="2"/>
    </row>
    <row r="278" ht="15.75" customHeight="1">
      <c r="A278" s="23"/>
      <c r="B278" s="23"/>
      <c r="C278" s="18" t="s">
        <v>29</v>
      </c>
      <c r="D278" s="19"/>
      <c r="E278" s="20">
        <v>1000.0</v>
      </c>
      <c r="F278" s="21">
        <f t="shared" si="4"/>
        <v>0</v>
      </c>
      <c r="G278" s="23"/>
      <c r="H278" s="2"/>
      <c r="I278" s="2"/>
      <c r="J278" s="2"/>
      <c r="K278" s="2"/>
    </row>
    <row r="279" ht="15.75" customHeight="1">
      <c r="A279" s="23"/>
      <c r="B279" s="23"/>
      <c r="C279" s="18" t="s">
        <v>30</v>
      </c>
      <c r="D279" s="19"/>
      <c r="E279" s="20">
        <v>500.0</v>
      </c>
      <c r="F279" s="21">
        <f t="shared" si="4"/>
        <v>0</v>
      </c>
      <c r="G279" s="23"/>
      <c r="H279" s="2"/>
      <c r="I279" s="2"/>
      <c r="J279" s="2"/>
      <c r="K279" s="2"/>
    </row>
    <row r="280" ht="15.75" customHeight="1">
      <c r="A280" s="23"/>
      <c r="B280" s="23"/>
      <c r="C280" s="18" t="s">
        <v>31</v>
      </c>
      <c r="D280" s="19"/>
      <c r="E280" s="20">
        <v>200.0</v>
      </c>
      <c r="F280" s="21">
        <f t="shared" si="4"/>
        <v>0</v>
      </c>
      <c r="G280" s="23"/>
      <c r="H280" s="2"/>
      <c r="I280" s="2"/>
      <c r="J280" s="2"/>
      <c r="K280" s="2"/>
    </row>
    <row r="281" ht="15.75" customHeight="1">
      <c r="A281" s="23"/>
      <c r="B281" s="23"/>
      <c r="C281" s="18" t="s">
        <v>32</v>
      </c>
      <c r="D281" s="19"/>
      <c r="E281" s="20">
        <v>1000.0</v>
      </c>
      <c r="F281" s="21">
        <f t="shared" si="4"/>
        <v>0</v>
      </c>
      <c r="G281" s="23"/>
      <c r="H281" s="2"/>
      <c r="I281" s="2"/>
      <c r="J281" s="2"/>
      <c r="K281" s="2"/>
    </row>
    <row r="282" ht="15.75" customHeight="1">
      <c r="A282" s="23"/>
      <c r="B282" s="23"/>
      <c r="C282" s="18" t="s">
        <v>33</v>
      </c>
      <c r="D282" s="19"/>
      <c r="E282" s="20">
        <v>300.0</v>
      </c>
      <c r="F282" s="21">
        <f t="shared" si="4"/>
        <v>0</v>
      </c>
      <c r="G282" s="23"/>
      <c r="H282" s="2"/>
      <c r="I282" s="2"/>
      <c r="J282" s="2"/>
      <c r="K282" s="2"/>
    </row>
    <row r="283" ht="15.75" customHeight="1">
      <c r="A283" s="23"/>
      <c r="B283" s="23"/>
      <c r="C283" s="18" t="s">
        <v>34</v>
      </c>
      <c r="D283" s="19"/>
      <c r="E283" s="20">
        <v>100.0</v>
      </c>
      <c r="F283" s="21">
        <f t="shared" si="4"/>
        <v>0</v>
      </c>
      <c r="G283" s="23"/>
      <c r="H283" s="2"/>
      <c r="I283" s="2"/>
      <c r="J283" s="2"/>
      <c r="K283" s="2"/>
    </row>
    <row r="284" ht="15.75" customHeight="1">
      <c r="A284" s="23"/>
      <c r="B284" s="23"/>
      <c r="C284" s="18" t="s">
        <v>35</v>
      </c>
      <c r="D284" s="19"/>
      <c r="E284" s="20">
        <v>500.0</v>
      </c>
      <c r="F284" s="21">
        <f t="shared" si="4"/>
        <v>0</v>
      </c>
      <c r="G284" s="23"/>
      <c r="H284" s="2"/>
      <c r="I284" s="2"/>
      <c r="J284" s="2"/>
      <c r="K284" s="2"/>
    </row>
    <row r="285" ht="15.75" customHeight="1">
      <c r="A285" s="23"/>
      <c r="B285" s="23"/>
      <c r="C285" s="18" t="s">
        <v>36</v>
      </c>
      <c r="D285" s="19"/>
      <c r="E285" s="20">
        <v>1500.0</v>
      </c>
      <c r="F285" s="21">
        <f t="shared" si="4"/>
        <v>0</v>
      </c>
      <c r="G285" s="23"/>
      <c r="H285" s="2"/>
      <c r="I285" s="2"/>
      <c r="J285" s="2"/>
      <c r="K285" s="2"/>
    </row>
    <row r="286" ht="15.75" customHeight="1">
      <c r="A286" s="23"/>
      <c r="B286" s="23"/>
      <c r="C286" s="18" t="s">
        <v>37</v>
      </c>
      <c r="D286" s="19"/>
      <c r="E286" s="20">
        <v>4000.0</v>
      </c>
      <c r="F286" s="21">
        <f t="shared" si="4"/>
        <v>0</v>
      </c>
      <c r="G286" s="23"/>
      <c r="H286" s="2"/>
      <c r="I286" s="2"/>
      <c r="J286" s="2"/>
      <c r="K286" s="2"/>
    </row>
    <row r="287" ht="15.75" customHeight="1">
      <c r="A287" s="25"/>
      <c r="B287" s="25"/>
      <c r="C287" s="18" t="s">
        <v>38</v>
      </c>
      <c r="D287" s="19">
        <f>3+1.5+3.5+3.5</f>
        <v>11.5</v>
      </c>
      <c r="E287" s="20">
        <v>0.0</v>
      </c>
      <c r="F287" s="21">
        <f t="shared" si="4"/>
        <v>0</v>
      </c>
      <c r="G287" s="25"/>
      <c r="H287" s="2"/>
      <c r="I287" s="2"/>
      <c r="J287" s="2"/>
      <c r="K287" s="2"/>
    </row>
    <row r="288" ht="15.75" customHeight="1">
      <c r="A288" s="16">
        <v>11.0</v>
      </c>
      <c r="B288" s="32" t="s">
        <v>75</v>
      </c>
      <c r="C288" s="18" t="s">
        <v>11</v>
      </c>
      <c r="D288" s="19"/>
      <c r="E288" s="20">
        <v>5000.0</v>
      </c>
      <c r="F288" s="21">
        <f t="shared" si="4"/>
        <v>0</v>
      </c>
      <c r="G288" s="22">
        <f>SUM(F288:F315)</f>
        <v>32000</v>
      </c>
      <c r="H288" s="2"/>
      <c r="I288" s="2"/>
      <c r="J288" s="2"/>
      <c r="K288" s="2"/>
    </row>
    <row r="289" ht="15.75" customHeight="1">
      <c r="A289" s="23"/>
      <c r="B289" s="23"/>
      <c r="C289" s="18" t="s">
        <v>12</v>
      </c>
      <c r="D289" s="19"/>
      <c r="E289" s="20">
        <v>3000.0</v>
      </c>
      <c r="F289" s="21">
        <f t="shared" si="4"/>
        <v>0</v>
      </c>
      <c r="G289" s="23"/>
      <c r="H289" s="2"/>
      <c r="I289" s="2"/>
      <c r="J289" s="2"/>
      <c r="K289" s="2"/>
    </row>
    <row r="290" ht="15.75" customHeight="1">
      <c r="A290" s="23"/>
      <c r="B290" s="23"/>
      <c r="C290" s="18" t="s">
        <v>13</v>
      </c>
      <c r="D290" s="19"/>
      <c r="E290" s="20">
        <v>1000.0</v>
      </c>
      <c r="F290" s="21">
        <f t="shared" si="4"/>
        <v>0</v>
      </c>
      <c r="G290" s="23"/>
      <c r="H290" s="2"/>
      <c r="I290" s="2"/>
      <c r="J290" s="2"/>
      <c r="K290" s="2"/>
    </row>
    <row r="291" ht="15.75" customHeight="1">
      <c r="A291" s="23"/>
      <c r="B291" s="23"/>
      <c r="C291" s="18" t="s">
        <v>14</v>
      </c>
      <c r="D291" s="19"/>
      <c r="E291" s="20">
        <v>2800.0</v>
      </c>
      <c r="F291" s="21">
        <f t="shared" si="4"/>
        <v>0</v>
      </c>
      <c r="G291" s="23"/>
      <c r="H291" s="2"/>
      <c r="I291" s="2"/>
      <c r="J291" s="2"/>
      <c r="K291" s="2"/>
    </row>
    <row r="292" ht="15.75" customHeight="1">
      <c r="A292" s="23"/>
      <c r="B292" s="23"/>
      <c r="C292" s="18" t="s">
        <v>15</v>
      </c>
      <c r="D292" s="19"/>
      <c r="E292" s="20">
        <v>3500.0</v>
      </c>
      <c r="F292" s="21">
        <f t="shared" si="4"/>
        <v>0</v>
      </c>
      <c r="G292" s="23"/>
      <c r="H292" s="2"/>
      <c r="I292" s="2"/>
      <c r="J292" s="2"/>
      <c r="K292" s="2"/>
    </row>
    <row r="293" ht="15.75" customHeight="1">
      <c r="A293" s="23"/>
      <c r="B293" s="23"/>
      <c r="C293" s="18" t="s">
        <v>16</v>
      </c>
      <c r="D293" s="19">
        <v>7.0</v>
      </c>
      <c r="E293" s="20">
        <v>1000.0</v>
      </c>
      <c r="F293" s="21">
        <f t="shared" si="4"/>
        <v>7000</v>
      </c>
      <c r="G293" s="23"/>
      <c r="H293" s="2"/>
      <c r="I293" s="2"/>
      <c r="J293" s="2"/>
      <c r="K293" s="2"/>
    </row>
    <row r="294" ht="15.75" customHeight="1">
      <c r="A294" s="23"/>
      <c r="B294" s="23"/>
      <c r="C294" s="18" t="s">
        <v>17</v>
      </c>
      <c r="D294" s="19"/>
      <c r="E294" s="20">
        <v>2000.0</v>
      </c>
      <c r="F294" s="21">
        <f t="shared" si="4"/>
        <v>0</v>
      </c>
      <c r="G294" s="23"/>
      <c r="H294" s="2"/>
      <c r="I294" s="2"/>
      <c r="J294" s="2"/>
      <c r="K294" s="2"/>
    </row>
    <row r="295" ht="15.75" customHeight="1">
      <c r="A295" s="23"/>
      <c r="B295" s="23"/>
      <c r="C295" s="18" t="s">
        <v>18</v>
      </c>
      <c r="D295" s="19"/>
      <c r="E295" s="20">
        <v>2000.0</v>
      </c>
      <c r="F295" s="21">
        <f t="shared" si="4"/>
        <v>0</v>
      </c>
      <c r="G295" s="23"/>
      <c r="H295" s="2"/>
      <c r="I295" s="2"/>
      <c r="J295" s="2"/>
      <c r="K295" s="2"/>
    </row>
    <row r="296" ht="15.75" customHeight="1">
      <c r="A296" s="23"/>
      <c r="B296" s="23"/>
      <c r="C296" s="18" t="s">
        <v>19</v>
      </c>
      <c r="D296" s="19"/>
      <c r="E296" s="20">
        <v>1300.0</v>
      </c>
      <c r="F296" s="21">
        <f t="shared" si="4"/>
        <v>0</v>
      </c>
      <c r="G296" s="23"/>
      <c r="H296" s="2"/>
      <c r="I296" s="2"/>
      <c r="J296" s="2"/>
      <c r="K296" s="2"/>
    </row>
    <row r="297" ht="15.75" customHeight="1">
      <c r="A297" s="23"/>
      <c r="B297" s="23"/>
      <c r="C297" s="18" t="s">
        <v>20</v>
      </c>
      <c r="D297" s="19"/>
      <c r="E297" s="20">
        <v>1000.0</v>
      </c>
      <c r="F297" s="21">
        <f t="shared" si="4"/>
        <v>0</v>
      </c>
      <c r="G297" s="23"/>
      <c r="H297" s="2"/>
      <c r="I297" s="2"/>
      <c r="J297" s="2"/>
      <c r="K297" s="2"/>
    </row>
    <row r="298" ht="15.75" customHeight="1">
      <c r="A298" s="23"/>
      <c r="B298" s="23"/>
      <c r="C298" s="18" t="s">
        <v>21</v>
      </c>
      <c r="D298" s="19"/>
      <c r="E298" s="20">
        <v>400.0</v>
      </c>
      <c r="F298" s="21">
        <f t="shared" si="4"/>
        <v>0</v>
      </c>
      <c r="G298" s="23"/>
      <c r="H298" s="2"/>
      <c r="I298" s="2"/>
      <c r="J298" s="2"/>
      <c r="K298" s="2"/>
    </row>
    <row r="299" ht="15.75" customHeight="1">
      <c r="A299" s="23"/>
      <c r="B299" s="23"/>
      <c r="C299" s="18" t="s">
        <v>22</v>
      </c>
      <c r="D299" s="19">
        <v>2.0</v>
      </c>
      <c r="E299" s="20">
        <v>7500.0</v>
      </c>
      <c r="F299" s="21">
        <f t="shared" si="4"/>
        <v>15000</v>
      </c>
      <c r="G299" s="23"/>
      <c r="H299" s="2"/>
      <c r="I299" s="2"/>
      <c r="J299" s="2"/>
      <c r="K299" s="2"/>
    </row>
    <row r="300" ht="15.75" customHeight="1">
      <c r="A300" s="23"/>
      <c r="B300" s="23"/>
      <c r="C300" s="18" t="s">
        <v>23</v>
      </c>
      <c r="D300" s="19">
        <v>5.0</v>
      </c>
      <c r="E300" s="20">
        <v>2000.0</v>
      </c>
      <c r="F300" s="21">
        <f t="shared" si="4"/>
        <v>10000</v>
      </c>
      <c r="G300" s="23"/>
      <c r="H300" s="2"/>
      <c r="I300" s="2"/>
      <c r="J300" s="2"/>
      <c r="K300" s="2"/>
    </row>
    <row r="301" ht="15.75" customHeight="1">
      <c r="A301" s="23"/>
      <c r="B301" s="23"/>
      <c r="C301" s="18" t="s">
        <v>24</v>
      </c>
      <c r="D301" s="19"/>
      <c r="E301" s="20">
        <v>800.0</v>
      </c>
      <c r="F301" s="21">
        <f t="shared" si="4"/>
        <v>0</v>
      </c>
      <c r="G301" s="23"/>
      <c r="H301" s="2"/>
      <c r="I301" s="2"/>
      <c r="J301" s="2"/>
      <c r="K301" s="2"/>
    </row>
    <row r="302" ht="15.75" customHeight="1">
      <c r="A302" s="23"/>
      <c r="B302" s="23"/>
      <c r="C302" s="18" t="s">
        <v>25</v>
      </c>
      <c r="D302" s="19"/>
      <c r="E302" s="20">
        <v>5000.0</v>
      </c>
      <c r="F302" s="21">
        <f t="shared" si="4"/>
        <v>0</v>
      </c>
      <c r="G302" s="23"/>
      <c r="H302" s="2"/>
      <c r="I302" s="2"/>
      <c r="J302" s="2"/>
      <c r="K302" s="2"/>
    </row>
    <row r="303" ht="15.75" customHeight="1">
      <c r="A303" s="23"/>
      <c r="B303" s="23"/>
      <c r="C303" s="18" t="s">
        <v>26</v>
      </c>
      <c r="D303" s="19"/>
      <c r="E303" s="20">
        <v>2700.0</v>
      </c>
      <c r="F303" s="21">
        <f t="shared" si="4"/>
        <v>0</v>
      </c>
      <c r="G303" s="23"/>
      <c r="H303" s="2"/>
      <c r="I303" s="2"/>
      <c r="J303" s="2"/>
      <c r="K303" s="2"/>
    </row>
    <row r="304" ht="15.75" customHeight="1">
      <c r="A304" s="23"/>
      <c r="B304" s="23"/>
      <c r="C304" s="18" t="s">
        <v>27</v>
      </c>
      <c r="D304" s="19"/>
      <c r="E304" s="20">
        <v>50000.0</v>
      </c>
      <c r="F304" s="21">
        <f t="shared" si="4"/>
        <v>0</v>
      </c>
      <c r="G304" s="23"/>
      <c r="H304" s="2"/>
      <c r="I304" s="2"/>
      <c r="J304" s="2"/>
      <c r="K304" s="2"/>
    </row>
    <row r="305" ht="15.75" customHeight="1">
      <c r="A305" s="23"/>
      <c r="B305" s="23"/>
      <c r="C305" s="18" t="s">
        <v>28</v>
      </c>
      <c r="D305" s="19"/>
      <c r="E305" s="20">
        <v>10000.0</v>
      </c>
      <c r="F305" s="21">
        <f t="shared" si="4"/>
        <v>0</v>
      </c>
      <c r="G305" s="23"/>
      <c r="H305" s="2"/>
      <c r="I305" s="2"/>
      <c r="J305" s="2"/>
      <c r="K305" s="2"/>
    </row>
    <row r="306" ht="15.75" customHeight="1">
      <c r="A306" s="23"/>
      <c r="B306" s="23"/>
      <c r="C306" s="18" t="s">
        <v>29</v>
      </c>
      <c r="D306" s="19"/>
      <c r="E306" s="20">
        <v>1000.0</v>
      </c>
      <c r="F306" s="21">
        <f t="shared" si="4"/>
        <v>0</v>
      </c>
      <c r="G306" s="23"/>
      <c r="H306" s="2"/>
      <c r="I306" s="2"/>
      <c r="J306" s="2"/>
      <c r="K306" s="2"/>
    </row>
    <row r="307" ht="15.75" customHeight="1">
      <c r="A307" s="23"/>
      <c r="B307" s="23"/>
      <c r="C307" s="18" t="s">
        <v>30</v>
      </c>
      <c r="D307" s="19"/>
      <c r="E307" s="20">
        <v>500.0</v>
      </c>
      <c r="F307" s="21">
        <f t="shared" si="4"/>
        <v>0</v>
      </c>
      <c r="G307" s="23"/>
      <c r="H307" s="2"/>
      <c r="I307" s="2"/>
      <c r="J307" s="2"/>
      <c r="K307" s="2"/>
    </row>
    <row r="308" ht="15.75" customHeight="1">
      <c r="A308" s="23"/>
      <c r="B308" s="23"/>
      <c r="C308" s="18" t="s">
        <v>31</v>
      </c>
      <c r="D308" s="19"/>
      <c r="E308" s="20">
        <v>200.0</v>
      </c>
      <c r="F308" s="21">
        <f t="shared" si="4"/>
        <v>0</v>
      </c>
      <c r="G308" s="23"/>
      <c r="H308" s="2"/>
      <c r="I308" s="2"/>
      <c r="J308" s="2"/>
      <c r="K308" s="2"/>
    </row>
    <row r="309" ht="15.75" customHeight="1">
      <c r="A309" s="23"/>
      <c r="B309" s="23"/>
      <c r="C309" s="18" t="s">
        <v>32</v>
      </c>
      <c r="D309" s="19"/>
      <c r="E309" s="20">
        <v>1000.0</v>
      </c>
      <c r="F309" s="21">
        <f t="shared" si="4"/>
        <v>0</v>
      </c>
      <c r="G309" s="23"/>
      <c r="H309" s="2"/>
      <c r="I309" s="2"/>
      <c r="J309" s="2"/>
      <c r="K309" s="2"/>
    </row>
    <row r="310" ht="15.75" customHeight="1">
      <c r="A310" s="23"/>
      <c r="B310" s="23"/>
      <c r="C310" s="18" t="s">
        <v>33</v>
      </c>
      <c r="D310" s="19"/>
      <c r="E310" s="20">
        <v>300.0</v>
      </c>
      <c r="F310" s="21">
        <f t="shared" si="4"/>
        <v>0</v>
      </c>
      <c r="G310" s="23"/>
      <c r="H310" s="2"/>
      <c r="I310" s="2"/>
      <c r="J310" s="2"/>
      <c r="K310" s="2"/>
    </row>
    <row r="311" ht="15.75" customHeight="1">
      <c r="A311" s="23"/>
      <c r="B311" s="23"/>
      <c r="C311" s="18" t="s">
        <v>34</v>
      </c>
      <c r="D311" s="19"/>
      <c r="E311" s="20">
        <v>100.0</v>
      </c>
      <c r="F311" s="21">
        <f t="shared" si="4"/>
        <v>0</v>
      </c>
      <c r="G311" s="23"/>
      <c r="H311" s="2"/>
      <c r="I311" s="2"/>
      <c r="J311" s="2"/>
      <c r="K311" s="2"/>
    </row>
    <row r="312" ht="15.75" customHeight="1">
      <c r="A312" s="23"/>
      <c r="B312" s="23"/>
      <c r="C312" s="18" t="s">
        <v>35</v>
      </c>
      <c r="D312" s="19"/>
      <c r="E312" s="20">
        <v>500.0</v>
      </c>
      <c r="F312" s="21">
        <f t="shared" si="4"/>
        <v>0</v>
      </c>
      <c r="G312" s="23"/>
      <c r="H312" s="2"/>
      <c r="I312" s="2"/>
      <c r="J312" s="2"/>
      <c r="K312" s="2"/>
    </row>
    <row r="313" ht="15.75" customHeight="1">
      <c r="A313" s="23"/>
      <c r="B313" s="23"/>
      <c r="C313" s="18" t="s">
        <v>36</v>
      </c>
      <c r="D313" s="19"/>
      <c r="E313" s="20">
        <v>1500.0</v>
      </c>
      <c r="F313" s="21">
        <f t="shared" si="4"/>
        <v>0</v>
      </c>
      <c r="G313" s="23"/>
      <c r="H313" s="2"/>
      <c r="I313" s="2"/>
      <c r="J313" s="2"/>
      <c r="K313" s="2"/>
    </row>
    <row r="314" ht="15.75" customHeight="1">
      <c r="A314" s="23"/>
      <c r="B314" s="23"/>
      <c r="C314" s="18" t="s">
        <v>37</v>
      </c>
      <c r="D314" s="19"/>
      <c r="E314" s="20">
        <v>4000.0</v>
      </c>
      <c r="F314" s="21">
        <f t="shared" si="4"/>
        <v>0</v>
      </c>
      <c r="G314" s="23"/>
      <c r="H314" s="2"/>
      <c r="I314" s="2"/>
      <c r="J314" s="2"/>
      <c r="K314" s="2"/>
    </row>
    <row r="315" ht="15.75" customHeight="1">
      <c r="A315" s="25"/>
      <c r="B315" s="25"/>
      <c r="C315" s="18" t="s">
        <v>38</v>
      </c>
      <c r="D315" s="19"/>
      <c r="E315" s="20">
        <v>0.0</v>
      </c>
      <c r="F315" s="21">
        <f t="shared" si="4"/>
        <v>0</v>
      </c>
      <c r="G315" s="25"/>
      <c r="H315" s="2"/>
      <c r="I315" s="2"/>
      <c r="J315" s="2"/>
      <c r="K315" s="2"/>
    </row>
    <row r="316" ht="15.75" customHeight="1">
      <c r="A316" s="16">
        <v>12.0</v>
      </c>
      <c r="B316" s="32" t="s">
        <v>76</v>
      </c>
      <c r="C316" s="18" t="s">
        <v>11</v>
      </c>
      <c r="D316" s="19"/>
      <c r="E316" s="20">
        <v>5000.0</v>
      </c>
      <c r="F316" s="21">
        <f t="shared" si="4"/>
        <v>0</v>
      </c>
      <c r="G316" s="22">
        <f>SUM(F316:F343)</f>
        <v>56350</v>
      </c>
      <c r="H316" s="2"/>
      <c r="I316" s="2"/>
      <c r="J316" s="2"/>
      <c r="K316" s="2"/>
    </row>
    <row r="317" ht="15.75" customHeight="1">
      <c r="A317" s="23"/>
      <c r="B317" s="23"/>
      <c r="C317" s="18" t="s">
        <v>12</v>
      </c>
      <c r="D317" s="19"/>
      <c r="E317" s="20">
        <v>3000.0</v>
      </c>
      <c r="F317" s="21">
        <f t="shared" si="4"/>
        <v>0</v>
      </c>
      <c r="G317" s="23"/>
      <c r="H317" s="2"/>
      <c r="I317" s="2"/>
      <c r="J317" s="2"/>
      <c r="K317" s="2"/>
    </row>
    <row r="318" ht="15.75" customHeight="1">
      <c r="A318" s="23"/>
      <c r="B318" s="23"/>
      <c r="C318" s="18" t="s">
        <v>13</v>
      </c>
      <c r="D318" s="19"/>
      <c r="E318" s="20">
        <v>1000.0</v>
      </c>
      <c r="F318" s="21">
        <f t="shared" si="4"/>
        <v>0</v>
      </c>
      <c r="G318" s="23"/>
      <c r="H318" s="2"/>
      <c r="I318" s="2"/>
      <c r="J318" s="2"/>
      <c r="K318" s="2"/>
    </row>
    <row r="319" ht="15.75" customHeight="1">
      <c r="A319" s="23"/>
      <c r="B319" s="23"/>
      <c r="C319" s="18" t="s">
        <v>14</v>
      </c>
      <c r="D319" s="19"/>
      <c r="E319" s="20">
        <v>2800.0</v>
      </c>
      <c r="F319" s="21">
        <f t="shared" si="4"/>
        <v>0</v>
      </c>
      <c r="G319" s="23"/>
      <c r="H319" s="2"/>
      <c r="I319" s="2"/>
      <c r="J319" s="2"/>
      <c r="K319" s="2"/>
    </row>
    <row r="320" ht="15.75" customHeight="1">
      <c r="A320" s="23"/>
      <c r="B320" s="23"/>
      <c r="C320" s="18" t="s">
        <v>15</v>
      </c>
      <c r="D320" s="19"/>
      <c r="E320" s="20">
        <v>3500.0</v>
      </c>
      <c r="F320" s="21">
        <f t="shared" si="4"/>
        <v>0</v>
      </c>
      <c r="G320" s="23"/>
      <c r="H320" s="2"/>
      <c r="I320" s="2"/>
      <c r="J320" s="2"/>
      <c r="K320" s="2"/>
    </row>
    <row r="321" ht="15.75" customHeight="1">
      <c r="A321" s="23"/>
      <c r="B321" s="23"/>
      <c r="C321" s="18" t="s">
        <v>16</v>
      </c>
      <c r="D321" s="19">
        <f>5.5+2.5+6.5</f>
        <v>14.5</v>
      </c>
      <c r="E321" s="20">
        <v>1000.0</v>
      </c>
      <c r="F321" s="21">
        <f t="shared" si="4"/>
        <v>14500</v>
      </c>
      <c r="G321" s="23"/>
      <c r="H321" s="2"/>
      <c r="I321" s="2"/>
      <c r="J321" s="2"/>
      <c r="K321" s="2"/>
    </row>
    <row r="322" ht="15.75" customHeight="1">
      <c r="A322" s="23"/>
      <c r="B322" s="23"/>
      <c r="C322" s="18" t="s">
        <v>17</v>
      </c>
      <c r="D322" s="19"/>
      <c r="E322" s="20">
        <v>2000.0</v>
      </c>
      <c r="F322" s="21">
        <f t="shared" si="4"/>
        <v>0</v>
      </c>
      <c r="G322" s="23"/>
      <c r="H322" s="2"/>
      <c r="I322" s="2"/>
      <c r="J322" s="2"/>
      <c r="K322" s="2"/>
    </row>
    <row r="323" ht="15.75" customHeight="1">
      <c r="A323" s="23"/>
      <c r="B323" s="23"/>
      <c r="C323" s="18" t="s">
        <v>18</v>
      </c>
      <c r="D323" s="19">
        <f>10+9</f>
        <v>19</v>
      </c>
      <c r="E323" s="20">
        <v>2000.0</v>
      </c>
      <c r="F323" s="21">
        <f t="shared" si="4"/>
        <v>38000</v>
      </c>
      <c r="G323" s="23"/>
      <c r="H323" s="2"/>
      <c r="I323" s="2"/>
      <c r="J323" s="2"/>
      <c r="K323" s="2"/>
    </row>
    <row r="324" ht="15.75" customHeight="1">
      <c r="A324" s="23"/>
      <c r="B324" s="23"/>
      <c r="C324" s="18" t="s">
        <v>19</v>
      </c>
      <c r="D324" s="19"/>
      <c r="E324" s="20">
        <v>1300.0</v>
      </c>
      <c r="F324" s="21">
        <f t="shared" si="4"/>
        <v>0</v>
      </c>
      <c r="G324" s="23"/>
      <c r="H324" s="2"/>
      <c r="I324" s="2"/>
      <c r="J324" s="2"/>
      <c r="K324" s="2"/>
    </row>
    <row r="325" ht="15.75" customHeight="1">
      <c r="A325" s="23"/>
      <c r="B325" s="23"/>
      <c r="C325" s="18" t="s">
        <v>20</v>
      </c>
      <c r="D325" s="19"/>
      <c r="E325" s="20">
        <v>1000.0</v>
      </c>
      <c r="F325" s="21">
        <f t="shared" si="4"/>
        <v>0</v>
      </c>
      <c r="G325" s="23"/>
      <c r="H325" s="2"/>
      <c r="I325" s="2"/>
      <c r="J325" s="2"/>
      <c r="K325" s="2"/>
    </row>
    <row r="326" ht="15.75" customHeight="1">
      <c r="A326" s="23"/>
      <c r="B326" s="23"/>
      <c r="C326" s="18" t="s">
        <v>21</v>
      </c>
      <c r="D326" s="19"/>
      <c r="E326" s="20">
        <v>400.0</v>
      </c>
      <c r="F326" s="21">
        <f t="shared" si="4"/>
        <v>0</v>
      </c>
      <c r="G326" s="23"/>
      <c r="H326" s="2"/>
      <c r="I326" s="2"/>
      <c r="J326" s="2"/>
      <c r="K326" s="2"/>
    </row>
    <row r="327" ht="15.75" customHeight="1">
      <c r="A327" s="23"/>
      <c r="B327" s="23"/>
      <c r="C327" s="18" t="s">
        <v>22</v>
      </c>
      <c r="D327" s="19"/>
      <c r="E327" s="20">
        <v>7500.0</v>
      </c>
      <c r="F327" s="21">
        <f t="shared" si="4"/>
        <v>0</v>
      </c>
      <c r="G327" s="23"/>
      <c r="H327" s="2"/>
      <c r="I327" s="2"/>
      <c r="J327" s="2"/>
      <c r="K327" s="2"/>
    </row>
    <row r="328" ht="15.75" customHeight="1">
      <c r="A328" s="23"/>
      <c r="B328" s="23"/>
      <c r="C328" s="18" t="s">
        <v>23</v>
      </c>
      <c r="D328" s="19"/>
      <c r="E328" s="20">
        <v>2000.0</v>
      </c>
      <c r="F328" s="21">
        <f t="shared" si="4"/>
        <v>0</v>
      </c>
      <c r="G328" s="23"/>
      <c r="H328" s="2"/>
      <c r="I328" s="2"/>
      <c r="J328" s="2"/>
      <c r="K328" s="2"/>
    </row>
    <row r="329" ht="15.75" customHeight="1">
      <c r="A329" s="23"/>
      <c r="B329" s="23"/>
      <c r="C329" s="18" t="s">
        <v>24</v>
      </c>
      <c r="D329" s="19">
        <v>2.0</v>
      </c>
      <c r="E329" s="20">
        <v>800.0</v>
      </c>
      <c r="F329" s="21">
        <f t="shared" si="4"/>
        <v>1600</v>
      </c>
      <c r="G329" s="23"/>
      <c r="H329" s="2"/>
      <c r="I329" s="2"/>
      <c r="J329" s="2"/>
      <c r="K329" s="2"/>
    </row>
    <row r="330" ht="15.75" customHeight="1">
      <c r="A330" s="23"/>
      <c r="B330" s="23"/>
      <c r="C330" s="18" t="s">
        <v>25</v>
      </c>
      <c r="D330" s="19"/>
      <c r="E330" s="20">
        <v>5000.0</v>
      </c>
      <c r="F330" s="21">
        <f t="shared" si="4"/>
        <v>0</v>
      </c>
      <c r="G330" s="23"/>
      <c r="H330" s="2"/>
      <c r="I330" s="2"/>
      <c r="J330" s="2"/>
      <c r="K330" s="2"/>
    </row>
    <row r="331" ht="15.75" customHeight="1">
      <c r="A331" s="23"/>
      <c r="B331" s="23"/>
      <c r="C331" s="18" t="s">
        <v>26</v>
      </c>
      <c r="D331" s="19"/>
      <c r="E331" s="20">
        <v>2700.0</v>
      </c>
      <c r="F331" s="21">
        <f t="shared" si="4"/>
        <v>0</v>
      </c>
      <c r="G331" s="23"/>
      <c r="H331" s="2"/>
      <c r="I331" s="2"/>
      <c r="J331" s="2"/>
      <c r="K331" s="2"/>
    </row>
    <row r="332" ht="15.75" customHeight="1">
      <c r="A332" s="23"/>
      <c r="B332" s="23"/>
      <c r="C332" s="18" t="s">
        <v>27</v>
      </c>
      <c r="D332" s="19"/>
      <c r="E332" s="20">
        <v>50000.0</v>
      </c>
      <c r="F332" s="21">
        <f t="shared" si="4"/>
        <v>0</v>
      </c>
      <c r="G332" s="23"/>
      <c r="H332" s="2"/>
      <c r="I332" s="2"/>
      <c r="J332" s="2"/>
      <c r="K332" s="2"/>
    </row>
    <row r="333" ht="15.75" customHeight="1">
      <c r="A333" s="23"/>
      <c r="B333" s="23"/>
      <c r="C333" s="18" t="s">
        <v>28</v>
      </c>
      <c r="D333" s="19"/>
      <c r="E333" s="20">
        <v>10000.0</v>
      </c>
      <c r="F333" s="21">
        <f t="shared" si="4"/>
        <v>0</v>
      </c>
      <c r="G333" s="23"/>
      <c r="H333" s="2"/>
      <c r="I333" s="2"/>
      <c r="J333" s="2"/>
      <c r="K333" s="2"/>
    </row>
    <row r="334" ht="15.75" customHeight="1">
      <c r="A334" s="23"/>
      <c r="B334" s="23"/>
      <c r="C334" s="18" t="s">
        <v>29</v>
      </c>
      <c r="D334" s="19"/>
      <c r="E334" s="20">
        <v>1000.0</v>
      </c>
      <c r="F334" s="21">
        <f t="shared" si="4"/>
        <v>0</v>
      </c>
      <c r="G334" s="23"/>
      <c r="H334" s="2"/>
      <c r="I334" s="2"/>
      <c r="J334" s="2"/>
      <c r="K334" s="2"/>
    </row>
    <row r="335" ht="15.75" customHeight="1">
      <c r="A335" s="23"/>
      <c r="B335" s="23"/>
      <c r="C335" s="18" t="s">
        <v>30</v>
      </c>
      <c r="D335" s="19"/>
      <c r="E335" s="20">
        <v>500.0</v>
      </c>
      <c r="F335" s="21">
        <f t="shared" si="4"/>
        <v>0</v>
      </c>
      <c r="G335" s="23"/>
      <c r="H335" s="2"/>
      <c r="I335" s="2"/>
      <c r="J335" s="2"/>
      <c r="K335" s="2"/>
    </row>
    <row r="336" ht="15.75" customHeight="1">
      <c r="A336" s="23"/>
      <c r="B336" s="23"/>
      <c r="C336" s="18" t="s">
        <v>31</v>
      </c>
      <c r="D336" s="19"/>
      <c r="E336" s="20">
        <v>200.0</v>
      </c>
      <c r="F336" s="21">
        <f t="shared" si="4"/>
        <v>0</v>
      </c>
      <c r="G336" s="23"/>
      <c r="H336" s="2"/>
      <c r="I336" s="2"/>
      <c r="J336" s="2"/>
      <c r="K336" s="2"/>
    </row>
    <row r="337" ht="15.75" customHeight="1">
      <c r="A337" s="23"/>
      <c r="B337" s="23"/>
      <c r="C337" s="18" t="s">
        <v>32</v>
      </c>
      <c r="D337" s="19"/>
      <c r="E337" s="20">
        <v>1000.0</v>
      </c>
      <c r="F337" s="21">
        <f t="shared" si="4"/>
        <v>0</v>
      </c>
      <c r="G337" s="23"/>
      <c r="H337" s="2"/>
      <c r="I337" s="2"/>
      <c r="J337" s="2"/>
      <c r="K337" s="2"/>
    </row>
    <row r="338" ht="15.75" customHeight="1">
      <c r="A338" s="23"/>
      <c r="B338" s="23"/>
      <c r="C338" s="18" t="s">
        <v>33</v>
      </c>
      <c r="D338" s="19"/>
      <c r="E338" s="20">
        <v>300.0</v>
      </c>
      <c r="F338" s="21">
        <f t="shared" si="4"/>
        <v>0</v>
      </c>
      <c r="G338" s="23"/>
      <c r="H338" s="2"/>
      <c r="I338" s="2"/>
      <c r="J338" s="2"/>
      <c r="K338" s="2"/>
    </row>
    <row r="339" ht="15.75" customHeight="1">
      <c r="A339" s="23"/>
      <c r="B339" s="23"/>
      <c r="C339" s="18" t="s">
        <v>34</v>
      </c>
      <c r="D339" s="19"/>
      <c r="E339" s="20">
        <v>100.0</v>
      </c>
      <c r="F339" s="21">
        <f t="shared" si="4"/>
        <v>0</v>
      </c>
      <c r="G339" s="23"/>
      <c r="H339" s="2"/>
      <c r="I339" s="2"/>
      <c r="J339" s="2"/>
      <c r="K339" s="2"/>
    </row>
    <row r="340" ht="15.75" customHeight="1">
      <c r="A340" s="23"/>
      <c r="B340" s="23"/>
      <c r="C340" s="18" t="s">
        <v>35</v>
      </c>
      <c r="D340" s="19">
        <v>4.5</v>
      </c>
      <c r="E340" s="20">
        <v>500.0</v>
      </c>
      <c r="F340" s="21">
        <f t="shared" si="4"/>
        <v>2250</v>
      </c>
      <c r="G340" s="23"/>
      <c r="H340" s="2"/>
      <c r="I340" s="2"/>
      <c r="J340" s="2"/>
      <c r="K340" s="2"/>
    </row>
    <row r="341" ht="15.75" customHeight="1">
      <c r="A341" s="23"/>
      <c r="B341" s="23"/>
      <c r="C341" s="18" t="s">
        <v>36</v>
      </c>
      <c r="D341" s="19"/>
      <c r="E341" s="20">
        <v>1500.0</v>
      </c>
      <c r="F341" s="21">
        <f t="shared" si="4"/>
        <v>0</v>
      </c>
      <c r="G341" s="23"/>
      <c r="H341" s="2"/>
      <c r="I341" s="2"/>
      <c r="J341" s="2"/>
      <c r="K341" s="2"/>
    </row>
    <row r="342" ht="15.75" customHeight="1">
      <c r="A342" s="23"/>
      <c r="B342" s="23"/>
      <c r="C342" s="18" t="s">
        <v>37</v>
      </c>
      <c r="D342" s="19"/>
      <c r="E342" s="20">
        <v>4000.0</v>
      </c>
      <c r="F342" s="21">
        <f t="shared" si="4"/>
        <v>0</v>
      </c>
      <c r="G342" s="23"/>
      <c r="H342" s="2"/>
      <c r="I342" s="2"/>
      <c r="J342" s="2"/>
      <c r="K342" s="2"/>
    </row>
    <row r="343" ht="15.75" customHeight="1">
      <c r="A343" s="25"/>
      <c r="B343" s="25"/>
      <c r="C343" s="18" t="s">
        <v>38</v>
      </c>
      <c r="D343" s="19">
        <v>3.5</v>
      </c>
      <c r="E343" s="20">
        <v>0.0</v>
      </c>
      <c r="F343" s="21">
        <f t="shared" si="4"/>
        <v>0</v>
      </c>
      <c r="G343" s="25"/>
      <c r="H343" s="2"/>
      <c r="I343" s="2"/>
      <c r="J343" s="2"/>
      <c r="K343" s="2"/>
    </row>
    <row r="344" ht="15.75" customHeight="1">
      <c r="A344" s="16">
        <v>13.0</v>
      </c>
      <c r="B344" s="36" t="s">
        <v>77</v>
      </c>
      <c r="C344" s="18" t="s">
        <v>11</v>
      </c>
      <c r="D344" s="19"/>
      <c r="E344" s="20">
        <v>5000.0</v>
      </c>
      <c r="F344" s="21">
        <f t="shared" si="4"/>
        <v>0</v>
      </c>
      <c r="G344" s="22">
        <f>SUM(F344:F371)</f>
        <v>22500</v>
      </c>
      <c r="H344" s="2"/>
      <c r="I344" s="2"/>
      <c r="J344" s="2"/>
      <c r="K344" s="2"/>
    </row>
    <row r="345" ht="15.75" customHeight="1">
      <c r="A345" s="23"/>
      <c r="B345" s="23"/>
      <c r="C345" s="18" t="s">
        <v>12</v>
      </c>
      <c r="D345" s="19"/>
      <c r="E345" s="20">
        <v>3000.0</v>
      </c>
      <c r="F345" s="21">
        <f t="shared" si="4"/>
        <v>0</v>
      </c>
      <c r="G345" s="23"/>
      <c r="H345" s="2"/>
      <c r="I345" s="2"/>
      <c r="J345" s="2"/>
      <c r="K345" s="2"/>
    </row>
    <row r="346" ht="15.75" customHeight="1">
      <c r="A346" s="23"/>
      <c r="B346" s="23"/>
      <c r="C346" s="18" t="s">
        <v>13</v>
      </c>
      <c r="D346" s="19"/>
      <c r="E346" s="20">
        <v>1000.0</v>
      </c>
      <c r="F346" s="21">
        <f t="shared" si="4"/>
        <v>0</v>
      </c>
      <c r="G346" s="23"/>
      <c r="H346" s="2"/>
      <c r="I346" s="2"/>
      <c r="J346" s="2"/>
      <c r="K346" s="2"/>
    </row>
    <row r="347" ht="15.75" customHeight="1">
      <c r="A347" s="23"/>
      <c r="B347" s="23"/>
      <c r="C347" s="18" t="s">
        <v>14</v>
      </c>
      <c r="D347" s="19"/>
      <c r="E347" s="20">
        <v>2800.0</v>
      </c>
      <c r="F347" s="21">
        <f t="shared" si="4"/>
        <v>0</v>
      </c>
      <c r="G347" s="23"/>
      <c r="H347" s="2"/>
      <c r="I347" s="2"/>
      <c r="J347" s="2"/>
      <c r="K347" s="2"/>
    </row>
    <row r="348" ht="15.75" customHeight="1">
      <c r="A348" s="23"/>
      <c r="B348" s="23"/>
      <c r="C348" s="18" t="s">
        <v>15</v>
      </c>
      <c r="D348" s="19"/>
      <c r="E348" s="20">
        <v>3500.0</v>
      </c>
      <c r="F348" s="21">
        <f t="shared" si="4"/>
        <v>0</v>
      </c>
      <c r="G348" s="23"/>
      <c r="H348" s="2"/>
      <c r="I348" s="2"/>
      <c r="J348" s="2"/>
      <c r="K348" s="2"/>
    </row>
    <row r="349" ht="15.75" customHeight="1">
      <c r="A349" s="23"/>
      <c r="B349" s="23"/>
      <c r="C349" s="18" t="s">
        <v>16</v>
      </c>
      <c r="D349" s="19"/>
      <c r="E349" s="20">
        <v>1000.0</v>
      </c>
      <c r="F349" s="21">
        <f t="shared" si="4"/>
        <v>0</v>
      </c>
      <c r="G349" s="23"/>
      <c r="H349" s="2"/>
      <c r="I349" s="2"/>
      <c r="J349" s="2"/>
      <c r="K349" s="2"/>
    </row>
    <row r="350" ht="15.75" customHeight="1">
      <c r="A350" s="23"/>
      <c r="B350" s="23"/>
      <c r="C350" s="18" t="s">
        <v>17</v>
      </c>
      <c r="D350" s="19"/>
      <c r="E350" s="20">
        <v>2000.0</v>
      </c>
      <c r="F350" s="21">
        <f t="shared" si="4"/>
        <v>0</v>
      </c>
      <c r="G350" s="23"/>
      <c r="H350" s="2"/>
      <c r="I350" s="2"/>
      <c r="J350" s="2"/>
      <c r="K350" s="2"/>
    </row>
    <row r="351" ht="15.75" customHeight="1">
      <c r="A351" s="23"/>
      <c r="B351" s="23"/>
      <c r="C351" s="18" t="s">
        <v>18</v>
      </c>
      <c r="D351" s="19">
        <v>3.5</v>
      </c>
      <c r="E351" s="20">
        <v>2000.0</v>
      </c>
      <c r="F351" s="21">
        <f t="shared" si="4"/>
        <v>7000</v>
      </c>
      <c r="G351" s="23"/>
      <c r="H351" s="2"/>
      <c r="I351" s="2"/>
      <c r="J351" s="2"/>
      <c r="K351" s="2"/>
    </row>
    <row r="352" ht="15.75" customHeight="1">
      <c r="A352" s="23"/>
      <c r="B352" s="23"/>
      <c r="C352" s="18" t="s">
        <v>19</v>
      </c>
      <c r="D352" s="19"/>
      <c r="E352" s="20">
        <v>1300.0</v>
      </c>
      <c r="F352" s="21">
        <f t="shared" si="4"/>
        <v>0</v>
      </c>
      <c r="G352" s="23"/>
      <c r="H352" s="2"/>
      <c r="I352" s="2"/>
      <c r="J352" s="2"/>
      <c r="K352" s="2"/>
    </row>
    <row r="353" ht="15.75" customHeight="1">
      <c r="A353" s="23"/>
      <c r="B353" s="23"/>
      <c r="C353" s="18" t="s">
        <v>20</v>
      </c>
      <c r="D353" s="19">
        <v>15.0</v>
      </c>
      <c r="E353" s="20">
        <v>1000.0</v>
      </c>
      <c r="F353" s="21">
        <f t="shared" si="4"/>
        <v>15000</v>
      </c>
      <c r="G353" s="23"/>
      <c r="H353" s="2"/>
      <c r="I353" s="2"/>
      <c r="J353" s="2"/>
      <c r="K353" s="2"/>
    </row>
    <row r="354" ht="15.75" customHeight="1">
      <c r="A354" s="23"/>
      <c r="B354" s="23"/>
      <c r="C354" s="18" t="s">
        <v>21</v>
      </c>
      <c r="D354" s="19"/>
      <c r="E354" s="20">
        <v>400.0</v>
      </c>
      <c r="F354" s="21">
        <f t="shared" si="4"/>
        <v>0</v>
      </c>
      <c r="G354" s="23"/>
      <c r="H354" s="2"/>
      <c r="I354" s="2"/>
      <c r="J354" s="2"/>
      <c r="K354" s="2"/>
    </row>
    <row r="355" ht="15.75" customHeight="1">
      <c r="A355" s="23"/>
      <c r="B355" s="23"/>
      <c r="C355" s="18" t="s">
        <v>22</v>
      </c>
      <c r="D355" s="19"/>
      <c r="E355" s="20">
        <v>7500.0</v>
      </c>
      <c r="F355" s="21">
        <f t="shared" si="4"/>
        <v>0</v>
      </c>
      <c r="G355" s="23"/>
      <c r="H355" s="2"/>
      <c r="I355" s="2"/>
      <c r="J355" s="2"/>
      <c r="K355" s="2"/>
    </row>
    <row r="356" ht="15.75" customHeight="1">
      <c r="A356" s="23"/>
      <c r="B356" s="23"/>
      <c r="C356" s="18" t="s">
        <v>23</v>
      </c>
      <c r="D356" s="19"/>
      <c r="E356" s="20">
        <v>2000.0</v>
      </c>
      <c r="F356" s="21">
        <f t="shared" si="4"/>
        <v>0</v>
      </c>
      <c r="G356" s="23"/>
      <c r="H356" s="2"/>
      <c r="I356" s="2"/>
      <c r="J356" s="2"/>
      <c r="K356" s="2"/>
    </row>
    <row r="357" ht="15.75" customHeight="1">
      <c r="A357" s="23"/>
      <c r="B357" s="23"/>
      <c r="C357" s="18" t="s">
        <v>24</v>
      </c>
      <c r="D357" s="19"/>
      <c r="E357" s="20">
        <v>800.0</v>
      </c>
      <c r="F357" s="21">
        <f t="shared" si="4"/>
        <v>0</v>
      </c>
      <c r="G357" s="23"/>
      <c r="H357" s="2"/>
      <c r="I357" s="2"/>
      <c r="J357" s="2"/>
      <c r="K357" s="2"/>
    </row>
    <row r="358" ht="15.75" customHeight="1">
      <c r="A358" s="23"/>
      <c r="B358" s="23"/>
      <c r="C358" s="18" t="s">
        <v>25</v>
      </c>
      <c r="D358" s="19"/>
      <c r="E358" s="20">
        <v>5000.0</v>
      </c>
      <c r="F358" s="21">
        <f t="shared" si="4"/>
        <v>0</v>
      </c>
      <c r="G358" s="23"/>
      <c r="H358" s="2"/>
      <c r="I358" s="2"/>
      <c r="J358" s="2"/>
      <c r="K358" s="2"/>
    </row>
    <row r="359" ht="15.75" customHeight="1">
      <c r="A359" s="23"/>
      <c r="B359" s="23"/>
      <c r="C359" s="18" t="s">
        <v>26</v>
      </c>
      <c r="D359" s="19"/>
      <c r="E359" s="20">
        <v>2700.0</v>
      </c>
      <c r="F359" s="21">
        <f t="shared" si="4"/>
        <v>0</v>
      </c>
      <c r="G359" s="23"/>
      <c r="H359" s="2"/>
      <c r="I359" s="2"/>
      <c r="J359" s="2"/>
      <c r="K359" s="2"/>
    </row>
    <row r="360" ht="15.75" customHeight="1">
      <c r="A360" s="23"/>
      <c r="B360" s="23"/>
      <c r="C360" s="18" t="s">
        <v>27</v>
      </c>
      <c r="D360" s="19"/>
      <c r="E360" s="20">
        <v>50000.0</v>
      </c>
      <c r="F360" s="21">
        <f t="shared" si="4"/>
        <v>0</v>
      </c>
      <c r="G360" s="23"/>
      <c r="H360" s="2"/>
      <c r="I360" s="2"/>
      <c r="J360" s="2"/>
      <c r="K360" s="2"/>
    </row>
    <row r="361" ht="15.75" customHeight="1">
      <c r="A361" s="23"/>
      <c r="B361" s="23"/>
      <c r="C361" s="18" t="s">
        <v>28</v>
      </c>
      <c r="D361" s="19"/>
      <c r="E361" s="20">
        <v>10000.0</v>
      </c>
      <c r="F361" s="21">
        <f t="shared" si="4"/>
        <v>0</v>
      </c>
      <c r="G361" s="23"/>
      <c r="H361" s="2"/>
      <c r="I361" s="2"/>
      <c r="J361" s="2"/>
      <c r="K361" s="2"/>
    </row>
    <row r="362" ht="15.75" customHeight="1">
      <c r="A362" s="23"/>
      <c r="B362" s="23"/>
      <c r="C362" s="18" t="s">
        <v>29</v>
      </c>
      <c r="D362" s="19"/>
      <c r="E362" s="20">
        <v>1000.0</v>
      </c>
      <c r="F362" s="21">
        <f t="shared" si="4"/>
        <v>0</v>
      </c>
      <c r="G362" s="23"/>
      <c r="H362" s="2"/>
      <c r="I362" s="2"/>
      <c r="J362" s="2"/>
      <c r="K362" s="2"/>
    </row>
    <row r="363" ht="15.75" customHeight="1">
      <c r="A363" s="23"/>
      <c r="B363" s="23"/>
      <c r="C363" s="18" t="s">
        <v>30</v>
      </c>
      <c r="D363" s="19">
        <v>1.0</v>
      </c>
      <c r="E363" s="20">
        <v>500.0</v>
      </c>
      <c r="F363" s="21">
        <f t="shared" si="4"/>
        <v>500</v>
      </c>
      <c r="G363" s="23"/>
      <c r="H363" s="2"/>
      <c r="I363" s="2"/>
      <c r="J363" s="2"/>
      <c r="K363" s="2"/>
    </row>
    <row r="364" ht="15.75" customHeight="1">
      <c r="A364" s="23"/>
      <c r="B364" s="23"/>
      <c r="C364" s="18" t="s">
        <v>31</v>
      </c>
      <c r="D364" s="19"/>
      <c r="E364" s="20">
        <v>200.0</v>
      </c>
      <c r="F364" s="21">
        <f t="shared" si="4"/>
        <v>0</v>
      </c>
      <c r="G364" s="23"/>
      <c r="H364" s="2"/>
      <c r="I364" s="2"/>
      <c r="J364" s="2"/>
      <c r="K364" s="2"/>
    </row>
    <row r="365" ht="15.75" customHeight="1">
      <c r="A365" s="23"/>
      <c r="B365" s="23"/>
      <c r="C365" s="18" t="s">
        <v>32</v>
      </c>
      <c r="D365" s="19"/>
      <c r="E365" s="20">
        <v>1000.0</v>
      </c>
      <c r="F365" s="21">
        <f t="shared" si="4"/>
        <v>0</v>
      </c>
      <c r="G365" s="23"/>
      <c r="H365" s="2"/>
      <c r="I365" s="2"/>
      <c r="J365" s="2"/>
      <c r="K365" s="2"/>
    </row>
    <row r="366" ht="15.75" customHeight="1">
      <c r="A366" s="23"/>
      <c r="B366" s="23"/>
      <c r="C366" s="18" t="s">
        <v>33</v>
      </c>
      <c r="D366" s="19"/>
      <c r="E366" s="20">
        <v>300.0</v>
      </c>
      <c r="F366" s="21">
        <f t="shared" si="4"/>
        <v>0</v>
      </c>
      <c r="G366" s="23"/>
      <c r="H366" s="2"/>
      <c r="I366" s="2"/>
      <c r="J366" s="2"/>
      <c r="K366" s="2"/>
    </row>
    <row r="367" ht="15.75" customHeight="1">
      <c r="A367" s="23"/>
      <c r="B367" s="23"/>
      <c r="C367" s="18" t="s">
        <v>34</v>
      </c>
      <c r="D367" s="19"/>
      <c r="E367" s="20">
        <v>100.0</v>
      </c>
      <c r="F367" s="21">
        <f t="shared" si="4"/>
        <v>0</v>
      </c>
      <c r="G367" s="23"/>
      <c r="H367" s="2"/>
      <c r="I367" s="2"/>
      <c r="J367" s="2"/>
      <c r="K367" s="2"/>
    </row>
    <row r="368" ht="15.75" customHeight="1">
      <c r="A368" s="23"/>
      <c r="B368" s="23"/>
      <c r="C368" s="18" t="s">
        <v>35</v>
      </c>
      <c r="D368" s="19"/>
      <c r="E368" s="20">
        <v>500.0</v>
      </c>
      <c r="F368" s="21">
        <f t="shared" si="4"/>
        <v>0</v>
      </c>
      <c r="G368" s="23"/>
      <c r="H368" s="2"/>
      <c r="I368" s="2"/>
      <c r="J368" s="2"/>
      <c r="K368" s="2"/>
    </row>
    <row r="369" ht="15.75" customHeight="1">
      <c r="A369" s="23"/>
      <c r="B369" s="23"/>
      <c r="C369" s="18" t="s">
        <v>36</v>
      </c>
      <c r="D369" s="19"/>
      <c r="E369" s="20">
        <v>1500.0</v>
      </c>
      <c r="F369" s="21">
        <f t="shared" si="4"/>
        <v>0</v>
      </c>
      <c r="G369" s="23"/>
      <c r="H369" s="2"/>
      <c r="I369" s="2"/>
      <c r="J369" s="2"/>
      <c r="K369" s="2"/>
    </row>
    <row r="370" ht="15.75" customHeight="1">
      <c r="A370" s="23"/>
      <c r="B370" s="23"/>
      <c r="C370" s="18" t="s">
        <v>37</v>
      </c>
      <c r="D370" s="19"/>
      <c r="E370" s="20">
        <v>4000.0</v>
      </c>
      <c r="F370" s="21">
        <f t="shared" si="4"/>
        <v>0</v>
      </c>
      <c r="G370" s="23"/>
      <c r="H370" s="2"/>
      <c r="I370" s="2"/>
      <c r="J370" s="2"/>
      <c r="K370" s="2"/>
    </row>
    <row r="371" ht="15.75" customHeight="1">
      <c r="A371" s="25"/>
      <c r="B371" s="37"/>
      <c r="C371" s="38" t="s">
        <v>38</v>
      </c>
      <c r="D371" s="39"/>
      <c r="E371" s="40">
        <v>0.0</v>
      </c>
      <c r="F371" s="41">
        <f t="shared" si="4"/>
        <v>0</v>
      </c>
      <c r="G371" s="23"/>
      <c r="H371" s="2"/>
      <c r="I371" s="2"/>
      <c r="J371" s="2"/>
      <c r="K371" s="2"/>
    </row>
    <row r="372" ht="15.75" customHeight="1">
      <c r="A372" s="42"/>
      <c r="B372" s="43" t="s">
        <v>78</v>
      </c>
      <c r="C372" s="44" t="s">
        <v>11</v>
      </c>
      <c r="D372" s="45"/>
      <c r="E372" s="46">
        <v>5000.0</v>
      </c>
      <c r="F372" s="47">
        <v>0.0</v>
      </c>
      <c r="G372" s="43">
        <v>17500.0</v>
      </c>
      <c r="H372" s="2"/>
      <c r="I372" s="2"/>
      <c r="J372" s="2"/>
      <c r="K372" s="2"/>
    </row>
    <row r="373" ht="15.75" customHeight="1">
      <c r="A373" s="42"/>
      <c r="B373" s="23"/>
      <c r="C373" s="44" t="s">
        <v>12</v>
      </c>
      <c r="D373" s="46">
        <v>0.5</v>
      </c>
      <c r="E373" s="46">
        <v>3000.0</v>
      </c>
      <c r="F373" s="47">
        <v>1500.0</v>
      </c>
      <c r="G373" s="23"/>
      <c r="H373" s="2"/>
      <c r="I373" s="2"/>
      <c r="J373" s="2"/>
      <c r="K373" s="2"/>
    </row>
    <row r="374" ht="15.75" customHeight="1">
      <c r="A374" s="42"/>
      <c r="B374" s="23"/>
      <c r="C374" s="44" t="s">
        <v>13</v>
      </c>
      <c r="D374" s="45"/>
      <c r="E374" s="46">
        <v>1000.0</v>
      </c>
      <c r="F374" s="47">
        <v>0.0</v>
      </c>
      <c r="G374" s="23"/>
      <c r="H374" s="2"/>
      <c r="I374" s="2"/>
      <c r="J374" s="2"/>
      <c r="K374" s="2"/>
    </row>
    <row r="375" ht="15.75" customHeight="1">
      <c r="A375" s="42"/>
      <c r="B375" s="23"/>
      <c r="C375" s="44" t="s">
        <v>14</v>
      </c>
      <c r="D375" s="45"/>
      <c r="E375" s="46">
        <v>2800.0</v>
      </c>
      <c r="F375" s="47">
        <v>0.0</v>
      </c>
      <c r="G375" s="23"/>
      <c r="H375" s="2"/>
      <c r="I375" s="2"/>
      <c r="J375" s="2"/>
      <c r="K375" s="2"/>
    </row>
    <row r="376" ht="15.75" customHeight="1">
      <c r="A376" s="42"/>
      <c r="B376" s="23"/>
      <c r="C376" s="44" t="s">
        <v>15</v>
      </c>
      <c r="D376" s="45"/>
      <c r="E376" s="46">
        <v>3500.0</v>
      </c>
      <c r="F376" s="47">
        <v>0.0</v>
      </c>
      <c r="G376" s="23"/>
      <c r="H376" s="2"/>
      <c r="I376" s="2"/>
      <c r="J376" s="2"/>
      <c r="K376" s="2"/>
    </row>
    <row r="377" ht="15.75" customHeight="1">
      <c r="A377" s="42"/>
      <c r="B377" s="23"/>
      <c r="C377" s="44" t="s">
        <v>16</v>
      </c>
      <c r="D377" s="46">
        <v>6.0</v>
      </c>
      <c r="E377" s="46">
        <v>1000.0</v>
      </c>
      <c r="F377" s="47">
        <v>6000.0</v>
      </c>
      <c r="G377" s="23"/>
      <c r="H377" s="2"/>
      <c r="I377" s="2"/>
      <c r="J377" s="2"/>
      <c r="K377" s="2"/>
    </row>
    <row r="378" ht="15.75" customHeight="1">
      <c r="A378" s="42"/>
      <c r="B378" s="23"/>
      <c r="C378" s="44" t="s">
        <v>17</v>
      </c>
      <c r="D378" s="45"/>
      <c r="E378" s="46">
        <v>2000.0</v>
      </c>
      <c r="F378" s="47">
        <v>0.0</v>
      </c>
      <c r="G378" s="23"/>
      <c r="H378" s="2"/>
      <c r="I378" s="2"/>
      <c r="J378" s="2"/>
      <c r="K378" s="2"/>
    </row>
    <row r="379" ht="15.75" customHeight="1">
      <c r="A379" s="42"/>
      <c r="B379" s="23"/>
      <c r="C379" s="44" t="s">
        <v>18</v>
      </c>
      <c r="D379" s="46">
        <v>1.5</v>
      </c>
      <c r="E379" s="46">
        <v>2000.0</v>
      </c>
      <c r="F379" s="47">
        <v>3000.0</v>
      </c>
      <c r="G379" s="23"/>
      <c r="H379" s="2"/>
      <c r="I379" s="2"/>
      <c r="J379" s="2"/>
      <c r="K379" s="2"/>
    </row>
    <row r="380" ht="15.75" customHeight="1">
      <c r="A380" s="42"/>
      <c r="B380" s="23"/>
      <c r="C380" s="44" t="s">
        <v>19</v>
      </c>
      <c r="D380" s="45"/>
      <c r="E380" s="46">
        <v>1300.0</v>
      </c>
      <c r="F380" s="47">
        <v>0.0</v>
      </c>
      <c r="G380" s="23"/>
      <c r="H380" s="2"/>
      <c r="I380" s="2"/>
      <c r="J380" s="2"/>
      <c r="K380" s="2"/>
    </row>
    <row r="381" ht="15.75" customHeight="1">
      <c r="A381" s="42"/>
      <c r="B381" s="23"/>
      <c r="C381" s="44" t="s">
        <v>20</v>
      </c>
      <c r="D381" s="46">
        <v>3.0</v>
      </c>
      <c r="E381" s="46">
        <v>1000.0</v>
      </c>
      <c r="F381" s="47">
        <v>3000.0</v>
      </c>
      <c r="G381" s="23"/>
      <c r="H381" s="2"/>
      <c r="I381" s="2"/>
      <c r="J381" s="2"/>
      <c r="K381" s="2"/>
    </row>
    <row r="382" ht="15.75" customHeight="1">
      <c r="A382" s="42"/>
      <c r="B382" s="23"/>
      <c r="C382" s="44" t="s">
        <v>21</v>
      </c>
      <c r="D382" s="46">
        <v>0.5</v>
      </c>
      <c r="E382" s="46">
        <v>400.0</v>
      </c>
      <c r="F382" s="47">
        <v>200.0</v>
      </c>
      <c r="G382" s="23"/>
      <c r="H382" s="2"/>
      <c r="I382" s="2"/>
      <c r="J382" s="2"/>
      <c r="K382" s="2"/>
    </row>
    <row r="383" ht="15.75" customHeight="1">
      <c r="A383" s="42"/>
      <c r="B383" s="23"/>
      <c r="C383" s="44" t="s">
        <v>22</v>
      </c>
      <c r="D383" s="46"/>
      <c r="E383" s="46">
        <v>7500.0</v>
      </c>
      <c r="F383" s="47">
        <v>0.0</v>
      </c>
      <c r="G383" s="23"/>
      <c r="H383" s="2"/>
      <c r="I383" s="2"/>
      <c r="J383" s="2"/>
      <c r="K383" s="2"/>
    </row>
    <row r="384" ht="15.75" customHeight="1">
      <c r="A384" s="42"/>
      <c r="B384" s="23"/>
      <c r="C384" s="44" t="s">
        <v>23</v>
      </c>
      <c r="D384" s="45"/>
      <c r="E384" s="46">
        <v>2000.0</v>
      </c>
      <c r="F384" s="47">
        <v>0.0</v>
      </c>
      <c r="G384" s="23"/>
      <c r="H384" s="2"/>
      <c r="I384" s="2"/>
      <c r="J384" s="2"/>
      <c r="K384" s="2"/>
    </row>
    <row r="385" ht="15.75" customHeight="1">
      <c r="A385" s="42"/>
      <c r="B385" s="23"/>
      <c r="C385" s="44" t="s">
        <v>24</v>
      </c>
      <c r="D385" s="46">
        <v>4.0</v>
      </c>
      <c r="E385" s="46">
        <v>800.0</v>
      </c>
      <c r="F385" s="47">
        <v>3200.0</v>
      </c>
      <c r="G385" s="23"/>
      <c r="H385" s="2"/>
      <c r="I385" s="2"/>
      <c r="J385" s="2"/>
      <c r="K385" s="2"/>
    </row>
    <row r="386" ht="15.75" customHeight="1">
      <c r="A386" s="42"/>
      <c r="B386" s="23"/>
      <c r="C386" s="44" t="s">
        <v>25</v>
      </c>
      <c r="D386" s="45"/>
      <c r="E386" s="46">
        <v>5000.0</v>
      </c>
      <c r="F386" s="47">
        <v>0.0</v>
      </c>
      <c r="G386" s="23"/>
      <c r="H386" s="2"/>
      <c r="I386" s="2"/>
      <c r="J386" s="2"/>
      <c r="K386" s="2"/>
    </row>
    <row r="387" ht="15.75" customHeight="1">
      <c r="A387" s="42"/>
      <c r="B387" s="23"/>
      <c r="C387" s="44" t="s">
        <v>26</v>
      </c>
      <c r="D387" s="45"/>
      <c r="E387" s="46">
        <v>2700.0</v>
      </c>
      <c r="F387" s="47">
        <v>0.0</v>
      </c>
      <c r="G387" s="23"/>
      <c r="H387" s="2"/>
      <c r="I387" s="2"/>
      <c r="J387" s="2"/>
      <c r="K387" s="2"/>
    </row>
    <row r="388" ht="15.75" customHeight="1">
      <c r="A388" s="42"/>
      <c r="B388" s="23"/>
      <c r="C388" s="44" t="s">
        <v>27</v>
      </c>
      <c r="D388" s="45"/>
      <c r="E388" s="46">
        <v>50000.0</v>
      </c>
      <c r="F388" s="47">
        <v>0.0</v>
      </c>
      <c r="G388" s="23"/>
      <c r="H388" s="2"/>
      <c r="I388" s="2"/>
      <c r="J388" s="2"/>
      <c r="K388" s="2"/>
    </row>
    <row r="389" ht="15.75" customHeight="1">
      <c r="A389" s="42"/>
      <c r="B389" s="23"/>
      <c r="C389" s="44" t="s">
        <v>28</v>
      </c>
      <c r="D389" s="45"/>
      <c r="E389" s="46">
        <v>10000.0</v>
      </c>
      <c r="F389" s="47">
        <v>0.0</v>
      </c>
      <c r="G389" s="23"/>
      <c r="H389" s="2"/>
      <c r="I389" s="2"/>
      <c r="J389" s="2"/>
      <c r="K389" s="2"/>
    </row>
    <row r="390" ht="15.75" customHeight="1">
      <c r="A390" s="42"/>
      <c r="B390" s="23"/>
      <c r="C390" s="44" t="s">
        <v>29</v>
      </c>
      <c r="D390" s="45"/>
      <c r="E390" s="46">
        <v>1000.0</v>
      </c>
      <c r="F390" s="47">
        <v>0.0</v>
      </c>
      <c r="G390" s="23"/>
      <c r="H390" s="2"/>
      <c r="I390" s="2"/>
      <c r="J390" s="2"/>
      <c r="K390" s="2"/>
    </row>
    <row r="391" ht="15.75" customHeight="1">
      <c r="A391" s="42"/>
      <c r="B391" s="23"/>
      <c r="C391" s="44" t="s">
        <v>30</v>
      </c>
      <c r="D391" s="45"/>
      <c r="E391" s="46">
        <v>500.0</v>
      </c>
      <c r="F391" s="47">
        <v>0.0</v>
      </c>
      <c r="G391" s="23"/>
      <c r="H391" s="2"/>
      <c r="I391" s="2"/>
      <c r="J391" s="2"/>
      <c r="K391" s="2"/>
    </row>
    <row r="392" ht="15.75" customHeight="1">
      <c r="A392" s="42"/>
      <c r="B392" s="23"/>
      <c r="C392" s="44" t="s">
        <v>31</v>
      </c>
      <c r="D392" s="45"/>
      <c r="E392" s="46">
        <v>200.0</v>
      </c>
      <c r="F392" s="47">
        <v>0.0</v>
      </c>
      <c r="G392" s="23"/>
      <c r="H392" s="2"/>
      <c r="I392" s="2"/>
      <c r="J392" s="2"/>
      <c r="K392" s="2"/>
    </row>
    <row r="393" ht="15.75" customHeight="1">
      <c r="A393" s="42"/>
      <c r="B393" s="23"/>
      <c r="C393" s="44" t="s">
        <v>32</v>
      </c>
      <c r="D393" s="45"/>
      <c r="E393" s="46">
        <v>1000.0</v>
      </c>
      <c r="F393" s="47">
        <v>0.0</v>
      </c>
      <c r="G393" s="23"/>
      <c r="H393" s="2"/>
      <c r="I393" s="2"/>
      <c r="J393" s="2"/>
      <c r="K393" s="2"/>
    </row>
    <row r="394" ht="15.75" customHeight="1">
      <c r="A394" s="42"/>
      <c r="B394" s="23"/>
      <c r="C394" s="44" t="s">
        <v>33</v>
      </c>
      <c r="D394" s="46">
        <v>2.0</v>
      </c>
      <c r="E394" s="46">
        <v>300.0</v>
      </c>
      <c r="F394" s="47">
        <v>600.0</v>
      </c>
      <c r="G394" s="23"/>
      <c r="H394" s="2"/>
      <c r="I394" s="2"/>
      <c r="J394" s="2"/>
      <c r="K394" s="2"/>
    </row>
    <row r="395" ht="15.75" customHeight="1">
      <c r="A395" s="42"/>
      <c r="B395" s="23"/>
      <c r="C395" s="44" t="s">
        <v>34</v>
      </c>
      <c r="D395" s="45"/>
      <c r="E395" s="46">
        <v>100.0</v>
      </c>
      <c r="F395" s="47">
        <v>0.0</v>
      </c>
      <c r="G395" s="23"/>
      <c r="H395" s="2"/>
      <c r="I395" s="2"/>
      <c r="J395" s="2"/>
      <c r="K395" s="2"/>
    </row>
    <row r="396" ht="15.75" customHeight="1">
      <c r="A396" s="42"/>
      <c r="B396" s="23"/>
      <c r="C396" s="44" t="s">
        <v>35</v>
      </c>
      <c r="D396" s="45"/>
      <c r="E396" s="46">
        <v>500.0</v>
      </c>
      <c r="F396" s="47">
        <v>0.0</v>
      </c>
      <c r="G396" s="23"/>
      <c r="H396" s="2"/>
      <c r="I396" s="2"/>
      <c r="J396" s="2"/>
      <c r="K396" s="2"/>
    </row>
    <row r="397" ht="15.75" customHeight="1">
      <c r="A397" s="42"/>
      <c r="B397" s="23"/>
      <c r="C397" s="44" t="s">
        <v>36</v>
      </c>
      <c r="D397" s="45"/>
      <c r="E397" s="46">
        <v>1500.0</v>
      </c>
      <c r="F397" s="47">
        <v>0.0</v>
      </c>
      <c r="G397" s="23"/>
      <c r="H397" s="2"/>
      <c r="I397" s="2"/>
      <c r="J397" s="2"/>
      <c r="K397" s="2"/>
    </row>
    <row r="398" ht="15.75" customHeight="1">
      <c r="A398" s="42"/>
      <c r="B398" s="23"/>
      <c r="C398" s="44" t="s">
        <v>37</v>
      </c>
      <c r="D398" s="45"/>
      <c r="E398" s="46">
        <v>4000.0</v>
      </c>
      <c r="F398" s="47">
        <v>0.0</v>
      </c>
      <c r="G398" s="23"/>
      <c r="H398" s="2"/>
      <c r="I398" s="2"/>
      <c r="J398" s="2"/>
      <c r="K398" s="2"/>
    </row>
    <row r="399" ht="15.75" customHeight="1">
      <c r="A399" s="42"/>
      <c r="B399" s="25"/>
      <c r="C399" s="44" t="s">
        <v>38</v>
      </c>
      <c r="D399" s="45"/>
      <c r="E399" s="46">
        <v>0.0</v>
      </c>
      <c r="F399" s="47">
        <v>0.0</v>
      </c>
      <c r="G399" s="25"/>
      <c r="H399" s="2"/>
      <c r="I399" s="2"/>
      <c r="J399" s="2"/>
      <c r="K399" s="2"/>
    </row>
    <row r="400" ht="15.75" customHeight="1">
      <c r="A400" s="48">
        <v>14.0</v>
      </c>
      <c r="B400" s="49" t="s">
        <v>79</v>
      </c>
      <c r="C400" s="50" t="s">
        <v>11</v>
      </c>
      <c r="D400" s="51"/>
      <c r="E400" s="52">
        <v>5000.0</v>
      </c>
      <c r="F400" s="53">
        <v>0.0</v>
      </c>
      <c r="G400" s="49">
        <v>11000.0</v>
      </c>
      <c r="H400" s="2"/>
      <c r="I400" s="2"/>
      <c r="J400" s="2"/>
      <c r="K400" s="2"/>
    </row>
    <row r="401" ht="15.75" customHeight="1">
      <c r="A401" s="54"/>
      <c r="B401" s="23"/>
      <c r="C401" s="44" t="s">
        <v>12</v>
      </c>
      <c r="D401" s="45"/>
      <c r="E401" s="46">
        <v>3000.0</v>
      </c>
      <c r="F401" s="47">
        <v>0.0</v>
      </c>
      <c r="G401" s="23"/>
      <c r="H401" s="2"/>
      <c r="I401" s="2"/>
      <c r="J401" s="2"/>
      <c r="K401" s="2"/>
    </row>
    <row r="402" ht="15.75" customHeight="1">
      <c r="A402" s="54"/>
      <c r="B402" s="23"/>
      <c r="C402" s="44" t="s">
        <v>13</v>
      </c>
      <c r="D402" s="45"/>
      <c r="E402" s="46">
        <v>1000.0</v>
      </c>
      <c r="F402" s="47">
        <v>0.0</v>
      </c>
      <c r="G402" s="23"/>
      <c r="H402" s="2"/>
      <c r="I402" s="2"/>
      <c r="J402" s="2"/>
      <c r="K402" s="2"/>
    </row>
    <row r="403" ht="15.75" customHeight="1">
      <c r="A403" s="54"/>
      <c r="B403" s="23"/>
      <c r="C403" s="44" t="s">
        <v>14</v>
      </c>
      <c r="D403" s="45"/>
      <c r="E403" s="46">
        <v>2800.0</v>
      </c>
      <c r="F403" s="47">
        <v>0.0</v>
      </c>
      <c r="G403" s="23"/>
      <c r="H403" s="2"/>
      <c r="I403" s="2"/>
      <c r="J403" s="2"/>
      <c r="K403" s="2"/>
    </row>
    <row r="404" ht="15.75" customHeight="1">
      <c r="A404" s="54"/>
      <c r="B404" s="23"/>
      <c r="C404" s="44" t="s">
        <v>15</v>
      </c>
      <c r="D404" s="45"/>
      <c r="E404" s="46">
        <v>3500.0</v>
      </c>
      <c r="F404" s="47">
        <v>0.0</v>
      </c>
      <c r="G404" s="23"/>
      <c r="H404" s="2"/>
      <c r="I404" s="2"/>
      <c r="J404" s="2"/>
      <c r="K404" s="2"/>
    </row>
    <row r="405" ht="15.75" customHeight="1">
      <c r="A405" s="54"/>
      <c r="B405" s="23"/>
      <c r="C405" s="44" t="s">
        <v>16</v>
      </c>
      <c r="D405" s="45">
        <v>3.0</v>
      </c>
      <c r="E405" s="46">
        <v>1000.0</v>
      </c>
      <c r="F405" s="47">
        <v>3000.0</v>
      </c>
      <c r="G405" s="23"/>
      <c r="H405" s="2"/>
      <c r="I405" s="2"/>
      <c r="J405" s="2"/>
      <c r="K405" s="2"/>
    </row>
    <row r="406" ht="15.75" customHeight="1">
      <c r="A406" s="54"/>
      <c r="B406" s="23"/>
      <c r="C406" s="44" t="s">
        <v>17</v>
      </c>
      <c r="D406" s="45"/>
      <c r="E406" s="46">
        <v>2000.0</v>
      </c>
      <c r="F406" s="47">
        <v>0.0</v>
      </c>
      <c r="G406" s="23"/>
      <c r="H406" s="2"/>
      <c r="I406" s="2"/>
      <c r="J406" s="2"/>
      <c r="K406" s="2"/>
    </row>
    <row r="407" ht="15.75" customHeight="1">
      <c r="A407" s="54"/>
      <c r="B407" s="23"/>
      <c r="C407" s="44" t="s">
        <v>18</v>
      </c>
      <c r="D407" s="45">
        <v>4.0</v>
      </c>
      <c r="E407" s="46">
        <v>2000.0</v>
      </c>
      <c r="F407" s="47">
        <v>8000.0</v>
      </c>
      <c r="G407" s="23"/>
      <c r="H407" s="2"/>
      <c r="I407" s="2"/>
      <c r="J407" s="2"/>
      <c r="K407" s="2"/>
    </row>
    <row r="408" ht="15.75" customHeight="1">
      <c r="A408" s="54"/>
      <c r="B408" s="23"/>
      <c r="C408" s="44" t="s">
        <v>19</v>
      </c>
      <c r="D408" s="45"/>
      <c r="E408" s="46">
        <v>1300.0</v>
      </c>
      <c r="F408" s="47">
        <v>0.0</v>
      </c>
      <c r="G408" s="23"/>
      <c r="H408" s="2"/>
      <c r="I408" s="2"/>
      <c r="J408" s="2"/>
      <c r="K408" s="2"/>
    </row>
    <row r="409" ht="15.75" customHeight="1">
      <c r="A409" s="54"/>
      <c r="B409" s="23"/>
      <c r="C409" s="44" t="s">
        <v>20</v>
      </c>
      <c r="D409" s="45"/>
      <c r="E409" s="46">
        <v>1000.0</v>
      </c>
      <c r="F409" s="47">
        <v>0.0</v>
      </c>
      <c r="G409" s="23"/>
      <c r="H409" s="2"/>
      <c r="I409" s="2"/>
      <c r="J409" s="2"/>
      <c r="K409" s="2"/>
    </row>
    <row r="410" ht="15.75" customHeight="1">
      <c r="A410" s="54"/>
      <c r="B410" s="23"/>
      <c r="C410" s="44" t="s">
        <v>21</v>
      </c>
      <c r="D410" s="45"/>
      <c r="E410" s="46">
        <v>400.0</v>
      </c>
      <c r="F410" s="47">
        <v>0.0</v>
      </c>
      <c r="G410" s="23"/>
      <c r="H410" s="2"/>
      <c r="I410" s="2"/>
      <c r="J410" s="2"/>
      <c r="K410" s="2"/>
    </row>
    <row r="411" ht="15.75" customHeight="1">
      <c r="A411" s="54"/>
      <c r="B411" s="23"/>
      <c r="C411" s="44" t="s">
        <v>22</v>
      </c>
      <c r="D411" s="45"/>
      <c r="E411" s="46">
        <v>7500.0</v>
      </c>
      <c r="F411" s="47">
        <v>0.0</v>
      </c>
      <c r="G411" s="23"/>
      <c r="H411" s="2"/>
      <c r="I411" s="2"/>
      <c r="J411" s="2"/>
      <c r="K411" s="2"/>
    </row>
    <row r="412" ht="15.75" customHeight="1">
      <c r="A412" s="54"/>
      <c r="B412" s="23"/>
      <c r="C412" s="44" t="s">
        <v>23</v>
      </c>
      <c r="D412" s="45"/>
      <c r="E412" s="46">
        <v>2000.0</v>
      </c>
      <c r="F412" s="47">
        <v>0.0</v>
      </c>
      <c r="G412" s="23"/>
      <c r="H412" s="2"/>
      <c r="I412" s="2"/>
      <c r="J412" s="2"/>
      <c r="K412" s="2"/>
    </row>
    <row r="413" ht="15.75" customHeight="1">
      <c r="A413" s="54"/>
      <c r="B413" s="23"/>
      <c r="C413" s="44" t="s">
        <v>24</v>
      </c>
      <c r="D413" s="45"/>
      <c r="E413" s="46">
        <v>800.0</v>
      </c>
      <c r="F413" s="47">
        <v>0.0</v>
      </c>
      <c r="G413" s="23"/>
      <c r="H413" s="2"/>
      <c r="I413" s="2"/>
      <c r="J413" s="2"/>
      <c r="K413" s="2"/>
    </row>
    <row r="414" ht="15.75" customHeight="1">
      <c r="A414" s="54"/>
      <c r="B414" s="23"/>
      <c r="C414" s="44" t="s">
        <v>25</v>
      </c>
      <c r="D414" s="45"/>
      <c r="E414" s="46">
        <v>5000.0</v>
      </c>
      <c r="F414" s="47">
        <v>0.0</v>
      </c>
      <c r="G414" s="23"/>
      <c r="H414" s="2"/>
      <c r="I414" s="2"/>
      <c r="J414" s="2"/>
      <c r="K414" s="2"/>
    </row>
    <row r="415" ht="15.75" customHeight="1">
      <c r="A415" s="54"/>
      <c r="B415" s="23"/>
      <c r="C415" s="44" t="s">
        <v>26</v>
      </c>
      <c r="D415" s="45"/>
      <c r="E415" s="46">
        <v>2700.0</v>
      </c>
      <c r="F415" s="47">
        <v>0.0</v>
      </c>
      <c r="G415" s="23"/>
      <c r="H415" s="2"/>
      <c r="I415" s="2"/>
      <c r="J415" s="2"/>
      <c r="K415" s="2"/>
    </row>
    <row r="416" ht="15.75" customHeight="1">
      <c r="A416" s="54"/>
      <c r="B416" s="23"/>
      <c r="C416" s="44" t="s">
        <v>27</v>
      </c>
      <c r="D416" s="45"/>
      <c r="E416" s="46">
        <v>50000.0</v>
      </c>
      <c r="F416" s="47">
        <v>0.0</v>
      </c>
      <c r="G416" s="23"/>
      <c r="H416" s="2"/>
      <c r="I416" s="2"/>
      <c r="J416" s="2"/>
      <c r="K416" s="2"/>
    </row>
    <row r="417" ht="15.75" customHeight="1">
      <c r="A417" s="54"/>
      <c r="B417" s="23"/>
      <c r="C417" s="44" t="s">
        <v>28</v>
      </c>
      <c r="D417" s="45"/>
      <c r="E417" s="46">
        <v>10000.0</v>
      </c>
      <c r="F417" s="47">
        <v>0.0</v>
      </c>
      <c r="G417" s="23"/>
      <c r="H417" s="2"/>
      <c r="I417" s="2"/>
      <c r="J417" s="2"/>
      <c r="K417" s="2"/>
    </row>
    <row r="418" ht="15.75" customHeight="1">
      <c r="A418" s="54"/>
      <c r="B418" s="23"/>
      <c r="C418" s="44" t="s">
        <v>29</v>
      </c>
      <c r="D418" s="45"/>
      <c r="E418" s="46">
        <v>1000.0</v>
      </c>
      <c r="F418" s="47">
        <v>0.0</v>
      </c>
      <c r="G418" s="23"/>
      <c r="H418" s="2"/>
      <c r="I418" s="2"/>
      <c r="J418" s="2"/>
      <c r="K418" s="2"/>
    </row>
    <row r="419" ht="15.75" customHeight="1">
      <c r="A419" s="54"/>
      <c r="B419" s="23"/>
      <c r="C419" s="44" t="s">
        <v>30</v>
      </c>
      <c r="D419" s="45"/>
      <c r="E419" s="46">
        <v>500.0</v>
      </c>
      <c r="F419" s="47">
        <v>0.0</v>
      </c>
      <c r="G419" s="23"/>
      <c r="H419" s="2"/>
      <c r="I419" s="2"/>
      <c r="J419" s="2"/>
      <c r="K419" s="2"/>
    </row>
    <row r="420" ht="15.75" customHeight="1">
      <c r="A420" s="54"/>
      <c r="B420" s="23"/>
      <c r="C420" s="44" t="s">
        <v>31</v>
      </c>
      <c r="D420" s="45"/>
      <c r="E420" s="46">
        <v>200.0</v>
      </c>
      <c r="F420" s="47">
        <v>0.0</v>
      </c>
      <c r="G420" s="23"/>
      <c r="H420" s="2"/>
      <c r="I420" s="2"/>
      <c r="J420" s="2"/>
      <c r="K420" s="2"/>
    </row>
    <row r="421" ht="15.75" customHeight="1">
      <c r="A421" s="54"/>
      <c r="B421" s="23"/>
      <c r="C421" s="44" t="s">
        <v>32</v>
      </c>
      <c r="D421" s="45"/>
      <c r="E421" s="46">
        <v>1000.0</v>
      </c>
      <c r="F421" s="47">
        <v>0.0</v>
      </c>
      <c r="G421" s="23"/>
      <c r="H421" s="2"/>
      <c r="I421" s="2"/>
      <c r="J421" s="2"/>
      <c r="K421" s="2"/>
    </row>
    <row r="422" ht="15.75" customHeight="1">
      <c r="A422" s="54"/>
      <c r="B422" s="23"/>
      <c r="C422" s="44" t="s">
        <v>33</v>
      </c>
      <c r="D422" s="45"/>
      <c r="E422" s="46">
        <v>300.0</v>
      </c>
      <c r="F422" s="47">
        <v>0.0</v>
      </c>
      <c r="G422" s="23"/>
      <c r="H422" s="2"/>
      <c r="I422" s="2"/>
      <c r="J422" s="2"/>
      <c r="K422" s="2"/>
    </row>
    <row r="423" ht="15.75" customHeight="1">
      <c r="A423" s="54"/>
      <c r="B423" s="23"/>
      <c r="C423" s="44" t="s">
        <v>34</v>
      </c>
      <c r="D423" s="45"/>
      <c r="E423" s="46">
        <v>100.0</v>
      </c>
      <c r="F423" s="47">
        <v>0.0</v>
      </c>
      <c r="G423" s="23"/>
      <c r="H423" s="2"/>
      <c r="I423" s="2"/>
      <c r="J423" s="2"/>
      <c r="K423" s="2"/>
    </row>
    <row r="424" ht="15.75" customHeight="1">
      <c r="A424" s="54"/>
      <c r="B424" s="23"/>
      <c r="C424" s="44" t="s">
        <v>35</v>
      </c>
      <c r="D424" s="45"/>
      <c r="E424" s="46">
        <v>500.0</v>
      </c>
      <c r="F424" s="47">
        <v>0.0</v>
      </c>
      <c r="G424" s="23"/>
      <c r="H424" s="2"/>
      <c r="I424" s="2"/>
      <c r="J424" s="2"/>
      <c r="K424" s="2"/>
    </row>
    <row r="425" ht="15.75" customHeight="1">
      <c r="A425" s="54"/>
      <c r="B425" s="23"/>
      <c r="C425" s="44" t="s">
        <v>36</v>
      </c>
      <c r="D425" s="45"/>
      <c r="E425" s="46">
        <v>1500.0</v>
      </c>
      <c r="F425" s="47">
        <v>0.0</v>
      </c>
      <c r="G425" s="23"/>
      <c r="H425" s="2"/>
      <c r="I425" s="2"/>
      <c r="J425" s="2"/>
      <c r="K425" s="2"/>
    </row>
    <row r="426" ht="15.75" customHeight="1">
      <c r="A426" s="54"/>
      <c r="B426" s="23"/>
      <c r="C426" s="44" t="s">
        <v>37</v>
      </c>
      <c r="D426" s="45"/>
      <c r="E426" s="46">
        <v>4000.0</v>
      </c>
      <c r="F426" s="47">
        <v>0.0</v>
      </c>
      <c r="G426" s="23"/>
      <c r="H426" s="2"/>
      <c r="I426" s="2"/>
      <c r="J426" s="2"/>
      <c r="K426" s="2"/>
    </row>
    <row r="427" ht="15.75" customHeight="1">
      <c r="A427" s="10"/>
      <c r="B427" s="25"/>
      <c r="C427" s="44" t="s">
        <v>38</v>
      </c>
      <c r="D427" s="45"/>
      <c r="E427" s="46">
        <v>0.0</v>
      </c>
      <c r="F427" s="47">
        <v>0.0</v>
      </c>
      <c r="G427" s="25"/>
      <c r="H427" s="2"/>
      <c r="I427" s="2"/>
      <c r="J427" s="2"/>
      <c r="K427" s="2"/>
    </row>
    <row r="428" ht="15.75" customHeight="1">
      <c r="A428" s="33" t="s">
        <v>55</v>
      </c>
      <c r="B428" s="4"/>
      <c r="C428" s="4"/>
      <c r="D428" s="4"/>
      <c r="E428" s="4"/>
      <c r="F428" s="5"/>
      <c r="G428" s="55">
        <f>SUM(G5:G427)</f>
        <v>379550</v>
      </c>
      <c r="H428" s="2"/>
      <c r="I428" s="2"/>
      <c r="J428" s="2"/>
      <c r="K428" s="2"/>
    </row>
    <row r="429" ht="15.75" customHeight="1">
      <c r="A429" s="33" t="s">
        <v>56</v>
      </c>
      <c r="B429" s="4"/>
      <c r="C429" s="4"/>
      <c r="D429" s="4"/>
      <c r="E429" s="4"/>
      <c r="F429" s="5"/>
      <c r="G429" s="31">
        <f>G428*5%</f>
        <v>18977.5</v>
      </c>
      <c r="H429" s="2"/>
      <c r="I429" s="2"/>
      <c r="J429" s="2"/>
      <c r="K429" s="2"/>
    </row>
    <row r="430" ht="15.7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</row>
    <row r="431" ht="15.7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</row>
    <row r="432" ht="15.7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</row>
    <row r="433" ht="15.7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</row>
    <row r="434" ht="15.7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</row>
    <row r="435" ht="15.7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</row>
    <row r="436" ht="15.7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</row>
    <row r="437" ht="15.7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</row>
    <row r="438" ht="15.75" customHeight="1">
      <c r="A438" s="1"/>
      <c r="B438" s="1"/>
    </row>
    <row r="439" ht="15.75" customHeight="1">
      <c r="A439" s="1"/>
      <c r="B439" s="1"/>
    </row>
    <row r="440" ht="15.75" customHeight="1">
      <c r="A440" s="1"/>
      <c r="B440" s="1"/>
    </row>
    <row r="441" ht="15.75" customHeight="1">
      <c r="A441" s="1"/>
      <c r="B441" s="1"/>
    </row>
    <row r="442" ht="15.75" customHeight="1">
      <c r="A442" s="1"/>
      <c r="B442" s="1"/>
    </row>
    <row r="443" ht="15.75" customHeight="1">
      <c r="A443" s="1"/>
      <c r="B443" s="1"/>
    </row>
    <row r="444" ht="15.75" customHeight="1">
      <c r="A444" s="1"/>
      <c r="B444" s="1"/>
    </row>
    <row r="445" ht="15.75" customHeight="1">
      <c r="A445" s="1"/>
      <c r="B445" s="1"/>
    </row>
    <row r="446" ht="15.75" customHeight="1">
      <c r="A446" s="1"/>
      <c r="B446" s="1"/>
    </row>
    <row r="447" ht="15.75" customHeight="1">
      <c r="A447" s="1"/>
      <c r="B447" s="1"/>
    </row>
    <row r="448" ht="15.75" customHeight="1">
      <c r="A448" s="1"/>
      <c r="B448" s="1"/>
    </row>
    <row r="449" ht="15.75" customHeight="1">
      <c r="A449" s="1"/>
      <c r="B449" s="1"/>
    </row>
    <row r="450" ht="15.75" customHeight="1">
      <c r="A450" s="1"/>
      <c r="B450" s="1"/>
    </row>
    <row r="451" ht="15.75" customHeight="1">
      <c r="A451" s="1"/>
      <c r="B451" s="1"/>
    </row>
    <row r="452" ht="15.75" customHeight="1">
      <c r="A452" s="1"/>
      <c r="B452" s="1"/>
    </row>
    <row r="453" ht="15.75" customHeight="1">
      <c r="A453" s="1"/>
      <c r="B453" s="1"/>
    </row>
    <row r="454" ht="15.75" customHeight="1">
      <c r="A454" s="1"/>
      <c r="B454" s="1"/>
    </row>
    <row r="455" ht="15.75" customHeight="1">
      <c r="A455" s="1"/>
      <c r="B455" s="1"/>
    </row>
    <row r="456" ht="15.75" customHeight="1">
      <c r="A456" s="1"/>
      <c r="B456" s="1"/>
    </row>
    <row r="457" ht="15.75" customHeight="1">
      <c r="A457" s="1"/>
      <c r="B457" s="1"/>
    </row>
    <row r="458" ht="15.75" customHeight="1">
      <c r="A458" s="1"/>
      <c r="B458" s="1"/>
    </row>
    <row r="459" ht="15.75" customHeight="1">
      <c r="A459" s="1"/>
      <c r="B459" s="1"/>
    </row>
    <row r="460" ht="15.75" customHeight="1">
      <c r="A460" s="1"/>
      <c r="B460" s="1"/>
    </row>
    <row r="461" ht="15.75" customHeight="1">
      <c r="A461" s="1"/>
      <c r="B461" s="1"/>
    </row>
    <row r="462" ht="15.75" customHeight="1">
      <c r="A462" s="1"/>
      <c r="B462" s="1"/>
    </row>
    <row r="463" ht="15.75" customHeight="1">
      <c r="A463" s="1"/>
      <c r="B463" s="1"/>
    </row>
    <row r="464" ht="15.75" customHeight="1">
      <c r="A464" s="1"/>
      <c r="B464" s="1"/>
    </row>
    <row r="465" ht="15.75" customHeight="1">
      <c r="A465" s="1"/>
      <c r="B465" s="1"/>
    </row>
    <row r="466" ht="15.75" customHeight="1">
      <c r="A466" s="1"/>
      <c r="B466" s="1"/>
    </row>
    <row r="467" ht="15.75" customHeight="1">
      <c r="A467" s="1"/>
      <c r="B467" s="1"/>
    </row>
    <row r="468" ht="15.75" customHeight="1">
      <c r="A468" s="1"/>
      <c r="B468" s="1"/>
    </row>
    <row r="469" ht="15.75" customHeight="1">
      <c r="A469" s="1"/>
      <c r="B469" s="1"/>
    </row>
    <row r="470" ht="15.75" customHeight="1">
      <c r="A470" s="1"/>
      <c r="B470" s="1"/>
    </row>
    <row r="471" ht="15.75" customHeight="1">
      <c r="A471" s="1"/>
      <c r="B471" s="1"/>
    </row>
    <row r="472" ht="15.75" customHeight="1">
      <c r="A472" s="1"/>
      <c r="B472" s="1"/>
    </row>
    <row r="473" ht="15.75" customHeight="1">
      <c r="A473" s="1"/>
      <c r="B473" s="1"/>
    </row>
    <row r="474" ht="15.75" customHeight="1">
      <c r="A474" s="1"/>
      <c r="B474" s="1"/>
    </row>
    <row r="475" ht="15.75" customHeight="1">
      <c r="A475" s="1"/>
      <c r="B475" s="1"/>
    </row>
    <row r="476" ht="15.75" customHeight="1">
      <c r="A476" s="1"/>
      <c r="B476" s="1"/>
    </row>
    <row r="477" ht="15.75" customHeight="1">
      <c r="A477" s="1"/>
      <c r="B477" s="1"/>
    </row>
    <row r="478" ht="15.75" customHeight="1">
      <c r="A478" s="1"/>
      <c r="B478" s="1"/>
    </row>
    <row r="479" ht="15.75" customHeight="1">
      <c r="A479" s="1"/>
      <c r="B479" s="1"/>
    </row>
    <row r="480" ht="15.75" customHeight="1">
      <c r="A480" s="1"/>
      <c r="B480" s="1"/>
    </row>
    <row r="481" ht="15.75" customHeight="1">
      <c r="A481" s="1"/>
      <c r="B481" s="1"/>
    </row>
    <row r="482" ht="15.75" customHeight="1">
      <c r="A482" s="1"/>
      <c r="B482" s="1"/>
    </row>
    <row r="483" ht="15.75" customHeight="1">
      <c r="A483" s="1"/>
      <c r="B483" s="1"/>
    </row>
    <row r="484" ht="15.75" customHeight="1">
      <c r="A484" s="1"/>
      <c r="B484" s="1"/>
    </row>
    <row r="485" ht="15.75" customHeight="1">
      <c r="A485" s="1"/>
      <c r="B485" s="1"/>
    </row>
    <row r="486" ht="15.75" customHeight="1">
      <c r="A486" s="1"/>
      <c r="B486" s="1"/>
    </row>
    <row r="487" ht="15.75" customHeight="1">
      <c r="A487" s="1"/>
      <c r="B487" s="1"/>
    </row>
    <row r="488" ht="15.75" customHeight="1">
      <c r="A488" s="1"/>
      <c r="B488" s="1"/>
    </row>
    <row r="489" ht="15.75" customHeight="1">
      <c r="A489" s="1"/>
      <c r="B489" s="1"/>
    </row>
    <row r="490" ht="15.75" customHeight="1">
      <c r="A490" s="1"/>
      <c r="B490" s="1"/>
    </row>
    <row r="491" ht="15.75" customHeight="1">
      <c r="A491" s="1"/>
      <c r="B491" s="1"/>
    </row>
    <row r="492" ht="15.75" customHeight="1">
      <c r="A492" s="1"/>
      <c r="B492" s="1"/>
    </row>
    <row r="493" ht="15.75" customHeight="1">
      <c r="A493" s="1"/>
      <c r="B493" s="1"/>
    </row>
    <row r="494" ht="15.75" customHeight="1">
      <c r="A494" s="1"/>
      <c r="B494" s="1"/>
    </row>
    <row r="495" ht="15.75" customHeight="1">
      <c r="A495" s="1"/>
      <c r="B495" s="1"/>
    </row>
    <row r="496" ht="15.75" customHeight="1">
      <c r="A496" s="1"/>
      <c r="B496" s="1"/>
    </row>
    <row r="497" ht="15.75" customHeight="1">
      <c r="A497" s="1"/>
      <c r="B497" s="1"/>
    </row>
    <row r="498" ht="15.75" customHeight="1">
      <c r="A498" s="1"/>
      <c r="B498" s="1"/>
    </row>
    <row r="499" ht="15.75" customHeight="1">
      <c r="A499" s="1"/>
      <c r="B499" s="1"/>
    </row>
    <row r="500" ht="15.75" customHeight="1">
      <c r="A500" s="1"/>
      <c r="B500" s="1"/>
    </row>
    <row r="501" ht="15.75" customHeight="1">
      <c r="A501" s="1"/>
      <c r="B501" s="1"/>
    </row>
    <row r="502" ht="15.75" customHeight="1">
      <c r="A502" s="1"/>
      <c r="B502" s="1"/>
    </row>
    <row r="503" ht="15.75" customHeight="1">
      <c r="A503" s="1"/>
      <c r="B503" s="1"/>
    </row>
    <row r="504" ht="15.75" customHeight="1">
      <c r="A504" s="1"/>
      <c r="B504" s="1"/>
    </row>
    <row r="505" ht="15.75" customHeight="1">
      <c r="A505" s="1"/>
      <c r="B505" s="1"/>
    </row>
    <row r="506" ht="15.75" customHeight="1">
      <c r="A506" s="1"/>
      <c r="B506" s="1"/>
    </row>
    <row r="507" ht="15.75" customHeight="1">
      <c r="A507" s="1"/>
      <c r="B507" s="1"/>
    </row>
    <row r="508" ht="15.75" customHeight="1">
      <c r="A508" s="1"/>
      <c r="B508" s="1"/>
    </row>
    <row r="509" ht="15.75" customHeight="1">
      <c r="A509" s="1"/>
      <c r="B509" s="1"/>
    </row>
    <row r="510" ht="15.75" customHeight="1">
      <c r="A510" s="1"/>
      <c r="B510" s="1"/>
    </row>
    <row r="511" ht="15.75" customHeight="1">
      <c r="A511" s="1"/>
      <c r="B511" s="1"/>
    </row>
    <row r="512" ht="15.75" customHeight="1">
      <c r="A512" s="1"/>
      <c r="B512" s="1"/>
    </row>
    <row r="513" ht="15.75" customHeight="1">
      <c r="A513" s="1"/>
      <c r="B513" s="1"/>
    </row>
    <row r="514" ht="15.75" customHeight="1">
      <c r="A514" s="1"/>
      <c r="B514" s="1"/>
    </row>
    <row r="515" ht="15.75" customHeight="1">
      <c r="A515" s="1"/>
      <c r="B515" s="1"/>
    </row>
    <row r="516" ht="15.75" customHeight="1">
      <c r="A516" s="1"/>
      <c r="B516" s="1"/>
    </row>
    <row r="517" ht="15.75" customHeight="1">
      <c r="A517" s="1"/>
      <c r="B517" s="1"/>
    </row>
    <row r="518" ht="15.75" customHeight="1">
      <c r="A518" s="1"/>
      <c r="B518" s="1"/>
    </row>
    <row r="519" ht="15.75" customHeight="1">
      <c r="A519" s="1"/>
      <c r="B519" s="1"/>
    </row>
    <row r="520" ht="15.75" customHeight="1">
      <c r="A520" s="1"/>
      <c r="B520" s="1"/>
    </row>
    <row r="521" ht="15.75" customHeight="1">
      <c r="A521" s="1"/>
      <c r="B521" s="1"/>
    </row>
    <row r="522" ht="15.75" customHeight="1">
      <c r="A522" s="1"/>
      <c r="B522" s="1"/>
    </row>
    <row r="523" ht="15.75" customHeight="1">
      <c r="A523" s="1"/>
      <c r="B523" s="1"/>
    </row>
    <row r="524" ht="15.75" customHeight="1">
      <c r="A524" s="1"/>
      <c r="B524" s="1"/>
    </row>
    <row r="525" ht="15.75" customHeight="1">
      <c r="A525" s="1"/>
      <c r="B525" s="1"/>
    </row>
    <row r="526" ht="15.75" customHeight="1">
      <c r="A526" s="1"/>
      <c r="B526" s="1"/>
    </row>
    <row r="527" ht="15.75" customHeight="1">
      <c r="A527" s="1"/>
      <c r="B527" s="1"/>
    </row>
    <row r="528" ht="15.75" customHeight="1">
      <c r="A528" s="1"/>
      <c r="B528" s="1"/>
    </row>
    <row r="529" ht="15.75" customHeight="1">
      <c r="A529" s="1"/>
      <c r="B529" s="1"/>
    </row>
    <row r="530" ht="15.75" customHeight="1">
      <c r="A530" s="1"/>
      <c r="B530" s="1"/>
    </row>
    <row r="531" ht="15.75" customHeight="1">
      <c r="A531" s="1"/>
      <c r="B531" s="1"/>
    </row>
    <row r="532" ht="15.75" customHeight="1">
      <c r="A532" s="1"/>
      <c r="B532" s="1"/>
    </row>
    <row r="533" ht="15.75" customHeight="1">
      <c r="A533" s="1"/>
      <c r="B533" s="1"/>
    </row>
    <row r="534" ht="15.75" customHeight="1">
      <c r="A534" s="1"/>
      <c r="B534" s="1"/>
    </row>
    <row r="535" ht="15.75" customHeight="1">
      <c r="A535" s="1"/>
      <c r="B535" s="1"/>
    </row>
    <row r="536" ht="15.75" customHeight="1">
      <c r="A536" s="1"/>
      <c r="B536" s="1"/>
    </row>
    <row r="537" ht="15.75" customHeight="1">
      <c r="A537" s="1"/>
      <c r="B537" s="1"/>
    </row>
    <row r="538" ht="15.75" customHeight="1">
      <c r="A538" s="1"/>
      <c r="B538" s="1"/>
    </row>
    <row r="539" ht="15.75" customHeight="1">
      <c r="A539" s="1"/>
      <c r="B539" s="1"/>
    </row>
    <row r="540" ht="15.75" customHeight="1">
      <c r="A540" s="1"/>
      <c r="B540" s="1"/>
    </row>
    <row r="541" ht="15.75" customHeight="1">
      <c r="A541" s="1"/>
      <c r="B541" s="1"/>
    </row>
    <row r="542" ht="15.75" customHeight="1">
      <c r="A542" s="1"/>
      <c r="B542" s="1"/>
    </row>
    <row r="543" ht="15.75" customHeight="1">
      <c r="A543" s="1"/>
      <c r="B543" s="1"/>
    </row>
    <row r="544" ht="15.75" customHeight="1">
      <c r="A544" s="1"/>
      <c r="B544" s="1"/>
    </row>
    <row r="545" ht="15.75" customHeight="1">
      <c r="A545" s="1"/>
      <c r="B545" s="1"/>
    </row>
    <row r="546" ht="15.75" customHeight="1">
      <c r="A546" s="1"/>
      <c r="B546" s="1"/>
    </row>
    <row r="547" ht="15.75" customHeight="1">
      <c r="A547" s="1"/>
      <c r="B547" s="1"/>
    </row>
    <row r="548" ht="15.75" customHeight="1">
      <c r="A548" s="1"/>
      <c r="B548" s="1"/>
    </row>
    <row r="549" ht="15.75" customHeight="1">
      <c r="A549" s="1"/>
      <c r="B549" s="1"/>
    </row>
    <row r="550" ht="15.75" customHeight="1">
      <c r="A550" s="1"/>
      <c r="B550" s="1"/>
    </row>
    <row r="551" ht="15.75" customHeight="1">
      <c r="A551" s="1"/>
      <c r="B551" s="1"/>
    </row>
    <row r="552" ht="15.75" customHeight="1">
      <c r="A552" s="1"/>
      <c r="B552" s="1"/>
    </row>
    <row r="553" ht="15.75" customHeight="1">
      <c r="A553" s="1"/>
      <c r="B553" s="1"/>
    </row>
    <row r="554" ht="15.75" customHeight="1">
      <c r="A554" s="1"/>
      <c r="B554" s="1"/>
    </row>
    <row r="555" ht="15.75" customHeight="1">
      <c r="A555" s="1"/>
      <c r="B555" s="1"/>
    </row>
    <row r="556" ht="15.75" customHeight="1">
      <c r="A556" s="1"/>
      <c r="B556" s="1"/>
    </row>
    <row r="557" ht="15.75" customHeight="1">
      <c r="A557" s="1"/>
      <c r="B557" s="1"/>
    </row>
    <row r="558" ht="15.75" customHeight="1">
      <c r="A558" s="1"/>
      <c r="B558" s="1"/>
    </row>
    <row r="559" ht="15.75" customHeight="1">
      <c r="A559" s="1"/>
      <c r="B559" s="1"/>
    </row>
    <row r="560" ht="15.75" customHeight="1">
      <c r="A560" s="1"/>
      <c r="B560" s="1"/>
    </row>
    <row r="561" ht="15.75" customHeight="1">
      <c r="A561" s="1"/>
      <c r="B561" s="1"/>
    </row>
    <row r="562" ht="15.75" customHeight="1">
      <c r="A562" s="1"/>
      <c r="B562" s="1"/>
    </row>
    <row r="563" ht="15.75" customHeight="1">
      <c r="A563" s="1"/>
      <c r="B563" s="1"/>
    </row>
    <row r="564" ht="15.75" customHeight="1">
      <c r="A564" s="1"/>
      <c r="B564" s="1"/>
    </row>
    <row r="565" ht="15.75" customHeight="1">
      <c r="A565" s="1"/>
      <c r="B565" s="1"/>
    </row>
    <row r="566" ht="15.75" customHeight="1">
      <c r="A566" s="1"/>
      <c r="B566" s="1"/>
    </row>
    <row r="567" ht="15.75" customHeight="1">
      <c r="A567" s="1"/>
      <c r="B567" s="1"/>
    </row>
    <row r="568" ht="15.75" customHeight="1">
      <c r="A568" s="1"/>
      <c r="B568" s="1"/>
    </row>
    <row r="569" ht="15.75" customHeight="1">
      <c r="A569" s="1"/>
      <c r="B569" s="1"/>
    </row>
    <row r="570" ht="15.75" customHeight="1">
      <c r="A570" s="1"/>
      <c r="B570" s="1"/>
    </row>
    <row r="571" ht="15.75" customHeight="1">
      <c r="A571" s="1"/>
      <c r="B571" s="1"/>
    </row>
    <row r="572" ht="15.75" customHeight="1">
      <c r="A572" s="1"/>
      <c r="B572" s="1"/>
    </row>
    <row r="573" ht="15.75" customHeight="1">
      <c r="A573" s="1"/>
      <c r="B573" s="1"/>
    </row>
    <row r="574" ht="15.75" customHeight="1">
      <c r="A574" s="1"/>
      <c r="B574" s="1"/>
    </row>
    <row r="575" ht="15.75" customHeight="1">
      <c r="A575" s="1"/>
      <c r="B575" s="1"/>
    </row>
    <row r="576" ht="15.75" customHeight="1">
      <c r="A576" s="1"/>
      <c r="B576" s="1"/>
    </row>
    <row r="577" ht="15.75" customHeight="1">
      <c r="A577" s="1"/>
      <c r="B577" s="1"/>
    </row>
    <row r="578" ht="15.75" customHeight="1">
      <c r="A578" s="1"/>
      <c r="B578" s="1"/>
    </row>
    <row r="579" ht="15.75" customHeight="1">
      <c r="A579" s="1"/>
      <c r="B579" s="1"/>
    </row>
    <row r="580" ht="15.75" customHeight="1">
      <c r="A580" s="1"/>
      <c r="B580" s="1"/>
    </row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32:A259"/>
    <mergeCell ref="A260:A287"/>
    <mergeCell ref="A288:A315"/>
    <mergeCell ref="A316:A343"/>
    <mergeCell ref="A344:A371"/>
    <mergeCell ref="A400:A427"/>
    <mergeCell ref="B260:B287"/>
    <mergeCell ref="B288:B315"/>
    <mergeCell ref="B316:B343"/>
    <mergeCell ref="B344:B371"/>
    <mergeCell ref="B372:B399"/>
    <mergeCell ref="B400:B427"/>
    <mergeCell ref="A428:F428"/>
    <mergeCell ref="A429:F429"/>
    <mergeCell ref="A145:A172"/>
    <mergeCell ref="B145:B172"/>
    <mergeCell ref="A173:A201"/>
    <mergeCell ref="B173:B201"/>
    <mergeCell ref="A202:A231"/>
    <mergeCell ref="B202:B231"/>
    <mergeCell ref="B232:B259"/>
    <mergeCell ref="G260:G287"/>
    <mergeCell ref="G288:G315"/>
    <mergeCell ref="G316:G343"/>
    <mergeCell ref="G344:G371"/>
    <mergeCell ref="G372:G399"/>
    <mergeCell ref="G400:G427"/>
    <mergeCell ref="G61:G88"/>
    <mergeCell ref="G89:G116"/>
    <mergeCell ref="G117:G144"/>
    <mergeCell ref="G145:G172"/>
    <mergeCell ref="G173:G201"/>
    <mergeCell ref="G202:G231"/>
    <mergeCell ref="G232:G259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  <col customWidth="1" min="14" max="14" width="20.5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80</v>
      </c>
      <c r="C5" s="18" t="s">
        <v>11</v>
      </c>
      <c r="D5" s="19">
        <v>1.5</v>
      </c>
      <c r="E5" s="20">
        <v>5000.0</v>
      </c>
      <c r="F5" s="21">
        <f t="shared" ref="F5:F228" si="1">D5*E5</f>
        <v>7500</v>
      </c>
      <c r="G5" s="22">
        <f>SUM(F5:F32)</f>
        <v>29950</v>
      </c>
      <c r="H5" s="2"/>
      <c r="I5" s="18" t="s">
        <v>11</v>
      </c>
      <c r="J5" s="15">
        <f>SUMIF(C5:C228,"Gelas bersih",D5:D228)</f>
        <v>2.5</v>
      </c>
      <c r="K5" s="2"/>
    </row>
    <row r="6" ht="15.75" customHeight="1">
      <c r="A6" s="23"/>
      <c r="B6" s="23"/>
      <c r="C6" s="18" t="s">
        <v>12</v>
      </c>
      <c r="D6" s="19">
        <v>1.0</v>
      </c>
      <c r="E6" s="20">
        <v>3000.0</v>
      </c>
      <c r="F6" s="21">
        <f t="shared" si="1"/>
        <v>3000</v>
      </c>
      <c r="G6" s="23"/>
      <c r="H6" s="2"/>
      <c r="I6" s="18" t="s">
        <v>12</v>
      </c>
      <c r="J6" s="15">
        <f>SUMIF(C6:C229,"Botol bersih",D6:D229)</f>
        <v>4.5</v>
      </c>
      <c r="K6" s="2"/>
    </row>
    <row r="7" ht="15.75" customHeight="1">
      <c r="A7" s="23"/>
      <c r="B7" s="23"/>
      <c r="C7" s="18" t="s">
        <v>13</v>
      </c>
      <c r="D7" s="19"/>
      <c r="E7" s="20">
        <v>1000.0</v>
      </c>
      <c r="F7" s="21">
        <f t="shared" si="1"/>
        <v>0</v>
      </c>
      <c r="G7" s="23"/>
      <c r="H7" s="2"/>
      <c r="I7" s="18" t="s">
        <v>13</v>
      </c>
      <c r="J7" s="15">
        <f>SUMIF(C7:C230,"Botol Warna",D7:D230)</f>
        <v>0</v>
      </c>
      <c r="K7" s="2"/>
    </row>
    <row r="8" ht="15.75" customHeight="1">
      <c r="A8" s="23"/>
      <c r="B8" s="23"/>
      <c r="C8" s="18" t="s">
        <v>14</v>
      </c>
      <c r="D8" s="19"/>
      <c r="E8" s="20">
        <v>2800.0</v>
      </c>
      <c r="F8" s="21">
        <f t="shared" si="1"/>
        <v>0</v>
      </c>
      <c r="G8" s="23"/>
      <c r="H8" s="2"/>
      <c r="I8" s="18" t="s">
        <v>14</v>
      </c>
      <c r="J8" s="15">
        <f>SUMIF(C8:C231,"Tutup botol",D8:D231)</f>
        <v>0.5</v>
      </c>
      <c r="K8" s="2"/>
    </row>
    <row r="9" ht="15.75" customHeight="1">
      <c r="A9" s="23"/>
      <c r="B9" s="23"/>
      <c r="C9" s="18" t="s">
        <v>15</v>
      </c>
      <c r="D9" s="19">
        <v>1.0</v>
      </c>
      <c r="E9" s="20">
        <v>3500.0</v>
      </c>
      <c r="F9" s="21">
        <f t="shared" si="1"/>
        <v>3500</v>
      </c>
      <c r="G9" s="23"/>
      <c r="H9" s="2"/>
      <c r="I9" s="18" t="s">
        <v>15</v>
      </c>
      <c r="J9" s="15">
        <f>SUMIF(C9:C232,"Tutup galon",D9:D232)</f>
        <v>1</v>
      </c>
      <c r="K9" s="2"/>
    </row>
    <row r="10" ht="15.75" customHeight="1">
      <c r="A10" s="23"/>
      <c r="B10" s="23"/>
      <c r="C10" s="18" t="s">
        <v>16</v>
      </c>
      <c r="D10" s="19">
        <v>2.0</v>
      </c>
      <c r="E10" s="20">
        <v>1000.0</v>
      </c>
      <c r="F10" s="21">
        <f t="shared" si="1"/>
        <v>2000</v>
      </c>
      <c r="G10" s="23"/>
      <c r="H10" s="2"/>
      <c r="I10" s="18" t="s">
        <v>16</v>
      </c>
      <c r="J10" s="15">
        <f>SUMIF(C10:C233,"Hitam",D10:D233)</f>
        <v>16.5</v>
      </c>
      <c r="K10" s="2"/>
    </row>
    <row r="11" ht="15.75" customHeight="1">
      <c r="A11" s="23"/>
      <c r="B11" s="23"/>
      <c r="C11" s="18" t="s">
        <v>17</v>
      </c>
      <c r="D11" s="19"/>
      <c r="E11" s="20">
        <v>2000.0</v>
      </c>
      <c r="F11" s="21">
        <f t="shared" si="1"/>
        <v>0</v>
      </c>
      <c r="G11" s="23"/>
      <c r="H11" s="2"/>
      <c r="I11" s="18" t="s">
        <v>17</v>
      </c>
      <c r="J11" s="15">
        <f>SUMIF(C11:C234,"Plastik Campur",D11:D234)</f>
        <v>25</v>
      </c>
      <c r="K11" s="2"/>
    </row>
    <row r="12" ht="15.75" customHeight="1">
      <c r="A12" s="23"/>
      <c r="B12" s="23"/>
      <c r="C12" s="18" t="s">
        <v>18</v>
      </c>
      <c r="D12" s="19"/>
      <c r="E12" s="20">
        <v>2000.0</v>
      </c>
      <c r="F12" s="21">
        <f t="shared" si="1"/>
        <v>0</v>
      </c>
      <c r="G12" s="23"/>
      <c r="H12" s="2"/>
      <c r="I12" s="18" t="s">
        <v>18</v>
      </c>
      <c r="J12" s="15">
        <f>SUMIF(C12:C235,"Kardus",D12:D235)</f>
        <v>5</v>
      </c>
      <c r="K12" s="2"/>
    </row>
    <row r="13" ht="15.75" customHeight="1">
      <c r="A13" s="23"/>
      <c r="B13" s="23"/>
      <c r="C13" s="18" t="s">
        <v>19</v>
      </c>
      <c r="D13" s="19"/>
      <c r="E13" s="20">
        <v>1300.0</v>
      </c>
      <c r="F13" s="21">
        <f t="shared" si="1"/>
        <v>0</v>
      </c>
      <c r="G13" s="23"/>
      <c r="H13" s="2"/>
      <c r="I13" s="18" t="s">
        <v>19</v>
      </c>
      <c r="J13" s="15">
        <f>SUMIF(C13:C236,"Kertas Putihan/ HVS",D13:D236)</f>
        <v>0</v>
      </c>
      <c r="K13" s="2"/>
    </row>
    <row r="14" ht="15.75" customHeight="1">
      <c r="A14" s="23"/>
      <c r="B14" s="23"/>
      <c r="C14" s="18" t="s">
        <v>20</v>
      </c>
      <c r="D14" s="19"/>
      <c r="E14" s="20">
        <v>1000.0</v>
      </c>
      <c r="F14" s="21">
        <f t="shared" si="1"/>
        <v>0</v>
      </c>
      <c r="G14" s="23"/>
      <c r="H14" s="2"/>
      <c r="I14" s="18" t="s">
        <v>20</v>
      </c>
      <c r="J14" s="15">
        <f>SUMIF(C14:C237,"Koran/Buku",D14:D237)</f>
        <v>0</v>
      </c>
      <c r="K14" s="2"/>
    </row>
    <row r="15" ht="15.75" customHeight="1">
      <c r="A15" s="23"/>
      <c r="B15" s="23"/>
      <c r="C15" s="18" t="s">
        <v>21</v>
      </c>
      <c r="D15" s="19">
        <v>2.0</v>
      </c>
      <c r="E15" s="20">
        <v>400.0</v>
      </c>
      <c r="F15" s="21">
        <f t="shared" si="1"/>
        <v>800</v>
      </c>
      <c r="G15" s="23"/>
      <c r="H15" s="2"/>
      <c r="I15" s="18" t="s">
        <v>21</v>
      </c>
      <c r="J15" s="15">
        <f>SUMIF(C15:C238,"Duplex",D15:D238)</f>
        <v>5.5</v>
      </c>
      <c r="K15" s="2"/>
    </row>
    <row r="16" ht="15.75" customHeight="1">
      <c r="A16" s="23"/>
      <c r="B16" s="23"/>
      <c r="C16" s="18" t="s">
        <v>22</v>
      </c>
      <c r="D16" s="19">
        <v>0.1</v>
      </c>
      <c r="E16" s="20">
        <v>7500.0</v>
      </c>
      <c r="F16" s="21">
        <f t="shared" si="1"/>
        <v>750</v>
      </c>
      <c r="G16" s="23"/>
      <c r="H16" s="2"/>
      <c r="I16" s="18" t="s">
        <v>22</v>
      </c>
      <c r="J16" s="15">
        <f>SUMIF(C16:C239,"Alumunium",D16:D239)</f>
        <v>0.1</v>
      </c>
      <c r="K16" s="2"/>
    </row>
    <row r="17" ht="15.75" customHeight="1">
      <c r="A17" s="23"/>
      <c r="B17" s="23"/>
      <c r="C17" s="18" t="s">
        <v>23</v>
      </c>
      <c r="D17" s="19">
        <v>3.5</v>
      </c>
      <c r="E17" s="20">
        <v>2000.0</v>
      </c>
      <c r="F17" s="21">
        <f t="shared" si="1"/>
        <v>7000</v>
      </c>
      <c r="G17" s="23"/>
      <c r="H17" s="2"/>
      <c r="I17" s="18" t="s">
        <v>23</v>
      </c>
      <c r="J17" s="15">
        <f>SUMIF(C17:C240,"Besi",D17:D240)</f>
        <v>8.5</v>
      </c>
      <c r="K17" s="2"/>
    </row>
    <row r="18" ht="15.75" customHeight="1">
      <c r="A18" s="23"/>
      <c r="B18" s="23"/>
      <c r="C18" s="18" t="s">
        <v>24</v>
      </c>
      <c r="D18" s="19">
        <v>2.5</v>
      </c>
      <c r="E18" s="20">
        <v>800.0</v>
      </c>
      <c r="F18" s="21">
        <f t="shared" si="1"/>
        <v>2000</v>
      </c>
      <c r="G18" s="23"/>
      <c r="H18" s="2"/>
      <c r="I18" s="18" t="s">
        <v>24</v>
      </c>
      <c r="J18" s="15">
        <f>SUMIF(C18:C241,"Kaleng kue/susu",D18:D241)</f>
        <v>2.5</v>
      </c>
      <c r="K18" s="2"/>
    </row>
    <row r="19" ht="15.75" customHeight="1">
      <c r="A19" s="23"/>
      <c r="B19" s="23"/>
      <c r="C19" s="18" t="s">
        <v>25</v>
      </c>
      <c r="D19" s="19"/>
      <c r="E19" s="20">
        <v>5000.0</v>
      </c>
      <c r="F19" s="21">
        <f t="shared" si="1"/>
        <v>0</v>
      </c>
      <c r="G19" s="23"/>
      <c r="H19" s="2"/>
      <c r="I19" s="18" t="s">
        <v>25</v>
      </c>
      <c r="J19" s="15">
        <f>SUMIF(C19:C242,"Kaleng Minuman",D19:D242)</f>
        <v>0</v>
      </c>
      <c r="K19" s="2"/>
    </row>
    <row r="20" ht="15.75" customHeight="1">
      <c r="A20" s="23"/>
      <c r="B20" s="23"/>
      <c r="C20" s="18" t="s">
        <v>26</v>
      </c>
      <c r="D20" s="19">
        <v>1.0</v>
      </c>
      <c r="E20" s="20">
        <v>2700.0</v>
      </c>
      <c r="F20" s="21">
        <f t="shared" si="1"/>
        <v>2700</v>
      </c>
      <c r="G20" s="23"/>
      <c r="H20" s="2"/>
      <c r="I20" s="18" t="s">
        <v>26</v>
      </c>
      <c r="J20" s="15">
        <f>SUMIF(C20:C243,"Stanless",D20:D243)</f>
        <v>1</v>
      </c>
      <c r="K20" s="2"/>
    </row>
    <row r="21" ht="15.75" customHeight="1">
      <c r="A21" s="23"/>
      <c r="B21" s="23"/>
      <c r="C21" s="18" t="s">
        <v>27</v>
      </c>
      <c r="D21" s="19"/>
      <c r="E21" s="20">
        <v>50000.0</v>
      </c>
      <c r="F21" s="21">
        <f t="shared" si="1"/>
        <v>0</v>
      </c>
      <c r="G21" s="23"/>
      <c r="H21" s="2"/>
      <c r="I21" s="18" t="s">
        <v>27</v>
      </c>
      <c r="J21" s="15">
        <f>SUMIF(C21:C244,"Tembaga",D21:D244)</f>
        <v>0</v>
      </c>
      <c r="K21" s="2"/>
    </row>
    <row r="22" ht="15.75" customHeight="1">
      <c r="A22" s="23"/>
      <c r="B22" s="23"/>
      <c r="C22" s="18" t="s">
        <v>28</v>
      </c>
      <c r="D22" s="19"/>
      <c r="E22" s="20">
        <v>10000.0</v>
      </c>
      <c r="F22" s="21">
        <f t="shared" si="1"/>
        <v>0</v>
      </c>
      <c r="G22" s="23"/>
      <c r="H22" s="2"/>
      <c r="I22" s="18" t="s">
        <v>28</v>
      </c>
      <c r="J22" s="15">
        <f>SUMIF(C22:C245,"Aki Motor",D22:D245)</f>
        <v>0</v>
      </c>
      <c r="K22" s="2"/>
    </row>
    <row r="23" ht="15.75" customHeight="1">
      <c r="A23" s="23"/>
      <c r="B23" s="23"/>
      <c r="C23" s="18" t="s">
        <v>29</v>
      </c>
      <c r="D23" s="19"/>
      <c r="E23" s="20">
        <v>1000.0</v>
      </c>
      <c r="F23" s="21">
        <f t="shared" si="1"/>
        <v>0</v>
      </c>
      <c r="G23" s="23"/>
      <c r="H23" s="2"/>
      <c r="I23" s="18" t="s">
        <v>29</v>
      </c>
      <c r="J23" s="15">
        <f>SUMIF(C23:C246,"Paralon",D23:D246)</f>
        <v>0</v>
      </c>
      <c r="K23" s="2"/>
    </row>
    <row r="24" ht="15.75" customHeight="1">
      <c r="A24" s="23"/>
      <c r="B24" s="23"/>
      <c r="C24" s="18" t="s">
        <v>30</v>
      </c>
      <c r="D24" s="19"/>
      <c r="E24" s="20">
        <v>500.0</v>
      </c>
      <c r="F24" s="21">
        <f t="shared" si="1"/>
        <v>0</v>
      </c>
      <c r="G24" s="23"/>
      <c r="H24" s="2"/>
      <c r="I24" s="18" t="s">
        <v>30</v>
      </c>
      <c r="J24" s="15">
        <f>SUMIF(C24:C247,"Plastik bening",D24:D247)</f>
        <v>2.5</v>
      </c>
      <c r="K24" s="2"/>
    </row>
    <row r="25" ht="15.75" customHeight="1">
      <c r="A25" s="23"/>
      <c r="B25" s="23"/>
      <c r="C25" s="18" t="s">
        <v>31</v>
      </c>
      <c r="D25" s="19"/>
      <c r="E25" s="20">
        <v>200.0</v>
      </c>
      <c r="F25" s="21">
        <f t="shared" si="1"/>
        <v>0</v>
      </c>
      <c r="G25" s="23"/>
      <c r="H25" s="2"/>
      <c r="I25" s="18" t="s">
        <v>31</v>
      </c>
      <c r="J25" s="15">
        <f>SUMIF(C25:C248,"Plastik Warna",D25:D248)</f>
        <v>0</v>
      </c>
      <c r="K25" s="2"/>
    </row>
    <row r="26" ht="15.75" customHeight="1">
      <c r="A26" s="23"/>
      <c r="B26" s="23"/>
      <c r="C26" s="18" t="s">
        <v>32</v>
      </c>
      <c r="D26" s="19"/>
      <c r="E26" s="20">
        <v>1000.0</v>
      </c>
      <c r="F26" s="21">
        <f t="shared" si="1"/>
        <v>0</v>
      </c>
      <c r="G26" s="23"/>
      <c r="H26" s="2"/>
      <c r="I26" s="18" t="s">
        <v>32</v>
      </c>
      <c r="J26" s="15">
        <f>SUMIF(C26:C249,"Selang",D26:D249)</f>
        <v>0</v>
      </c>
      <c r="K26" s="2"/>
    </row>
    <row r="27" ht="15.75" customHeight="1">
      <c r="A27" s="23"/>
      <c r="B27" s="23"/>
      <c r="C27" s="18" t="s">
        <v>33</v>
      </c>
      <c r="D27" s="19">
        <v>2.0</v>
      </c>
      <c r="E27" s="20">
        <v>300.0</v>
      </c>
      <c r="F27" s="21">
        <f t="shared" si="1"/>
        <v>600</v>
      </c>
      <c r="G27" s="23"/>
      <c r="H27" s="2"/>
      <c r="I27" s="18" t="s">
        <v>33</v>
      </c>
      <c r="J27" s="15">
        <f>SUMIF(C27:C250,"Beling",D27:D250)</f>
        <v>3</v>
      </c>
      <c r="K27" s="2"/>
    </row>
    <row r="28" ht="15.75" customHeight="1">
      <c r="A28" s="23"/>
      <c r="B28" s="23"/>
      <c r="C28" s="18" t="s">
        <v>34</v>
      </c>
      <c r="D28" s="19">
        <v>1.0</v>
      </c>
      <c r="E28" s="20">
        <v>100.0</v>
      </c>
      <c r="F28" s="21">
        <f t="shared" si="1"/>
        <v>100</v>
      </c>
      <c r="G28" s="23"/>
      <c r="H28" s="2"/>
      <c r="I28" s="18" t="s">
        <v>34</v>
      </c>
      <c r="J28" s="15">
        <f>SUMIF(C28:C251,"Pecahan",D28:D251)</f>
        <v>1</v>
      </c>
      <c r="K28" s="2"/>
    </row>
    <row r="29" ht="15.75" customHeight="1">
      <c r="A29" s="23"/>
      <c r="B29" s="23"/>
      <c r="C29" s="18" t="s">
        <v>35</v>
      </c>
      <c r="D29" s="19"/>
      <c r="E29" s="20">
        <v>500.0</v>
      </c>
      <c r="F29" s="21">
        <f t="shared" si="1"/>
        <v>0</v>
      </c>
      <c r="G29" s="23"/>
      <c r="H29" s="2"/>
      <c r="I29" s="18" t="s">
        <v>35</v>
      </c>
      <c r="J29" s="15">
        <f>SUMIF(C29:C252,"Sendal/Sepatu",D29:D252)</f>
        <v>2.5</v>
      </c>
      <c r="K29" s="2"/>
    </row>
    <row r="30" ht="15.75" customHeight="1">
      <c r="A30" s="23"/>
      <c r="B30" s="23"/>
      <c r="C30" s="18" t="s">
        <v>36</v>
      </c>
      <c r="D30" s="19"/>
      <c r="E30" s="24">
        <v>1500.0</v>
      </c>
      <c r="F30" s="21">
        <f t="shared" si="1"/>
        <v>0</v>
      </c>
      <c r="G30" s="23"/>
      <c r="H30" s="2"/>
      <c r="I30" s="18" t="s">
        <v>36</v>
      </c>
      <c r="J30" s="15">
        <f>SUMIF(C30:C253,"Paku",D30:D253)</f>
        <v>0</v>
      </c>
      <c r="K30" s="2"/>
    </row>
    <row r="31" ht="15.75" customHeight="1">
      <c r="A31" s="23"/>
      <c r="B31" s="23"/>
      <c r="C31" s="18" t="s">
        <v>37</v>
      </c>
      <c r="D31" s="19"/>
      <c r="E31" s="20">
        <v>4000.0</v>
      </c>
      <c r="F31" s="21">
        <f t="shared" si="1"/>
        <v>0</v>
      </c>
      <c r="G31" s="23"/>
      <c r="H31" s="2"/>
      <c r="I31" s="18" t="s">
        <v>37</v>
      </c>
      <c r="J31" s="15">
        <f>SUMIF(C31:C254,"Minyak Jelantah",D31:D254)</f>
        <v>1</v>
      </c>
      <c r="K31" s="2"/>
    </row>
    <row r="32" ht="15.75" customHeight="1">
      <c r="A32" s="25"/>
      <c r="B32" s="25"/>
      <c r="C32" s="18" t="s">
        <v>38</v>
      </c>
      <c r="D32" s="19">
        <v>5.0</v>
      </c>
      <c r="E32" s="20">
        <v>0.0</v>
      </c>
      <c r="F32" s="21">
        <f t="shared" si="1"/>
        <v>0</v>
      </c>
      <c r="G32" s="25"/>
      <c r="H32" s="2"/>
      <c r="I32" s="18" t="s">
        <v>38</v>
      </c>
      <c r="J32" s="15">
        <f>SUMIF(C32:C255,"Lainnya",D32:D255)</f>
        <v>7.5</v>
      </c>
      <c r="K32" s="2"/>
    </row>
    <row r="33" ht="15.75" customHeight="1">
      <c r="A33" s="16">
        <v>2.0</v>
      </c>
      <c r="B33" s="17" t="s">
        <v>81</v>
      </c>
      <c r="C33" s="18" t="s">
        <v>11</v>
      </c>
      <c r="D33" s="19"/>
      <c r="E33" s="20">
        <v>5000.0</v>
      </c>
      <c r="F33" s="21">
        <f t="shared" si="1"/>
        <v>0</v>
      </c>
      <c r="G33" s="22">
        <f>SUM(F33:F60)</f>
        <v>11400</v>
      </c>
      <c r="H33" s="2"/>
      <c r="I33" s="2"/>
      <c r="J33" s="2"/>
      <c r="K33" s="2"/>
    </row>
    <row r="34" ht="15.75" customHeight="1">
      <c r="A34" s="23"/>
      <c r="B34" s="23"/>
      <c r="C34" s="18" t="s">
        <v>12</v>
      </c>
      <c r="D34" s="19">
        <v>3.0</v>
      </c>
      <c r="E34" s="20">
        <v>3000.0</v>
      </c>
      <c r="F34" s="21">
        <f t="shared" si="1"/>
        <v>9000</v>
      </c>
      <c r="G34" s="23"/>
      <c r="H34" s="2"/>
      <c r="I34" s="34" t="s">
        <v>40</v>
      </c>
      <c r="J34" s="34" t="s">
        <v>41</v>
      </c>
      <c r="K34" s="34" t="s">
        <v>42</v>
      </c>
      <c r="L34" s="34" t="s">
        <v>33</v>
      </c>
      <c r="M34" s="34" t="s">
        <v>43</v>
      </c>
      <c r="N34" s="34" t="s">
        <v>37</v>
      </c>
    </row>
    <row r="35" ht="15.75" customHeight="1">
      <c r="A35" s="23"/>
      <c r="B35" s="23"/>
      <c r="C35" s="18" t="s">
        <v>13</v>
      </c>
      <c r="D35" s="19"/>
      <c r="E35" s="20">
        <v>1000.0</v>
      </c>
      <c r="F35" s="21">
        <f t="shared" si="1"/>
        <v>0</v>
      </c>
      <c r="G35" s="23"/>
      <c r="H35" s="2"/>
      <c r="I35" s="35">
        <f>J5+J6+J7+J8+J9+J10+J11+J23+J24+J25+J26</f>
        <v>52.5</v>
      </c>
      <c r="J35" s="35">
        <f>J12+J13+J14+J15</f>
        <v>10.5</v>
      </c>
      <c r="K35" s="35">
        <f>J19+J18+J20+J21+J30+J17+J16</f>
        <v>12.1</v>
      </c>
      <c r="L35" s="35">
        <f>J27+J28</f>
        <v>4</v>
      </c>
      <c r="M35" s="35">
        <f>J32</f>
        <v>7.5</v>
      </c>
      <c r="N35" s="35">
        <f>J31</f>
        <v>1</v>
      </c>
    </row>
    <row r="36" ht="15.75" customHeight="1">
      <c r="A36" s="23"/>
      <c r="B36" s="23"/>
      <c r="C36" s="18" t="s">
        <v>14</v>
      </c>
      <c r="D36" s="19">
        <v>0.5</v>
      </c>
      <c r="E36" s="20">
        <v>2800.0</v>
      </c>
      <c r="F36" s="21">
        <f t="shared" si="1"/>
        <v>1400</v>
      </c>
      <c r="G36" s="23"/>
      <c r="H36" s="2"/>
      <c r="I36" s="2"/>
      <c r="J36" s="2"/>
      <c r="K36" s="2"/>
    </row>
    <row r="37" ht="15.75" customHeight="1">
      <c r="A37" s="23"/>
      <c r="B37" s="23"/>
      <c r="C37" s="18" t="s">
        <v>15</v>
      </c>
      <c r="D37" s="19"/>
      <c r="E37" s="20">
        <v>3500.0</v>
      </c>
      <c r="F37" s="21">
        <f t="shared" si="1"/>
        <v>0</v>
      </c>
      <c r="G37" s="23"/>
      <c r="H37" s="2"/>
      <c r="I37" s="2"/>
      <c r="J37" s="2"/>
      <c r="K37" s="2"/>
    </row>
    <row r="38" ht="15.75" customHeight="1">
      <c r="A38" s="23"/>
      <c r="B38" s="23"/>
      <c r="C38" s="18" t="s">
        <v>16</v>
      </c>
      <c r="D38" s="19"/>
      <c r="E38" s="20">
        <v>1000.0</v>
      </c>
      <c r="F38" s="21">
        <f t="shared" si="1"/>
        <v>0</v>
      </c>
      <c r="G38" s="23"/>
      <c r="H38" s="2"/>
      <c r="I38" s="2"/>
      <c r="J38" s="2"/>
      <c r="K38" s="2"/>
    </row>
    <row r="39" ht="15.75" customHeight="1">
      <c r="A39" s="23"/>
      <c r="B39" s="23"/>
      <c r="C39" s="18" t="s">
        <v>17</v>
      </c>
      <c r="D39" s="19">
        <v>0.5</v>
      </c>
      <c r="E39" s="20">
        <v>2000.0</v>
      </c>
      <c r="F39" s="21">
        <f t="shared" si="1"/>
        <v>1000</v>
      </c>
      <c r="G39" s="23"/>
      <c r="H39" s="2"/>
      <c r="I39" s="2"/>
      <c r="J39" s="2"/>
      <c r="K39" s="2"/>
    </row>
    <row r="40" ht="15.75" customHeight="1">
      <c r="A40" s="23"/>
      <c r="B40" s="23"/>
      <c r="C40" s="18" t="s">
        <v>18</v>
      </c>
      <c r="D40" s="19"/>
      <c r="E40" s="20">
        <v>2000.0</v>
      </c>
      <c r="F40" s="21">
        <f t="shared" si="1"/>
        <v>0</v>
      </c>
      <c r="G40" s="23"/>
      <c r="H40" s="2"/>
      <c r="I40" s="2"/>
      <c r="J40" s="2"/>
      <c r="K40" s="2"/>
    </row>
    <row r="41" ht="15.75" customHeight="1">
      <c r="A41" s="23"/>
      <c r="B41" s="23"/>
      <c r="C41" s="18" t="s">
        <v>19</v>
      </c>
      <c r="D41" s="19"/>
      <c r="E41" s="20">
        <v>1300.0</v>
      </c>
      <c r="F41" s="21">
        <f t="shared" si="1"/>
        <v>0</v>
      </c>
      <c r="G41" s="23"/>
      <c r="H41" s="2"/>
      <c r="I41" s="2"/>
      <c r="J41" s="2"/>
      <c r="K41" s="2"/>
    </row>
    <row r="42" ht="15.75" customHeight="1">
      <c r="A42" s="23"/>
      <c r="B42" s="23"/>
      <c r="C42" s="18" t="s">
        <v>20</v>
      </c>
      <c r="D42" s="19"/>
      <c r="E42" s="20">
        <v>1000.0</v>
      </c>
      <c r="F42" s="21">
        <f t="shared" si="1"/>
        <v>0</v>
      </c>
      <c r="G42" s="23"/>
      <c r="H42" s="2"/>
      <c r="I42" s="2"/>
      <c r="J42" s="2"/>
      <c r="K42" s="2"/>
    </row>
    <row r="43" ht="15.75" customHeight="1">
      <c r="A43" s="23"/>
      <c r="B43" s="23"/>
      <c r="C43" s="18" t="s">
        <v>21</v>
      </c>
      <c r="D43" s="19"/>
      <c r="E43" s="20">
        <v>400.0</v>
      </c>
      <c r="F43" s="21">
        <f t="shared" si="1"/>
        <v>0</v>
      </c>
      <c r="G43" s="23"/>
      <c r="H43" s="2"/>
      <c r="I43" s="2"/>
      <c r="J43" s="2"/>
      <c r="K43" s="2"/>
    </row>
    <row r="44" ht="15.75" customHeight="1">
      <c r="A44" s="23"/>
      <c r="B44" s="23"/>
      <c r="C44" s="18" t="s">
        <v>22</v>
      </c>
      <c r="D44" s="19"/>
      <c r="E44" s="20">
        <v>7500.0</v>
      </c>
      <c r="F44" s="21">
        <f t="shared" si="1"/>
        <v>0</v>
      </c>
      <c r="G44" s="23"/>
      <c r="H44" s="2"/>
      <c r="I44" s="2"/>
      <c r="J44" s="2"/>
      <c r="K44" s="2"/>
    </row>
    <row r="45" ht="15.75" customHeight="1">
      <c r="A45" s="23"/>
      <c r="B45" s="23"/>
      <c r="C45" s="18" t="s">
        <v>23</v>
      </c>
      <c r="D45" s="19"/>
      <c r="E45" s="20">
        <v>2000.0</v>
      </c>
      <c r="F45" s="21">
        <f t="shared" si="1"/>
        <v>0</v>
      </c>
      <c r="G45" s="23"/>
      <c r="H45" s="2"/>
      <c r="I45" s="2"/>
      <c r="J45" s="2"/>
      <c r="K45" s="2"/>
    </row>
    <row r="46" ht="15.75" customHeight="1">
      <c r="A46" s="23"/>
      <c r="B46" s="23"/>
      <c r="C46" s="18" t="s">
        <v>24</v>
      </c>
      <c r="D46" s="19"/>
      <c r="E46" s="20">
        <v>800.0</v>
      </c>
      <c r="F46" s="21">
        <f t="shared" si="1"/>
        <v>0</v>
      </c>
      <c r="G46" s="23"/>
      <c r="H46" s="2"/>
      <c r="I46" s="2"/>
      <c r="J46" s="2"/>
      <c r="K46" s="2"/>
    </row>
    <row r="47" ht="15.75" customHeight="1">
      <c r="A47" s="23"/>
      <c r="B47" s="23"/>
      <c r="C47" s="18" t="s">
        <v>25</v>
      </c>
      <c r="D47" s="19"/>
      <c r="E47" s="20">
        <v>5000.0</v>
      </c>
      <c r="F47" s="21">
        <f t="shared" si="1"/>
        <v>0</v>
      </c>
      <c r="G47" s="23"/>
      <c r="H47" s="2"/>
      <c r="I47" s="2"/>
      <c r="J47" s="2"/>
      <c r="K47" s="2"/>
    </row>
    <row r="48" ht="15.75" customHeight="1">
      <c r="A48" s="23"/>
      <c r="B48" s="23"/>
      <c r="C48" s="18" t="s">
        <v>26</v>
      </c>
      <c r="D48" s="19"/>
      <c r="E48" s="20">
        <v>2700.0</v>
      </c>
      <c r="F48" s="21">
        <f t="shared" si="1"/>
        <v>0</v>
      </c>
      <c r="G48" s="23"/>
      <c r="H48" s="2"/>
      <c r="I48" s="2"/>
      <c r="J48" s="2"/>
      <c r="K48" s="2"/>
    </row>
    <row r="49" ht="15.75" customHeight="1">
      <c r="A49" s="23"/>
      <c r="B49" s="23"/>
      <c r="C49" s="18" t="s">
        <v>27</v>
      </c>
      <c r="D49" s="19"/>
      <c r="E49" s="20">
        <v>50000.0</v>
      </c>
      <c r="F49" s="21">
        <f t="shared" si="1"/>
        <v>0</v>
      </c>
      <c r="G49" s="23"/>
      <c r="H49" s="2"/>
      <c r="I49" s="2"/>
      <c r="J49" s="2"/>
      <c r="K49" s="2"/>
    </row>
    <row r="50" ht="15.75" customHeight="1">
      <c r="A50" s="23"/>
      <c r="B50" s="23"/>
      <c r="C50" s="18" t="s">
        <v>28</v>
      </c>
      <c r="D50" s="19"/>
      <c r="E50" s="20">
        <v>10000.0</v>
      </c>
      <c r="F50" s="21">
        <f t="shared" si="1"/>
        <v>0</v>
      </c>
      <c r="G50" s="23"/>
      <c r="H50" s="2"/>
      <c r="I50" s="2"/>
      <c r="J50" s="2"/>
      <c r="K50" s="2"/>
    </row>
    <row r="51" ht="15.75" customHeight="1">
      <c r="A51" s="23"/>
      <c r="B51" s="23"/>
      <c r="C51" s="18" t="s">
        <v>29</v>
      </c>
      <c r="D51" s="19"/>
      <c r="E51" s="20">
        <v>1000.0</v>
      </c>
      <c r="F51" s="21">
        <f t="shared" si="1"/>
        <v>0</v>
      </c>
      <c r="G51" s="23"/>
      <c r="H51" s="2"/>
      <c r="I51" s="2"/>
      <c r="J51" s="2"/>
      <c r="K51" s="2"/>
    </row>
    <row r="52" ht="15.75" customHeight="1">
      <c r="A52" s="23"/>
      <c r="B52" s="23"/>
      <c r="C52" s="18" t="s">
        <v>30</v>
      </c>
      <c r="D52" s="19"/>
      <c r="E52" s="20">
        <v>500.0</v>
      </c>
      <c r="F52" s="21">
        <f t="shared" si="1"/>
        <v>0</v>
      </c>
      <c r="G52" s="23"/>
      <c r="H52" s="2"/>
      <c r="I52" s="2"/>
      <c r="J52" s="2"/>
      <c r="K52" s="2"/>
    </row>
    <row r="53" ht="15.75" customHeight="1">
      <c r="A53" s="23"/>
      <c r="B53" s="23"/>
      <c r="C53" s="18" t="s">
        <v>31</v>
      </c>
      <c r="D53" s="19"/>
      <c r="E53" s="20">
        <v>200.0</v>
      </c>
      <c r="F53" s="21">
        <f t="shared" si="1"/>
        <v>0</v>
      </c>
      <c r="G53" s="23"/>
      <c r="H53" s="2"/>
      <c r="I53" s="2"/>
      <c r="J53" s="2"/>
      <c r="K53" s="2"/>
    </row>
    <row r="54" ht="15.75" customHeight="1">
      <c r="A54" s="23"/>
      <c r="B54" s="23"/>
      <c r="C54" s="18" t="s">
        <v>32</v>
      </c>
      <c r="D54" s="19"/>
      <c r="E54" s="20">
        <v>1000.0</v>
      </c>
      <c r="F54" s="21">
        <f t="shared" si="1"/>
        <v>0</v>
      </c>
      <c r="G54" s="23"/>
      <c r="H54" s="2"/>
      <c r="I54" s="2"/>
      <c r="J54" s="2"/>
      <c r="K54" s="2"/>
    </row>
    <row r="55" ht="15.75" customHeight="1">
      <c r="A55" s="23"/>
      <c r="B55" s="23"/>
      <c r="C55" s="18" t="s">
        <v>33</v>
      </c>
      <c r="D55" s="19"/>
      <c r="E55" s="20">
        <v>300.0</v>
      </c>
      <c r="F55" s="21">
        <f t="shared" si="1"/>
        <v>0</v>
      </c>
      <c r="G55" s="23"/>
      <c r="H55" s="2"/>
      <c r="I55" s="2"/>
      <c r="J55" s="2"/>
      <c r="K55" s="2"/>
    </row>
    <row r="56" ht="15.75" customHeight="1">
      <c r="A56" s="23"/>
      <c r="B56" s="23"/>
      <c r="C56" s="18" t="s">
        <v>34</v>
      </c>
      <c r="D56" s="19"/>
      <c r="E56" s="20">
        <v>100.0</v>
      </c>
      <c r="F56" s="21">
        <f t="shared" si="1"/>
        <v>0</v>
      </c>
      <c r="G56" s="23"/>
      <c r="H56" s="2"/>
      <c r="I56" s="2"/>
      <c r="J56" s="2"/>
      <c r="K56" s="2"/>
    </row>
    <row r="57" ht="15.75" customHeight="1">
      <c r="A57" s="23"/>
      <c r="B57" s="23"/>
      <c r="C57" s="18" t="s">
        <v>35</v>
      </c>
      <c r="D57" s="19"/>
      <c r="E57" s="20">
        <v>500.0</v>
      </c>
      <c r="F57" s="21">
        <f t="shared" si="1"/>
        <v>0</v>
      </c>
      <c r="G57" s="23"/>
      <c r="H57" s="2"/>
      <c r="I57" s="2"/>
      <c r="J57" s="2"/>
      <c r="K57" s="2"/>
    </row>
    <row r="58" ht="15.75" customHeight="1">
      <c r="A58" s="23"/>
      <c r="B58" s="23"/>
      <c r="C58" s="18" t="s">
        <v>36</v>
      </c>
      <c r="D58" s="19"/>
      <c r="E58" s="24">
        <v>1500.0</v>
      </c>
      <c r="F58" s="21">
        <f t="shared" si="1"/>
        <v>0</v>
      </c>
      <c r="G58" s="23"/>
      <c r="H58" s="2"/>
      <c r="I58" s="2"/>
      <c r="J58" s="2"/>
      <c r="K58" s="2"/>
    </row>
    <row r="59" ht="15.75" customHeight="1">
      <c r="A59" s="23"/>
      <c r="B59" s="23"/>
      <c r="C59" s="18" t="s">
        <v>37</v>
      </c>
      <c r="D59" s="19"/>
      <c r="E59" s="20">
        <v>4000.0</v>
      </c>
      <c r="F59" s="21">
        <f t="shared" si="1"/>
        <v>0</v>
      </c>
      <c r="G59" s="23"/>
      <c r="H59" s="2"/>
      <c r="I59" s="2"/>
      <c r="J59" s="2"/>
      <c r="K59" s="2"/>
    </row>
    <row r="60" ht="15.75" customHeight="1">
      <c r="A60" s="25"/>
      <c r="B60" s="25"/>
      <c r="C60" s="18" t="s">
        <v>38</v>
      </c>
      <c r="D60" s="19"/>
      <c r="E60" s="20">
        <v>0.0</v>
      </c>
      <c r="F60" s="21">
        <f t="shared" si="1"/>
        <v>0</v>
      </c>
      <c r="G60" s="25"/>
      <c r="H60" s="2"/>
      <c r="I60" s="2"/>
      <c r="J60" s="2"/>
      <c r="K60" s="2"/>
    </row>
    <row r="61" ht="15.75" customHeight="1">
      <c r="A61" s="16">
        <v>3.0</v>
      </c>
      <c r="B61" s="17" t="s">
        <v>82</v>
      </c>
      <c r="C61" s="18" t="s">
        <v>11</v>
      </c>
      <c r="D61" s="19"/>
      <c r="E61" s="20">
        <v>5000.0</v>
      </c>
      <c r="F61" s="21">
        <f t="shared" si="1"/>
        <v>0</v>
      </c>
      <c r="G61" s="22">
        <f>SUM(F61:F88)</f>
        <v>50000</v>
      </c>
      <c r="H61" s="2"/>
      <c r="I61" s="2"/>
      <c r="J61" s="2"/>
      <c r="K61" s="2"/>
    </row>
    <row r="62" ht="15.75" customHeight="1">
      <c r="A62" s="23"/>
      <c r="B62" s="23"/>
      <c r="C62" s="18" t="s">
        <v>12</v>
      </c>
      <c r="D62" s="19"/>
      <c r="E62" s="20">
        <v>3000.0</v>
      </c>
      <c r="F62" s="21">
        <f t="shared" si="1"/>
        <v>0</v>
      </c>
      <c r="G62" s="23"/>
      <c r="H62" s="2"/>
      <c r="I62" s="2"/>
      <c r="J62" s="2"/>
      <c r="K62" s="2"/>
    </row>
    <row r="63" ht="15.75" customHeight="1">
      <c r="A63" s="23"/>
      <c r="B63" s="23"/>
      <c r="C63" s="18" t="s">
        <v>13</v>
      </c>
      <c r="D63" s="19"/>
      <c r="E63" s="20">
        <v>1000.0</v>
      </c>
      <c r="F63" s="21">
        <f t="shared" si="1"/>
        <v>0</v>
      </c>
      <c r="G63" s="23"/>
      <c r="H63" s="2"/>
      <c r="I63" s="2"/>
      <c r="J63" s="2"/>
      <c r="K63" s="2"/>
    </row>
    <row r="64" ht="15.75" customHeight="1">
      <c r="A64" s="23"/>
      <c r="B64" s="23"/>
      <c r="C64" s="18" t="s">
        <v>14</v>
      </c>
      <c r="D64" s="19"/>
      <c r="E64" s="20">
        <v>2800.0</v>
      </c>
      <c r="F64" s="21">
        <f t="shared" si="1"/>
        <v>0</v>
      </c>
      <c r="G64" s="23"/>
      <c r="H64" s="2"/>
      <c r="I64" s="2"/>
      <c r="J64" s="2"/>
      <c r="K64" s="2"/>
    </row>
    <row r="65" ht="15.75" customHeight="1">
      <c r="A65" s="23"/>
      <c r="B65" s="23"/>
      <c r="C65" s="18" t="s">
        <v>15</v>
      </c>
      <c r="D65" s="19"/>
      <c r="E65" s="20">
        <v>3500.0</v>
      </c>
      <c r="F65" s="21">
        <f t="shared" si="1"/>
        <v>0</v>
      </c>
      <c r="G65" s="23"/>
      <c r="H65" s="2"/>
      <c r="I65" s="2"/>
      <c r="J65" s="2"/>
      <c r="K65" s="2"/>
    </row>
    <row r="66" ht="15.75" customHeight="1">
      <c r="A66" s="23"/>
      <c r="B66" s="23"/>
      <c r="C66" s="18" t="s">
        <v>16</v>
      </c>
      <c r="D66" s="19"/>
      <c r="E66" s="20">
        <v>1000.0</v>
      </c>
      <c r="F66" s="21">
        <f t="shared" si="1"/>
        <v>0</v>
      </c>
      <c r="G66" s="23"/>
      <c r="H66" s="2"/>
      <c r="I66" s="2"/>
      <c r="J66" s="2"/>
      <c r="K66" s="2"/>
    </row>
    <row r="67" ht="15.75" customHeight="1">
      <c r="A67" s="23"/>
      <c r="B67" s="23"/>
      <c r="C67" s="18" t="s">
        <v>17</v>
      </c>
      <c r="D67" s="19">
        <v>23.0</v>
      </c>
      <c r="E67" s="20">
        <v>2000.0</v>
      </c>
      <c r="F67" s="21">
        <f t="shared" si="1"/>
        <v>46000</v>
      </c>
      <c r="G67" s="23"/>
      <c r="H67" s="2"/>
      <c r="I67" s="2"/>
      <c r="J67" s="2"/>
      <c r="K67" s="2"/>
    </row>
    <row r="68" ht="15.75" customHeight="1">
      <c r="A68" s="23"/>
      <c r="B68" s="23"/>
      <c r="C68" s="18" t="s">
        <v>18</v>
      </c>
      <c r="D68" s="19">
        <v>2.0</v>
      </c>
      <c r="E68" s="20">
        <v>2000.0</v>
      </c>
      <c r="F68" s="21">
        <f t="shared" si="1"/>
        <v>4000</v>
      </c>
      <c r="G68" s="23"/>
      <c r="H68" s="2"/>
      <c r="I68" s="2"/>
      <c r="J68" s="2"/>
      <c r="K68" s="2"/>
    </row>
    <row r="69" ht="15.75" customHeight="1">
      <c r="A69" s="23"/>
      <c r="B69" s="23"/>
      <c r="C69" s="18" t="s">
        <v>19</v>
      </c>
      <c r="D69" s="19"/>
      <c r="E69" s="20">
        <v>1300.0</v>
      </c>
      <c r="F69" s="21">
        <f t="shared" si="1"/>
        <v>0</v>
      </c>
      <c r="G69" s="23"/>
      <c r="H69" s="2"/>
      <c r="I69" s="2"/>
      <c r="J69" s="2"/>
      <c r="K69" s="2"/>
    </row>
    <row r="70" ht="15.75" customHeight="1">
      <c r="A70" s="23"/>
      <c r="B70" s="23"/>
      <c r="C70" s="18" t="s">
        <v>20</v>
      </c>
      <c r="D70" s="19"/>
      <c r="E70" s="20">
        <v>1000.0</v>
      </c>
      <c r="F70" s="21">
        <f t="shared" si="1"/>
        <v>0</v>
      </c>
      <c r="G70" s="23"/>
      <c r="H70" s="2"/>
      <c r="I70" s="2"/>
      <c r="J70" s="2"/>
      <c r="K70" s="2"/>
    </row>
    <row r="71" ht="15.75" customHeight="1">
      <c r="A71" s="23"/>
      <c r="B71" s="23"/>
      <c r="C71" s="18" t="s">
        <v>21</v>
      </c>
      <c r="D71" s="19"/>
      <c r="E71" s="20">
        <v>400.0</v>
      </c>
      <c r="F71" s="21">
        <f t="shared" si="1"/>
        <v>0</v>
      </c>
      <c r="G71" s="23"/>
      <c r="H71" s="2"/>
      <c r="I71" s="2"/>
      <c r="J71" s="2"/>
      <c r="K71" s="2"/>
    </row>
    <row r="72" ht="15.75" customHeight="1">
      <c r="A72" s="23"/>
      <c r="B72" s="23"/>
      <c r="C72" s="18" t="s">
        <v>22</v>
      </c>
      <c r="D72" s="19"/>
      <c r="E72" s="20">
        <v>7500.0</v>
      </c>
      <c r="F72" s="21">
        <f t="shared" si="1"/>
        <v>0</v>
      </c>
      <c r="G72" s="23"/>
      <c r="H72" s="2"/>
      <c r="I72" s="2"/>
      <c r="J72" s="2"/>
      <c r="K72" s="2"/>
    </row>
    <row r="73" ht="15.75" customHeight="1">
      <c r="A73" s="23"/>
      <c r="B73" s="23"/>
      <c r="C73" s="18" t="s">
        <v>23</v>
      </c>
      <c r="D73" s="19"/>
      <c r="E73" s="20">
        <v>2000.0</v>
      </c>
      <c r="F73" s="21">
        <f t="shared" si="1"/>
        <v>0</v>
      </c>
      <c r="G73" s="23"/>
      <c r="H73" s="2"/>
      <c r="I73" s="2"/>
      <c r="J73" s="2"/>
      <c r="K73" s="2"/>
    </row>
    <row r="74" ht="15.75" customHeight="1">
      <c r="A74" s="23"/>
      <c r="B74" s="23"/>
      <c r="C74" s="18" t="s">
        <v>24</v>
      </c>
      <c r="D74" s="19"/>
      <c r="E74" s="20">
        <v>800.0</v>
      </c>
      <c r="F74" s="21">
        <f t="shared" si="1"/>
        <v>0</v>
      </c>
      <c r="G74" s="23"/>
      <c r="H74" s="2"/>
      <c r="I74" s="2"/>
      <c r="J74" s="2"/>
      <c r="K74" s="2"/>
    </row>
    <row r="75" ht="15.75" customHeight="1">
      <c r="A75" s="23"/>
      <c r="B75" s="23"/>
      <c r="C75" s="18" t="s">
        <v>25</v>
      </c>
      <c r="D75" s="19"/>
      <c r="E75" s="20">
        <v>5000.0</v>
      </c>
      <c r="F75" s="21">
        <f t="shared" si="1"/>
        <v>0</v>
      </c>
      <c r="G75" s="23"/>
      <c r="H75" s="2"/>
      <c r="I75" s="2"/>
      <c r="J75" s="2"/>
      <c r="K75" s="2"/>
    </row>
    <row r="76" ht="15.75" customHeight="1">
      <c r="A76" s="23"/>
      <c r="B76" s="23"/>
      <c r="C76" s="18" t="s">
        <v>26</v>
      </c>
      <c r="D76" s="19"/>
      <c r="E76" s="20">
        <v>2700.0</v>
      </c>
      <c r="F76" s="21">
        <f t="shared" si="1"/>
        <v>0</v>
      </c>
      <c r="G76" s="23"/>
      <c r="H76" s="2"/>
      <c r="I76" s="2"/>
      <c r="J76" s="2"/>
      <c r="K76" s="2"/>
    </row>
    <row r="77" ht="15.75" customHeight="1">
      <c r="A77" s="23"/>
      <c r="B77" s="23"/>
      <c r="C77" s="18" t="s">
        <v>27</v>
      </c>
      <c r="D77" s="19"/>
      <c r="E77" s="20">
        <v>50000.0</v>
      </c>
      <c r="F77" s="21">
        <f t="shared" si="1"/>
        <v>0</v>
      </c>
      <c r="G77" s="23"/>
      <c r="H77" s="2"/>
      <c r="I77" s="2"/>
      <c r="J77" s="2"/>
      <c r="K77" s="2"/>
    </row>
    <row r="78" ht="15.75" customHeight="1">
      <c r="A78" s="23"/>
      <c r="B78" s="23"/>
      <c r="C78" s="18" t="s">
        <v>28</v>
      </c>
      <c r="D78" s="19"/>
      <c r="E78" s="20">
        <v>10000.0</v>
      </c>
      <c r="F78" s="21">
        <f t="shared" si="1"/>
        <v>0</v>
      </c>
      <c r="G78" s="23"/>
      <c r="H78" s="2"/>
      <c r="I78" s="2"/>
      <c r="J78" s="2"/>
      <c r="K78" s="2"/>
    </row>
    <row r="79" ht="15.75" customHeight="1">
      <c r="A79" s="23"/>
      <c r="B79" s="23"/>
      <c r="C79" s="18" t="s">
        <v>29</v>
      </c>
      <c r="D79" s="19"/>
      <c r="E79" s="20">
        <v>1000.0</v>
      </c>
      <c r="F79" s="21">
        <f t="shared" si="1"/>
        <v>0</v>
      </c>
      <c r="G79" s="23"/>
      <c r="H79" s="2"/>
      <c r="I79" s="2"/>
      <c r="J79" s="2"/>
      <c r="K79" s="2"/>
    </row>
    <row r="80" ht="15.75" customHeight="1">
      <c r="A80" s="23"/>
      <c r="B80" s="23"/>
      <c r="C80" s="18" t="s">
        <v>30</v>
      </c>
      <c r="D80" s="19"/>
      <c r="E80" s="20">
        <v>500.0</v>
      </c>
      <c r="F80" s="21">
        <f t="shared" si="1"/>
        <v>0</v>
      </c>
      <c r="G80" s="23"/>
      <c r="H80" s="2"/>
      <c r="I80" s="2"/>
      <c r="J80" s="2"/>
      <c r="K80" s="2"/>
    </row>
    <row r="81" ht="15.75" customHeight="1">
      <c r="A81" s="23"/>
      <c r="B81" s="23"/>
      <c r="C81" s="18" t="s">
        <v>31</v>
      </c>
      <c r="D81" s="19"/>
      <c r="E81" s="20">
        <v>200.0</v>
      </c>
      <c r="F81" s="21">
        <f t="shared" si="1"/>
        <v>0</v>
      </c>
      <c r="G81" s="23"/>
      <c r="H81" s="2"/>
      <c r="I81" s="2"/>
      <c r="J81" s="2"/>
      <c r="K81" s="2"/>
    </row>
    <row r="82" ht="15.75" customHeight="1">
      <c r="A82" s="23"/>
      <c r="B82" s="23"/>
      <c r="C82" s="18" t="s">
        <v>32</v>
      </c>
      <c r="D82" s="19"/>
      <c r="E82" s="20">
        <v>1000.0</v>
      </c>
      <c r="F82" s="21">
        <f t="shared" si="1"/>
        <v>0</v>
      </c>
      <c r="G82" s="23"/>
      <c r="H82" s="2"/>
      <c r="I82" s="2"/>
      <c r="J82" s="2"/>
      <c r="K82" s="2"/>
    </row>
    <row r="83" ht="15.75" customHeight="1">
      <c r="A83" s="23"/>
      <c r="B83" s="23"/>
      <c r="C83" s="18" t="s">
        <v>33</v>
      </c>
      <c r="D83" s="19"/>
      <c r="E83" s="20">
        <v>300.0</v>
      </c>
      <c r="F83" s="21">
        <f t="shared" si="1"/>
        <v>0</v>
      </c>
      <c r="G83" s="23"/>
      <c r="H83" s="2"/>
      <c r="I83" s="2"/>
      <c r="J83" s="2"/>
      <c r="K83" s="2"/>
    </row>
    <row r="84" ht="15.75" customHeight="1">
      <c r="A84" s="23"/>
      <c r="B84" s="23"/>
      <c r="C84" s="18" t="s">
        <v>34</v>
      </c>
      <c r="D84" s="19"/>
      <c r="E84" s="20">
        <v>100.0</v>
      </c>
      <c r="F84" s="21">
        <f t="shared" si="1"/>
        <v>0</v>
      </c>
      <c r="G84" s="23"/>
      <c r="H84" s="2"/>
      <c r="I84" s="2"/>
      <c r="J84" s="2"/>
      <c r="K84" s="2"/>
    </row>
    <row r="85" ht="15.75" customHeight="1">
      <c r="A85" s="23"/>
      <c r="B85" s="23"/>
      <c r="C85" s="18" t="s">
        <v>35</v>
      </c>
      <c r="D85" s="19"/>
      <c r="E85" s="20">
        <v>500.0</v>
      </c>
      <c r="F85" s="21">
        <f t="shared" si="1"/>
        <v>0</v>
      </c>
      <c r="G85" s="23"/>
      <c r="H85" s="2"/>
      <c r="I85" s="2"/>
      <c r="J85" s="2"/>
      <c r="K85" s="2"/>
    </row>
    <row r="86" ht="15.75" customHeight="1">
      <c r="A86" s="23"/>
      <c r="B86" s="23"/>
      <c r="C86" s="18" t="s">
        <v>36</v>
      </c>
      <c r="D86" s="19"/>
      <c r="E86" s="24">
        <v>1500.0</v>
      </c>
      <c r="F86" s="21">
        <f t="shared" si="1"/>
        <v>0</v>
      </c>
      <c r="G86" s="23"/>
      <c r="H86" s="2"/>
      <c r="I86" s="2"/>
      <c r="J86" s="2"/>
      <c r="K86" s="2"/>
    </row>
    <row r="87" ht="15.75" customHeight="1">
      <c r="A87" s="23"/>
      <c r="B87" s="23"/>
      <c r="C87" s="18" t="s">
        <v>37</v>
      </c>
      <c r="D87" s="19"/>
      <c r="E87" s="20">
        <v>4000.0</v>
      </c>
      <c r="F87" s="21">
        <f t="shared" si="1"/>
        <v>0</v>
      </c>
      <c r="G87" s="23"/>
      <c r="H87" s="2"/>
      <c r="I87" s="2"/>
      <c r="J87" s="2"/>
      <c r="K87" s="2"/>
    </row>
    <row r="88" ht="15.75" customHeight="1">
      <c r="A88" s="25"/>
      <c r="B88" s="25"/>
      <c r="C88" s="18" t="s">
        <v>38</v>
      </c>
      <c r="D88" s="19"/>
      <c r="E88" s="20">
        <v>0.0</v>
      </c>
      <c r="F88" s="21">
        <f t="shared" si="1"/>
        <v>0</v>
      </c>
      <c r="G88" s="25"/>
      <c r="H88" s="2"/>
      <c r="I88" s="2"/>
      <c r="J88" s="2"/>
      <c r="K88" s="2"/>
    </row>
    <row r="89" ht="15.75" customHeight="1">
      <c r="A89" s="16">
        <v>4.0</v>
      </c>
      <c r="B89" s="17" t="s">
        <v>83</v>
      </c>
      <c r="C89" s="18" t="s">
        <v>11</v>
      </c>
      <c r="D89" s="19"/>
      <c r="E89" s="20">
        <v>5000.0</v>
      </c>
      <c r="F89" s="21">
        <f t="shared" si="1"/>
        <v>0</v>
      </c>
      <c r="G89" s="22">
        <f>SUM(F89:F116)</f>
        <v>8800</v>
      </c>
      <c r="H89" s="2"/>
      <c r="I89" s="2"/>
      <c r="J89" s="2"/>
      <c r="K89" s="2"/>
    </row>
    <row r="90" ht="15.75" customHeight="1">
      <c r="A90" s="23"/>
      <c r="B90" s="23"/>
      <c r="C90" s="18" t="s">
        <v>12</v>
      </c>
      <c r="D90" s="19"/>
      <c r="E90" s="20">
        <v>3000.0</v>
      </c>
      <c r="F90" s="21">
        <f t="shared" si="1"/>
        <v>0</v>
      </c>
      <c r="G90" s="23"/>
      <c r="H90" s="2"/>
      <c r="I90" s="2"/>
      <c r="J90" s="2"/>
      <c r="K90" s="2"/>
    </row>
    <row r="91" ht="15.75" customHeight="1">
      <c r="A91" s="23"/>
      <c r="B91" s="23"/>
      <c r="C91" s="18" t="s">
        <v>13</v>
      </c>
      <c r="D91" s="19"/>
      <c r="E91" s="20">
        <v>1000.0</v>
      </c>
      <c r="F91" s="21">
        <f t="shared" si="1"/>
        <v>0</v>
      </c>
      <c r="G91" s="23"/>
      <c r="H91" s="2"/>
      <c r="I91" s="2"/>
      <c r="J91" s="2"/>
      <c r="K91" s="2"/>
    </row>
    <row r="92" ht="15.75" customHeight="1">
      <c r="A92" s="23"/>
      <c r="B92" s="23"/>
      <c r="C92" s="18" t="s">
        <v>14</v>
      </c>
      <c r="D92" s="19"/>
      <c r="E92" s="20">
        <v>2800.0</v>
      </c>
      <c r="F92" s="21">
        <f t="shared" si="1"/>
        <v>0</v>
      </c>
      <c r="G92" s="23"/>
      <c r="H92" s="2"/>
      <c r="I92" s="2"/>
      <c r="J92" s="2"/>
      <c r="K92" s="2"/>
    </row>
    <row r="93" ht="15.75" customHeight="1">
      <c r="A93" s="23"/>
      <c r="B93" s="23"/>
      <c r="C93" s="18" t="s">
        <v>15</v>
      </c>
      <c r="D93" s="19"/>
      <c r="E93" s="20">
        <v>3500.0</v>
      </c>
      <c r="F93" s="21">
        <f t="shared" si="1"/>
        <v>0</v>
      </c>
      <c r="G93" s="23"/>
      <c r="H93" s="2"/>
      <c r="I93" s="2"/>
      <c r="J93" s="2"/>
      <c r="K93" s="2"/>
    </row>
    <row r="94" ht="15.75" customHeight="1">
      <c r="A94" s="23"/>
      <c r="B94" s="23"/>
      <c r="C94" s="18" t="s">
        <v>16</v>
      </c>
      <c r="D94" s="19">
        <v>5.0</v>
      </c>
      <c r="E94" s="20">
        <v>1000.0</v>
      </c>
      <c r="F94" s="21">
        <f t="shared" si="1"/>
        <v>5000</v>
      </c>
      <c r="G94" s="23"/>
      <c r="H94" s="2"/>
      <c r="I94" s="2"/>
      <c r="J94" s="2"/>
      <c r="K94" s="2"/>
    </row>
    <row r="95" ht="15.75" customHeight="1">
      <c r="A95" s="23"/>
      <c r="B95" s="23"/>
      <c r="C95" s="18" t="s">
        <v>17</v>
      </c>
      <c r="D95" s="19">
        <v>1.5</v>
      </c>
      <c r="E95" s="20">
        <v>2000.0</v>
      </c>
      <c r="F95" s="21">
        <f t="shared" si="1"/>
        <v>3000</v>
      </c>
      <c r="G95" s="23"/>
      <c r="H95" s="2"/>
      <c r="I95" s="2"/>
      <c r="J95" s="2"/>
      <c r="K95" s="2"/>
    </row>
    <row r="96" ht="15.75" customHeight="1">
      <c r="A96" s="23"/>
      <c r="B96" s="23"/>
      <c r="C96" s="18" t="s">
        <v>18</v>
      </c>
      <c r="D96" s="19"/>
      <c r="E96" s="20">
        <v>2000.0</v>
      </c>
      <c r="F96" s="21">
        <f t="shared" si="1"/>
        <v>0</v>
      </c>
      <c r="G96" s="23"/>
      <c r="H96" s="2"/>
      <c r="I96" s="2"/>
      <c r="J96" s="2"/>
      <c r="K96" s="2"/>
    </row>
    <row r="97" ht="15.75" customHeight="1">
      <c r="A97" s="23"/>
      <c r="B97" s="23"/>
      <c r="C97" s="18" t="s">
        <v>19</v>
      </c>
      <c r="D97" s="19"/>
      <c r="E97" s="20">
        <v>1300.0</v>
      </c>
      <c r="F97" s="21">
        <f t="shared" si="1"/>
        <v>0</v>
      </c>
      <c r="G97" s="23"/>
      <c r="H97" s="2"/>
      <c r="I97" s="2"/>
      <c r="J97" s="2"/>
      <c r="K97" s="2"/>
    </row>
    <row r="98" ht="15.75" customHeight="1">
      <c r="A98" s="23"/>
      <c r="B98" s="23"/>
      <c r="C98" s="18" t="s">
        <v>20</v>
      </c>
      <c r="D98" s="19"/>
      <c r="E98" s="20">
        <v>1000.0</v>
      </c>
      <c r="F98" s="21">
        <f t="shared" si="1"/>
        <v>0</v>
      </c>
      <c r="G98" s="23"/>
      <c r="H98" s="2"/>
      <c r="I98" s="2"/>
      <c r="J98" s="2"/>
      <c r="K98" s="2"/>
    </row>
    <row r="99" ht="15.75" customHeight="1">
      <c r="A99" s="23"/>
      <c r="B99" s="23"/>
      <c r="C99" s="18" t="s">
        <v>21</v>
      </c>
      <c r="D99" s="19"/>
      <c r="E99" s="20">
        <v>400.0</v>
      </c>
      <c r="F99" s="21">
        <f t="shared" si="1"/>
        <v>0</v>
      </c>
      <c r="G99" s="23"/>
      <c r="H99" s="2"/>
      <c r="I99" s="2"/>
      <c r="J99" s="2"/>
      <c r="K99" s="2"/>
    </row>
    <row r="100" ht="15.75" customHeight="1">
      <c r="A100" s="23"/>
      <c r="B100" s="23"/>
      <c r="C100" s="18" t="s">
        <v>22</v>
      </c>
      <c r="D100" s="19"/>
      <c r="E100" s="20">
        <v>7500.0</v>
      </c>
      <c r="F100" s="21">
        <f t="shared" si="1"/>
        <v>0</v>
      </c>
      <c r="G100" s="23"/>
      <c r="H100" s="2"/>
      <c r="I100" s="2"/>
      <c r="J100" s="2"/>
      <c r="K100" s="2"/>
    </row>
    <row r="101" ht="15.75" customHeight="1">
      <c r="A101" s="23"/>
      <c r="B101" s="23"/>
      <c r="C101" s="18" t="s">
        <v>23</v>
      </c>
      <c r="D101" s="19"/>
      <c r="E101" s="20">
        <v>2000.0</v>
      </c>
      <c r="F101" s="21">
        <f t="shared" si="1"/>
        <v>0</v>
      </c>
      <c r="G101" s="23"/>
      <c r="H101" s="2"/>
      <c r="I101" s="2"/>
      <c r="J101" s="2"/>
      <c r="K101" s="2"/>
    </row>
    <row r="102" ht="15.75" customHeight="1">
      <c r="A102" s="23"/>
      <c r="B102" s="23"/>
      <c r="C102" s="18" t="s">
        <v>24</v>
      </c>
      <c r="D102" s="19"/>
      <c r="E102" s="20">
        <v>800.0</v>
      </c>
      <c r="F102" s="21">
        <f t="shared" si="1"/>
        <v>0</v>
      </c>
      <c r="G102" s="23"/>
      <c r="H102" s="2"/>
      <c r="I102" s="2"/>
      <c r="J102" s="2"/>
      <c r="K102" s="2"/>
    </row>
    <row r="103" ht="15.75" customHeight="1">
      <c r="A103" s="23"/>
      <c r="B103" s="23"/>
      <c r="C103" s="18" t="s">
        <v>25</v>
      </c>
      <c r="D103" s="19"/>
      <c r="E103" s="20">
        <v>5000.0</v>
      </c>
      <c r="F103" s="21">
        <f t="shared" si="1"/>
        <v>0</v>
      </c>
      <c r="G103" s="23"/>
      <c r="H103" s="2"/>
      <c r="I103" s="2"/>
      <c r="J103" s="2"/>
      <c r="K103" s="2"/>
    </row>
    <row r="104" ht="15.75" customHeight="1">
      <c r="A104" s="23"/>
      <c r="B104" s="23"/>
      <c r="C104" s="18" t="s">
        <v>26</v>
      </c>
      <c r="D104" s="19"/>
      <c r="E104" s="20">
        <v>2700.0</v>
      </c>
      <c r="F104" s="21">
        <f t="shared" si="1"/>
        <v>0</v>
      </c>
      <c r="G104" s="23"/>
      <c r="H104" s="2"/>
      <c r="I104" s="2"/>
      <c r="J104" s="2"/>
      <c r="K104" s="2"/>
    </row>
    <row r="105" ht="15.75" customHeight="1">
      <c r="A105" s="23"/>
      <c r="B105" s="23"/>
      <c r="C105" s="18" t="s">
        <v>27</v>
      </c>
      <c r="D105" s="19"/>
      <c r="E105" s="20">
        <v>50000.0</v>
      </c>
      <c r="F105" s="21">
        <f t="shared" si="1"/>
        <v>0</v>
      </c>
      <c r="G105" s="23"/>
      <c r="H105" s="2"/>
      <c r="I105" s="2"/>
      <c r="J105" s="2"/>
      <c r="K105" s="2"/>
    </row>
    <row r="106" ht="15.75" customHeight="1">
      <c r="A106" s="23"/>
      <c r="B106" s="23"/>
      <c r="C106" s="18" t="s">
        <v>28</v>
      </c>
      <c r="D106" s="19"/>
      <c r="E106" s="20">
        <v>10000.0</v>
      </c>
      <c r="F106" s="21">
        <f t="shared" si="1"/>
        <v>0</v>
      </c>
      <c r="G106" s="23"/>
      <c r="H106" s="2"/>
      <c r="I106" s="2"/>
      <c r="J106" s="2"/>
      <c r="K106" s="2"/>
    </row>
    <row r="107" ht="15.75" customHeight="1">
      <c r="A107" s="23"/>
      <c r="B107" s="23"/>
      <c r="C107" s="18" t="s">
        <v>29</v>
      </c>
      <c r="D107" s="19"/>
      <c r="E107" s="20">
        <v>1000.0</v>
      </c>
      <c r="F107" s="21">
        <f t="shared" si="1"/>
        <v>0</v>
      </c>
      <c r="G107" s="23"/>
      <c r="H107" s="2"/>
      <c r="I107" s="2"/>
      <c r="J107" s="2"/>
      <c r="K107" s="2"/>
    </row>
    <row r="108" ht="15.75" customHeight="1">
      <c r="A108" s="23"/>
      <c r="B108" s="23"/>
      <c r="C108" s="18" t="s">
        <v>30</v>
      </c>
      <c r="D108" s="19">
        <v>1.0</v>
      </c>
      <c r="E108" s="20">
        <v>500.0</v>
      </c>
      <c r="F108" s="21">
        <f t="shared" si="1"/>
        <v>500</v>
      </c>
      <c r="G108" s="23"/>
      <c r="H108" s="2"/>
      <c r="I108" s="2"/>
      <c r="J108" s="2"/>
      <c r="K108" s="2"/>
    </row>
    <row r="109" ht="15.75" customHeight="1">
      <c r="A109" s="23"/>
      <c r="B109" s="23"/>
      <c r="C109" s="18" t="s">
        <v>31</v>
      </c>
      <c r="D109" s="19"/>
      <c r="E109" s="20">
        <v>200.0</v>
      </c>
      <c r="F109" s="21">
        <f t="shared" si="1"/>
        <v>0</v>
      </c>
      <c r="G109" s="23"/>
      <c r="H109" s="2"/>
      <c r="I109" s="2"/>
      <c r="J109" s="2"/>
      <c r="K109" s="2"/>
    </row>
    <row r="110" ht="15.75" customHeight="1">
      <c r="A110" s="23"/>
      <c r="B110" s="23"/>
      <c r="C110" s="18" t="s">
        <v>32</v>
      </c>
      <c r="D110" s="19"/>
      <c r="E110" s="20">
        <v>1000.0</v>
      </c>
      <c r="F110" s="21">
        <f t="shared" si="1"/>
        <v>0</v>
      </c>
      <c r="G110" s="23"/>
      <c r="H110" s="2"/>
      <c r="I110" s="2"/>
      <c r="J110" s="2"/>
      <c r="K110" s="2"/>
    </row>
    <row r="111" ht="15.75" customHeight="1">
      <c r="A111" s="23"/>
      <c r="B111" s="23"/>
      <c r="C111" s="18" t="s">
        <v>33</v>
      </c>
      <c r="D111" s="19">
        <v>1.0</v>
      </c>
      <c r="E111" s="20">
        <v>300.0</v>
      </c>
      <c r="F111" s="21">
        <f t="shared" si="1"/>
        <v>300</v>
      </c>
      <c r="G111" s="23"/>
      <c r="H111" s="2"/>
      <c r="I111" s="2"/>
      <c r="J111" s="2"/>
      <c r="K111" s="2"/>
    </row>
    <row r="112" ht="15.75" customHeight="1">
      <c r="A112" s="23"/>
      <c r="B112" s="23"/>
      <c r="C112" s="18" t="s">
        <v>34</v>
      </c>
      <c r="D112" s="19"/>
      <c r="E112" s="20">
        <v>100.0</v>
      </c>
      <c r="F112" s="21">
        <f t="shared" si="1"/>
        <v>0</v>
      </c>
      <c r="G112" s="23"/>
      <c r="H112" s="2"/>
      <c r="I112" s="2"/>
      <c r="J112" s="2"/>
      <c r="K112" s="2"/>
    </row>
    <row r="113" ht="15.75" customHeight="1">
      <c r="A113" s="23"/>
      <c r="B113" s="23"/>
      <c r="C113" s="18" t="s">
        <v>35</v>
      </c>
      <c r="D113" s="19"/>
      <c r="E113" s="20">
        <v>500.0</v>
      </c>
      <c r="F113" s="21">
        <f t="shared" si="1"/>
        <v>0</v>
      </c>
      <c r="G113" s="23"/>
      <c r="H113" s="2"/>
      <c r="I113" s="2"/>
      <c r="J113" s="2"/>
      <c r="K113" s="2"/>
    </row>
    <row r="114" ht="15.75" customHeight="1">
      <c r="A114" s="23"/>
      <c r="B114" s="23"/>
      <c r="C114" s="18" t="s">
        <v>36</v>
      </c>
      <c r="D114" s="19"/>
      <c r="E114" s="24">
        <v>1500.0</v>
      </c>
      <c r="F114" s="21">
        <f t="shared" si="1"/>
        <v>0</v>
      </c>
      <c r="G114" s="23"/>
      <c r="H114" s="2"/>
      <c r="I114" s="2"/>
      <c r="J114" s="2"/>
      <c r="K114" s="2"/>
    </row>
    <row r="115" ht="15.75" customHeight="1">
      <c r="A115" s="23"/>
      <c r="B115" s="23"/>
      <c r="C115" s="18" t="s">
        <v>37</v>
      </c>
      <c r="D115" s="19"/>
      <c r="E115" s="20">
        <v>4000.0</v>
      </c>
      <c r="F115" s="21">
        <f t="shared" si="1"/>
        <v>0</v>
      </c>
      <c r="G115" s="23"/>
      <c r="H115" s="2"/>
      <c r="I115" s="2"/>
      <c r="J115" s="2"/>
      <c r="K115" s="2"/>
    </row>
    <row r="116" ht="15.75" customHeight="1">
      <c r="A116" s="25"/>
      <c r="B116" s="25"/>
      <c r="C116" s="18" t="s">
        <v>38</v>
      </c>
      <c r="D116" s="19"/>
      <c r="E116" s="20">
        <v>0.0</v>
      </c>
      <c r="F116" s="21">
        <f t="shared" si="1"/>
        <v>0</v>
      </c>
      <c r="G116" s="25"/>
      <c r="H116" s="2"/>
      <c r="I116" s="2"/>
      <c r="J116" s="2"/>
      <c r="K116" s="2"/>
    </row>
    <row r="117" ht="15.75" customHeight="1">
      <c r="A117" s="16">
        <v>5.0</v>
      </c>
      <c r="B117" s="28" t="s">
        <v>84</v>
      </c>
      <c r="C117" s="18" t="s">
        <v>11</v>
      </c>
      <c r="D117" s="19"/>
      <c r="E117" s="20">
        <v>5000.0</v>
      </c>
      <c r="F117" s="21">
        <f t="shared" si="1"/>
        <v>0</v>
      </c>
      <c r="G117" s="22">
        <f>SUM(F117:F144)</f>
        <v>23200</v>
      </c>
      <c r="H117" s="2"/>
      <c r="I117" s="2"/>
      <c r="J117" s="2"/>
      <c r="K117" s="2"/>
    </row>
    <row r="118" ht="15.75" customHeight="1">
      <c r="A118" s="23"/>
      <c r="B118" s="23"/>
      <c r="C118" s="18" t="s">
        <v>12</v>
      </c>
      <c r="D118" s="19">
        <v>0.5</v>
      </c>
      <c r="E118" s="20">
        <v>3000.0</v>
      </c>
      <c r="F118" s="21">
        <f t="shared" si="1"/>
        <v>1500</v>
      </c>
      <c r="G118" s="23"/>
      <c r="H118" s="2"/>
      <c r="I118" s="2"/>
      <c r="J118" s="2"/>
      <c r="K118" s="2"/>
    </row>
    <row r="119" ht="15.75" customHeight="1">
      <c r="A119" s="23"/>
      <c r="B119" s="23"/>
      <c r="C119" s="18" t="s">
        <v>13</v>
      </c>
      <c r="D119" s="19"/>
      <c r="E119" s="20">
        <v>1000.0</v>
      </c>
      <c r="F119" s="21">
        <f t="shared" si="1"/>
        <v>0</v>
      </c>
      <c r="G119" s="23"/>
      <c r="H119" s="2"/>
      <c r="I119" s="2"/>
      <c r="J119" s="2"/>
      <c r="K119" s="2"/>
    </row>
    <row r="120" ht="15.75" customHeight="1">
      <c r="A120" s="23"/>
      <c r="B120" s="23"/>
      <c r="C120" s="18" t="s">
        <v>14</v>
      </c>
      <c r="D120" s="19"/>
      <c r="E120" s="20">
        <v>2800.0</v>
      </c>
      <c r="F120" s="21">
        <f t="shared" si="1"/>
        <v>0</v>
      </c>
      <c r="G120" s="23"/>
      <c r="H120" s="2"/>
      <c r="I120" s="2"/>
      <c r="J120" s="2"/>
      <c r="K120" s="2"/>
    </row>
    <row r="121" ht="15.75" customHeight="1">
      <c r="A121" s="23"/>
      <c r="B121" s="23"/>
      <c r="C121" s="18" t="s">
        <v>15</v>
      </c>
      <c r="D121" s="19"/>
      <c r="E121" s="20">
        <v>3500.0</v>
      </c>
      <c r="F121" s="21">
        <f t="shared" si="1"/>
        <v>0</v>
      </c>
      <c r="G121" s="23"/>
      <c r="H121" s="2"/>
      <c r="I121" s="2"/>
      <c r="J121" s="2"/>
      <c r="K121" s="2"/>
    </row>
    <row r="122" ht="15.75" customHeight="1">
      <c r="A122" s="23"/>
      <c r="B122" s="23"/>
      <c r="C122" s="18" t="s">
        <v>16</v>
      </c>
      <c r="D122" s="19">
        <v>5.5</v>
      </c>
      <c r="E122" s="20">
        <v>1000.0</v>
      </c>
      <c r="F122" s="21">
        <f t="shared" si="1"/>
        <v>5500</v>
      </c>
      <c r="G122" s="23"/>
      <c r="H122" s="2"/>
      <c r="I122" s="2"/>
      <c r="J122" s="2"/>
      <c r="K122" s="2"/>
    </row>
    <row r="123" ht="15.75" customHeight="1">
      <c r="A123" s="23"/>
      <c r="B123" s="23"/>
      <c r="C123" s="18" t="s">
        <v>17</v>
      </c>
      <c r="D123" s="19"/>
      <c r="E123" s="20">
        <v>2000.0</v>
      </c>
      <c r="F123" s="21">
        <f t="shared" si="1"/>
        <v>0</v>
      </c>
      <c r="G123" s="23"/>
      <c r="H123" s="2"/>
      <c r="I123" s="2"/>
      <c r="J123" s="2"/>
      <c r="K123" s="2"/>
    </row>
    <row r="124" ht="15.75" customHeight="1">
      <c r="A124" s="23"/>
      <c r="B124" s="23"/>
      <c r="C124" s="18" t="s">
        <v>18</v>
      </c>
      <c r="D124" s="19">
        <v>1.0</v>
      </c>
      <c r="E124" s="20">
        <v>2000.0</v>
      </c>
      <c r="F124" s="21">
        <f t="shared" si="1"/>
        <v>2000</v>
      </c>
      <c r="G124" s="23"/>
      <c r="H124" s="2"/>
      <c r="I124" s="2"/>
      <c r="J124" s="2"/>
      <c r="K124" s="2"/>
    </row>
    <row r="125" ht="15.75" customHeight="1">
      <c r="A125" s="23"/>
      <c r="B125" s="23"/>
      <c r="C125" s="18" t="s">
        <v>19</v>
      </c>
      <c r="D125" s="19"/>
      <c r="E125" s="20">
        <v>1300.0</v>
      </c>
      <c r="F125" s="21">
        <f t="shared" si="1"/>
        <v>0</v>
      </c>
      <c r="G125" s="23"/>
      <c r="H125" s="2"/>
      <c r="I125" s="2"/>
      <c r="J125" s="2"/>
      <c r="K125" s="2"/>
    </row>
    <row r="126" ht="15.75" customHeight="1">
      <c r="A126" s="23"/>
      <c r="B126" s="23"/>
      <c r="C126" s="18" t="s">
        <v>20</v>
      </c>
      <c r="D126" s="19"/>
      <c r="E126" s="20">
        <v>1000.0</v>
      </c>
      <c r="F126" s="21">
        <f t="shared" si="1"/>
        <v>0</v>
      </c>
      <c r="G126" s="23"/>
      <c r="H126" s="2"/>
      <c r="I126" s="2"/>
      <c r="J126" s="2"/>
      <c r="K126" s="2"/>
    </row>
    <row r="127" ht="15.75" customHeight="1">
      <c r="A127" s="23"/>
      <c r="B127" s="23"/>
      <c r="C127" s="18" t="s">
        <v>21</v>
      </c>
      <c r="D127" s="19">
        <v>0.5</v>
      </c>
      <c r="E127" s="20">
        <v>400.0</v>
      </c>
      <c r="F127" s="21">
        <f t="shared" si="1"/>
        <v>200</v>
      </c>
      <c r="G127" s="23"/>
      <c r="H127" s="2"/>
      <c r="I127" s="2"/>
      <c r="J127" s="2"/>
      <c r="K127" s="2"/>
    </row>
    <row r="128" ht="15.75" customHeight="1">
      <c r="A128" s="23"/>
      <c r="B128" s="23"/>
      <c r="C128" s="18" t="s">
        <v>22</v>
      </c>
      <c r="D128" s="19"/>
      <c r="E128" s="20">
        <v>7500.0</v>
      </c>
      <c r="F128" s="21">
        <f t="shared" si="1"/>
        <v>0</v>
      </c>
      <c r="G128" s="23"/>
      <c r="H128" s="2"/>
      <c r="I128" s="2"/>
      <c r="J128" s="2"/>
      <c r="K128" s="2"/>
    </row>
    <row r="129" ht="15.75" customHeight="1">
      <c r="A129" s="23"/>
      <c r="B129" s="23"/>
      <c r="C129" s="18" t="s">
        <v>23</v>
      </c>
      <c r="D129" s="19">
        <v>5.0</v>
      </c>
      <c r="E129" s="20">
        <v>2000.0</v>
      </c>
      <c r="F129" s="21">
        <f t="shared" si="1"/>
        <v>10000</v>
      </c>
      <c r="G129" s="23"/>
      <c r="H129" s="2"/>
      <c r="I129" s="2"/>
      <c r="J129" s="2"/>
      <c r="K129" s="2"/>
    </row>
    <row r="130" ht="15.75" customHeight="1">
      <c r="A130" s="23"/>
      <c r="B130" s="23"/>
      <c r="C130" s="18" t="s">
        <v>24</v>
      </c>
      <c r="D130" s="19"/>
      <c r="E130" s="20">
        <v>800.0</v>
      </c>
      <c r="F130" s="21">
        <f t="shared" si="1"/>
        <v>0</v>
      </c>
      <c r="G130" s="23"/>
      <c r="H130" s="2"/>
      <c r="I130" s="2"/>
      <c r="J130" s="2"/>
      <c r="K130" s="2"/>
    </row>
    <row r="131" ht="15.75" customHeight="1">
      <c r="A131" s="23"/>
      <c r="B131" s="23"/>
      <c r="C131" s="18" t="s">
        <v>25</v>
      </c>
      <c r="D131" s="19"/>
      <c r="E131" s="20">
        <v>5000.0</v>
      </c>
      <c r="F131" s="21">
        <f t="shared" si="1"/>
        <v>0</v>
      </c>
      <c r="G131" s="23"/>
      <c r="H131" s="2"/>
      <c r="I131" s="2"/>
      <c r="J131" s="2"/>
      <c r="K131" s="2"/>
    </row>
    <row r="132" ht="15.75" customHeight="1">
      <c r="A132" s="23"/>
      <c r="B132" s="23"/>
      <c r="C132" s="18" t="s">
        <v>26</v>
      </c>
      <c r="D132" s="19"/>
      <c r="E132" s="20">
        <v>2700.0</v>
      </c>
      <c r="F132" s="21">
        <f t="shared" si="1"/>
        <v>0</v>
      </c>
      <c r="G132" s="23"/>
      <c r="H132" s="2"/>
      <c r="I132" s="2"/>
      <c r="J132" s="2"/>
      <c r="K132" s="2"/>
    </row>
    <row r="133" ht="15.75" customHeight="1">
      <c r="A133" s="23"/>
      <c r="B133" s="23"/>
      <c r="C133" s="18" t="s">
        <v>27</v>
      </c>
      <c r="D133" s="19"/>
      <c r="E133" s="20">
        <v>50000.0</v>
      </c>
      <c r="F133" s="21">
        <f t="shared" si="1"/>
        <v>0</v>
      </c>
      <c r="G133" s="23"/>
      <c r="H133" s="2"/>
      <c r="I133" s="2"/>
      <c r="J133" s="2"/>
      <c r="K133" s="2"/>
    </row>
    <row r="134" ht="15.75" customHeight="1">
      <c r="A134" s="23"/>
      <c r="B134" s="23"/>
      <c r="C134" s="18" t="s">
        <v>28</v>
      </c>
      <c r="D134" s="19"/>
      <c r="E134" s="20">
        <v>10000.0</v>
      </c>
      <c r="F134" s="21">
        <f t="shared" si="1"/>
        <v>0</v>
      </c>
      <c r="G134" s="23"/>
      <c r="H134" s="2"/>
      <c r="I134" s="2"/>
      <c r="J134" s="2"/>
      <c r="K134" s="2"/>
    </row>
    <row r="135" ht="15.75" customHeight="1">
      <c r="A135" s="23"/>
      <c r="B135" s="23"/>
      <c r="C135" s="18" t="s">
        <v>29</v>
      </c>
      <c r="D135" s="19"/>
      <c r="E135" s="20">
        <v>1000.0</v>
      </c>
      <c r="F135" s="21">
        <f t="shared" si="1"/>
        <v>0</v>
      </c>
      <c r="G135" s="23"/>
      <c r="H135" s="2"/>
      <c r="I135" s="2"/>
      <c r="J135" s="2"/>
      <c r="K135" s="2"/>
    </row>
    <row r="136" ht="15.75" customHeight="1">
      <c r="A136" s="23"/>
      <c r="B136" s="23"/>
      <c r="C136" s="18" t="s">
        <v>30</v>
      </c>
      <c r="D136" s="19"/>
      <c r="E136" s="20">
        <v>500.0</v>
      </c>
      <c r="F136" s="21">
        <f t="shared" si="1"/>
        <v>0</v>
      </c>
      <c r="G136" s="23"/>
      <c r="H136" s="2"/>
      <c r="I136" s="2"/>
      <c r="J136" s="2"/>
      <c r="K136" s="2"/>
    </row>
    <row r="137" ht="15.75" customHeight="1">
      <c r="A137" s="23"/>
      <c r="B137" s="23"/>
      <c r="C137" s="18" t="s">
        <v>31</v>
      </c>
      <c r="D137" s="19"/>
      <c r="E137" s="20">
        <v>200.0</v>
      </c>
      <c r="F137" s="21">
        <f t="shared" si="1"/>
        <v>0</v>
      </c>
      <c r="G137" s="23"/>
      <c r="H137" s="2"/>
      <c r="I137" s="2"/>
      <c r="J137" s="2"/>
      <c r="K137" s="2"/>
    </row>
    <row r="138" ht="15.75" customHeight="1">
      <c r="A138" s="23"/>
      <c r="B138" s="23"/>
      <c r="C138" s="18" t="s">
        <v>32</v>
      </c>
      <c r="D138" s="19"/>
      <c r="E138" s="20">
        <v>1000.0</v>
      </c>
      <c r="F138" s="21">
        <f t="shared" si="1"/>
        <v>0</v>
      </c>
      <c r="G138" s="23"/>
      <c r="H138" s="2"/>
      <c r="I138" s="2"/>
      <c r="J138" s="2"/>
      <c r="K138" s="2"/>
    </row>
    <row r="139" ht="15.75" customHeight="1">
      <c r="A139" s="23"/>
      <c r="B139" s="23"/>
      <c r="C139" s="18" t="s">
        <v>33</v>
      </c>
      <c r="D139" s="19"/>
      <c r="E139" s="20">
        <v>300.0</v>
      </c>
      <c r="F139" s="21">
        <f t="shared" si="1"/>
        <v>0</v>
      </c>
      <c r="G139" s="23"/>
      <c r="H139" s="2"/>
      <c r="I139" s="2"/>
      <c r="J139" s="2"/>
      <c r="K139" s="2"/>
    </row>
    <row r="140" ht="15.75" customHeight="1">
      <c r="A140" s="23"/>
      <c r="B140" s="23"/>
      <c r="C140" s="18" t="s">
        <v>34</v>
      </c>
      <c r="D140" s="19"/>
      <c r="E140" s="20">
        <v>100.0</v>
      </c>
      <c r="F140" s="21">
        <f t="shared" si="1"/>
        <v>0</v>
      </c>
      <c r="G140" s="23"/>
      <c r="H140" s="2"/>
      <c r="I140" s="2"/>
      <c r="J140" s="2"/>
      <c r="K140" s="2"/>
    </row>
    <row r="141" ht="15.75" customHeight="1">
      <c r="A141" s="23"/>
      <c r="B141" s="23"/>
      <c r="C141" s="18" t="s">
        <v>35</v>
      </c>
      <c r="D141" s="19"/>
      <c r="E141" s="20">
        <v>500.0</v>
      </c>
      <c r="F141" s="21">
        <f t="shared" si="1"/>
        <v>0</v>
      </c>
      <c r="G141" s="23"/>
      <c r="H141" s="2"/>
      <c r="I141" s="2"/>
      <c r="J141" s="2"/>
      <c r="K141" s="2"/>
    </row>
    <row r="142" ht="15.75" customHeight="1">
      <c r="A142" s="23"/>
      <c r="B142" s="23"/>
      <c r="C142" s="18" t="s">
        <v>36</v>
      </c>
      <c r="D142" s="19"/>
      <c r="E142" s="20">
        <v>1500.0</v>
      </c>
      <c r="F142" s="21">
        <f t="shared" si="1"/>
        <v>0</v>
      </c>
      <c r="G142" s="23"/>
      <c r="H142" s="2"/>
      <c r="I142" s="2"/>
      <c r="J142" s="2"/>
      <c r="K142" s="2"/>
    </row>
    <row r="143" ht="15.75" customHeight="1">
      <c r="A143" s="23"/>
      <c r="B143" s="23"/>
      <c r="C143" s="18" t="s">
        <v>37</v>
      </c>
      <c r="D143" s="19">
        <v>1.0</v>
      </c>
      <c r="E143" s="20">
        <v>4000.0</v>
      </c>
      <c r="F143" s="21">
        <f t="shared" si="1"/>
        <v>4000</v>
      </c>
      <c r="G143" s="23"/>
      <c r="H143" s="2"/>
      <c r="I143" s="2"/>
      <c r="J143" s="2"/>
      <c r="K143" s="2"/>
    </row>
    <row r="144" ht="15.75" customHeight="1">
      <c r="A144" s="25"/>
      <c r="B144" s="25"/>
      <c r="C144" s="18" t="s">
        <v>38</v>
      </c>
      <c r="D144" s="19">
        <v>2.5</v>
      </c>
      <c r="E144" s="20">
        <v>0.0</v>
      </c>
      <c r="F144" s="21">
        <f t="shared" si="1"/>
        <v>0</v>
      </c>
      <c r="G144" s="25"/>
      <c r="H144" s="2"/>
      <c r="I144" s="2"/>
      <c r="J144" s="2"/>
      <c r="K144" s="2"/>
    </row>
    <row r="145" ht="15.75" customHeight="1">
      <c r="A145" s="16">
        <v>6.0</v>
      </c>
      <c r="B145" s="17" t="s">
        <v>85</v>
      </c>
      <c r="C145" s="18" t="s">
        <v>11</v>
      </c>
      <c r="D145" s="19"/>
      <c r="E145" s="20">
        <v>5000.0</v>
      </c>
      <c r="F145" s="21">
        <f t="shared" si="1"/>
        <v>0</v>
      </c>
      <c r="G145" s="22">
        <f>SUM(F145:F172)</f>
        <v>1950</v>
      </c>
      <c r="H145" s="2"/>
      <c r="I145" s="2"/>
      <c r="J145" s="2"/>
      <c r="K145" s="2"/>
    </row>
    <row r="146" ht="15.75" customHeight="1">
      <c r="A146" s="23"/>
      <c r="B146" s="23"/>
      <c r="C146" s="18" t="s">
        <v>12</v>
      </c>
      <c r="D146" s="19"/>
      <c r="E146" s="20">
        <v>3000.0</v>
      </c>
      <c r="F146" s="21">
        <f t="shared" si="1"/>
        <v>0</v>
      </c>
      <c r="G146" s="23"/>
      <c r="H146" s="2"/>
      <c r="I146" s="2"/>
      <c r="J146" s="2"/>
      <c r="K146" s="2"/>
    </row>
    <row r="147" ht="15.75" customHeight="1">
      <c r="A147" s="23"/>
      <c r="B147" s="23"/>
      <c r="C147" s="18" t="s">
        <v>13</v>
      </c>
      <c r="D147" s="19"/>
      <c r="E147" s="20">
        <v>1000.0</v>
      </c>
      <c r="F147" s="21">
        <f t="shared" si="1"/>
        <v>0</v>
      </c>
      <c r="G147" s="23"/>
      <c r="H147" s="2"/>
      <c r="I147" s="2"/>
      <c r="J147" s="2"/>
      <c r="K147" s="2"/>
    </row>
    <row r="148" ht="15.75" customHeight="1">
      <c r="A148" s="23"/>
      <c r="B148" s="23"/>
      <c r="C148" s="18" t="s">
        <v>14</v>
      </c>
      <c r="D148" s="19"/>
      <c r="E148" s="20">
        <v>2800.0</v>
      </c>
      <c r="F148" s="21">
        <f t="shared" si="1"/>
        <v>0</v>
      </c>
      <c r="G148" s="23"/>
      <c r="H148" s="2"/>
      <c r="I148" s="2"/>
      <c r="J148" s="2"/>
      <c r="K148" s="2"/>
    </row>
    <row r="149" ht="15.75" customHeight="1">
      <c r="A149" s="23"/>
      <c r="B149" s="23"/>
      <c r="C149" s="18" t="s">
        <v>15</v>
      </c>
      <c r="D149" s="19"/>
      <c r="E149" s="20">
        <v>3500.0</v>
      </c>
      <c r="F149" s="21">
        <f t="shared" si="1"/>
        <v>0</v>
      </c>
      <c r="G149" s="23"/>
      <c r="H149" s="2"/>
      <c r="I149" s="2"/>
      <c r="J149" s="2"/>
      <c r="K149" s="2"/>
    </row>
    <row r="150" ht="15.75" customHeight="1">
      <c r="A150" s="23"/>
      <c r="B150" s="23"/>
      <c r="C150" s="18" t="s">
        <v>16</v>
      </c>
      <c r="D150" s="19"/>
      <c r="E150" s="20">
        <v>1000.0</v>
      </c>
      <c r="F150" s="21">
        <f t="shared" si="1"/>
        <v>0</v>
      </c>
      <c r="G150" s="23"/>
      <c r="H150" s="2"/>
      <c r="I150" s="2"/>
      <c r="J150" s="2"/>
      <c r="K150" s="2"/>
    </row>
    <row r="151" ht="15.75" customHeight="1">
      <c r="A151" s="23"/>
      <c r="B151" s="23"/>
      <c r="C151" s="18" t="s">
        <v>17</v>
      </c>
      <c r="D151" s="19"/>
      <c r="E151" s="20">
        <v>2000.0</v>
      </c>
      <c r="F151" s="21">
        <f t="shared" si="1"/>
        <v>0</v>
      </c>
      <c r="G151" s="23"/>
      <c r="H151" s="2"/>
      <c r="I151" s="2"/>
      <c r="J151" s="2"/>
      <c r="K151" s="2"/>
    </row>
    <row r="152" ht="15.75" customHeight="1">
      <c r="A152" s="23"/>
      <c r="B152" s="23"/>
      <c r="C152" s="18" t="s">
        <v>18</v>
      </c>
      <c r="D152" s="19"/>
      <c r="E152" s="20">
        <v>2000.0</v>
      </c>
      <c r="F152" s="21">
        <f t="shared" si="1"/>
        <v>0</v>
      </c>
      <c r="G152" s="23"/>
      <c r="H152" s="2"/>
      <c r="I152" s="2"/>
      <c r="J152" s="2"/>
      <c r="K152" s="2"/>
    </row>
    <row r="153" ht="15.75" customHeight="1">
      <c r="A153" s="23"/>
      <c r="B153" s="23"/>
      <c r="C153" s="18" t="s">
        <v>19</v>
      </c>
      <c r="D153" s="19"/>
      <c r="E153" s="20">
        <v>1300.0</v>
      </c>
      <c r="F153" s="21">
        <f t="shared" si="1"/>
        <v>0</v>
      </c>
      <c r="G153" s="23"/>
      <c r="H153" s="2"/>
      <c r="I153" s="2"/>
      <c r="J153" s="2"/>
      <c r="K153" s="2"/>
    </row>
    <row r="154" ht="15.75" customHeight="1">
      <c r="A154" s="23"/>
      <c r="B154" s="23"/>
      <c r="C154" s="18" t="s">
        <v>20</v>
      </c>
      <c r="D154" s="19"/>
      <c r="E154" s="20">
        <v>1000.0</v>
      </c>
      <c r="F154" s="21">
        <f t="shared" si="1"/>
        <v>0</v>
      </c>
      <c r="G154" s="23"/>
      <c r="H154" s="2"/>
      <c r="I154" s="2"/>
      <c r="J154" s="2"/>
      <c r="K154" s="2"/>
    </row>
    <row r="155" ht="15.75" customHeight="1">
      <c r="A155" s="23"/>
      <c r="B155" s="23"/>
      <c r="C155" s="18" t="s">
        <v>21</v>
      </c>
      <c r="D155" s="19">
        <v>3.0</v>
      </c>
      <c r="E155" s="20">
        <v>400.0</v>
      </c>
      <c r="F155" s="21">
        <f t="shared" si="1"/>
        <v>1200</v>
      </c>
      <c r="G155" s="23"/>
      <c r="H155" s="2"/>
      <c r="I155" s="2"/>
      <c r="J155" s="2"/>
      <c r="K155" s="2"/>
    </row>
    <row r="156" ht="15.75" customHeight="1">
      <c r="A156" s="23"/>
      <c r="B156" s="23"/>
      <c r="C156" s="18" t="s">
        <v>22</v>
      </c>
      <c r="D156" s="19"/>
      <c r="E156" s="20">
        <v>7500.0</v>
      </c>
      <c r="F156" s="21">
        <f t="shared" si="1"/>
        <v>0</v>
      </c>
      <c r="G156" s="23"/>
      <c r="H156" s="2"/>
      <c r="I156" s="2"/>
      <c r="J156" s="2"/>
      <c r="K156" s="2"/>
    </row>
    <row r="157" ht="15.75" customHeight="1">
      <c r="A157" s="23"/>
      <c r="B157" s="23"/>
      <c r="C157" s="18" t="s">
        <v>23</v>
      </c>
      <c r="D157" s="19"/>
      <c r="E157" s="20">
        <v>2000.0</v>
      </c>
      <c r="F157" s="21">
        <f t="shared" si="1"/>
        <v>0</v>
      </c>
      <c r="G157" s="23"/>
      <c r="H157" s="2"/>
      <c r="I157" s="2"/>
      <c r="J157" s="2"/>
      <c r="K157" s="2"/>
    </row>
    <row r="158" ht="15.75" customHeight="1">
      <c r="A158" s="23"/>
      <c r="B158" s="23"/>
      <c r="C158" s="18" t="s">
        <v>24</v>
      </c>
      <c r="D158" s="19"/>
      <c r="E158" s="20">
        <v>800.0</v>
      </c>
      <c r="F158" s="21">
        <f t="shared" si="1"/>
        <v>0</v>
      </c>
      <c r="G158" s="23"/>
      <c r="H158" s="2"/>
      <c r="I158" s="2"/>
      <c r="J158" s="2"/>
      <c r="K158" s="2"/>
    </row>
    <row r="159" ht="15.75" customHeight="1">
      <c r="A159" s="23"/>
      <c r="B159" s="23"/>
      <c r="C159" s="18" t="s">
        <v>25</v>
      </c>
      <c r="D159" s="19"/>
      <c r="E159" s="20">
        <v>5000.0</v>
      </c>
      <c r="F159" s="21">
        <f t="shared" si="1"/>
        <v>0</v>
      </c>
      <c r="G159" s="23"/>
      <c r="H159" s="2"/>
      <c r="I159" s="2"/>
      <c r="J159" s="2"/>
      <c r="K159" s="2"/>
    </row>
    <row r="160" ht="15.75" customHeight="1">
      <c r="A160" s="23"/>
      <c r="B160" s="23"/>
      <c r="C160" s="18" t="s">
        <v>26</v>
      </c>
      <c r="D160" s="19"/>
      <c r="E160" s="20">
        <v>2700.0</v>
      </c>
      <c r="F160" s="21">
        <f t="shared" si="1"/>
        <v>0</v>
      </c>
      <c r="G160" s="23"/>
      <c r="H160" s="2"/>
      <c r="I160" s="2"/>
      <c r="J160" s="2"/>
      <c r="K160" s="2"/>
    </row>
    <row r="161" ht="15.75" customHeight="1">
      <c r="A161" s="23"/>
      <c r="B161" s="23"/>
      <c r="C161" s="18" t="s">
        <v>27</v>
      </c>
      <c r="D161" s="19"/>
      <c r="E161" s="20">
        <v>50000.0</v>
      </c>
      <c r="F161" s="21">
        <f t="shared" si="1"/>
        <v>0</v>
      </c>
      <c r="G161" s="23"/>
      <c r="H161" s="2"/>
      <c r="I161" s="2"/>
      <c r="J161" s="2"/>
      <c r="K161" s="2"/>
    </row>
    <row r="162" ht="15.75" customHeight="1">
      <c r="A162" s="23"/>
      <c r="B162" s="23"/>
      <c r="C162" s="18" t="s">
        <v>28</v>
      </c>
      <c r="D162" s="19"/>
      <c r="E162" s="20">
        <v>10000.0</v>
      </c>
      <c r="F162" s="21">
        <f t="shared" si="1"/>
        <v>0</v>
      </c>
      <c r="G162" s="23"/>
      <c r="H162" s="2"/>
      <c r="I162" s="2"/>
      <c r="J162" s="2"/>
      <c r="K162" s="2"/>
    </row>
    <row r="163" ht="15.75" customHeight="1">
      <c r="A163" s="23"/>
      <c r="B163" s="23"/>
      <c r="C163" s="18" t="s">
        <v>29</v>
      </c>
      <c r="D163" s="19"/>
      <c r="E163" s="20">
        <v>1000.0</v>
      </c>
      <c r="F163" s="21">
        <f t="shared" si="1"/>
        <v>0</v>
      </c>
      <c r="G163" s="23"/>
      <c r="H163" s="2"/>
      <c r="I163" s="2"/>
      <c r="J163" s="2"/>
      <c r="K163" s="2"/>
    </row>
    <row r="164" ht="15.75" customHeight="1">
      <c r="A164" s="23"/>
      <c r="B164" s="23"/>
      <c r="C164" s="18" t="s">
        <v>30</v>
      </c>
      <c r="D164" s="19">
        <v>1.5</v>
      </c>
      <c r="E164" s="20">
        <v>500.0</v>
      </c>
      <c r="F164" s="21">
        <f t="shared" si="1"/>
        <v>750</v>
      </c>
      <c r="G164" s="23"/>
      <c r="H164" s="2"/>
      <c r="I164" s="2"/>
      <c r="J164" s="2"/>
      <c r="K164" s="2"/>
    </row>
    <row r="165" ht="15.75" customHeight="1">
      <c r="A165" s="23"/>
      <c r="B165" s="23"/>
      <c r="C165" s="18" t="s">
        <v>31</v>
      </c>
      <c r="D165" s="19"/>
      <c r="E165" s="20">
        <v>200.0</v>
      </c>
      <c r="F165" s="21">
        <f t="shared" si="1"/>
        <v>0</v>
      </c>
      <c r="G165" s="23"/>
      <c r="H165" s="2"/>
      <c r="I165" s="2"/>
      <c r="J165" s="2"/>
      <c r="K165" s="2"/>
    </row>
    <row r="166" ht="15.75" customHeight="1">
      <c r="A166" s="23"/>
      <c r="B166" s="23"/>
      <c r="C166" s="18" t="s">
        <v>32</v>
      </c>
      <c r="D166" s="19"/>
      <c r="E166" s="20">
        <v>1000.0</v>
      </c>
      <c r="F166" s="21">
        <f t="shared" si="1"/>
        <v>0</v>
      </c>
      <c r="G166" s="23"/>
      <c r="H166" s="2"/>
      <c r="I166" s="2"/>
      <c r="J166" s="2"/>
      <c r="K166" s="2"/>
    </row>
    <row r="167" ht="15.75" customHeight="1">
      <c r="A167" s="23"/>
      <c r="B167" s="23"/>
      <c r="C167" s="18" t="s">
        <v>33</v>
      </c>
      <c r="D167" s="19"/>
      <c r="E167" s="20">
        <v>300.0</v>
      </c>
      <c r="F167" s="21">
        <f t="shared" si="1"/>
        <v>0</v>
      </c>
      <c r="G167" s="23"/>
      <c r="H167" s="2"/>
      <c r="I167" s="2"/>
      <c r="J167" s="2"/>
      <c r="K167" s="2"/>
    </row>
    <row r="168" ht="15.75" customHeight="1">
      <c r="A168" s="23"/>
      <c r="B168" s="23"/>
      <c r="C168" s="18" t="s">
        <v>34</v>
      </c>
      <c r="D168" s="19"/>
      <c r="E168" s="20">
        <v>100.0</v>
      </c>
      <c r="F168" s="21">
        <f t="shared" si="1"/>
        <v>0</v>
      </c>
      <c r="G168" s="23"/>
      <c r="H168" s="2"/>
      <c r="I168" s="2"/>
      <c r="J168" s="2"/>
      <c r="K168" s="2"/>
    </row>
    <row r="169" ht="15.75" customHeight="1">
      <c r="A169" s="23"/>
      <c r="B169" s="23"/>
      <c r="C169" s="18" t="s">
        <v>35</v>
      </c>
      <c r="D169" s="19"/>
      <c r="E169" s="20">
        <v>500.0</v>
      </c>
      <c r="F169" s="21">
        <f t="shared" si="1"/>
        <v>0</v>
      </c>
      <c r="G169" s="23"/>
      <c r="H169" s="2"/>
      <c r="I169" s="2"/>
      <c r="J169" s="2"/>
      <c r="K169" s="2"/>
    </row>
    <row r="170" ht="15.75" customHeight="1">
      <c r="A170" s="23"/>
      <c r="B170" s="23"/>
      <c r="C170" s="18" t="s">
        <v>36</v>
      </c>
      <c r="D170" s="19"/>
      <c r="E170" s="20">
        <v>1500.0</v>
      </c>
      <c r="F170" s="21">
        <f t="shared" si="1"/>
        <v>0</v>
      </c>
      <c r="G170" s="23"/>
      <c r="H170" s="2"/>
      <c r="I170" s="2"/>
      <c r="J170" s="2"/>
      <c r="K170" s="2"/>
    </row>
    <row r="171" ht="15.75" customHeight="1">
      <c r="A171" s="23"/>
      <c r="B171" s="23"/>
      <c r="C171" s="18" t="s">
        <v>37</v>
      </c>
      <c r="D171" s="19"/>
      <c r="E171" s="20">
        <v>4000.0</v>
      </c>
      <c r="F171" s="21">
        <f t="shared" si="1"/>
        <v>0</v>
      </c>
      <c r="G171" s="23"/>
      <c r="H171" s="2"/>
      <c r="I171" s="2"/>
      <c r="J171" s="2"/>
      <c r="K171" s="2"/>
    </row>
    <row r="172" ht="15.75" customHeight="1">
      <c r="A172" s="25"/>
      <c r="B172" s="25"/>
      <c r="C172" s="18" t="s">
        <v>38</v>
      </c>
      <c r="D172" s="19"/>
      <c r="E172" s="20">
        <v>0.0</v>
      </c>
      <c r="F172" s="21">
        <f t="shared" si="1"/>
        <v>0</v>
      </c>
      <c r="G172" s="25"/>
      <c r="H172" s="2"/>
      <c r="I172" s="2"/>
      <c r="J172" s="2"/>
      <c r="K172" s="2"/>
    </row>
    <row r="173" ht="15.75" customHeight="1">
      <c r="A173" s="16">
        <v>7.0</v>
      </c>
      <c r="B173" s="36" t="s">
        <v>86</v>
      </c>
      <c r="C173" s="18" t="s">
        <v>11</v>
      </c>
      <c r="D173" s="19">
        <v>1.0</v>
      </c>
      <c r="E173" s="20">
        <v>5000.0</v>
      </c>
      <c r="F173" s="21">
        <f t="shared" si="1"/>
        <v>5000</v>
      </c>
      <c r="G173" s="22">
        <f>SUM(F173:F200)</f>
        <v>14250</v>
      </c>
      <c r="H173" s="2"/>
      <c r="I173" s="2"/>
      <c r="J173" s="2"/>
      <c r="K173" s="2"/>
    </row>
    <row r="174" ht="15.75" customHeight="1">
      <c r="A174" s="23"/>
      <c r="B174" s="23"/>
      <c r="C174" s="18" t="s">
        <v>12</v>
      </c>
      <c r="D174" s="19"/>
      <c r="E174" s="20">
        <v>3000.0</v>
      </c>
      <c r="F174" s="21">
        <f t="shared" si="1"/>
        <v>0</v>
      </c>
      <c r="G174" s="23"/>
      <c r="H174" s="2"/>
      <c r="I174" s="2"/>
      <c r="J174" s="2"/>
      <c r="K174" s="2"/>
    </row>
    <row r="175" ht="15.75" customHeight="1">
      <c r="A175" s="23"/>
      <c r="B175" s="23"/>
      <c r="C175" s="18" t="s">
        <v>13</v>
      </c>
      <c r="D175" s="19"/>
      <c r="E175" s="20">
        <v>1000.0</v>
      </c>
      <c r="F175" s="21">
        <f t="shared" si="1"/>
        <v>0</v>
      </c>
      <c r="G175" s="23"/>
      <c r="H175" s="2"/>
      <c r="I175" s="2"/>
      <c r="J175" s="2"/>
      <c r="K175" s="2"/>
    </row>
    <row r="176" ht="15.75" customHeight="1">
      <c r="A176" s="23"/>
      <c r="B176" s="23"/>
      <c r="C176" s="18" t="s">
        <v>14</v>
      </c>
      <c r="D176" s="19"/>
      <c r="E176" s="20">
        <v>2800.0</v>
      </c>
      <c r="F176" s="21">
        <f t="shared" si="1"/>
        <v>0</v>
      </c>
      <c r="G176" s="23"/>
      <c r="H176" s="2"/>
      <c r="I176" s="2"/>
      <c r="J176" s="2"/>
      <c r="K176" s="2"/>
    </row>
    <row r="177" ht="15.75" customHeight="1">
      <c r="A177" s="23"/>
      <c r="B177" s="23"/>
      <c r="C177" s="18" t="s">
        <v>15</v>
      </c>
      <c r="D177" s="19"/>
      <c r="E177" s="20">
        <v>3500.0</v>
      </c>
      <c r="F177" s="21">
        <f t="shared" si="1"/>
        <v>0</v>
      </c>
      <c r="G177" s="23"/>
      <c r="H177" s="2"/>
      <c r="I177" s="2"/>
      <c r="J177" s="2"/>
      <c r="K177" s="2"/>
    </row>
    <row r="178" ht="15.75" customHeight="1">
      <c r="A178" s="23"/>
      <c r="B178" s="23"/>
      <c r="C178" s="18" t="s">
        <v>16</v>
      </c>
      <c r="D178" s="19">
        <v>4.0</v>
      </c>
      <c r="E178" s="20">
        <v>1000.0</v>
      </c>
      <c r="F178" s="21">
        <f t="shared" si="1"/>
        <v>4000</v>
      </c>
      <c r="G178" s="23"/>
      <c r="H178" s="2"/>
      <c r="I178" s="2"/>
      <c r="J178" s="2"/>
      <c r="K178" s="2"/>
    </row>
    <row r="179" ht="15.75" customHeight="1">
      <c r="A179" s="23"/>
      <c r="B179" s="23"/>
      <c r="C179" s="18" t="s">
        <v>17</v>
      </c>
      <c r="D179" s="19"/>
      <c r="E179" s="20">
        <v>2000.0</v>
      </c>
      <c r="F179" s="21">
        <f t="shared" si="1"/>
        <v>0</v>
      </c>
      <c r="G179" s="23"/>
      <c r="H179" s="2"/>
      <c r="I179" s="2"/>
      <c r="J179" s="2"/>
      <c r="K179" s="2"/>
    </row>
    <row r="180" ht="15.75" customHeight="1">
      <c r="A180" s="23"/>
      <c r="B180" s="23"/>
      <c r="C180" s="18" t="s">
        <v>18</v>
      </c>
      <c r="D180" s="19">
        <v>2.0</v>
      </c>
      <c r="E180" s="20">
        <v>2000.0</v>
      </c>
      <c r="F180" s="21">
        <f t="shared" si="1"/>
        <v>4000</v>
      </c>
      <c r="G180" s="23"/>
      <c r="H180" s="2"/>
      <c r="I180" s="2"/>
      <c r="J180" s="2"/>
      <c r="K180" s="2"/>
    </row>
    <row r="181" ht="15.75" customHeight="1">
      <c r="A181" s="23"/>
      <c r="B181" s="23"/>
      <c r="C181" s="18" t="s">
        <v>19</v>
      </c>
      <c r="D181" s="19"/>
      <c r="E181" s="20">
        <v>1300.0</v>
      </c>
      <c r="F181" s="21">
        <f t="shared" si="1"/>
        <v>0</v>
      </c>
      <c r="G181" s="23"/>
      <c r="H181" s="2"/>
      <c r="I181" s="2"/>
      <c r="J181" s="2"/>
      <c r="K181" s="2"/>
    </row>
    <row r="182" ht="15.75" customHeight="1">
      <c r="A182" s="23"/>
      <c r="B182" s="23"/>
      <c r="C182" s="18" t="s">
        <v>20</v>
      </c>
      <c r="D182" s="19"/>
      <c r="E182" s="20">
        <v>1000.0</v>
      </c>
      <c r="F182" s="21">
        <f t="shared" si="1"/>
        <v>0</v>
      </c>
      <c r="G182" s="23"/>
      <c r="H182" s="2"/>
      <c r="I182" s="2"/>
      <c r="J182" s="2"/>
      <c r="K182" s="2"/>
    </row>
    <row r="183" ht="15.75" customHeight="1">
      <c r="A183" s="23"/>
      <c r="B183" s="23"/>
      <c r="C183" s="18" t="s">
        <v>21</v>
      </c>
      <c r="D183" s="19"/>
      <c r="E183" s="20">
        <v>400.0</v>
      </c>
      <c r="F183" s="21">
        <f t="shared" si="1"/>
        <v>0</v>
      </c>
      <c r="G183" s="23"/>
      <c r="H183" s="2"/>
      <c r="I183" s="2"/>
      <c r="J183" s="2"/>
      <c r="K183" s="2"/>
    </row>
    <row r="184" ht="15.75" customHeight="1">
      <c r="A184" s="23"/>
      <c r="B184" s="23"/>
      <c r="C184" s="18" t="s">
        <v>22</v>
      </c>
      <c r="D184" s="19"/>
      <c r="E184" s="20">
        <v>7500.0</v>
      </c>
      <c r="F184" s="21">
        <f t="shared" si="1"/>
        <v>0</v>
      </c>
      <c r="G184" s="23"/>
      <c r="H184" s="2"/>
      <c r="I184" s="2"/>
      <c r="J184" s="2"/>
      <c r="K184" s="2"/>
    </row>
    <row r="185" ht="15.75" customHeight="1">
      <c r="A185" s="23"/>
      <c r="B185" s="23"/>
      <c r="C185" s="18" t="s">
        <v>23</v>
      </c>
      <c r="D185" s="19"/>
      <c r="E185" s="20">
        <v>2000.0</v>
      </c>
      <c r="F185" s="21">
        <f t="shared" si="1"/>
        <v>0</v>
      </c>
      <c r="G185" s="23"/>
      <c r="H185" s="2"/>
      <c r="I185" s="2"/>
      <c r="J185" s="2"/>
      <c r="K185" s="2"/>
    </row>
    <row r="186" ht="15.75" customHeight="1">
      <c r="A186" s="23"/>
      <c r="B186" s="23"/>
      <c r="C186" s="18" t="s">
        <v>24</v>
      </c>
      <c r="D186" s="19"/>
      <c r="E186" s="20">
        <v>800.0</v>
      </c>
      <c r="F186" s="21">
        <f t="shared" si="1"/>
        <v>0</v>
      </c>
      <c r="G186" s="23"/>
      <c r="H186" s="2"/>
      <c r="I186" s="2"/>
      <c r="J186" s="2"/>
      <c r="K186" s="2"/>
    </row>
    <row r="187" ht="15.75" customHeight="1">
      <c r="A187" s="23"/>
      <c r="B187" s="23"/>
      <c r="C187" s="18" t="s">
        <v>25</v>
      </c>
      <c r="D187" s="19"/>
      <c r="E187" s="20">
        <v>5000.0</v>
      </c>
      <c r="F187" s="21">
        <f t="shared" si="1"/>
        <v>0</v>
      </c>
      <c r="G187" s="23"/>
      <c r="H187" s="2"/>
      <c r="I187" s="2"/>
      <c r="J187" s="2"/>
      <c r="K187" s="2"/>
    </row>
    <row r="188" ht="15.75" customHeight="1">
      <c r="A188" s="23"/>
      <c r="B188" s="23"/>
      <c r="C188" s="18" t="s">
        <v>26</v>
      </c>
      <c r="D188" s="19"/>
      <c r="E188" s="20">
        <v>2700.0</v>
      </c>
      <c r="F188" s="21">
        <f t="shared" si="1"/>
        <v>0</v>
      </c>
      <c r="G188" s="23"/>
      <c r="H188" s="2"/>
      <c r="I188" s="2"/>
      <c r="J188" s="2"/>
      <c r="K188" s="2"/>
    </row>
    <row r="189" ht="15.75" customHeight="1">
      <c r="A189" s="23"/>
      <c r="B189" s="23"/>
      <c r="C189" s="18" t="s">
        <v>27</v>
      </c>
      <c r="D189" s="19"/>
      <c r="E189" s="20">
        <v>50000.0</v>
      </c>
      <c r="F189" s="21">
        <f t="shared" si="1"/>
        <v>0</v>
      </c>
      <c r="G189" s="23"/>
      <c r="H189" s="2"/>
      <c r="I189" s="2"/>
      <c r="J189" s="2"/>
      <c r="K189" s="2"/>
    </row>
    <row r="190" ht="15.75" customHeight="1">
      <c r="A190" s="23"/>
      <c r="B190" s="23"/>
      <c r="C190" s="18" t="s">
        <v>28</v>
      </c>
      <c r="D190" s="19"/>
      <c r="E190" s="20">
        <v>10000.0</v>
      </c>
      <c r="F190" s="21">
        <f t="shared" si="1"/>
        <v>0</v>
      </c>
      <c r="G190" s="23"/>
      <c r="H190" s="2"/>
      <c r="I190" s="2"/>
      <c r="J190" s="2"/>
      <c r="K190" s="2"/>
    </row>
    <row r="191" ht="15.75" customHeight="1">
      <c r="A191" s="23"/>
      <c r="B191" s="23"/>
      <c r="C191" s="18" t="s">
        <v>29</v>
      </c>
      <c r="D191" s="19"/>
      <c r="E191" s="20">
        <v>1000.0</v>
      </c>
      <c r="F191" s="21">
        <f t="shared" si="1"/>
        <v>0</v>
      </c>
      <c r="G191" s="23"/>
      <c r="H191" s="2"/>
      <c r="I191" s="2"/>
      <c r="J191" s="2"/>
      <c r="K191" s="2"/>
    </row>
    <row r="192" ht="15.75" customHeight="1">
      <c r="A192" s="23"/>
      <c r="B192" s="23"/>
      <c r="C192" s="18" t="s">
        <v>30</v>
      </c>
      <c r="D192" s="19"/>
      <c r="E192" s="20">
        <v>500.0</v>
      </c>
      <c r="F192" s="21">
        <f t="shared" si="1"/>
        <v>0</v>
      </c>
      <c r="G192" s="23"/>
      <c r="H192" s="2"/>
      <c r="I192" s="2"/>
      <c r="J192" s="2"/>
      <c r="K192" s="2"/>
    </row>
    <row r="193" ht="15.75" customHeight="1">
      <c r="A193" s="23"/>
      <c r="B193" s="23"/>
      <c r="C193" s="18" t="s">
        <v>31</v>
      </c>
      <c r="D193" s="19"/>
      <c r="E193" s="20">
        <v>200.0</v>
      </c>
      <c r="F193" s="21">
        <f t="shared" si="1"/>
        <v>0</v>
      </c>
      <c r="G193" s="23"/>
      <c r="H193" s="2"/>
      <c r="I193" s="2"/>
      <c r="J193" s="2"/>
      <c r="K193" s="2"/>
    </row>
    <row r="194" ht="15.75" customHeight="1">
      <c r="A194" s="23"/>
      <c r="B194" s="23"/>
      <c r="C194" s="18" t="s">
        <v>32</v>
      </c>
      <c r="D194" s="19"/>
      <c r="E194" s="20">
        <v>1000.0</v>
      </c>
      <c r="F194" s="21">
        <f t="shared" si="1"/>
        <v>0</v>
      </c>
      <c r="G194" s="23"/>
      <c r="H194" s="2"/>
      <c r="I194" s="2"/>
      <c r="J194" s="2"/>
      <c r="K194" s="2"/>
    </row>
    <row r="195" ht="15.75" customHeight="1">
      <c r="A195" s="23"/>
      <c r="B195" s="23"/>
      <c r="C195" s="18" t="s">
        <v>33</v>
      </c>
      <c r="D195" s="19"/>
      <c r="E195" s="20">
        <v>300.0</v>
      </c>
      <c r="F195" s="21">
        <f t="shared" si="1"/>
        <v>0</v>
      </c>
      <c r="G195" s="23"/>
      <c r="H195" s="2"/>
      <c r="I195" s="2"/>
      <c r="J195" s="2"/>
      <c r="K195" s="2"/>
    </row>
    <row r="196" ht="15.75" customHeight="1">
      <c r="A196" s="23"/>
      <c r="B196" s="23"/>
      <c r="C196" s="18" t="s">
        <v>34</v>
      </c>
      <c r="D196" s="19"/>
      <c r="E196" s="20">
        <v>100.0</v>
      </c>
      <c r="F196" s="21">
        <f t="shared" si="1"/>
        <v>0</v>
      </c>
      <c r="G196" s="23"/>
      <c r="H196" s="2"/>
      <c r="I196" s="2"/>
      <c r="J196" s="2"/>
      <c r="K196" s="2"/>
    </row>
    <row r="197" ht="15.75" customHeight="1">
      <c r="A197" s="23"/>
      <c r="B197" s="23"/>
      <c r="C197" s="18" t="s">
        <v>35</v>
      </c>
      <c r="D197" s="19">
        <v>2.5</v>
      </c>
      <c r="E197" s="20">
        <v>500.0</v>
      </c>
      <c r="F197" s="21">
        <f t="shared" si="1"/>
        <v>1250</v>
      </c>
      <c r="G197" s="23"/>
      <c r="H197" s="2"/>
      <c r="I197" s="2"/>
      <c r="J197" s="2"/>
      <c r="K197" s="2"/>
    </row>
    <row r="198" ht="15.75" customHeight="1">
      <c r="A198" s="23"/>
      <c r="B198" s="23"/>
      <c r="C198" s="18" t="s">
        <v>36</v>
      </c>
      <c r="D198" s="19"/>
      <c r="E198" s="20">
        <v>1500.0</v>
      </c>
      <c r="F198" s="21">
        <f t="shared" si="1"/>
        <v>0</v>
      </c>
      <c r="G198" s="23"/>
      <c r="H198" s="2"/>
      <c r="I198" s="2"/>
      <c r="J198" s="2"/>
      <c r="K198" s="2"/>
    </row>
    <row r="199" ht="15.75" customHeight="1">
      <c r="A199" s="23"/>
      <c r="B199" s="23"/>
      <c r="C199" s="18" t="s">
        <v>37</v>
      </c>
      <c r="D199" s="19"/>
      <c r="E199" s="20">
        <v>4000.0</v>
      </c>
      <c r="F199" s="21">
        <f t="shared" si="1"/>
        <v>0</v>
      </c>
      <c r="G199" s="23"/>
      <c r="H199" s="2"/>
      <c r="I199" s="2"/>
      <c r="J199" s="2"/>
      <c r="K199" s="2"/>
    </row>
    <row r="200" ht="15.75" customHeight="1">
      <c r="A200" s="25"/>
      <c r="B200" s="25"/>
      <c r="C200" s="18" t="s">
        <v>38</v>
      </c>
      <c r="D200" s="19"/>
      <c r="E200" s="20">
        <v>0.0</v>
      </c>
      <c r="F200" s="21">
        <f t="shared" si="1"/>
        <v>0</v>
      </c>
      <c r="G200" s="25"/>
      <c r="H200" s="2"/>
      <c r="I200" s="2"/>
      <c r="J200" s="2"/>
      <c r="K200" s="2"/>
    </row>
    <row r="201" ht="15.75" customHeight="1">
      <c r="A201" s="16">
        <v>8.0</v>
      </c>
      <c r="B201" s="17"/>
      <c r="C201" s="18" t="s">
        <v>11</v>
      </c>
      <c r="D201" s="19"/>
      <c r="E201" s="20">
        <v>5000.0</v>
      </c>
      <c r="F201" s="21">
        <f t="shared" si="1"/>
        <v>0</v>
      </c>
      <c r="G201" s="22">
        <f>SUM(F201:F228)</f>
        <v>0</v>
      </c>
      <c r="H201" s="2"/>
      <c r="I201" s="2"/>
      <c r="J201" s="2"/>
      <c r="K201" s="2"/>
    </row>
    <row r="202" ht="15.75" customHeight="1">
      <c r="A202" s="23"/>
      <c r="B202" s="23"/>
      <c r="C202" s="18" t="s">
        <v>12</v>
      </c>
      <c r="D202" s="19"/>
      <c r="E202" s="20">
        <v>3000.0</v>
      </c>
      <c r="F202" s="21">
        <f t="shared" si="1"/>
        <v>0</v>
      </c>
      <c r="G202" s="23"/>
      <c r="H202" s="2"/>
      <c r="I202" s="2"/>
      <c r="J202" s="2"/>
      <c r="K202" s="2"/>
    </row>
    <row r="203" ht="15.75" customHeight="1">
      <c r="A203" s="23"/>
      <c r="B203" s="23"/>
      <c r="C203" s="18" t="s">
        <v>13</v>
      </c>
      <c r="D203" s="19"/>
      <c r="E203" s="20">
        <v>1000.0</v>
      </c>
      <c r="F203" s="21">
        <f t="shared" si="1"/>
        <v>0</v>
      </c>
      <c r="G203" s="23"/>
      <c r="H203" s="2"/>
      <c r="I203" s="2"/>
      <c r="J203" s="2"/>
      <c r="K203" s="2"/>
    </row>
    <row r="204" ht="15.75" customHeight="1">
      <c r="A204" s="23"/>
      <c r="B204" s="23"/>
      <c r="C204" s="18" t="s">
        <v>14</v>
      </c>
      <c r="D204" s="19"/>
      <c r="E204" s="20">
        <v>2800.0</v>
      </c>
      <c r="F204" s="21">
        <f t="shared" si="1"/>
        <v>0</v>
      </c>
      <c r="G204" s="23"/>
      <c r="H204" s="2"/>
      <c r="I204" s="2"/>
      <c r="J204" s="2"/>
      <c r="K204" s="2"/>
    </row>
    <row r="205" ht="15.75" customHeight="1">
      <c r="A205" s="23"/>
      <c r="B205" s="23"/>
      <c r="C205" s="18" t="s">
        <v>15</v>
      </c>
      <c r="D205" s="19"/>
      <c r="E205" s="20">
        <v>3500.0</v>
      </c>
      <c r="F205" s="21">
        <f t="shared" si="1"/>
        <v>0</v>
      </c>
      <c r="G205" s="23"/>
      <c r="H205" s="2"/>
      <c r="I205" s="2"/>
      <c r="J205" s="2"/>
      <c r="K205" s="2"/>
    </row>
    <row r="206" ht="15.75" customHeight="1">
      <c r="A206" s="23"/>
      <c r="B206" s="23"/>
      <c r="C206" s="18" t="s">
        <v>16</v>
      </c>
      <c r="D206" s="19"/>
      <c r="E206" s="20">
        <v>1000.0</v>
      </c>
      <c r="F206" s="21">
        <f t="shared" si="1"/>
        <v>0</v>
      </c>
      <c r="G206" s="23"/>
      <c r="H206" s="2"/>
      <c r="I206" s="2"/>
      <c r="J206" s="2"/>
      <c r="K206" s="2"/>
    </row>
    <row r="207" ht="15.75" customHeight="1">
      <c r="A207" s="23"/>
      <c r="B207" s="23"/>
      <c r="C207" s="18" t="s">
        <v>17</v>
      </c>
      <c r="D207" s="19"/>
      <c r="E207" s="20">
        <v>2000.0</v>
      </c>
      <c r="F207" s="21">
        <f t="shared" si="1"/>
        <v>0</v>
      </c>
      <c r="G207" s="23"/>
      <c r="H207" s="2"/>
      <c r="I207" s="2"/>
      <c r="J207" s="2"/>
      <c r="K207" s="2"/>
    </row>
    <row r="208" ht="15.75" customHeight="1">
      <c r="A208" s="23"/>
      <c r="B208" s="23"/>
      <c r="C208" s="18" t="s">
        <v>18</v>
      </c>
      <c r="D208" s="19"/>
      <c r="E208" s="20">
        <v>2000.0</v>
      </c>
      <c r="F208" s="21">
        <f t="shared" si="1"/>
        <v>0</v>
      </c>
      <c r="G208" s="23"/>
      <c r="H208" s="2"/>
      <c r="I208" s="2"/>
      <c r="J208" s="2"/>
      <c r="K208" s="2"/>
    </row>
    <row r="209" ht="15.75" customHeight="1">
      <c r="A209" s="23"/>
      <c r="B209" s="23"/>
      <c r="C209" s="18" t="s">
        <v>19</v>
      </c>
      <c r="D209" s="19"/>
      <c r="E209" s="20">
        <v>1300.0</v>
      </c>
      <c r="F209" s="21">
        <f t="shared" si="1"/>
        <v>0</v>
      </c>
      <c r="G209" s="23"/>
      <c r="H209" s="2"/>
      <c r="I209" s="2"/>
      <c r="J209" s="2"/>
      <c r="K209" s="2"/>
    </row>
    <row r="210" ht="15.75" customHeight="1">
      <c r="A210" s="23"/>
      <c r="B210" s="23"/>
      <c r="C210" s="18" t="s">
        <v>20</v>
      </c>
      <c r="D210" s="19"/>
      <c r="E210" s="20">
        <v>1000.0</v>
      </c>
      <c r="F210" s="21">
        <f t="shared" si="1"/>
        <v>0</v>
      </c>
      <c r="G210" s="23"/>
      <c r="H210" s="2"/>
      <c r="I210" s="2"/>
      <c r="J210" s="2"/>
      <c r="K210" s="2"/>
    </row>
    <row r="211" ht="15.75" customHeight="1">
      <c r="A211" s="23"/>
      <c r="B211" s="23"/>
      <c r="C211" s="18" t="s">
        <v>21</v>
      </c>
      <c r="D211" s="19"/>
      <c r="E211" s="20">
        <v>400.0</v>
      </c>
      <c r="F211" s="21">
        <f t="shared" si="1"/>
        <v>0</v>
      </c>
      <c r="G211" s="23"/>
      <c r="H211" s="2"/>
      <c r="I211" s="2"/>
      <c r="J211" s="2"/>
      <c r="K211" s="2"/>
    </row>
    <row r="212" ht="15.75" customHeight="1">
      <c r="A212" s="23"/>
      <c r="B212" s="23"/>
      <c r="C212" s="18" t="s">
        <v>22</v>
      </c>
      <c r="D212" s="19"/>
      <c r="E212" s="20">
        <v>7500.0</v>
      </c>
      <c r="F212" s="21">
        <f t="shared" si="1"/>
        <v>0</v>
      </c>
      <c r="G212" s="23"/>
      <c r="H212" s="2"/>
      <c r="I212" s="2"/>
      <c r="J212" s="2"/>
      <c r="K212" s="2"/>
    </row>
    <row r="213" ht="15.75" customHeight="1">
      <c r="A213" s="23"/>
      <c r="B213" s="23"/>
      <c r="C213" s="18" t="s">
        <v>23</v>
      </c>
      <c r="D213" s="19"/>
      <c r="E213" s="20">
        <v>2000.0</v>
      </c>
      <c r="F213" s="21">
        <f t="shared" si="1"/>
        <v>0</v>
      </c>
      <c r="G213" s="23"/>
      <c r="H213" s="2"/>
      <c r="I213" s="2"/>
      <c r="J213" s="2"/>
      <c r="K213" s="2"/>
    </row>
    <row r="214" ht="15.75" customHeight="1">
      <c r="A214" s="23"/>
      <c r="B214" s="23"/>
      <c r="C214" s="18" t="s">
        <v>24</v>
      </c>
      <c r="D214" s="19"/>
      <c r="E214" s="20">
        <v>800.0</v>
      </c>
      <c r="F214" s="21">
        <f t="shared" si="1"/>
        <v>0</v>
      </c>
      <c r="G214" s="23"/>
      <c r="H214" s="2"/>
      <c r="I214" s="2"/>
      <c r="J214" s="2"/>
      <c r="K214" s="2"/>
    </row>
    <row r="215" ht="15.75" customHeight="1">
      <c r="A215" s="23"/>
      <c r="B215" s="23"/>
      <c r="C215" s="18" t="s">
        <v>25</v>
      </c>
      <c r="D215" s="19"/>
      <c r="E215" s="20">
        <v>5000.0</v>
      </c>
      <c r="F215" s="21">
        <f t="shared" si="1"/>
        <v>0</v>
      </c>
      <c r="G215" s="23"/>
      <c r="H215" s="2"/>
      <c r="I215" s="2"/>
      <c r="J215" s="2"/>
      <c r="K215" s="2"/>
    </row>
    <row r="216" ht="15.75" customHeight="1">
      <c r="A216" s="23"/>
      <c r="B216" s="23"/>
      <c r="C216" s="18" t="s">
        <v>26</v>
      </c>
      <c r="D216" s="19"/>
      <c r="E216" s="20">
        <v>2700.0</v>
      </c>
      <c r="F216" s="21">
        <f t="shared" si="1"/>
        <v>0</v>
      </c>
      <c r="G216" s="23"/>
      <c r="H216" s="2"/>
      <c r="I216" s="2"/>
      <c r="J216" s="2"/>
      <c r="K216" s="2"/>
    </row>
    <row r="217" ht="15.75" customHeight="1">
      <c r="A217" s="23"/>
      <c r="B217" s="23"/>
      <c r="C217" s="18" t="s">
        <v>27</v>
      </c>
      <c r="D217" s="19"/>
      <c r="E217" s="20">
        <v>50000.0</v>
      </c>
      <c r="F217" s="21">
        <f t="shared" si="1"/>
        <v>0</v>
      </c>
      <c r="G217" s="23"/>
      <c r="H217" s="2"/>
      <c r="I217" s="2"/>
      <c r="J217" s="2"/>
      <c r="K217" s="2"/>
    </row>
    <row r="218" ht="15.75" customHeight="1">
      <c r="A218" s="23"/>
      <c r="B218" s="23"/>
      <c r="C218" s="18" t="s">
        <v>28</v>
      </c>
      <c r="D218" s="19"/>
      <c r="E218" s="20">
        <v>10000.0</v>
      </c>
      <c r="F218" s="21">
        <f t="shared" si="1"/>
        <v>0</v>
      </c>
      <c r="G218" s="23"/>
      <c r="H218" s="2"/>
      <c r="I218" s="2"/>
      <c r="J218" s="2"/>
      <c r="K218" s="2"/>
    </row>
    <row r="219" ht="15.75" customHeight="1">
      <c r="A219" s="23"/>
      <c r="B219" s="23"/>
      <c r="C219" s="18" t="s">
        <v>29</v>
      </c>
      <c r="D219" s="19"/>
      <c r="E219" s="20">
        <v>1000.0</v>
      </c>
      <c r="F219" s="21">
        <f t="shared" si="1"/>
        <v>0</v>
      </c>
      <c r="G219" s="23"/>
      <c r="H219" s="2"/>
      <c r="I219" s="2"/>
      <c r="J219" s="2"/>
      <c r="K219" s="2"/>
    </row>
    <row r="220" ht="15.75" customHeight="1">
      <c r="A220" s="23"/>
      <c r="B220" s="23"/>
      <c r="C220" s="18" t="s">
        <v>30</v>
      </c>
      <c r="D220" s="19"/>
      <c r="E220" s="20">
        <v>500.0</v>
      </c>
      <c r="F220" s="21">
        <f t="shared" si="1"/>
        <v>0</v>
      </c>
      <c r="G220" s="23"/>
      <c r="H220" s="2"/>
      <c r="I220" s="2"/>
      <c r="J220" s="2"/>
      <c r="K220" s="2"/>
    </row>
    <row r="221" ht="15.75" customHeight="1">
      <c r="A221" s="23"/>
      <c r="B221" s="23"/>
      <c r="C221" s="18" t="s">
        <v>31</v>
      </c>
      <c r="D221" s="19"/>
      <c r="E221" s="20">
        <v>200.0</v>
      </c>
      <c r="F221" s="21">
        <f t="shared" si="1"/>
        <v>0</v>
      </c>
      <c r="G221" s="23"/>
      <c r="H221" s="2"/>
      <c r="I221" s="2"/>
      <c r="J221" s="2"/>
      <c r="K221" s="2"/>
    </row>
    <row r="222" ht="15.75" customHeight="1">
      <c r="A222" s="23"/>
      <c r="B222" s="23"/>
      <c r="C222" s="18" t="s">
        <v>32</v>
      </c>
      <c r="D222" s="19"/>
      <c r="E222" s="20">
        <v>1000.0</v>
      </c>
      <c r="F222" s="21">
        <f t="shared" si="1"/>
        <v>0</v>
      </c>
      <c r="G222" s="23"/>
      <c r="H222" s="2"/>
      <c r="I222" s="2"/>
      <c r="J222" s="2"/>
      <c r="K222" s="2"/>
    </row>
    <row r="223" ht="15.75" customHeight="1">
      <c r="A223" s="23"/>
      <c r="B223" s="23"/>
      <c r="C223" s="18" t="s">
        <v>33</v>
      </c>
      <c r="D223" s="19"/>
      <c r="E223" s="20">
        <v>300.0</v>
      </c>
      <c r="F223" s="21">
        <f t="shared" si="1"/>
        <v>0</v>
      </c>
      <c r="G223" s="23"/>
      <c r="H223" s="2"/>
      <c r="I223" s="2"/>
      <c r="J223" s="2"/>
      <c r="K223" s="2"/>
    </row>
    <row r="224" ht="15.75" customHeight="1">
      <c r="A224" s="23"/>
      <c r="B224" s="23"/>
      <c r="C224" s="18" t="s">
        <v>34</v>
      </c>
      <c r="D224" s="19"/>
      <c r="E224" s="20">
        <v>100.0</v>
      </c>
      <c r="F224" s="21">
        <f t="shared" si="1"/>
        <v>0</v>
      </c>
      <c r="G224" s="23"/>
      <c r="H224" s="2"/>
      <c r="I224" s="2"/>
      <c r="J224" s="2"/>
      <c r="K224" s="2"/>
    </row>
    <row r="225" ht="15.75" customHeight="1">
      <c r="A225" s="23"/>
      <c r="B225" s="23"/>
      <c r="C225" s="18" t="s">
        <v>35</v>
      </c>
      <c r="D225" s="19"/>
      <c r="E225" s="20">
        <v>500.0</v>
      </c>
      <c r="F225" s="21">
        <f t="shared" si="1"/>
        <v>0</v>
      </c>
      <c r="G225" s="23"/>
      <c r="H225" s="2"/>
      <c r="I225" s="2"/>
      <c r="J225" s="2"/>
      <c r="K225" s="2"/>
    </row>
    <row r="226" ht="15.75" customHeight="1">
      <c r="A226" s="23"/>
      <c r="B226" s="23"/>
      <c r="C226" s="18" t="s">
        <v>36</v>
      </c>
      <c r="D226" s="19"/>
      <c r="E226" s="20">
        <v>1500.0</v>
      </c>
      <c r="F226" s="21">
        <f t="shared" si="1"/>
        <v>0</v>
      </c>
      <c r="G226" s="23"/>
      <c r="H226" s="2"/>
      <c r="I226" s="2"/>
      <c r="J226" s="2"/>
      <c r="K226" s="2"/>
    </row>
    <row r="227" ht="15.75" customHeight="1">
      <c r="A227" s="23"/>
      <c r="B227" s="23"/>
      <c r="C227" s="18" t="s">
        <v>37</v>
      </c>
      <c r="D227" s="19"/>
      <c r="E227" s="20">
        <v>4000.0</v>
      </c>
      <c r="F227" s="21">
        <f t="shared" si="1"/>
        <v>0</v>
      </c>
      <c r="G227" s="23"/>
      <c r="H227" s="2"/>
      <c r="I227" s="2"/>
      <c r="J227" s="2"/>
      <c r="K227" s="2"/>
    </row>
    <row r="228" ht="15.75" customHeight="1">
      <c r="A228" s="25"/>
      <c r="B228" s="25"/>
      <c r="C228" s="18" t="s">
        <v>38</v>
      </c>
      <c r="D228" s="19"/>
      <c r="E228" s="20">
        <v>0.0</v>
      </c>
      <c r="F228" s="21">
        <f t="shared" si="1"/>
        <v>0</v>
      </c>
      <c r="G228" s="25"/>
      <c r="H228" s="2"/>
      <c r="I228" s="2"/>
      <c r="J228" s="2"/>
      <c r="K228" s="2"/>
    </row>
    <row r="229" ht="15.75" customHeight="1">
      <c r="A229" s="33" t="s">
        <v>55</v>
      </c>
      <c r="B229" s="4"/>
      <c r="C229" s="4"/>
      <c r="D229" s="4"/>
      <c r="E229" s="4"/>
      <c r="F229" s="5"/>
      <c r="G229" s="31">
        <f>SUM(G5:G228)</f>
        <v>139550</v>
      </c>
      <c r="H229" s="2"/>
      <c r="I229" s="2"/>
      <c r="J229" s="2"/>
      <c r="K229" s="2"/>
    </row>
    <row r="230" ht="15.75" customHeight="1">
      <c r="A230" s="33" t="s">
        <v>56</v>
      </c>
      <c r="B230" s="4"/>
      <c r="C230" s="4"/>
      <c r="D230" s="4"/>
      <c r="E230" s="4"/>
      <c r="F230" s="5"/>
      <c r="G230" s="31">
        <f>G229*5%</f>
        <v>6977.5</v>
      </c>
      <c r="H230" s="2"/>
      <c r="I230" s="2"/>
      <c r="J230" s="2"/>
      <c r="K230" s="2"/>
    </row>
    <row r="231" ht="15.7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61:G88"/>
    <mergeCell ref="G89:G116"/>
    <mergeCell ref="G117:G144"/>
    <mergeCell ref="G145:G172"/>
    <mergeCell ref="G173:G200"/>
    <mergeCell ref="G201:G228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A228"/>
    <mergeCell ref="B201:B228"/>
    <mergeCell ref="A229:F229"/>
    <mergeCell ref="A230:F230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4.63"/>
    <col customWidth="1" min="2" max="2" width="14.5"/>
    <col customWidth="1" min="3" max="3" width="21.13"/>
    <col customWidth="1" min="4" max="4" width="9.38"/>
    <col customWidth="1" min="5" max="5" width="9.63"/>
    <col customWidth="1" min="6" max="6" width="13.75"/>
    <col customWidth="1" min="7" max="7" width="14.13"/>
    <col customWidth="1" min="8" max="8" width="6.5"/>
    <col customWidth="1" min="9" max="9" width="19.38"/>
    <col customWidth="1" min="14" max="14" width="21.38"/>
  </cols>
  <sheetData>
    <row r="1" ht="15.75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</row>
    <row r="2" ht="15.75" customHeight="1">
      <c r="A2" s="3" t="s">
        <v>0</v>
      </c>
      <c r="B2" s="4"/>
      <c r="C2" s="4"/>
      <c r="D2" s="4"/>
      <c r="E2" s="4"/>
      <c r="F2" s="4"/>
      <c r="G2" s="5"/>
      <c r="H2" s="2"/>
      <c r="I2" s="6" t="s">
        <v>1</v>
      </c>
      <c r="J2" s="7"/>
      <c r="K2" s="2"/>
    </row>
    <row r="3" ht="15.75" customHeight="1">
      <c r="A3" s="8"/>
      <c r="B3" s="8"/>
      <c r="C3" s="9"/>
      <c r="D3" s="9"/>
      <c r="E3" s="9"/>
      <c r="F3" s="9"/>
      <c r="G3" s="8"/>
      <c r="H3" s="2"/>
      <c r="I3" s="10"/>
      <c r="J3" s="11"/>
      <c r="K3" s="2"/>
    </row>
    <row r="4" ht="15.75" customHeight="1">
      <c r="A4" s="12" t="s">
        <v>2</v>
      </c>
      <c r="B4" s="12" t="s">
        <v>3</v>
      </c>
      <c r="C4" s="13" t="s">
        <v>4</v>
      </c>
      <c r="D4" s="14" t="s">
        <v>5</v>
      </c>
      <c r="E4" s="14" t="s">
        <v>6</v>
      </c>
      <c r="F4" s="14" t="s">
        <v>7</v>
      </c>
      <c r="G4" s="12" t="s">
        <v>8</v>
      </c>
      <c r="H4" s="2"/>
      <c r="I4" s="15" t="s">
        <v>9</v>
      </c>
      <c r="J4" s="15" t="s">
        <v>5</v>
      </c>
      <c r="K4" s="2"/>
    </row>
    <row r="5" ht="15.75" customHeight="1">
      <c r="A5" s="16">
        <v>1.0</v>
      </c>
      <c r="B5" s="17" t="s">
        <v>87</v>
      </c>
      <c r="C5" s="18" t="s">
        <v>11</v>
      </c>
      <c r="D5" s="19"/>
      <c r="E5" s="20">
        <v>5000.0</v>
      </c>
      <c r="F5" s="21">
        <f t="shared" ref="F5:F228" si="1">D5*E5</f>
        <v>0</v>
      </c>
      <c r="G5" s="22">
        <f>SUM(F5:F32)</f>
        <v>33500</v>
      </c>
      <c r="H5" s="2"/>
      <c r="I5" s="18" t="s">
        <v>11</v>
      </c>
      <c r="J5" s="15">
        <f>SUMIF(C5:C228,"Gelas bersih",D5:D228)</f>
        <v>1</v>
      </c>
      <c r="K5" s="2"/>
    </row>
    <row r="6" ht="15.75" customHeight="1">
      <c r="A6" s="23"/>
      <c r="B6" s="23"/>
      <c r="C6" s="18" t="s">
        <v>12</v>
      </c>
      <c r="D6" s="19"/>
      <c r="E6" s="20">
        <v>3000.0</v>
      </c>
      <c r="F6" s="21">
        <f t="shared" si="1"/>
        <v>0</v>
      </c>
      <c r="G6" s="23"/>
      <c r="H6" s="2"/>
      <c r="I6" s="18" t="s">
        <v>12</v>
      </c>
      <c r="J6" s="15">
        <f>SUMIF(C6:C229,"Botol bersih",D6:D229)</f>
        <v>16</v>
      </c>
      <c r="K6" s="2"/>
    </row>
    <row r="7" ht="15.75" customHeight="1">
      <c r="A7" s="23"/>
      <c r="B7" s="23"/>
      <c r="C7" s="18" t="s">
        <v>13</v>
      </c>
      <c r="D7" s="19"/>
      <c r="E7" s="20">
        <v>1000.0</v>
      </c>
      <c r="F7" s="21">
        <f t="shared" si="1"/>
        <v>0</v>
      </c>
      <c r="G7" s="23"/>
      <c r="H7" s="2"/>
      <c r="I7" s="18" t="s">
        <v>13</v>
      </c>
      <c r="J7" s="15">
        <f>SUMIF(C7:C230,"Botol Warna",D7:D230)</f>
        <v>4</v>
      </c>
      <c r="K7" s="2"/>
    </row>
    <row r="8" ht="15.75" customHeight="1">
      <c r="A8" s="23"/>
      <c r="B8" s="23"/>
      <c r="C8" s="18" t="s">
        <v>14</v>
      </c>
      <c r="D8" s="19"/>
      <c r="E8" s="20">
        <v>2800.0</v>
      </c>
      <c r="F8" s="21">
        <f t="shared" si="1"/>
        <v>0</v>
      </c>
      <c r="G8" s="23"/>
      <c r="H8" s="2"/>
      <c r="I8" s="18" t="s">
        <v>14</v>
      </c>
      <c r="J8" s="15">
        <f>SUMIF(C8:C231,"Tutup botol",D8:D231)</f>
        <v>1.5</v>
      </c>
      <c r="K8" s="2"/>
    </row>
    <row r="9" ht="15.75" customHeight="1">
      <c r="A9" s="23"/>
      <c r="B9" s="23"/>
      <c r="C9" s="18" t="s">
        <v>15</v>
      </c>
      <c r="D9" s="19"/>
      <c r="E9" s="20">
        <v>3500.0</v>
      </c>
      <c r="F9" s="21">
        <f t="shared" si="1"/>
        <v>0</v>
      </c>
      <c r="G9" s="23"/>
      <c r="H9" s="2"/>
      <c r="I9" s="18" t="s">
        <v>15</v>
      </c>
      <c r="J9" s="15">
        <f>SUMIF(C9:C232,"Tutup galon",D9:D232)</f>
        <v>0</v>
      </c>
      <c r="K9" s="2"/>
    </row>
    <row r="10" ht="15.75" customHeight="1">
      <c r="A10" s="23"/>
      <c r="B10" s="23"/>
      <c r="C10" s="18" t="s">
        <v>16</v>
      </c>
      <c r="D10" s="19">
        <v>3.0</v>
      </c>
      <c r="E10" s="20">
        <v>1000.0</v>
      </c>
      <c r="F10" s="21">
        <f t="shared" si="1"/>
        <v>3000</v>
      </c>
      <c r="G10" s="23"/>
      <c r="H10" s="2"/>
      <c r="I10" s="18" t="s">
        <v>16</v>
      </c>
      <c r="J10" s="15">
        <f>SUMIF(C10:C233,"Hitam",D10:D233)</f>
        <v>24</v>
      </c>
      <c r="K10" s="2"/>
    </row>
    <row r="11" ht="15.75" customHeight="1">
      <c r="A11" s="23"/>
      <c r="B11" s="23"/>
      <c r="C11" s="18" t="s">
        <v>17</v>
      </c>
      <c r="D11" s="19"/>
      <c r="E11" s="20">
        <v>2000.0</v>
      </c>
      <c r="F11" s="21">
        <f t="shared" si="1"/>
        <v>0</v>
      </c>
      <c r="G11" s="23"/>
      <c r="H11" s="2"/>
      <c r="I11" s="18" t="s">
        <v>17</v>
      </c>
      <c r="J11" s="15">
        <f>SUMIF(C11:C234,"Plastik Campur",D11:D234)</f>
        <v>7</v>
      </c>
      <c r="K11" s="2"/>
    </row>
    <row r="12" ht="15.75" customHeight="1">
      <c r="A12" s="23"/>
      <c r="B12" s="23"/>
      <c r="C12" s="18" t="s">
        <v>18</v>
      </c>
      <c r="D12" s="19"/>
      <c r="E12" s="20">
        <v>2000.0</v>
      </c>
      <c r="F12" s="21">
        <f t="shared" si="1"/>
        <v>0</v>
      </c>
      <c r="G12" s="23"/>
      <c r="H12" s="2"/>
      <c r="I12" s="18" t="s">
        <v>18</v>
      </c>
      <c r="J12" s="15">
        <f>SUMIF(C12:C235,"Kardus",D12:D235)</f>
        <v>45</v>
      </c>
      <c r="K12" s="2"/>
    </row>
    <row r="13" ht="15.75" customHeight="1">
      <c r="A13" s="23"/>
      <c r="B13" s="23"/>
      <c r="C13" s="18" t="s">
        <v>19</v>
      </c>
      <c r="D13" s="19"/>
      <c r="E13" s="20">
        <v>1300.0</v>
      </c>
      <c r="F13" s="21">
        <f t="shared" si="1"/>
        <v>0</v>
      </c>
      <c r="G13" s="23"/>
      <c r="H13" s="2"/>
      <c r="I13" s="18" t="s">
        <v>19</v>
      </c>
      <c r="J13" s="15">
        <f>SUMIF(C13:C236,"Kertas Putihan/ HVS",D13:D236)</f>
        <v>0</v>
      </c>
      <c r="K13" s="2"/>
    </row>
    <row r="14" ht="15.75" customHeight="1">
      <c r="A14" s="23"/>
      <c r="B14" s="23"/>
      <c r="C14" s="18" t="s">
        <v>20</v>
      </c>
      <c r="D14" s="19"/>
      <c r="E14" s="20">
        <v>1000.0</v>
      </c>
      <c r="F14" s="21">
        <f t="shared" si="1"/>
        <v>0</v>
      </c>
      <c r="G14" s="23"/>
      <c r="H14" s="2"/>
      <c r="I14" s="18" t="s">
        <v>20</v>
      </c>
      <c r="J14" s="15">
        <f>SUMIF(C14:C237,"Koran/Buku",D14:D237)</f>
        <v>0</v>
      </c>
      <c r="K14" s="2"/>
    </row>
    <row r="15" ht="15.75" customHeight="1">
      <c r="A15" s="23"/>
      <c r="B15" s="23"/>
      <c r="C15" s="18" t="s">
        <v>21</v>
      </c>
      <c r="D15" s="19"/>
      <c r="E15" s="20">
        <v>400.0</v>
      </c>
      <c r="F15" s="21">
        <f t="shared" si="1"/>
        <v>0</v>
      </c>
      <c r="G15" s="23"/>
      <c r="H15" s="2"/>
      <c r="I15" s="18" t="s">
        <v>21</v>
      </c>
      <c r="J15" s="15">
        <f>SUMIF(C15:C238,"Duplex",D15:D238)</f>
        <v>0</v>
      </c>
      <c r="K15" s="2"/>
    </row>
    <row r="16" ht="15.75" customHeight="1">
      <c r="A16" s="23"/>
      <c r="B16" s="23"/>
      <c r="C16" s="18" t="s">
        <v>22</v>
      </c>
      <c r="D16" s="19">
        <v>4.0</v>
      </c>
      <c r="E16" s="20">
        <v>7500.0</v>
      </c>
      <c r="F16" s="21">
        <f t="shared" si="1"/>
        <v>30000</v>
      </c>
      <c r="G16" s="23"/>
      <c r="H16" s="2"/>
      <c r="I16" s="18" t="s">
        <v>22</v>
      </c>
      <c r="J16" s="15">
        <f>SUMIF(C16:C239,"Alumunium",D16:D239)</f>
        <v>6</v>
      </c>
      <c r="K16" s="2"/>
    </row>
    <row r="17" ht="15.75" customHeight="1">
      <c r="A17" s="23"/>
      <c r="B17" s="23"/>
      <c r="C17" s="18" t="s">
        <v>23</v>
      </c>
      <c r="D17" s="19"/>
      <c r="E17" s="20">
        <v>2000.0</v>
      </c>
      <c r="F17" s="21">
        <f t="shared" si="1"/>
        <v>0</v>
      </c>
      <c r="G17" s="23"/>
      <c r="H17" s="2"/>
      <c r="I17" s="18" t="s">
        <v>23</v>
      </c>
      <c r="J17" s="15">
        <f>SUMIF(C17:C240,"Besi",D17:D240)</f>
        <v>0</v>
      </c>
      <c r="K17" s="2"/>
    </row>
    <row r="18" ht="15.75" customHeight="1">
      <c r="A18" s="23"/>
      <c r="B18" s="23"/>
      <c r="C18" s="18" t="s">
        <v>24</v>
      </c>
      <c r="D18" s="19"/>
      <c r="E18" s="20">
        <v>800.0</v>
      </c>
      <c r="F18" s="21">
        <f t="shared" si="1"/>
        <v>0</v>
      </c>
      <c r="G18" s="23"/>
      <c r="H18" s="2"/>
      <c r="I18" s="18" t="s">
        <v>24</v>
      </c>
      <c r="J18" s="15">
        <f>SUMIF(C18:C241,"Kaleng kue/susu",D18:D241)</f>
        <v>19</v>
      </c>
      <c r="K18" s="2"/>
    </row>
    <row r="19" ht="15.75" customHeight="1">
      <c r="A19" s="23"/>
      <c r="B19" s="23"/>
      <c r="C19" s="18" t="s">
        <v>25</v>
      </c>
      <c r="D19" s="19"/>
      <c r="E19" s="20">
        <v>5000.0</v>
      </c>
      <c r="F19" s="21">
        <f t="shared" si="1"/>
        <v>0</v>
      </c>
      <c r="G19" s="23"/>
      <c r="H19" s="2"/>
      <c r="I19" s="18" t="s">
        <v>25</v>
      </c>
      <c r="J19" s="15">
        <f>SUMIF(C19:C242,"Kaleng Minuman",D19:D242)</f>
        <v>2.5</v>
      </c>
      <c r="K19" s="2"/>
    </row>
    <row r="20" ht="15.75" customHeight="1">
      <c r="A20" s="23"/>
      <c r="B20" s="23"/>
      <c r="C20" s="18" t="s">
        <v>26</v>
      </c>
      <c r="D20" s="19"/>
      <c r="E20" s="20">
        <v>2700.0</v>
      </c>
      <c r="F20" s="21">
        <f t="shared" si="1"/>
        <v>0</v>
      </c>
      <c r="G20" s="23"/>
      <c r="H20" s="2"/>
      <c r="I20" s="18" t="s">
        <v>26</v>
      </c>
      <c r="J20" s="15">
        <f>SUMIF(C20:C243,"Stanless",D20:D243)</f>
        <v>0</v>
      </c>
      <c r="K20" s="2"/>
    </row>
    <row r="21" ht="15.75" customHeight="1">
      <c r="A21" s="23"/>
      <c r="B21" s="23"/>
      <c r="C21" s="18" t="s">
        <v>27</v>
      </c>
      <c r="D21" s="19"/>
      <c r="E21" s="20">
        <v>50000.0</v>
      </c>
      <c r="F21" s="21">
        <f t="shared" si="1"/>
        <v>0</v>
      </c>
      <c r="G21" s="23"/>
      <c r="H21" s="2"/>
      <c r="I21" s="18" t="s">
        <v>27</v>
      </c>
      <c r="J21" s="15">
        <f>SUMIF(C21:C244,"Tembaga",D21:D244)</f>
        <v>0</v>
      </c>
      <c r="K21" s="2"/>
    </row>
    <row r="22" ht="15.75" customHeight="1">
      <c r="A22" s="23"/>
      <c r="B22" s="23"/>
      <c r="C22" s="18" t="s">
        <v>28</v>
      </c>
      <c r="D22" s="19"/>
      <c r="E22" s="20">
        <v>10000.0</v>
      </c>
      <c r="F22" s="21">
        <f t="shared" si="1"/>
        <v>0</v>
      </c>
      <c r="G22" s="23"/>
      <c r="H22" s="2"/>
      <c r="I22" s="18" t="s">
        <v>28</v>
      </c>
      <c r="J22" s="15">
        <f>SUMIF(C22:C245,"Aki Motor",D22:D245)</f>
        <v>0</v>
      </c>
      <c r="K22" s="2"/>
    </row>
    <row r="23" ht="15.75" customHeight="1">
      <c r="A23" s="23"/>
      <c r="B23" s="23"/>
      <c r="C23" s="18" t="s">
        <v>29</v>
      </c>
      <c r="D23" s="19"/>
      <c r="E23" s="20">
        <v>1000.0</v>
      </c>
      <c r="F23" s="21">
        <f t="shared" si="1"/>
        <v>0</v>
      </c>
      <c r="G23" s="23"/>
      <c r="H23" s="2"/>
      <c r="I23" s="18" t="s">
        <v>29</v>
      </c>
      <c r="J23" s="15">
        <f>SUMIF(C23:C246,"Paralon",D23:D246)</f>
        <v>0</v>
      </c>
      <c r="K23" s="2"/>
    </row>
    <row r="24" ht="15.75" customHeight="1">
      <c r="A24" s="23"/>
      <c r="B24" s="23"/>
      <c r="C24" s="18" t="s">
        <v>30</v>
      </c>
      <c r="D24" s="19"/>
      <c r="E24" s="20">
        <v>500.0</v>
      </c>
      <c r="F24" s="21">
        <f t="shared" si="1"/>
        <v>0</v>
      </c>
      <c r="G24" s="23"/>
      <c r="H24" s="2"/>
      <c r="I24" s="18" t="s">
        <v>30</v>
      </c>
      <c r="J24" s="15">
        <f>SUMIF(C24:C247,"Plastik bening",D24:D247)</f>
        <v>1</v>
      </c>
      <c r="K24" s="2"/>
    </row>
    <row r="25" ht="15.75" customHeight="1">
      <c r="A25" s="23"/>
      <c r="B25" s="23"/>
      <c r="C25" s="18" t="s">
        <v>31</v>
      </c>
      <c r="D25" s="19"/>
      <c r="E25" s="20">
        <v>200.0</v>
      </c>
      <c r="F25" s="21">
        <f t="shared" si="1"/>
        <v>0</v>
      </c>
      <c r="G25" s="23"/>
      <c r="H25" s="2"/>
      <c r="I25" s="18" t="s">
        <v>31</v>
      </c>
      <c r="J25" s="15">
        <f>SUMIF(C25:C248,"Plastik Warna",D25:D248)</f>
        <v>0</v>
      </c>
      <c r="K25" s="2"/>
    </row>
    <row r="26" ht="15.75" customHeight="1">
      <c r="A26" s="23"/>
      <c r="B26" s="23"/>
      <c r="C26" s="18" t="s">
        <v>32</v>
      </c>
      <c r="D26" s="19"/>
      <c r="E26" s="20">
        <v>1000.0</v>
      </c>
      <c r="F26" s="21">
        <f t="shared" si="1"/>
        <v>0</v>
      </c>
      <c r="G26" s="23"/>
      <c r="H26" s="2"/>
      <c r="I26" s="18" t="s">
        <v>32</v>
      </c>
      <c r="J26" s="15">
        <f>SUMIF(C26:C249,"Selang",D26:D249)</f>
        <v>0</v>
      </c>
      <c r="K26" s="2"/>
    </row>
    <row r="27" ht="15.75" customHeight="1">
      <c r="A27" s="23"/>
      <c r="B27" s="23"/>
      <c r="C27" s="18" t="s">
        <v>33</v>
      </c>
      <c r="D27" s="19"/>
      <c r="E27" s="20">
        <v>300.0</v>
      </c>
      <c r="F27" s="21">
        <f t="shared" si="1"/>
        <v>0</v>
      </c>
      <c r="G27" s="23"/>
      <c r="H27" s="2"/>
      <c r="I27" s="18" t="s">
        <v>33</v>
      </c>
      <c r="J27" s="15">
        <f>SUMIF(C27:C250,"Beling",D27:D250)</f>
        <v>17</v>
      </c>
      <c r="K27" s="2"/>
    </row>
    <row r="28" ht="15.75" customHeight="1">
      <c r="A28" s="23"/>
      <c r="B28" s="23"/>
      <c r="C28" s="18" t="s">
        <v>34</v>
      </c>
      <c r="D28" s="19">
        <v>5.0</v>
      </c>
      <c r="E28" s="20">
        <v>100.0</v>
      </c>
      <c r="F28" s="21">
        <f t="shared" si="1"/>
        <v>500</v>
      </c>
      <c r="G28" s="23"/>
      <c r="H28" s="2"/>
      <c r="I28" s="18" t="s">
        <v>34</v>
      </c>
      <c r="J28" s="15">
        <f>SUMIF(C28:C251,"Pecahan",D28:D251)</f>
        <v>5</v>
      </c>
      <c r="K28" s="2"/>
    </row>
    <row r="29" ht="15.75" customHeight="1">
      <c r="A29" s="23"/>
      <c r="B29" s="23"/>
      <c r="C29" s="18" t="s">
        <v>35</v>
      </c>
      <c r="D29" s="19"/>
      <c r="E29" s="20">
        <v>500.0</v>
      </c>
      <c r="F29" s="21">
        <f t="shared" si="1"/>
        <v>0</v>
      </c>
      <c r="G29" s="23"/>
      <c r="H29" s="2"/>
      <c r="I29" s="18" t="s">
        <v>35</v>
      </c>
      <c r="J29" s="15">
        <f>SUMIF(C29:C252,"Sendal/Sepatu",D29:D252)</f>
        <v>0</v>
      </c>
      <c r="K29" s="2"/>
    </row>
    <row r="30" ht="15.75" customHeight="1">
      <c r="A30" s="23"/>
      <c r="B30" s="23"/>
      <c r="C30" s="18" t="s">
        <v>36</v>
      </c>
      <c r="D30" s="19"/>
      <c r="E30" s="24">
        <v>1500.0</v>
      </c>
      <c r="F30" s="21">
        <f t="shared" si="1"/>
        <v>0</v>
      </c>
      <c r="G30" s="23"/>
      <c r="H30" s="2"/>
      <c r="I30" s="18" t="s">
        <v>36</v>
      </c>
      <c r="J30" s="15">
        <f>SUMIF(C30:C253,"Paku",D30:D253)</f>
        <v>6</v>
      </c>
      <c r="K30" s="2"/>
    </row>
    <row r="31" ht="15.75" customHeight="1">
      <c r="A31" s="23"/>
      <c r="B31" s="23"/>
      <c r="C31" s="18" t="s">
        <v>37</v>
      </c>
      <c r="D31" s="19"/>
      <c r="E31" s="20">
        <v>4000.0</v>
      </c>
      <c r="F31" s="21">
        <f t="shared" si="1"/>
        <v>0</v>
      </c>
      <c r="G31" s="23"/>
      <c r="H31" s="2"/>
      <c r="I31" s="18" t="s">
        <v>37</v>
      </c>
      <c r="J31" s="15">
        <f>SUMIF(C31:C254,"Minyak Jelantah",D31:D254)</f>
        <v>0</v>
      </c>
      <c r="K31" s="2"/>
    </row>
    <row r="32" ht="15.75" customHeight="1">
      <c r="A32" s="25"/>
      <c r="B32" s="25"/>
      <c r="C32" s="18" t="s">
        <v>38</v>
      </c>
      <c r="D32" s="19"/>
      <c r="E32" s="20">
        <v>0.0</v>
      </c>
      <c r="F32" s="21">
        <f t="shared" si="1"/>
        <v>0</v>
      </c>
      <c r="G32" s="25"/>
      <c r="H32" s="2"/>
      <c r="I32" s="18" t="s">
        <v>38</v>
      </c>
      <c r="J32" s="15">
        <f>SUMIF(C32:C255,"Lainnya",D32:D255)</f>
        <v>21</v>
      </c>
      <c r="K32" s="2"/>
    </row>
    <row r="33" ht="15.75" customHeight="1">
      <c r="A33" s="16">
        <v>2.0</v>
      </c>
      <c r="B33" s="17" t="s">
        <v>88</v>
      </c>
      <c r="C33" s="18" t="s">
        <v>11</v>
      </c>
      <c r="D33" s="19"/>
      <c r="E33" s="20">
        <v>5000.0</v>
      </c>
      <c r="F33" s="21">
        <f t="shared" si="1"/>
        <v>0</v>
      </c>
      <c r="G33" s="22">
        <f>SUM(F33:F60)</f>
        <v>3000</v>
      </c>
      <c r="H33" s="2"/>
      <c r="I33" s="2"/>
      <c r="J33" s="2"/>
      <c r="K33" s="2"/>
    </row>
    <row r="34" ht="15.75" customHeight="1">
      <c r="A34" s="23"/>
      <c r="B34" s="23"/>
      <c r="C34" s="18" t="s">
        <v>12</v>
      </c>
      <c r="D34" s="19">
        <v>1.0</v>
      </c>
      <c r="E34" s="20">
        <v>3000.0</v>
      </c>
      <c r="F34" s="21">
        <f t="shared" si="1"/>
        <v>3000</v>
      </c>
      <c r="G34" s="23"/>
      <c r="H34" s="2"/>
      <c r="I34" s="26" t="s">
        <v>40</v>
      </c>
      <c r="J34" s="26" t="s">
        <v>41</v>
      </c>
      <c r="K34" s="26" t="s">
        <v>42</v>
      </c>
      <c r="L34" s="26" t="s">
        <v>33</v>
      </c>
      <c r="M34" s="26" t="s">
        <v>43</v>
      </c>
      <c r="N34" s="26" t="s">
        <v>37</v>
      </c>
    </row>
    <row r="35" ht="15.75" customHeight="1">
      <c r="A35" s="23"/>
      <c r="B35" s="23"/>
      <c r="C35" s="18" t="s">
        <v>13</v>
      </c>
      <c r="D35" s="19"/>
      <c r="E35" s="20">
        <v>1000.0</v>
      </c>
      <c r="F35" s="21">
        <f t="shared" si="1"/>
        <v>0</v>
      </c>
      <c r="G35" s="23"/>
      <c r="H35" s="2"/>
      <c r="I35" s="27">
        <f>J5+J6+J7+J8+J9+J10+J11+J23+J24+J25+J26</f>
        <v>54.5</v>
      </c>
      <c r="J35" s="27">
        <f>J12+J13+J14+J15</f>
        <v>45</v>
      </c>
      <c r="K35" s="27">
        <f>J19+J18+J20+J21+J30+J17+J16</f>
        <v>33.5</v>
      </c>
      <c r="L35" s="27">
        <f>J27+J28</f>
        <v>22</v>
      </c>
      <c r="M35" s="27">
        <f>J32</f>
        <v>21</v>
      </c>
      <c r="N35" s="27">
        <f>J31</f>
        <v>0</v>
      </c>
    </row>
    <row r="36" ht="15.75" customHeight="1">
      <c r="A36" s="23"/>
      <c r="B36" s="23"/>
      <c r="C36" s="18" t="s">
        <v>14</v>
      </c>
      <c r="D36" s="19"/>
      <c r="E36" s="20">
        <v>2800.0</v>
      </c>
      <c r="F36" s="21">
        <f t="shared" si="1"/>
        <v>0</v>
      </c>
      <c r="G36" s="23"/>
      <c r="H36" s="2"/>
      <c r="I36" s="2"/>
      <c r="J36" s="2"/>
      <c r="K36" s="2"/>
    </row>
    <row r="37" ht="15.75" customHeight="1">
      <c r="A37" s="23"/>
      <c r="B37" s="23"/>
      <c r="C37" s="18" t="s">
        <v>15</v>
      </c>
      <c r="D37" s="19"/>
      <c r="E37" s="20">
        <v>3500.0</v>
      </c>
      <c r="F37" s="21">
        <f t="shared" si="1"/>
        <v>0</v>
      </c>
      <c r="G37" s="23"/>
      <c r="H37" s="2"/>
      <c r="I37" s="2"/>
      <c r="J37" s="2"/>
      <c r="K37" s="2"/>
    </row>
    <row r="38" ht="15.75" customHeight="1">
      <c r="A38" s="23"/>
      <c r="B38" s="23"/>
      <c r="C38" s="18" t="s">
        <v>16</v>
      </c>
      <c r="D38" s="19"/>
      <c r="E38" s="20">
        <v>1000.0</v>
      </c>
      <c r="F38" s="21">
        <f t="shared" si="1"/>
        <v>0</v>
      </c>
      <c r="G38" s="23"/>
      <c r="H38" s="2"/>
      <c r="I38" s="2"/>
      <c r="J38" s="2"/>
      <c r="K38" s="2"/>
    </row>
    <row r="39" ht="15.75" customHeight="1">
      <c r="A39" s="23"/>
      <c r="B39" s="23"/>
      <c r="C39" s="18" t="s">
        <v>17</v>
      </c>
      <c r="D39" s="19"/>
      <c r="E39" s="20">
        <v>2000.0</v>
      </c>
      <c r="F39" s="21">
        <f t="shared" si="1"/>
        <v>0</v>
      </c>
      <c r="G39" s="23"/>
      <c r="H39" s="2"/>
      <c r="I39" s="2"/>
      <c r="J39" s="2"/>
      <c r="K39" s="2"/>
    </row>
    <row r="40" ht="15.75" customHeight="1">
      <c r="A40" s="23"/>
      <c r="B40" s="23"/>
      <c r="C40" s="18" t="s">
        <v>18</v>
      </c>
      <c r="D40" s="19"/>
      <c r="E40" s="20">
        <v>2000.0</v>
      </c>
      <c r="F40" s="21">
        <f t="shared" si="1"/>
        <v>0</v>
      </c>
      <c r="G40" s="23"/>
      <c r="H40" s="2"/>
      <c r="I40" s="2"/>
      <c r="J40" s="2"/>
      <c r="K40" s="2"/>
    </row>
    <row r="41" ht="15.75" customHeight="1">
      <c r="A41" s="23"/>
      <c r="B41" s="23"/>
      <c r="C41" s="18" t="s">
        <v>19</v>
      </c>
      <c r="D41" s="19"/>
      <c r="E41" s="20">
        <v>1300.0</v>
      </c>
      <c r="F41" s="21">
        <f t="shared" si="1"/>
        <v>0</v>
      </c>
      <c r="G41" s="23"/>
      <c r="H41" s="2"/>
      <c r="I41" s="2"/>
      <c r="J41" s="2"/>
      <c r="K41" s="2"/>
    </row>
    <row r="42" ht="15.75" customHeight="1">
      <c r="A42" s="23"/>
      <c r="B42" s="23"/>
      <c r="C42" s="18" t="s">
        <v>20</v>
      </c>
      <c r="D42" s="19"/>
      <c r="E42" s="20">
        <v>1000.0</v>
      </c>
      <c r="F42" s="21">
        <f t="shared" si="1"/>
        <v>0</v>
      </c>
      <c r="G42" s="23"/>
      <c r="H42" s="2"/>
      <c r="I42" s="2"/>
      <c r="J42" s="2"/>
      <c r="K42" s="2"/>
    </row>
    <row r="43" ht="15.75" customHeight="1">
      <c r="A43" s="23"/>
      <c r="B43" s="23"/>
      <c r="C43" s="18" t="s">
        <v>21</v>
      </c>
      <c r="D43" s="19"/>
      <c r="E43" s="20">
        <v>400.0</v>
      </c>
      <c r="F43" s="21">
        <f t="shared" si="1"/>
        <v>0</v>
      </c>
      <c r="G43" s="23"/>
      <c r="H43" s="2"/>
      <c r="I43" s="2"/>
      <c r="J43" s="2"/>
      <c r="K43" s="2"/>
    </row>
    <row r="44" ht="15.75" customHeight="1">
      <c r="A44" s="23"/>
      <c r="B44" s="23"/>
      <c r="C44" s="18" t="s">
        <v>22</v>
      </c>
      <c r="D44" s="19"/>
      <c r="E44" s="20">
        <v>7500.0</v>
      </c>
      <c r="F44" s="21">
        <f t="shared" si="1"/>
        <v>0</v>
      </c>
      <c r="G44" s="23"/>
      <c r="H44" s="2"/>
      <c r="I44" s="2"/>
      <c r="J44" s="2"/>
      <c r="K44" s="2"/>
    </row>
    <row r="45" ht="15.75" customHeight="1">
      <c r="A45" s="23"/>
      <c r="B45" s="23"/>
      <c r="C45" s="18" t="s">
        <v>23</v>
      </c>
      <c r="D45" s="19"/>
      <c r="E45" s="20">
        <v>2000.0</v>
      </c>
      <c r="F45" s="21">
        <f t="shared" si="1"/>
        <v>0</v>
      </c>
      <c r="G45" s="23"/>
      <c r="H45" s="2"/>
      <c r="I45" s="2"/>
      <c r="J45" s="2"/>
      <c r="K45" s="2"/>
    </row>
    <row r="46" ht="15.75" customHeight="1">
      <c r="A46" s="23"/>
      <c r="B46" s="23"/>
      <c r="C46" s="18" t="s">
        <v>24</v>
      </c>
      <c r="D46" s="19"/>
      <c r="E46" s="20">
        <v>800.0</v>
      </c>
      <c r="F46" s="21">
        <f t="shared" si="1"/>
        <v>0</v>
      </c>
      <c r="G46" s="23"/>
      <c r="H46" s="2"/>
      <c r="I46" s="2"/>
      <c r="J46" s="2"/>
      <c r="K46" s="2"/>
    </row>
    <row r="47" ht="15.75" customHeight="1">
      <c r="A47" s="23"/>
      <c r="B47" s="23"/>
      <c r="C47" s="18" t="s">
        <v>25</v>
      </c>
      <c r="D47" s="19"/>
      <c r="E47" s="20">
        <v>5000.0</v>
      </c>
      <c r="F47" s="21">
        <f t="shared" si="1"/>
        <v>0</v>
      </c>
      <c r="G47" s="23"/>
      <c r="H47" s="2"/>
      <c r="I47" s="2"/>
      <c r="J47" s="2"/>
      <c r="K47" s="2"/>
    </row>
    <row r="48" ht="15.75" customHeight="1">
      <c r="A48" s="23"/>
      <c r="B48" s="23"/>
      <c r="C48" s="18" t="s">
        <v>26</v>
      </c>
      <c r="D48" s="19"/>
      <c r="E48" s="20">
        <v>2700.0</v>
      </c>
      <c r="F48" s="21">
        <f t="shared" si="1"/>
        <v>0</v>
      </c>
      <c r="G48" s="23"/>
      <c r="H48" s="2"/>
      <c r="I48" s="2"/>
      <c r="J48" s="2"/>
      <c r="K48" s="2"/>
    </row>
    <row r="49" ht="15.75" customHeight="1">
      <c r="A49" s="23"/>
      <c r="B49" s="23"/>
      <c r="C49" s="18" t="s">
        <v>27</v>
      </c>
      <c r="D49" s="19"/>
      <c r="E49" s="20">
        <v>50000.0</v>
      </c>
      <c r="F49" s="21">
        <f t="shared" si="1"/>
        <v>0</v>
      </c>
      <c r="G49" s="23"/>
      <c r="H49" s="2"/>
      <c r="I49" s="2"/>
      <c r="J49" s="2"/>
      <c r="K49" s="2"/>
    </row>
    <row r="50" ht="15.75" customHeight="1">
      <c r="A50" s="23"/>
      <c r="B50" s="23"/>
      <c r="C50" s="18" t="s">
        <v>28</v>
      </c>
      <c r="D50" s="19"/>
      <c r="E50" s="20">
        <v>10000.0</v>
      </c>
      <c r="F50" s="21">
        <f t="shared" si="1"/>
        <v>0</v>
      </c>
      <c r="G50" s="23"/>
      <c r="H50" s="2"/>
      <c r="I50" s="2"/>
      <c r="J50" s="2"/>
      <c r="K50" s="2"/>
    </row>
    <row r="51" ht="15.75" customHeight="1">
      <c r="A51" s="23"/>
      <c r="B51" s="23"/>
      <c r="C51" s="18" t="s">
        <v>29</v>
      </c>
      <c r="D51" s="19"/>
      <c r="E51" s="20">
        <v>1000.0</v>
      </c>
      <c r="F51" s="21">
        <f t="shared" si="1"/>
        <v>0</v>
      </c>
      <c r="G51" s="23"/>
      <c r="H51" s="2"/>
      <c r="I51" s="2"/>
      <c r="J51" s="2"/>
      <c r="K51" s="2"/>
    </row>
    <row r="52" ht="15.75" customHeight="1">
      <c r="A52" s="23"/>
      <c r="B52" s="23"/>
      <c r="C52" s="18" t="s">
        <v>30</v>
      </c>
      <c r="D52" s="19"/>
      <c r="E52" s="20">
        <v>500.0</v>
      </c>
      <c r="F52" s="21">
        <f t="shared" si="1"/>
        <v>0</v>
      </c>
      <c r="G52" s="23"/>
      <c r="H52" s="2"/>
      <c r="I52" s="2"/>
      <c r="J52" s="2"/>
      <c r="K52" s="2"/>
    </row>
    <row r="53" ht="15.75" customHeight="1">
      <c r="A53" s="23"/>
      <c r="B53" s="23"/>
      <c r="C53" s="18" t="s">
        <v>31</v>
      </c>
      <c r="D53" s="19"/>
      <c r="E53" s="20">
        <v>200.0</v>
      </c>
      <c r="F53" s="21">
        <f t="shared" si="1"/>
        <v>0</v>
      </c>
      <c r="G53" s="23"/>
      <c r="H53" s="2"/>
      <c r="I53" s="2"/>
      <c r="J53" s="2"/>
      <c r="K53" s="2"/>
    </row>
    <row r="54" ht="15.75" customHeight="1">
      <c r="A54" s="23"/>
      <c r="B54" s="23"/>
      <c r="C54" s="18" t="s">
        <v>32</v>
      </c>
      <c r="D54" s="19"/>
      <c r="E54" s="20">
        <v>1000.0</v>
      </c>
      <c r="F54" s="21">
        <f t="shared" si="1"/>
        <v>0</v>
      </c>
      <c r="G54" s="23"/>
      <c r="H54" s="2"/>
      <c r="I54" s="2"/>
      <c r="J54" s="2"/>
      <c r="K54" s="2"/>
    </row>
    <row r="55" ht="15.75" customHeight="1">
      <c r="A55" s="23"/>
      <c r="B55" s="23"/>
      <c r="C55" s="18" t="s">
        <v>33</v>
      </c>
      <c r="D55" s="19"/>
      <c r="E55" s="20">
        <v>300.0</v>
      </c>
      <c r="F55" s="21">
        <f t="shared" si="1"/>
        <v>0</v>
      </c>
      <c r="G55" s="23"/>
      <c r="H55" s="2"/>
      <c r="I55" s="2"/>
      <c r="J55" s="2"/>
      <c r="K55" s="2"/>
    </row>
    <row r="56" ht="15.75" customHeight="1">
      <c r="A56" s="23"/>
      <c r="B56" s="23"/>
      <c r="C56" s="18" t="s">
        <v>34</v>
      </c>
      <c r="D56" s="19"/>
      <c r="E56" s="20">
        <v>100.0</v>
      </c>
      <c r="F56" s="21">
        <f t="shared" si="1"/>
        <v>0</v>
      </c>
      <c r="G56" s="23"/>
      <c r="H56" s="2"/>
      <c r="I56" s="2"/>
      <c r="J56" s="2"/>
      <c r="K56" s="2"/>
    </row>
    <row r="57" ht="15.75" customHeight="1">
      <c r="A57" s="23"/>
      <c r="B57" s="23"/>
      <c r="C57" s="18" t="s">
        <v>35</v>
      </c>
      <c r="D57" s="19"/>
      <c r="E57" s="20">
        <v>500.0</v>
      </c>
      <c r="F57" s="21">
        <f t="shared" si="1"/>
        <v>0</v>
      </c>
      <c r="G57" s="23"/>
      <c r="H57" s="2"/>
      <c r="I57" s="2"/>
      <c r="J57" s="2"/>
      <c r="K57" s="2"/>
    </row>
    <row r="58" ht="15.75" customHeight="1">
      <c r="A58" s="23"/>
      <c r="B58" s="23"/>
      <c r="C58" s="18" t="s">
        <v>36</v>
      </c>
      <c r="D58" s="19"/>
      <c r="E58" s="24">
        <v>1500.0</v>
      </c>
      <c r="F58" s="21">
        <f t="shared" si="1"/>
        <v>0</v>
      </c>
      <c r="G58" s="23"/>
      <c r="H58" s="2"/>
      <c r="I58" s="2"/>
      <c r="J58" s="2"/>
      <c r="K58" s="2"/>
    </row>
    <row r="59" ht="15.75" customHeight="1">
      <c r="A59" s="23"/>
      <c r="B59" s="23"/>
      <c r="C59" s="18" t="s">
        <v>37</v>
      </c>
      <c r="D59" s="19"/>
      <c r="E59" s="20">
        <v>4000.0</v>
      </c>
      <c r="F59" s="21">
        <f t="shared" si="1"/>
        <v>0</v>
      </c>
      <c r="G59" s="23"/>
      <c r="H59" s="2"/>
      <c r="I59" s="2"/>
      <c r="J59" s="2"/>
      <c r="K59" s="2"/>
    </row>
    <row r="60" ht="15.75" customHeight="1">
      <c r="A60" s="25"/>
      <c r="B60" s="25"/>
      <c r="C60" s="18" t="s">
        <v>38</v>
      </c>
      <c r="D60" s="19">
        <v>4.0</v>
      </c>
      <c r="E60" s="20">
        <v>0.0</v>
      </c>
      <c r="F60" s="21">
        <f t="shared" si="1"/>
        <v>0</v>
      </c>
      <c r="G60" s="25"/>
      <c r="H60" s="2"/>
      <c r="I60" s="2"/>
      <c r="J60" s="2"/>
      <c r="K60" s="2"/>
    </row>
    <row r="61" ht="15.75" customHeight="1">
      <c r="A61" s="16">
        <v>3.0</v>
      </c>
      <c r="B61" s="28" t="s">
        <v>89</v>
      </c>
      <c r="C61" s="18" t="s">
        <v>11</v>
      </c>
      <c r="D61" s="19">
        <v>1.0</v>
      </c>
      <c r="E61" s="20">
        <v>5000.0</v>
      </c>
      <c r="F61" s="21">
        <f t="shared" si="1"/>
        <v>5000</v>
      </c>
      <c r="G61" s="22">
        <f>SUM(F61:F88)</f>
        <v>41600</v>
      </c>
      <c r="H61" s="2"/>
      <c r="I61" s="2"/>
      <c r="J61" s="2"/>
      <c r="K61" s="2"/>
    </row>
    <row r="62" ht="15.75" customHeight="1">
      <c r="A62" s="23"/>
      <c r="B62" s="23"/>
      <c r="C62" s="18" t="s">
        <v>12</v>
      </c>
      <c r="D62" s="19">
        <v>5.0</v>
      </c>
      <c r="E62" s="20">
        <v>3000.0</v>
      </c>
      <c r="F62" s="21">
        <f t="shared" si="1"/>
        <v>15000</v>
      </c>
      <c r="G62" s="23"/>
      <c r="H62" s="2"/>
      <c r="I62" s="2"/>
      <c r="J62" s="2"/>
      <c r="K62" s="2"/>
    </row>
    <row r="63" ht="15.75" customHeight="1">
      <c r="A63" s="23"/>
      <c r="B63" s="23"/>
      <c r="C63" s="18" t="s">
        <v>13</v>
      </c>
      <c r="D63" s="19"/>
      <c r="E63" s="20">
        <v>1000.0</v>
      </c>
      <c r="F63" s="21">
        <f t="shared" si="1"/>
        <v>0</v>
      </c>
      <c r="G63" s="23"/>
      <c r="H63" s="2"/>
      <c r="I63" s="2"/>
      <c r="J63" s="2"/>
      <c r="K63" s="2"/>
    </row>
    <row r="64" ht="15.75" customHeight="1">
      <c r="A64" s="23"/>
      <c r="B64" s="23"/>
      <c r="C64" s="18" t="s">
        <v>14</v>
      </c>
      <c r="D64" s="19">
        <v>0.5</v>
      </c>
      <c r="E64" s="20">
        <v>2800.0</v>
      </c>
      <c r="F64" s="21">
        <f t="shared" si="1"/>
        <v>1400</v>
      </c>
      <c r="G64" s="23"/>
      <c r="H64" s="2"/>
      <c r="I64" s="2"/>
      <c r="J64" s="2"/>
      <c r="K64" s="2"/>
    </row>
    <row r="65" ht="15.75" customHeight="1">
      <c r="A65" s="23"/>
      <c r="B65" s="23"/>
      <c r="C65" s="18" t="s">
        <v>15</v>
      </c>
      <c r="D65" s="19"/>
      <c r="E65" s="20">
        <v>3500.0</v>
      </c>
      <c r="F65" s="21">
        <f t="shared" si="1"/>
        <v>0</v>
      </c>
      <c r="G65" s="23"/>
      <c r="H65" s="2"/>
      <c r="I65" s="2"/>
      <c r="J65" s="2"/>
      <c r="K65" s="2"/>
    </row>
    <row r="66" ht="15.75" customHeight="1">
      <c r="A66" s="23"/>
      <c r="B66" s="23"/>
      <c r="C66" s="18" t="s">
        <v>16</v>
      </c>
      <c r="D66" s="19"/>
      <c r="E66" s="20">
        <v>1000.0</v>
      </c>
      <c r="F66" s="21">
        <f t="shared" si="1"/>
        <v>0</v>
      </c>
      <c r="G66" s="23"/>
      <c r="H66" s="2"/>
      <c r="I66" s="2"/>
      <c r="J66" s="2"/>
      <c r="K66" s="2"/>
    </row>
    <row r="67" ht="15.75" customHeight="1">
      <c r="A67" s="23"/>
      <c r="B67" s="23"/>
      <c r="C67" s="18" t="s">
        <v>17</v>
      </c>
      <c r="D67" s="19">
        <v>2.0</v>
      </c>
      <c r="E67" s="20">
        <v>2000.0</v>
      </c>
      <c r="F67" s="21">
        <f t="shared" si="1"/>
        <v>4000</v>
      </c>
      <c r="G67" s="23"/>
      <c r="H67" s="2"/>
      <c r="I67" s="2"/>
      <c r="J67" s="2"/>
      <c r="K67" s="2"/>
    </row>
    <row r="68" ht="15.75" customHeight="1">
      <c r="A68" s="23"/>
      <c r="B68" s="23"/>
      <c r="C68" s="18" t="s">
        <v>18</v>
      </c>
      <c r="D68" s="19"/>
      <c r="E68" s="20">
        <v>2000.0</v>
      </c>
      <c r="F68" s="21">
        <f t="shared" si="1"/>
        <v>0</v>
      </c>
      <c r="G68" s="23"/>
      <c r="H68" s="2"/>
      <c r="I68" s="2"/>
      <c r="J68" s="2"/>
      <c r="K68" s="2"/>
    </row>
    <row r="69" ht="15.75" customHeight="1">
      <c r="A69" s="23"/>
      <c r="B69" s="23"/>
      <c r="C69" s="18" t="s">
        <v>19</v>
      </c>
      <c r="D69" s="19"/>
      <c r="E69" s="20">
        <v>1300.0</v>
      </c>
      <c r="F69" s="21">
        <f t="shared" si="1"/>
        <v>0</v>
      </c>
      <c r="G69" s="23"/>
      <c r="H69" s="2"/>
      <c r="I69" s="2"/>
      <c r="J69" s="2"/>
      <c r="K69" s="2"/>
    </row>
    <row r="70" ht="15.75" customHeight="1">
      <c r="A70" s="23"/>
      <c r="B70" s="23"/>
      <c r="C70" s="18" t="s">
        <v>20</v>
      </c>
      <c r="D70" s="19"/>
      <c r="E70" s="20">
        <v>1000.0</v>
      </c>
      <c r="F70" s="21">
        <f t="shared" si="1"/>
        <v>0</v>
      </c>
      <c r="G70" s="23"/>
      <c r="H70" s="2"/>
      <c r="I70" s="2"/>
      <c r="J70" s="2"/>
      <c r="K70" s="2"/>
    </row>
    <row r="71" ht="15.75" customHeight="1">
      <c r="A71" s="23"/>
      <c r="B71" s="23"/>
      <c r="C71" s="18" t="s">
        <v>21</v>
      </c>
      <c r="D71" s="19"/>
      <c r="E71" s="20">
        <v>400.0</v>
      </c>
      <c r="F71" s="21">
        <f t="shared" si="1"/>
        <v>0</v>
      </c>
      <c r="G71" s="23"/>
      <c r="H71" s="2"/>
      <c r="I71" s="2"/>
      <c r="J71" s="2"/>
      <c r="K71" s="2"/>
    </row>
    <row r="72" ht="15.75" customHeight="1">
      <c r="A72" s="23"/>
      <c r="B72" s="23"/>
      <c r="C72" s="18" t="s">
        <v>22</v>
      </c>
      <c r="D72" s="19">
        <v>1.0</v>
      </c>
      <c r="E72" s="20">
        <v>7500.0</v>
      </c>
      <c r="F72" s="21">
        <f t="shared" si="1"/>
        <v>7500</v>
      </c>
      <c r="G72" s="23"/>
      <c r="H72" s="2"/>
      <c r="I72" s="2"/>
      <c r="J72" s="2"/>
      <c r="K72" s="2"/>
    </row>
    <row r="73" ht="15.75" customHeight="1">
      <c r="A73" s="23"/>
      <c r="B73" s="23"/>
      <c r="C73" s="18" t="s">
        <v>23</v>
      </c>
      <c r="D73" s="19"/>
      <c r="E73" s="20">
        <v>2000.0</v>
      </c>
      <c r="F73" s="21">
        <f t="shared" si="1"/>
        <v>0</v>
      </c>
      <c r="G73" s="23"/>
      <c r="H73" s="2"/>
      <c r="I73" s="2"/>
      <c r="J73" s="2"/>
      <c r="K73" s="2"/>
    </row>
    <row r="74" ht="15.75" customHeight="1">
      <c r="A74" s="23"/>
      <c r="B74" s="23"/>
      <c r="C74" s="18" t="s">
        <v>24</v>
      </c>
      <c r="D74" s="19">
        <v>1.0</v>
      </c>
      <c r="E74" s="20">
        <v>800.0</v>
      </c>
      <c r="F74" s="21">
        <f t="shared" si="1"/>
        <v>800</v>
      </c>
      <c r="G74" s="23"/>
      <c r="H74" s="2"/>
      <c r="I74" s="2"/>
      <c r="J74" s="2"/>
      <c r="K74" s="2"/>
    </row>
    <row r="75" ht="15.75" customHeight="1">
      <c r="A75" s="23"/>
      <c r="B75" s="23"/>
      <c r="C75" s="18" t="s">
        <v>25</v>
      </c>
      <c r="D75" s="19">
        <v>0.5</v>
      </c>
      <c r="E75" s="20">
        <v>5000.0</v>
      </c>
      <c r="F75" s="21">
        <f t="shared" si="1"/>
        <v>2500</v>
      </c>
      <c r="G75" s="23"/>
      <c r="H75" s="2"/>
      <c r="I75" s="2"/>
      <c r="J75" s="2"/>
      <c r="K75" s="2"/>
    </row>
    <row r="76" ht="15.75" customHeight="1">
      <c r="A76" s="23"/>
      <c r="B76" s="23"/>
      <c r="C76" s="18" t="s">
        <v>26</v>
      </c>
      <c r="D76" s="19"/>
      <c r="E76" s="20">
        <v>2700.0</v>
      </c>
      <c r="F76" s="21">
        <f t="shared" si="1"/>
        <v>0</v>
      </c>
      <c r="G76" s="23"/>
      <c r="H76" s="2"/>
      <c r="I76" s="2"/>
      <c r="J76" s="2"/>
      <c r="K76" s="2"/>
    </row>
    <row r="77" ht="15.75" customHeight="1">
      <c r="A77" s="23"/>
      <c r="B77" s="23"/>
      <c r="C77" s="18" t="s">
        <v>27</v>
      </c>
      <c r="D77" s="19"/>
      <c r="E77" s="20">
        <v>50000.0</v>
      </c>
      <c r="F77" s="21">
        <f t="shared" si="1"/>
        <v>0</v>
      </c>
      <c r="G77" s="23"/>
      <c r="H77" s="2"/>
      <c r="I77" s="2"/>
      <c r="J77" s="2"/>
      <c r="K77" s="2"/>
    </row>
    <row r="78" ht="15.75" customHeight="1">
      <c r="A78" s="23"/>
      <c r="B78" s="23"/>
      <c r="C78" s="18" t="s">
        <v>28</v>
      </c>
      <c r="D78" s="19"/>
      <c r="E78" s="20">
        <v>10000.0</v>
      </c>
      <c r="F78" s="21">
        <f t="shared" si="1"/>
        <v>0</v>
      </c>
      <c r="G78" s="23"/>
      <c r="H78" s="2"/>
      <c r="I78" s="2"/>
      <c r="J78" s="2"/>
      <c r="K78" s="2"/>
    </row>
    <row r="79" ht="15.75" customHeight="1">
      <c r="A79" s="23"/>
      <c r="B79" s="23"/>
      <c r="C79" s="18" t="s">
        <v>29</v>
      </c>
      <c r="D79" s="19"/>
      <c r="E79" s="20">
        <v>1000.0</v>
      </c>
      <c r="F79" s="21">
        <f t="shared" si="1"/>
        <v>0</v>
      </c>
      <c r="G79" s="23"/>
      <c r="H79" s="2"/>
      <c r="I79" s="2"/>
      <c r="J79" s="2"/>
      <c r="K79" s="2"/>
    </row>
    <row r="80" ht="15.75" customHeight="1">
      <c r="A80" s="23"/>
      <c r="B80" s="23"/>
      <c r="C80" s="18" t="s">
        <v>30</v>
      </c>
      <c r="D80" s="19"/>
      <c r="E80" s="20">
        <v>500.0</v>
      </c>
      <c r="F80" s="21">
        <f t="shared" si="1"/>
        <v>0</v>
      </c>
      <c r="G80" s="23"/>
      <c r="H80" s="2"/>
      <c r="I80" s="2"/>
      <c r="J80" s="2"/>
      <c r="K80" s="2"/>
    </row>
    <row r="81" ht="15.75" customHeight="1">
      <c r="A81" s="23"/>
      <c r="B81" s="23"/>
      <c r="C81" s="18" t="s">
        <v>31</v>
      </c>
      <c r="D81" s="19"/>
      <c r="E81" s="20">
        <v>200.0</v>
      </c>
      <c r="F81" s="21">
        <f t="shared" si="1"/>
        <v>0</v>
      </c>
      <c r="G81" s="23"/>
      <c r="H81" s="2"/>
      <c r="I81" s="2"/>
      <c r="J81" s="2"/>
      <c r="K81" s="2"/>
    </row>
    <row r="82" ht="15.75" customHeight="1">
      <c r="A82" s="23"/>
      <c r="B82" s="23"/>
      <c r="C82" s="18" t="s">
        <v>32</v>
      </c>
      <c r="D82" s="19"/>
      <c r="E82" s="20">
        <v>1000.0</v>
      </c>
      <c r="F82" s="21">
        <f t="shared" si="1"/>
        <v>0</v>
      </c>
      <c r="G82" s="23"/>
      <c r="H82" s="2"/>
      <c r="I82" s="2"/>
      <c r="J82" s="2"/>
      <c r="K82" s="2"/>
    </row>
    <row r="83" ht="15.75" customHeight="1">
      <c r="A83" s="23"/>
      <c r="B83" s="23"/>
      <c r="C83" s="18" t="s">
        <v>33</v>
      </c>
      <c r="D83" s="19">
        <v>3.0</v>
      </c>
      <c r="E83" s="20">
        <v>300.0</v>
      </c>
      <c r="F83" s="21">
        <f t="shared" si="1"/>
        <v>900</v>
      </c>
      <c r="G83" s="23"/>
      <c r="H83" s="2"/>
      <c r="I83" s="2"/>
      <c r="J83" s="2"/>
      <c r="K83" s="2"/>
    </row>
    <row r="84" ht="15.75" customHeight="1">
      <c r="A84" s="23"/>
      <c r="B84" s="23"/>
      <c r="C84" s="18" t="s">
        <v>34</v>
      </c>
      <c r="D84" s="19"/>
      <c r="E84" s="20">
        <v>100.0</v>
      </c>
      <c r="F84" s="21">
        <f t="shared" si="1"/>
        <v>0</v>
      </c>
      <c r="G84" s="23"/>
      <c r="H84" s="2"/>
      <c r="I84" s="2"/>
      <c r="J84" s="2"/>
      <c r="K84" s="2"/>
    </row>
    <row r="85" ht="15.75" customHeight="1">
      <c r="A85" s="23"/>
      <c r="B85" s="23"/>
      <c r="C85" s="18" t="s">
        <v>35</v>
      </c>
      <c r="D85" s="19"/>
      <c r="E85" s="20">
        <v>500.0</v>
      </c>
      <c r="F85" s="21">
        <f t="shared" si="1"/>
        <v>0</v>
      </c>
      <c r="G85" s="23"/>
      <c r="H85" s="2"/>
      <c r="I85" s="2"/>
      <c r="J85" s="2"/>
      <c r="K85" s="2"/>
    </row>
    <row r="86" ht="15.75" customHeight="1">
      <c r="A86" s="23"/>
      <c r="B86" s="23"/>
      <c r="C86" s="18" t="s">
        <v>36</v>
      </c>
      <c r="D86" s="19">
        <v>3.0</v>
      </c>
      <c r="E86" s="20">
        <v>1500.0</v>
      </c>
      <c r="F86" s="21">
        <f t="shared" si="1"/>
        <v>4500</v>
      </c>
      <c r="G86" s="23"/>
      <c r="H86" s="2"/>
      <c r="I86" s="2"/>
      <c r="J86" s="2"/>
      <c r="K86" s="2"/>
    </row>
    <row r="87" ht="15.75" customHeight="1">
      <c r="A87" s="23"/>
      <c r="B87" s="23"/>
      <c r="C87" s="18" t="s">
        <v>37</v>
      </c>
      <c r="D87" s="19"/>
      <c r="E87" s="20">
        <v>4000.0</v>
      </c>
      <c r="F87" s="21">
        <f t="shared" si="1"/>
        <v>0</v>
      </c>
      <c r="G87" s="23"/>
      <c r="H87" s="2"/>
      <c r="I87" s="2"/>
      <c r="J87" s="2"/>
      <c r="K87" s="2"/>
    </row>
    <row r="88" ht="15.75" customHeight="1">
      <c r="A88" s="25"/>
      <c r="B88" s="25"/>
      <c r="C88" s="18" t="s">
        <v>38</v>
      </c>
      <c r="D88" s="19">
        <v>1.0</v>
      </c>
      <c r="E88" s="20">
        <v>0.0</v>
      </c>
      <c r="F88" s="21">
        <f t="shared" si="1"/>
        <v>0</v>
      </c>
      <c r="G88" s="25"/>
      <c r="H88" s="2"/>
      <c r="I88" s="2"/>
      <c r="J88" s="2"/>
      <c r="K88" s="2"/>
    </row>
    <row r="89" ht="15.75" customHeight="1">
      <c r="A89" s="16">
        <v>4.0</v>
      </c>
      <c r="B89" s="17" t="s">
        <v>90</v>
      </c>
      <c r="C89" s="18" t="s">
        <v>11</v>
      </c>
      <c r="D89" s="19"/>
      <c r="E89" s="20">
        <v>5000.0</v>
      </c>
      <c r="F89" s="21">
        <f t="shared" si="1"/>
        <v>0</v>
      </c>
      <c r="G89" s="22">
        <f>SUM(F89:F116)</f>
        <v>45500</v>
      </c>
      <c r="H89" s="2"/>
      <c r="I89" s="2"/>
      <c r="J89" s="2"/>
      <c r="K89" s="2"/>
    </row>
    <row r="90" ht="15.75" customHeight="1">
      <c r="A90" s="23"/>
      <c r="B90" s="23"/>
      <c r="C90" s="18" t="s">
        <v>12</v>
      </c>
      <c r="D90" s="19">
        <v>7.0</v>
      </c>
      <c r="E90" s="20">
        <v>3000.0</v>
      </c>
      <c r="F90" s="21">
        <f t="shared" si="1"/>
        <v>21000</v>
      </c>
      <c r="G90" s="23"/>
      <c r="H90" s="2"/>
      <c r="I90" s="2"/>
      <c r="J90" s="2"/>
      <c r="K90" s="2"/>
    </row>
    <row r="91" ht="15.75" customHeight="1">
      <c r="A91" s="23"/>
      <c r="B91" s="23"/>
      <c r="C91" s="18" t="s">
        <v>13</v>
      </c>
      <c r="D91" s="19"/>
      <c r="E91" s="20">
        <v>1000.0</v>
      </c>
      <c r="F91" s="21">
        <f t="shared" si="1"/>
        <v>0</v>
      </c>
      <c r="G91" s="23"/>
      <c r="H91" s="2"/>
      <c r="I91" s="2"/>
      <c r="J91" s="2"/>
      <c r="K91" s="2"/>
    </row>
    <row r="92" ht="15.75" customHeight="1">
      <c r="A92" s="23"/>
      <c r="B92" s="23"/>
      <c r="C92" s="18" t="s">
        <v>14</v>
      </c>
      <c r="D92" s="19"/>
      <c r="E92" s="20">
        <v>2800.0</v>
      </c>
      <c r="F92" s="21">
        <f t="shared" si="1"/>
        <v>0</v>
      </c>
      <c r="G92" s="23"/>
      <c r="H92" s="2"/>
      <c r="I92" s="2"/>
      <c r="J92" s="2"/>
      <c r="K92" s="2"/>
    </row>
    <row r="93" ht="15.75" customHeight="1">
      <c r="A93" s="23"/>
      <c r="B93" s="23"/>
      <c r="C93" s="18" t="s">
        <v>15</v>
      </c>
      <c r="D93" s="19"/>
      <c r="E93" s="20">
        <v>3500.0</v>
      </c>
      <c r="F93" s="21">
        <f t="shared" si="1"/>
        <v>0</v>
      </c>
      <c r="G93" s="23"/>
      <c r="H93" s="2"/>
      <c r="I93" s="2"/>
      <c r="J93" s="2"/>
      <c r="K93" s="2"/>
    </row>
    <row r="94" ht="15.75" customHeight="1">
      <c r="A94" s="23"/>
      <c r="B94" s="23"/>
      <c r="C94" s="18" t="s">
        <v>16</v>
      </c>
      <c r="D94" s="19">
        <v>3.0</v>
      </c>
      <c r="E94" s="20">
        <v>1000.0</v>
      </c>
      <c r="F94" s="21">
        <f t="shared" si="1"/>
        <v>3000</v>
      </c>
      <c r="G94" s="23"/>
      <c r="H94" s="2"/>
      <c r="I94" s="2"/>
      <c r="J94" s="2"/>
      <c r="K94" s="2"/>
    </row>
    <row r="95" ht="15.75" customHeight="1">
      <c r="A95" s="23"/>
      <c r="B95" s="23"/>
      <c r="C95" s="18" t="s">
        <v>17</v>
      </c>
      <c r="D95" s="19"/>
      <c r="E95" s="20">
        <v>2000.0</v>
      </c>
      <c r="F95" s="21">
        <f t="shared" si="1"/>
        <v>0</v>
      </c>
      <c r="G95" s="23"/>
      <c r="H95" s="2"/>
      <c r="I95" s="2"/>
      <c r="J95" s="2"/>
      <c r="K95" s="2"/>
    </row>
    <row r="96" ht="15.75" customHeight="1">
      <c r="A96" s="23"/>
      <c r="B96" s="23"/>
      <c r="C96" s="18" t="s">
        <v>18</v>
      </c>
      <c r="D96" s="19">
        <v>7.0</v>
      </c>
      <c r="E96" s="20">
        <v>2000.0</v>
      </c>
      <c r="F96" s="21">
        <f t="shared" si="1"/>
        <v>14000</v>
      </c>
      <c r="G96" s="23"/>
      <c r="H96" s="2"/>
      <c r="I96" s="2"/>
      <c r="J96" s="2"/>
      <c r="K96" s="2"/>
    </row>
    <row r="97" ht="15.75" customHeight="1">
      <c r="A97" s="23"/>
      <c r="B97" s="23"/>
      <c r="C97" s="18" t="s">
        <v>19</v>
      </c>
      <c r="D97" s="19"/>
      <c r="E97" s="20">
        <v>1300.0</v>
      </c>
      <c r="F97" s="21">
        <f t="shared" si="1"/>
        <v>0</v>
      </c>
      <c r="G97" s="23"/>
      <c r="H97" s="2"/>
      <c r="I97" s="2"/>
      <c r="J97" s="2"/>
      <c r="K97" s="2"/>
    </row>
    <row r="98" ht="15.75" customHeight="1">
      <c r="A98" s="23"/>
      <c r="B98" s="23"/>
      <c r="C98" s="18" t="s">
        <v>20</v>
      </c>
      <c r="D98" s="19"/>
      <c r="E98" s="20">
        <v>1000.0</v>
      </c>
      <c r="F98" s="21">
        <f t="shared" si="1"/>
        <v>0</v>
      </c>
      <c r="G98" s="23"/>
      <c r="H98" s="2"/>
      <c r="I98" s="2"/>
      <c r="J98" s="2"/>
      <c r="K98" s="2"/>
    </row>
    <row r="99" ht="15.75" customHeight="1">
      <c r="A99" s="23"/>
      <c r="B99" s="23"/>
      <c r="C99" s="18" t="s">
        <v>21</v>
      </c>
      <c r="D99" s="19"/>
      <c r="E99" s="20">
        <v>400.0</v>
      </c>
      <c r="F99" s="21">
        <f t="shared" si="1"/>
        <v>0</v>
      </c>
      <c r="G99" s="23"/>
      <c r="H99" s="2"/>
      <c r="I99" s="2"/>
      <c r="J99" s="2"/>
      <c r="K99" s="2"/>
    </row>
    <row r="100" ht="15.75" customHeight="1">
      <c r="A100" s="23"/>
      <c r="B100" s="23"/>
      <c r="C100" s="18" t="s">
        <v>22</v>
      </c>
      <c r="D100" s="19">
        <v>1.0</v>
      </c>
      <c r="E100" s="20">
        <v>7500.0</v>
      </c>
      <c r="F100" s="21">
        <f t="shared" si="1"/>
        <v>7500</v>
      </c>
      <c r="G100" s="23"/>
      <c r="H100" s="2"/>
      <c r="I100" s="2"/>
      <c r="J100" s="2"/>
      <c r="K100" s="2"/>
    </row>
    <row r="101" ht="15.75" customHeight="1">
      <c r="A101" s="23"/>
      <c r="B101" s="23"/>
      <c r="C101" s="18" t="s">
        <v>23</v>
      </c>
      <c r="D101" s="19"/>
      <c r="E101" s="20">
        <v>2000.0</v>
      </c>
      <c r="F101" s="21">
        <f t="shared" si="1"/>
        <v>0</v>
      </c>
      <c r="G101" s="23"/>
      <c r="H101" s="2"/>
      <c r="I101" s="2"/>
      <c r="J101" s="2"/>
      <c r="K101" s="2"/>
    </row>
    <row r="102" ht="15.75" customHeight="1">
      <c r="A102" s="23"/>
      <c r="B102" s="23"/>
      <c r="C102" s="18" t="s">
        <v>24</v>
      </c>
      <c r="D102" s="19"/>
      <c r="E102" s="20">
        <v>800.0</v>
      </c>
      <c r="F102" s="21">
        <f t="shared" si="1"/>
        <v>0</v>
      </c>
      <c r="G102" s="23"/>
      <c r="H102" s="2"/>
      <c r="I102" s="2"/>
      <c r="J102" s="2"/>
      <c r="K102" s="2"/>
    </row>
    <row r="103" ht="15.75" customHeight="1">
      <c r="A103" s="23"/>
      <c r="B103" s="23"/>
      <c r="C103" s="18" t="s">
        <v>25</v>
      </c>
      <c r="D103" s="19"/>
      <c r="E103" s="20">
        <v>5000.0</v>
      </c>
      <c r="F103" s="21">
        <f t="shared" si="1"/>
        <v>0</v>
      </c>
      <c r="G103" s="23"/>
      <c r="H103" s="2"/>
      <c r="I103" s="2"/>
      <c r="J103" s="2"/>
      <c r="K103" s="2"/>
    </row>
    <row r="104" ht="15.75" customHeight="1">
      <c r="A104" s="23"/>
      <c r="B104" s="23"/>
      <c r="C104" s="18" t="s">
        <v>26</v>
      </c>
      <c r="D104" s="19"/>
      <c r="E104" s="20">
        <v>2700.0</v>
      </c>
      <c r="F104" s="21">
        <f t="shared" si="1"/>
        <v>0</v>
      </c>
      <c r="G104" s="23"/>
      <c r="H104" s="2"/>
      <c r="I104" s="2"/>
      <c r="J104" s="2"/>
      <c r="K104" s="2"/>
    </row>
    <row r="105" ht="15.75" customHeight="1">
      <c r="A105" s="23"/>
      <c r="B105" s="23"/>
      <c r="C105" s="18" t="s">
        <v>27</v>
      </c>
      <c r="D105" s="19"/>
      <c r="E105" s="20">
        <v>50000.0</v>
      </c>
      <c r="F105" s="21">
        <f t="shared" si="1"/>
        <v>0</v>
      </c>
      <c r="G105" s="23"/>
      <c r="H105" s="2"/>
      <c r="I105" s="2"/>
      <c r="J105" s="2"/>
      <c r="K105" s="2"/>
    </row>
    <row r="106" ht="15.75" customHeight="1">
      <c r="A106" s="23"/>
      <c r="B106" s="23"/>
      <c r="C106" s="18" t="s">
        <v>28</v>
      </c>
      <c r="D106" s="19"/>
      <c r="E106" s="20">
        <v>10000.0</v>
      </c>
      <c r="F106" s="21">
        <f t="shared" si="1"/>
        <v>0</v>
      </c>
      <c r="G106" s="23"/>
      <c r="H106" s="2"/>
      <c r="I106" s="2"/>
      <c r="J106" s="2"/>
      <c r="K106" s="2"/>
    </row>
    <row r="107" ht="15.75" customHeight="1">
      <c r="A107" s="23"/>
      <c r="B107" s="23"/>
      <c r="C107" s="18" t="s">
        <v>29</v>
      </c>
      <c r="D107" s="19"/>
      <c r="E107" s="20">
        <v>1000.0</v>
      </c>
      <c r="F107" s="21">
        <f t="shared" si="1"/>
        <v>0</v>
      </c>
      <c r="G107" s="23"/>
      <c r="H107" s="2"/>
      <c r="I107" s="2"/>
      <c r="J107" s="2"/>
      <c r="K107" s="2"/>
    </row>
    <row r="108" ht="15.75" customHeight="1">
      <c r="A108" s="23"/>
      <c r="B108" s="23"/>
      <c r="C108" s="18" t="s">
        <v>30</v>
      </c>
      <c r="D108" s="19"/>
      <c r="E108" s="20">
        <v>500.0</v>
      </c>
      <c r="F108" s="21">
        <f t="shared" si="1"/>
        <v>0</v>
      </c>
      <c r="G108" s="23"/>
      <c r="H108" s="2"/>
      <c r="I108" s="2"/>
      <c r="J108" s="2"/>
      <c r="K108" s="2"/>
    </row>
    <row r="109" ht="15.75" customHeight="1">
      <c r="A109" s="23"/>
      <c r="B109" s="23"/>
      <c r="C109" s="18" t="s">
        <v>31</v>
      </c>
      <c r="D109" s="19"/>
      <c r="E109" s="20">
        <v>200.0</v>
      </c>
      <c r="F109" s="21">
        <f t="shared" si="1"/>
        <v>0</v>
      </c>
      <c r="G109" s="23"/>
      <c r="H109" s="2"/>
      <c r="I109" s="2"/>
      <c r="J109" s="2"/>
      <c r="K109" s="2"/>
    </row>
    <row r="110" ht="15.75" customHeight="1">
      <c r="A110" s="23"/>
      <c r="B110" s="23"/>
      <c r="C110" s="18" t="s">
        <v>32</v>
      </c>
      <c r="D110" s="19"/>
      <c r="E110" s="20">
        <v>1000.0</v>
      </c>
      <c r="F110" s="21">
        <f t="shared" si="1"/>
        <v>0</v>
      </c>
      <c r="G110" s="23"/>
      <c r="H110" s="2"/>
      <c r="I110" s="2"/>
      <c r="J110" s="2"/>
      <c r="K110" s="2"/>
    </row>
    <row r="111" ht="15.75" customHeight="1">
      <c r="A111" s="23"/>
      <c r="B111" s="23"/>
      <c r="C111" s="18" t="s">
        <v>33</v>
      </c>
      <c r="D111" s="19"/>
      <c r="E111" s="20">
        <v>300.0</v>
      </c>
      <c r="F111" s="21">
        <f t="shared" si="1"/>
        <v>0</v>
      </c>
      <c r="G111" s="23"/>
      <c r="H111" s="2"/>
      <c r="I111" s="2"/>
      <c r="J111" s="2"/>
      <c r="K111" s="2"/>
    </row>
    <row r="112" ht="15.75" customHeight="1">
      <c r="A112" s="23"/>
      <c r="B112" s="23"/>
      <c r="C112" s="18" t="s">
        <v>34</v>
      </c>
      <c r="D112" s="19"/>
      <c r="E112" s="20">
        <v>100.0</v>
      </c>
      <c r="F112" s="21">
        <f t="shared" si="1"/>
        <v>0</v>
      </c>
      <c r="G112" s="23"/>
      <c r="H112" s="2"/>
      <c r="I112" s="2"/>
      <c r="J112" s="2"/>
      <c r="K112" s="2"/>
    </row>
    <row r="113" ht="15.75" customHeight="1">
      <c r="A113" s="23"/>
      <c r="B113" s="23"/>
      <c r="C113" s="18" t="s">
        <v>35</v>
      </c>
      <c r="D113" s="19"/>
      <c r="E113" s="20">
        <v>500.0</v>
      </c>
      <c r="F113" s="21">
        <f t="shared" si="1"/>
        <v>0</v>
      </c>
      <c r="G113" s="23"/>
      <c r="H113" s="2"/>
      <c r="I113" s="2"/>
      <c r="J113" s="2"/>
      <c r="K113" s="2"/>
    </row>
    <row r="114" ht="15.75" customHeight="1">
      <c r="A114" s="23"/>
      <c r="B114" s="23"/>
      <c r="C114" s="18" t="s">
        <v>36</v>
      </c>
      <c r="D114" s="19"/>
      <c r="E114" s="20">
        <v>1500.0</v>
      </c>
      <c r="F114" s="21">
        <f t="shared" si="1"/>
        <v>0</v>
      </c>
      <c r="G114" s="23"/>
      <c r="H114" s="2"/>
      <c r="I114" s="2"/>
      <c r="J114" s="2"/>
      <c r="K114" s="2"/>
    </row>
    <row r="115" ht="15.75" customHeight="1">
      <c r="A115" s="23"/>
      <c r="B115" s="23"/>
      <c r="C115" s="18" t="s">
        <v>37</v>
      </c>
      <c r="D115" s="19"/>
      <c r="E115" s="20">
        <v>4000.0</v>
      </c>
      <c r="F115" s="21">
        <f t="shared" si="1"/>
        <v>0</v>
      </c>
      <c r="G115" s="23"/>
      <c r="H115" s="2"/>
      <c r="I115" s="2"/>
      <c r="J115" s="2"/>
      <c r="K115" s="2"/>
    </row>
    <row r="116" ht="15.75" customHeight="1">
      <c r="A116" s="25"/>
      <c r="B116" s="25"/>
      <c r="C116" s="18" t="s">
        <v>38</v>
      </c>
      <c r="D116" s="19">
        <v>2.0</v>
      </c>
      <c r="E116" s="20">
        <v>0.0</v>
      </c>
      <c r="F116" s="21">
        <f t="shared" si="1"/>
        <v>0</v>
      </c>
      <c r="G116" s="25"/>
      <c r="H116" s="2"/>
      <c r="I116" s="2"/>
      <c r="J116" s="2"/>
      <c r="K116" s="2"/>
    </row>
    <row r="117" ht="15.75" customHeight="1">
      <c r="A117" s="16">
        <v>5.0</v>
      </c>
      <c r="B117" s="17" t="s">
        <v>91</v>
      </c>
      <c r="C117" s="18" t="s">
        <v>11</v>
      </c>
      <c r="D117" s="19"/>
      <c r="E117" s="20">
        <v>5000.0</v>
      </c>
      <c r="F117" s="21">
        <f t="shared" si="1"/>
        <v>0</v>
      </c>
      <c r="G117" s="22">
        <f>SUM(F117:F144)</f>
        <v>143900</v>
      </c>
      <c r="H117" s="2"/>
      <c r="I117" s="2"/>
      <c r="J117" s="2"/>
      <c r="K117" s="2"/>
    </row>
    <row r="118" ht="15.75" customHeight="1">
      <c r="A118" s="23"/>
      <c r="B118" s="23"/>
      <c r="C118" s="18" t="s">
        <v>12</v>
      </c>
      <c r="D118" s="19">
        <v>3.0</v>
      </c>
      <c r="E118" s="20">
        <v>3000.0</v>
      </c>
      <c r="F118" s="21">
        <f t="shared" si="1"/>
        <v>9000</v>
      </c>
      <c r="G118" s="23"/>
      <c r="H118" s="2"/>
      <c r="I118" s="2"/>
      <c r="J118" s="2"/>
      <c r="K118" s="2"/>
    </row>
    <row r="119" ht="15.75" customHeight="1">
      <c r="A119" s="23"/>
      <c r="B119" s="23"/>
      <c r="C119" s="18" t="s">
        <v>13</v>
      </c>
      <c r="D119" s="19">
        <v>4.0</v>
      </c>
      <c r="E119" s="20">
        <v>1000.0</v>
      </c>
      <c r="F119" s="21">
        <f t="shared" si="1"/>
        <v>4000</v>
      </c>
      <c r="G119" s="23"/>
      <c r="H119" s="2"/>
      <c r="I119" s="2"/>
      <c r="J119" s="2"/>
      <c r="K119" s="2"/>
    </row>
    <row r="120" ht="15.75" customHeight="1">
      <c r="A120" s="23"/>
      <c r="B120" s="23"/>
      <c r="C120" s="18" t="s">
        <v>14</v>
      </c>
      <c r="D120" s="19">
        <v>1.0</v>
      </c>
      <c r="E120" s="20">
        <v>2800.0</v>
      </c>
      <c r="F120" s="21">
        <f t="shared" si="1"/>
        <v>2800</v>
      </c>
      <c r="G120" s="23"/>
      <c r="H120" s="2"/>
      <c r="I120" s="2"/>
      <c r="J120" s="2"/>
      <c r="K120" s="2"/>
    </row>
    <row r="121" ht="15.75" customHeight="1">
      <c r="A121" s="23"/>
      <c r="B121" s="23"/>
      <c r="C121" s="18" t="s">
        <v>15</v>
      </c>
      <c r="D121" s="19"/>
      <c r="E121" s="20">
        <v>3500.0</v>
      </c>
      <c r="F121" s="21">
        <f t="shared" si="1"/>
        <v>0</v>
      </c>
      <c r="G121" s="23"/>
      <c r="H121" s="2"/>
      <c r="I121" s="2"/>
      <c r="J121" s="2"/>
      <c r="K121" s="2"/>
    </row>
    <row r="122" ht="15.75" customHeight="1">
      <c r="A122" s="23"/>
      <c r="B122" s="23"/>
      <c r="C122" s="18" t="s">
        <v>16</v>
      </c>
      <c r="D122" s="19">
        <v>17.0</v>
      </c>
      <c r="E122" s="20">
        <v>1000.0</v>
      </c>
      <c r="F122" s="21">
        <f t="shared" si="1"/>
        <v>17000</v>
      </c>
      <c r="G122" s="23"/>
      <c r="H122" s="2"/>
      <c r="I122" s="2"/>
      <c r="J122" s="2"/>
      <c r="K122" s="2"/>
    </row>
    <row r="123" ht="15.75" customHeight="1">
      <c r="A123" s="23"/>
      <c r="B123" s="23"/>
      <c r="C123" s="18" t="s">
        <v>17</v>
      </c>
      <c r="D123" s="19">
        <v>5.0</v>
      </c>
      <c r="E123" s="20">
        <v>2000.0</v>
      </c>
      <c r="F123" s="21">
        <f t="shared" si="1"/>
        <v>10000</v>
      </c>
      <c r="G123" s="23"/>
      <c r="H123" s="2"/>
      <c r="I123" s="2"/>
      <c r="J123" s="2"/>
      <c r="K123" s="2"/>
    </row>
    <row r="124" ht="15.75" customHeight="1">
      <c r="A124" s="23"/>
      <c r="B124" s="23"/>
      <c r="C124" s="18" t="s">
        <v>18</v>
      </c>
      <c r="D124" s="19">
        <v>34.0</v>
      </c>
      <c r="E124" s="20">
        <v>2000.0</v>
      </c>
      <c r="F124" s="21">
        <f t="shared" si="1"/>
        <v>68000</v>
      </c>
      <c r="G124" s="23"/>
      <c r="H124" s="2"/>
      <c r="I124" s="2"/>
      <c r="J124" s="2"/>
      <c r="K124" s="2"/>
    </row>
    <row r="125" ht="15.75" customHeight="1">
      <c r="A125" s="23"/>
      <c r="B125" s="23"/>
      <c r="C125" s="18" t="s">
        <v>19</v>
      </c>
      <c r="D125" s="19"/>
      <c r="E125" s="20">
        <v>1300.0</v>
      </c>
      <c r="F125" s="21">
        <f t="shared" si="1"/>
        <v>0</v>
      </c>
      <c r="G125" s="23"/>
      <c r="H125" s="2"/>
      <c r="I125" s="2"/>
      <c r="J125" s="2"/>
      <c r="K125" s="2"/>
    </row>
    <row r="126" ht="15.75" customHeight="1">
      <c r="A126" s="23"/>
      <c r="B126" s="23"/>
      <c r="C126" s="18" t="s">
        <v>20</v>
      </c>
      <c r="D126" s="19"/>
      <c r="E126" s="20">
        <v>1000.0</v>
      </c>
      <c r="F126" s="21">
        <f t="shared" si="1"/>
        <v>0</v>
      </c>
      <c r="G126" s="23"/>
      <c r="H126" s="2"/>
      <c r="I126" s="2"/>
      <c r="J126" s="2"/>
      <c r="K126" s="2"/>
    </row>
    <row r="127" ht="15.75" customHeight="1">
      <c r="A127" s="23"/>
      <c r="B127" s="23"/>
      <c r="C127" s="18" t="s">
        <v>21</v>
      </c>
      <c r="D127" s="19"/>
      <c r="E127" s="20">
        <v>400.0</v>
      </c>
      <c r="F127" s="21">
        <f t="shared" si="1"/>
        <v>0</v>
      </c>
      <c r="G127" s="23"/>
      <c r="H127" s="2"/>
      <c r="I127" s="2"/>
      <c r="J127" s="2"/>
      <c r="K127" s="2"/>
    </row>
    <row r="128" ht="15.75" customHeight="1">
      <c r="A128" s="23"/>
      <c r="B128" s="23"/>
      <c r="C128" s="18" t="s">
        <v>22</v>
      </c>
      <c r="D128" s="19"/>
      <c r="E128" s="20">
        <v>7500.0</v>
      </c>
      <c r="F128" s="21">
        <f t="shared" si="1"/>
        <v>0</v>
      </c>
      <c r="G128" s="23"/>
      <c r="H128" s="2"/>
      <c r="I128" s="2"/>
      <c r="J128" s="2"/>
      <c r="K128" s="2"/>
    </row>
    <row r="129" ht="15.75" customHeight="1">
      <c r="A129" s="23"/>
      <c r="B129" s="23"/>
      <c r="C129" s="18" t="s">
        <v>23</v>
      </c>
      <c r="D129" s="19"/>
      <c r="E129" s="20">
        <v>2000.0</v>
      </c>
      <c r="F129" s="21">
        <f t="shared" si="1"/>
        <v>0</v>
      </c>
      <c r="G129" s="23"/>
      <c r="H129" s="2"/>
      <c r="I129" s="2"/>
      <c r="J129" s="2"/>
      <c r="K129" s="2"/>
    </row>
    <row r="130" ht="15.75" customHeight="1">
      <c r="A130" s="23"/>
      <c r="B130" s="23"/>
      <c r="C130" s="18" t="s">
        <v>24</v>
      </c>
      <c r="D130" s="19">
        <v>18.0</v>
      </c>
      <c r="E130" s="20">
        <v>800.0</v>
      </c>
      <c r="F130" s="21">
        <f t="shared" si="1"/>
        <v>14400</v>
      </c>
      <c r="G130" s="23"/>
      <c r="H130" s="2"/>
      <c r="I130" s="2"/>
      <c r="J130" s="2"/>
      <c r="K130" s="2"/>
    </row>
    <row r="131" ht="15.75" customHeight="1">
      <c r="A131" s="23"/>
      <c r="B131" s="23"/>
      <c r="C131" s="18" t="s">
        <v>25</v>
      </c>
      <c r="D131" s="19">
        <v>2.0</v>
      </c>
      <c r="E131" s="20">
        <v>5000.0</v>
      </c>
      <c r="F131" s="21">
        <f t="shared" si="1"/>
        <v>10000</v>
      </c>
      <c r="G131" s="23"/>
      <c r="H131" s="2"/>
      <c r="I131" s="2"/>
      <c r="J131" s="2"/>
      <c r="K131" s="2"/>
    </row>
    <row r="132" ht="15.75" customHeight="1">
      <c r="A132" s="23"/>
      <c r="B132" s="23"/>
      <c r="C132" s="18" t="s">
        <v>26</v>
      </c>
      <c r="D132" s="19"/>
      <c r="E132" s="20">
        <v>2700.0</v>
      </c>
      <c r="F132" s="21">
        <f t="shared" si="1"/>
        <v>0</v>
      </c>
      <c r="G132" s="23"/>
      <c r="H132" s="2"/>
      <c r="I132" s="2"/>
      <c r="J132" s="2"/>
      <c r="K132" s="2"/>
    </row>
    <row r="133" ht="15.75" customHeight="1">
      <c r="A133" s="23"/>
      <c r="B133" s="23"/>
      <c r="C133" s="18" t="s">
        <v>27</v>
      </c>
      <c r="D133" s="19"/>
      <c r="E133" s="20">
        <v>50000.0</v>
      </c>
      <c r="F133" s="21">
        <f t="shared" si="1"/>
        <v>0</v>
      </c>
      <c r="G133" s="23"/>
      <c r="H133" s="2"/>
      <c r="I133" s="2"/>
      <c r="J133" s="2"/>
      <c r="K133" s="2"/>
    </row>
    <row r="134" ht="15.75" customHeight="1">
      <c r="A134" s="23"/>
      <c r="B134" s="23"/>
      <c r="C134" s="18" t="s">
        <v>28</v>
      </c>
      <c r="D134" s="19"/>
      <c r="E134" s="20">
        <v>10000.0</v>
      </c>
      <c r="F134" s="21">
        <f t="shared" si="1"/>
        <v>0</v>
      </c>
      <c r="G134" s="23"/>
      <c r="H134" s="2"/>
      <c r="I134" s="2"/>
      <c r="J134" s="2"/>
      <c r="K134" s="2"/>
    </row>
    <row r="135" ht="15.75" customHeight="1">
      <c r="A135" s="23"/>
      <c r="B135" s="23"/>
      <c r="C135" s="18" t="s">
        <v>29</v>
      </c>
      <c r="D135" s="19"/>
      <c r="E135" s="20">
        <v>1000.0</v>
      </c>
      <c r="F135" s="21">
        <f t="shared" si="1"/>
        <v>0</v>
      </c>
      <c r="G135" s="23"/>
      <c r="H135" s="2"/>
      <c r="I135" s="2"/>
      <c r="J135" s="2"/>
      <c r="K135" s="2"/>
    </row>
    <row r="136" ht="15.75" customHeight="1">
      <c r="A136" s="23"/>
      <c r="B136" s="23"/>
      <c r="C136" s="18" t="s">
        <v>30</v>
      </c>
      <c r="D136" s="19"/>
      <c r="E136" s="20">
        <v>500.0</v>
      </c>
      <c r="F136" s="21">
        <f t="shared" si="1"/>
        <v>0</v>
      </c>
      <c r="G136" s="23"/>
      <c r="H136" s="2"/>
      <c r="I136" s="2"/>
      <c r="J136" s="2"/>
      <c r="K136" s="2"/>
    </row>
    <row r="137" ht="15.75" customHeight="1">
      <c r="A137" s="23"/>
      <c r="B137" s="23"/>
      <c r="C137" s="18" t="s">
        <v>31</v>
      </c>
      <c r="D137" s="19"/>
      <c r="E137" s="20">
        <v>200.0</v>
      </c>
      <c r="F137" s="21">
        <f t="shared" si="1"/>
        <v>0</v>
      </c>
      <c r="G137" s="23"/>
      <c r="H137" s="2"/>
      <c r="I137" s="2"/>
      <c r="J137" s="2"/>
      <c r="K137" s="2"/>
    </row>
    <row r="138" ht="15.75" customHeight="1">
      <c r="A138" s="23"/>
      <c r="B138" s="23"/>
      <c r="C138" s="18" t="s">
        <v>32</v>
      </c>
      <c r="D138" s="19"/>
      <c r="E138" s="20">
        <v>1000.0</v>
      </c>
      <c r="F138" s="21">
        <f t="shared" si="1"/>
        <v>0</v>
      </c>
      <c r="G138" s="23"/>
      <c r="H138" s="2"/>
      <c r="I138" s="2"/>
      <c r="J138" s="2"/>
      <c r="K138" s="2"/>
    </row>
    <row r="139" ht="15.75" customHeight="1">
      <c r="A139" s="23"/>
      <c r="B139" s="23"/>
      <c r="C139" s="18" t="s">
        <v>33</v>
      </c>
      <c r="D139" s="19">
        <v>14.0</v>
      </c>
      <c r="E139" s="20">
        <v>300.0</v>
      </c>
      <c r="F139" s="21">
        <f t="shared" si="1"/>
        <v>4200</v>
      </c>
      <c r="G139" s="23"/>
      <c r="H139" s="2"/>
      <c r="I139" s="2"/>
      <c r="J139" s="2"/>
      <c r="K139" s="2"/>
    </row>
    <row r="140" ht="15.75" customHeight="1">
      <c r="A140" s="23"/>
      <c r="B140" s="23"/>
      <c r="C140" s="18" t="s">
        <v>34</v>
      </c>
      <c r="D140" s="19"/>
      <c r="E140" s="20">
        <v>100.0</v>
      </c>
      <c r="F140" s="21">
        <f t="shared" si="1"/>
        <v>0</v>
      </c>
      <c r="G140" s="23"/>
      <c r="H140" s="2"/>
      <c r="I140" s="2"/>
      <c r="J140" s="2"/>
      <c r="K140" s="2"/>
    </row>
    <row r="141" ht="15.75" customHeight="1">
      <c r="A141" s="23"/>
      <c r="B141" s="23"/>
      <c r="C141" s="18" t="s">
        <v>35</v>
      </c>
      <c r="D141" s="19"/>
      <c r="E141" s="20">
        <v>500.0</v>
      </c>
      <c r="F141" s="21">
        <f t="shared" si="1"/>
        <v>0</v>
      </c>
      <c r="G141" s="23"/>
      <c r="H141" s="2"/>
      <c r="I141" s="2"/>
      <c r="J141" s="2"/>
      <c r="K141" s="2"/>
    </row>
    <row r="142" ht="15.75" customHeight="1">
      <c r="A142" s="23"/>
      <c r="B142" s="23"/>
      <c r="C142" s="18" t="s">
        <v>36</v>
      </c>
      <c r="D142" s="19">
        <v>3.0</v>
      </c>
      <c r="E142" s="20">
        <v>1500.0</v>
      </c>
      <c r="F142" s="21">
        <f t="shared" si="1"/>
        <v>4500</v>
      </c>
      <c r="G142" s="23"/>
      <c r="H142" s="2"/>
      <c r="I142" s="2"/>
      <c r="J142" s="2"/>
      <c r="K142" s="2"/>
    </row>
    <row r="143" ht="15.75" customHeight="1">
      <c r="A143" s="23"/>
      <c r="B143" s="23"/>
      <c r="C143" s="18" t="s">
        <v>37</v>
      </c>
      <c r="D143" s="19"/>
      <c r="E143" s="20">
        <v>4000.0</v>
      </c>
      <c r="F143" s="21">
        <f t="shared" si="1"/>
        <v>0</v>
      </c>
      <c r="G143" s="23"/>
      <c r="H143" s="2"/>
      <c r="I143" s="2"/>
      <c r="J143" s="2"/>
      <c r="K143" s="2"/>
    </row>
    <row r="144" ht="15.75" customHeight="1">
      <c r="A144" s="25"/>
      <c r="B144" s="25"/>
      <c r="C144" s="18" t="s">
        <v>38</v>
      </c>
      <c r="D144" s="19">
        <v>14.0</v>
      </c>
      <c r="E144" s="20">
        <v>0.0</v>
      </c>
      <c r="F144" s="21">
        <f t="shared" si="1"/>
        <v>0</v>
      </c>
      <c r="G144" s="25"/>
      <c r="H144" s="2"/>
      <c r="I144" s="2"/>
      <c r="J144" s="2"/>
      <c r="K144" s="2"/>
    </row>
    <row r="145" ht="15.75" customHeight="1">
      <c r="A145" s="16">
        <v>6.0</v>
      </c>
      <c r="B145" s="17" t="s">
        <v>92</v>
      </c>
      <c r="C145" s="18" t="s">
        <v>11</v>
      </c>
      <c r="D145" s="19"/>
      <c r="E145" s="20">
        <v>5000.0</v>
      </c>
      <c r="F145" s="21">
        <f t="shared" si="1"/>
        <v>0</v>
      </c>
      <c r="G145" s="22">
        <f>SUM(F145:F172)</f>
        <v>9500</v>
      </c>
      <c r="H145" s="2"/>
      <c r="I145" s="2"/>
      <c r="J145" s="2"/>
      <c r="K145" s="2"/>
    </row>
    <row r="146" ht="15.75" customHeight="1">
      <c r="A146" s="23"/>
      <c r="B146" s="23"/>
      <c r="C146" s="18" t="s">
        <v>12</v>
      </c>
      <c r="D146" s="19"/>
      <c r="E146" s="20">
        <v>3000.0</v>
      </c>
      <c r="F146" s="21">
        <f t="shared" si="1"/>
        <v>0</v>
      </c>
      <c r="G146" s="23"/>
      <c r="H146" s="2"/>
      <c r="I146" s="2"/>
      <c r="J146" s="2"/>
      <c r="K146" s="2"/>
    </row>
    <row r="147" ht="15.75" customHeight="1">
      <c r="A147" s="23"/>
      <c r="B147" s="23"/>
      <c r="C147" s="18" t="s">
        <v>13</v>
      </c>
      <c r="D147" s="19"/>
      <c r="E147" s="20">
        <v>1000.0</v>
      </c>
      <c r="F147" s="21">
        <f t="shared" si="1"/>
        <v>0</v>
      </c>
      <c r="G147" s="23"/>
      <c r="H147" s="2"/>
      <c r="I147" s="2"/>
      <c r="J147" s="2"/>
      <c r="K147" s="2"/>
    </row>
    <row r="148" ht="15.75" customHeight="1">
      <c r="A148" s="23"/>
      <c r="B148" s="23"/>
      <c r="C148" s="18" t="s">
        <v>14</v>
      </c>
      <c r="D148" s="19"/>
      <c r="E148" s="20">
        <v>2800.0</v>
      </c>
      <c r="F148" s="21">
        <f t="shared" si="1"/>
        <v>0</v>
      </c>
      <c r="G148" s="23"/>
      <c r="H148" s="2"/>
      <c r="I148" s="2"/>
      <c r="J148" s="2"/>
      <c r="K148" s="2"/>
    </row>
    <row r="149" ht="15.75" customHeight="1">
      <c r="A149" s="23"/>
      <c r="B149" s="23"/>
      <c r="C149" s="18" t="s">
        <v>15</v>
      </c>
      <c r="D149" s="19"/>
      <c r="E149" s="20">
        <v>3500.0</v>
      </c>
      <c r="F149" s="21">
        <f t="shared" si="1"/>
        <v>0</v>
      </c>
      <c r="G149" s="23"/>
      <c r="H149" s="2"/>
      <c r="I149" s="2"/>
      <c r="J149" s="2"/>
      <c r="K149" s="2"/>
    </row>
    <row r="150" ht="15.75" customHeight="1">
      <c r="A150" s="23"/>
      <c r="B150" s="23"/>
      <c r="C150" s="18" t="s">
        <v>16</v>
      </c>
      <c r="D150" s="19">
        <v>1.0</v>
      </c>
      <c r="E150" s="20">
        <v>1000.0</v>
      </c>
      <c r="F150" s="21">
        <f t="shared" si="1"/>
        <v>1000</v>
      </c>
      <c r="G150" s="23"/>
      <c r="H150" s="2"/>
      <c r="I150" s="2"/>
      <c r="J150" s="2"/>
      <c r="K150" s="2"/>
    </row>
    <row r="151" ht="15.75" customHeight="1">
      <c r="A151" s="23"/>
      <c r="B151" s="23"/>
      <c r="C151" s="18" t="s">
        <v>17</v>
      </c>
      <c r="D151" s="19"/>
      <c r="E151" s="20">
        <v>2000.0</v>
      </c>
      <c r="F151" s="21">
        <f t="shared" si="1"/>
        <v>0</v>
      </c>
      <c r="G151" s="23"/>
      <c r="H151" s="2"/>
      <c r="I151" s="2"/>
      <c r="J151" s="2"/>
      <c r="K151" s="2"/>
    </row>
    <row r="152" ht="15.75" customHeight="1">
      <c r="A152" s="23"/>
      <c r="B152" s="23"/>
      <c r="C152" s="18" t="s">
        <v>18</v>
      </c>
      <c r="D152" s="19">
        <v>4.0</v>
      </c>
      <c r="E152" s="20">
        <v>2000.0</v>
      </c>
      <c r="F152" s="21">
        <f t="shared" si="1"/>
        <v>8000</v>
      </c>
      <c r="G152" s="23"/>
      <c r="H152" s="2"/>
      <c r="I152" s="2"/>
      <c r="J152" s="2"/>
      <c r="K152" s="2"/>
    </row>
    <row r="153" ht="15.75" customHeight="1">
      <c r="A153" s="23"/>
      <c r="B153" s="23"/>
      <c r="C153" s="18" t="s">
        <v>19</v>
      </c>
      <c r="D153" s="19"/>
      <c r="E153" s="20">
        <v>1300.0</v>
      </c>
      <c r="F153" s="21">
        <f t="shared" si="1"/>
        <v>0</v>
      </c>
      <c r="G153" s="23"/>
      <c r="H153" s="2"/>
      <c r="I153" s="2"/>
      <c r="J153" s="2"/>
      <c r="K153" s="2"/>
    </row>
    <row r="154" ht="15.75" customHeight="1">
      <c r="A154" s="23"/>
      <c r="B154" s="23"/>
      <c r="C154" s="18" t="s">
        <v>20</v>
      </c>
      <c r="D154" s="19"/>
      <c r="E154" s="20">
        <v>1000.0</v>
      </c>
      <c r="F154" s="21">
        <f t="shared" si="1"/>
        <v>0</v>
      </c>
      <c r="G154" s="23"/>
      <c r="H154" s="2"/>
      <c r="I154" s="2"/>
      <c r="J154" s="2"/>
      <c r="K154" s="2"/>
    </row>
    <row r="155" ht="15.75" customHeight="1">
      <c r="A155" s="23"/>
      <c r="B155" s="23"/>
      <c r="C155" s="18" t="s">
        <v>21</v>
      </c>
      <c r="D155" s="19"/>
      <c r="E155" s="20">
        <v>400.0</v>
      </c>
      <c r="F155" s="21">
        <f t="shared" si="1"/>
        <v>0</v>
      </c>
      <c r="G155" s="23"/>
      <c r="H155" s="2"/>
      <c r="I155" s="2"/>
      <c r="J155" s="2"/>
      <c r="K155" s="2"/>
    </row>
    <row r="156" ht="15.75" customHeight="1">
      <c r="A156" s="23"/>
      <c r="B156" s="23"/>
      <c r="C156" s="18" t="s">
        <v>22</v>
      </c>
      <c r="D156" s="19"/>
      <c r="E156" s="20">
        <v>7500.0</v>
      </c>
      <c r="F156" s="21">
        <f t="shared" si="1"/>
        <v>0</v>
      </c>
      <c r="G156" s="23"/>
      <c r="H156" s="2"/>
      <c r="I156" s="2"/>
      <c r="J156" s="2"/>
      <c r="K156" s="2"/>
    </row>
    <row r="157" ht="15.75" customHeight="1">
      <c r="A157" s="23"/>
      <c r="B157" s="23"/>
      <c r="C157" s="18" t="s">
        <v>23</v>
      </c>
      <c r="D157" s="19"/>
      <c r="E157" s="20">
        <v>2000.0</v>
      </c>
      <c r="F157" s="21">
        <f t="shared" si="1"/>
        <v>0</v>
      </c>
      <c r="G157" s="23"/>
      <c r="H157" s="2"/>
      <c r="I157" s="2"/>
      <c r="J157" s="2"/>
      <c r="K157" s="2"/>
    </row>
    <row r="158" ht="15.75" customHeight="1">
      <c r="A158" s="23"/>
      <c r="B158" s="23"/>
      <c r="C158" s="18" t="s">
        <v>24</v>
      </c>
      <c r="D158" s="19"/>
      <c r="E158" s="20">
        <v>800.0</v>
      </c>
      <c r="F158" s="21">
        <f t="shared" si="1"/>
        <v>0</v>
      </c>
      <c r="G158" s="23"/>
      <c r="H158" s="2"/>
      <c r="I158" s="2"/>
      <c r="J158" s="2"/>
      <c r="K158" s="2"/>
    </row>
    <row r="159" ht="15.75" customHeight="1">
      <c r="A159" s="23"/>
      <c r="B159" s="23"/>
      <c r="C159" s="18" t="s">
        <v>25</v>
      </c>
      <c r="D159" s="19"/>
      <c r="E159" s="20">
        <v>5000.0</v>
      </c>
      <c r="F159" s="21">
        <f t="shared" si="1"/>
        <v>0</v>
      </c>
      <c r="G159" s="23"/>
      <c r="H159" s="2"/>
      <c r="I159" s="2"/>
      <c r="J159" s="2"/>
      <c r="K159" s="2"/>
    </row>
    <row r="160" ht="15.75" customHeight="1">
      <c r="A160" s="23"/>
      <c r="B160" s="23"/>
      <c r="C160" s="18" t="s">
        <v>26</v>
      </c>
      <c r="D160" s="19"/>
      <c r="E160" s="20">
        <v>2700.0</v>
      </c>
      <c r="F160" s="21">
        <f t="shared" si="1"/>
        <v>0</v>
      </c>
      <c r="G160" s="23"/>
      <c r="H160" s="2"/>
      <c r="I160" s="2"/>
      <c r="J160" s="2"/>
      <c r="K160" s="2"/>
    </row>
    <row r="161" ht="15.75" customHeight="1">
      <c r="A161" s="23"/>
      <c r="B161" s="23"/>
      <c r="C161" s="18" t="s">
        <v>27</v>
      </c>
      <c r="D161" s="19"/>
      <c r="E161" s="20">
        <v>50000.0</v>
      </c>
      <c r="F161" s="21">
        <f t="shared" si="1"/>
        <v>0</v>
      </c>
      <c r="G161" s="23"/>
      <c r="H161" s="2"/>
      <c r="I161" s="2"/>
      <c r="J161" s="2"/>
      <c r="K161" s="2"/>
    </row>
    <row r="162" ht="15.75" customHeight="1">
      <c r="A162" s="23"/>
      <c r="B162" s="23"/>
      <c r="C162" s="18" t="s">
        <v>28</v>
      </c>
      <c r="D162" s="19"/>
      <c r="E162" s="20">
        <v>10000.0</v>
      </c>
      <c r="F162" s="21">
        <f t="shared" si="1"/>
        <v>0</v>
      </c>
      <c r="G162" s="23"/>
      <c r="H162" s="2"/>
      <c r="I162" s="2"/>
      <c r="J162" s="2"/>
      <c r="K162" s="2"/>
    </row>
    <row r="163" ht="15.75" customHeight="1">
      <c r="A163" s="23"/>
      <c r="B163" s="23"/>
      <c r="C163" s="18" t="s">
        <v>29</v>
      </c>
      <c r="D163" s="19"/>
      <c r="E163" s="20">
        <v>1000.0</v>
      </c>
      <c r="F163" s="21">
        <f t="shared" si="1"/>
        <v>0</v>
      </c>
      <c r="G163" s="23"/>
      <c r="H163" s="2"/>
      <c r="I163" s="2"/>
      <c r="J163" s="2"/>
      <c r="K163" s="2"/>
    </row>
    <row r="164" ht="15.75" customHeight="1">
      <c r="A164" s="23"/>
      <c r="B164" s="23"/>
      <c r="C164" s="18" t="s">
        <v>30</v>
      </c>
      <c r="D164" s="19">
        <v>1.0</v>
      </c>
      <c r="E164" s="20">
        <v>500.0</v>
      </c>
      <c r="F164" s="21">
        <f t="shared" si="1"/>
        <v>500</v>
      </c>
      <c r="G164" s="23"/>
      <c r="H164" s="2"/>
      <c r="I164" s="2"/>
      <c r="J164" s="2"/>
      <c r="K164" s="2"/>
    </row>
    <row r="165" ht="15.75" customHeight="1">
      <c r="A165" s="23"/>
      <c r="B165" s="23"/>
      <c r="C165" s="18" t="s">
        <v>31</v>
      </c>
      <c r="D165" s="19"/>
      <c r="E165" s="20">
        <v>200.0</v>
      </c>
      <c r="F165" s="21">
        <f t="shared" si="1"/>
        <v>0</v>
      </c>
      <c r="G165" s="23"/>
      <c r="H165" s="2"/>
      <c r="I165" s="2"/>
      <c r="J165" s="2"/>
      <c r="K165" s="2"/>
    </row>
    <row r="166" ht="15.75" customHeight="1">
      <c r="A166" s="23"/>
      <c r="B166" s="23"/>
      <c r="C166" s="18" t="s">
        <v>32</v>
      </c>
      <c r="D166" s="19"/>
      <c r="E166" s="20">
        <v>1000.0</v>
      </c>
      <c r="F166" s="21">
        <f t="shared" si="1"/>
        <v>0</v>
      </c>
      <c r="G166" s="23"/>
      <c r="H166" s="2"/>
      <c r="I166" s="2"/>
      <c r="J166" s="2"/>
      <c r="K166" s="2"/>
    </row>
    <row r="167" ht="15.75" customHeight="1">
      <c r="A167" s="23"/>
      <c r="B167" s="23"/>
      <c r="C167" s="18" t="s">
        <v>33</v>
      </c>
      <c r="D167" s="19"/>
      <c r="E167" s="20">
        <v>300.0</v>
      </c>
      <c r="F167" s="21">
        <f t="shared" si="1"/>
        <v>0</v>
      </c>
      <c r="G167" s="23"/>
      <c r="H167" s="2"/>
      <c r="I167" s="2"/>
      <c r="J167" s="2"/>
      <c r="K167" s="2"/>
    </row>
    <row r="168" ht="15.75" customHeight="1">
      <c r="A168" s="23"/>
      <c r="B168" s="23"/>
      <c r="C168" s="18" t="s">
        <v>34</v>
      </c>
      <c r="D168" s="19"/>
      <c r="E168" s="20">
        <v>100.0</v>
      </c>
      <c r="F168" s="21">
        <f t="shared" si="1"/>
        <v>0</v>
      </c>
      <c r="G168" s="23"/>
      <c r="H168" s="2"/>
      <c r="I168" s="2"/>
      <c r="J168" s="2"/>
      <c r="K168" s="2"/>
    </row>
    <row r="169" ht="15.75" customHeight="1">
      <c r="A169" s="23"/>
      <c r="B169" s="23"/>
      <c r="C169" s="18" t="s">
        <v>35</v>
      </c>
      <c r="D169" s="19"/>
      <c r="E169" s="20">
        <v>500.0</v>
      </c>
      <c r="F169" s="21">
        <f t="shared" si="1"/>
        <v>0</v>
      </c>
      <c r="G169" s="23"/>
      <c r="H169" s="2"/>
      <c r="I169" s="2"/>
      <c r="J169" s="2"/>
      <c r="K169" s="2"/>
    </row>
    <row r="170" ht="15.75" customHeight="1">
      <c r="A170" s="23"/>
      <c r="B170" s="23"/>
      <c r="C170" s="18" t="s">
        <v>36</v>
      </c>
      <c r="D170" s="19"/>
      <c r="E170" s="20">
        <v>1500.0</v>
      </c>
      <c r="F170" s="21">
        <f t="shared" si="1"/>
        <v>0</v>
      </c>
      <c r="G170" s="23"/>
      <c r="H170" s="2"/>
      <c r="I170" s="2"/>
      <c r="J170" s="2"/>
      <c r="K170" s="2"/>
    </row>
    <row r="171" ht="15.75" customHeight="1">
      <c r="A171" s="23"/>
      <c r="B171" s="23"/>
      <c r="C171" s="18" t="s">
        <v>37</v>
      </c>
      <c r="D171" s="19"/>
      <c r="E171" s="20">
        <v>4000.0</v>
      </c>
      <c r="F171" s="21">
        <f t="shared" si="1"/>
        <v>0</v>
      </c>
      <c r="G171" s="23"/>
      <c r="H171" s="2"/>
      <c r="I171" s="2"/>
      <c r="J171" s="2"/>
      <c r="K171" s="2"/>
    </row>
    <row r="172" ht="15.75" customHeight="1">
      <c r="A172" s="25"/>
      <c r="B172" s="25"/>
      <c r="C172" s="18" t="s">
        <v>38</v>
      </c>
      <c r="D172" s="19"/>
      <c r="E172" s="20">
        <v>0.0</v>
      </c>
      <c r="F172" s="21">
        <f t="shared" si="1"/>
        <v>0</v>
      </c>
      <c r="G172" s="25"/>
      <c r="H172" s="2"/>
      <c r="I172" s="2"/>
      <c r="J172" s="2"/>
      <c r="K172" s="2"/>
    </row>
    <row r="173" ht="15.75" customHeight="1">
      <c r="A173" s="16">
        <v>7.0</v>
      </c>
      <c r="B173" s="17"/>
      <c r="C173" s="18" t="s">
        <v>11</v>
      </c>
      <c r="D173" s="19"/>
      <c r="E173" s="20">
        <v>5000.0</v>
      </c>
      <c r="F173" s="21">
        <f t="shared" si="1"/>
        <v>0</v>
      </c>
      <c r="G173" s="22">
        <f>SUM(F173:F200)</f>
        <v>0</v>
      </c>
      <c r="H173" s="2"/>
      <c r="I173" s="2"/>
      <c r="J173" s="2"/>
      <c r="K173" s="2"/>
    </row>
    <row r="174" ht="15.75" customHeight="1">
      <c r="A174" s="23"/>
      <c r="B174" s="23"/>
      <c r="C174" s="18" t="s">
        <v>12</v>
      </c>
      <c r="D174" s="19"/>
      <c r="E174" s="20">
        <v>3000.0</v>
      </c>
      <c r="F174" s="21">
        <f t="shared" si="1"/>
        <v>0</v>
      </c>
      <c r="G174" s="23"/>
      <c r="H174" s="2"/>
      <c r="I174" s="2"/>
      <c r="J174" s="2"/>
      <c r="K174" s="2"/>
    </row>
    <row r="175" ht="15.75" customHeight="1">
      <c r="A175" s="23"/>
      <c r="B175" s="23"/>
      <c r="C175" s="18" t="s">
        <v>13</v>
      </c>
      <c r="D175" s="19"/>
      <c r="E175" s="20">
        <v>1000.0</v>
      </c>
      <c r="F175" s="21">
        <f t="shared" si="1"/>
        <v>0</v>
      </c>
      <c r="G175" s="23"/>
      <c r="H175" s="2"/>
      <c r="I175" s="2"/>
      <c r="J175" s="2"/>
      <c r="K175" s="2"/>
    </row>
    <row r="176" ht="15.75" customHeight="1">
      <c r="A176" s="23"/>
      <c r="B176" s="23"/>
      <c r="C176" s="18" t="s">
        <v>14</v>
      </c>
      <c r="D176" s="19"/>
      <c r="E176" s="20">
        <v>2800.0</v>
      </c>
      <c r="F176" s="21">
        <f t="shared" si="1"/>
        <v>0</v>
      </c>
      <c r="G176" s="23"/>
      <c r="H176" s="2"/>
      <c r="I176" s="2"/>
      <c r="J176" s="2"/>
      <c r="K176" s="2"/>
    </row>
    <row r="177" ht="15.75" customHeight="1">
      <c r="A177" s="23"/>
      <c r="B177" s="23"/>
      <c r="C177" s="18" t="s">
        <v>15</v>
      </c>
      <c r="D177" s="19"/>
      <c r="E177" s="20">
        <v>3500.0</v>
      </c>
      <c r="F177" s="21">
        <f t="shared" si="1"/>
        <v>0</v>
      </c>
      <c r="G177" s="23"/>
      <c r="H177" s="2"/>
      <c r="I177" s="2"/>
      <c r="J177" s="2"/>
      <c r="K177" s="2"/>
    </row>
    <row r="178" ht="15.75" customHeight="1">
      <c r="A178" s="23"/>
      <c r="B178" s="23"/>
      <c r="C178" s="18" t="s">
        <v>16</v>
      </c>
      <c r="D178" s="19"/>
      <c r="E178" s="20">
        <v>1000.0</v>
      </c>
      <c r="F178" s="21">
        <f t="shared" si="1"/>
        <v>0</v>
      </c>
      <c r="G178" s="23"/>
      <c r="H178" s="2"/>
      <c r="I178" s="2"/>
      <c r="J178" s="2"/>
      <c r="K178" s="2"/>
    </row>
    <row r="179" ht="15.75" customHeight="1">
      <c r="A179" s="23"/>
      <c r="B179" s="23"/>
      <c r="C179" s="18" t="s">
        <v>17</v>
      </c>
      <c r="D179" s="19"/>
      <c r="E179" s="20">
        <v>2000.0</v>
      </c>
      <c r="F179" s="21">
        <f t="shared" si="1"/>
        <v>0</v>
      </c>
      <c r="G179" s="23"/>
      <c r="H179" s="2"/>
      <c r="I179" s="2"/>
      <c r="J179" s="2"/>
      <c r="K179" s="2"/>
    </row>
    <row r="180" ht="15.75" customHeight="1">
      <c r="A180" s="23"/>
      <c r="B180" s="23"/>
      <c r="C180" s="18" t="s">
        <v>18</v>
      </c>
      <c r="D180" s="19"/>
      <c r="E180" s="20">
        <v>2000.0</v>
      </c>
      <c r="F180" s="21">
        <f t="shared" si="1"/>
        <v>0</v>
      </c>
      <c r="G180" s="23"/>
      <c r="H180" s="2"/>
      <c r="I180" s="2"/>
      <c r="J180" s="2"/>
      <c r="K180" s="2"/>
    </row>
    <row r="181" ht="15.75" customHeight="1">
      <c r="A181" s="23"/>
      <c r="B181" s="23"/>
      <c r="C181" s="18" t="s">
        <v>19</v>
      </c>
      <c r="D181" s="19"/>
      <c r="E181" s="20">
        <v>1300.0</v>
      </c>
      <c r="F181" s="21">
        <f t="shared" si="1"/>
        <v>0</v>
      </c>
      <c r="G181" s="23"/>
      <c r="H181" s="2"/>
      <c r="I181" s="2"/>
      <c r="J181" s="2"/>
      <c r="K181" s="2"/>
    </row>
    <row r="182" ht="15.75" customHeight="1">
      <c r="A182" s="23"/>
      <c r="B182" s="23"/>
      <c r="C182" s="18" t="s">
        <v>20</v>
      </c>
      <c r="D182" s="19"/>
      <c r="E182" s="20">
        <v>1000.0</v>
      </c>
      <c r="F182" s="21">
        <f t="shared" si="1"/>
        <v>0</v>
      </c>
      <c r="G182" s="23"/>
      <c r="H182" s="2"/>
      <c r="I182" s="2"/>
      <c r="J182" s="2"/>
      <c r="K182" s="2"/>
    </row>
    <row r="183" ht="15.75" customHeight="1">
      <c r="A183" s="23"/>
      <c r="B183" s="23"/>
      <c r="C183" s="18" t="s">
        <v>21</v>
      </c>
      <c r="D183" s="19"/>
      <c r="E183" s="20">
        <v>400.0</v>
      </c>
      <c r="F183" s="21">
        <f t="shared" si="1"/>
        <v>0</v>
      </c>
      <c r="G183" s="23"/>
      <c r="H183" s="2"/>
      <c r="I183" s="2"/>
      <c r="J183" s="2"/>
      <c r="K183" s="2"/>
    </row>
    <row r="184" ht="15.75" customHeight="1">
      <c r="A184" s="23"/>
      <c r="B184" s="23"/>
      <c r="C184" s="18" t="s">
        <v>22</v>
      </c>
      <c r="D184" s="19"/>
      <c r="E184" s="20">
        <v>7500.0</v>
      </c>
      <c r="F184" s="21">
        <f t="shared" si="1"/>
        <v>0</v>
      </c>
      <c r="G184" s="23"/>
      <c r="H184" s="2"/>
      <c r="I184" s="2"/>
      <c r="J184" s="2"/>
      <c r="K184" s="2"/>
    </row>
    <row r="185" ht="15.75" customHeight="1">
      <c r="A185" s="23"/>
      <c r="B185" s="23"/>
      <c r="C185" s="18" t="s">
        <v>23</v>
      </c>
      <c r="D185" s="19"/>
      <c r="E185" s="20">
        <v>2000.0</v>
      </c>
      <c r="F185" s="21">
        <f t="shared" si="1"/>
        <v>0</v>
      </c>
      <c r="G185" s="23"/>
      <c r="H185" s="2"/>
      <c r="I185" s="2"/>
      <c r="J185" s="2"/>
      <c r="K185" s="2"/>
    </row>
    <row r="186" ht="15.75" customHeight="1">
      <c r="A186" s="23"/>
      <c r="B186" s="23"/>
      <c r="C186" s="18" t="s">
        <v>24</v>
      </c>
      <c r="D186" s="19"/>
      <c r="E186" s="20">
        <v>800.0</v>
      </c>
      <c r="F186" s="21">
        <f t="shared" si="1"/>
        <v>0</v>
      </c>
      <c r="G186" s="23"/>
      <c r="H186" s="2"/>
      <c r="I186" s="2"/>
      <c r="J186" s="2"/>
      <c r="K186" s="2"/>
    </row>
    <row r="187" ht="15.75" customHeight="1">
      <c r="A187" s="23"/>
      <c r="B187" s="23"/>
      <c r="C187" s="18" t="s">
        <v>25</v>
      </c>
      <c r="D187" s="19"/>
      <c r="E187" s="20">
        <v>5000.0</v>
      </c>
      <c r="F187" s="21">
        <f t="shared" si="1"/>
        <v>0</v>
      </c>
      <c r="G187" s="23"/>
      <c r="H187" s="2"/>
      <c r="I187" s="2"/>
      <c r="J187" s="2"/>
      <c r="K187" s="2"/>
    </row>
    <row r="188" ht="15.75" customHeight="1">
      <c r="A188" s="23"/>
      <c r="B188" s="23"/>
      <c r="C188" s="18" t="s">
        <v>26</v>
      </c>
      <c r="D188" s="19"/>
      <c r="E188" s="20">
        <v>2700.0</v>
      </c>
      <c r="F188" s="21">
        <f t="shared" si="1"/>
        <v>0</v>
      </c>
      <c r="G188" s="23"/>
      <c r="H188" s="2"/>
      <c r="I188" s="2"/>
      <c r="J188" s="2"/>
      <c r="K188" s="2"/>
    </row>
    <row r="189" ht="15.75" customHeight="1">
      <c r="A189" s="23"/>
      <c r="B189" s="23"/>
      <c r="C189" s="18" t="s">
        <v>27</v>
      </c>
      <c r="D189" s="19"/>
      <c r="E189" s="20">
        <v>50000.0</v>
      </c>
      <c r="F189" s="21">
        <f t="shared" si="1"/>
        <v>0</v>
      </c>
      <c r="G189" s="23"/>
      <c r="H189" s="2"/>
      <c r="I189" s="2"/>
      <c r="J189" s="2"/>
      <c r="K189" s="2"/>
    </row>
    <row r="190" ht="15.75" customHeight="1">
      <c r="A190" s="23"/>
      <c r="B190" s="23"/>
      <c r="C190" s="18" t="s">
        <v>28</v>
      </c>
      <c r="D190" s="19"/>
      <c r="E190" s="20">
        <v>10000.0</v>
      </c>
      <c r="F190" s="21">
        <f t="shared" si="1"/>
        <v>0</v>
      </c>
      <c r="G190" s="23"/>
      <c r="H190" s="2"/>
      <c r="I190" s="2"/>
      <c r="J190" s="2"/>
      <c r="K190" s="2"/>
    </row>
    <row r="191" ht="15.75" customHeight="1">
      <c r="A191" s="23"/>
      <c r="B191" s="23"/>
      <c r="C191" s="18" t="s">
        <v>29</v>
      </c>
      <c r="D191" s="19"/>
      <c r="E191" s="20">
        <v>1000.0</v>
      </c>
      <c r="F191" s="21">
        <f t="shared" si="1"/>
        <v>0</v>
      </c>
      <c r="G191" s="23"/>
      <c r="H191" s="2"/>
      <c r="I191" s="2"/>
      <c r="J191" s="2"/>
      <c r="K191" s="2"/>
    </row>
    <row r="192" ht="15.75" customHeight="1">
      <c r="A192" s="23"/>
      <c r="B192" s="23"/>
      <c r="C192" s="18" t="s">
        <v>30</v>
      </c>
      <c r="D192" s="19"/>
      <c r="E192" s="20">
        <v>500.0</v>
      </c>
      <c r="F192" s="21">
        <f t="shared" si="1"/>
        <v>0</v>
      </c>
      <c r="G192" s="23"/>
      <c r="H192" s="2"/>
      <c r="I192" s="2"/>
      <c r="J192" s="2"/>
      <c r="K192" s="2"/>
    </row>
    <row r="193" ht="15.75" customHeight="1">
      <c r="A193" s="23"/>
      <c r="B193" s="23"/>
      <c r="C193" s="18" t="s">
        <v>31</v>
      </c>
      <c r="D193" s="19"/>
      <c r="E193" s="20">
        <v>200.0</v>
      </c>
      <c r="F193" s="21">
        <f t="shared" si="1"/>
        <v>0</v>
      </c>
      <c r="G193" s="23"/>
      <c r="H193" s="2"/>
      <c r="I193" s="2"/>
      <c r="J193" s="2"/>
      <c r="K193" s="2"/>
    </row>
    <row r="194" ht="15.75" customHeight="1">
      <c r="A194" s="23"/>
      <c r="B194" s="23"/>
      <c r="C194" s="18" t="s">
        <v>32</v>
      </c>
      <c r="D194" s="19"/>
      <c r="E194" s="20">
        <v>1000.0</v>
      </c>
      <c r="F194" s="21">
        <f t="shared" si="1"/>
        <v>0</v>
      </c>
      <c r="G194" s="23"/>
      <c r="H194" s="2"/>
      <c r="I194" s="2"/>
      <c r="J194" s="2"/>
      <c r="K194" s="2"/>
    </row>
    <row r="195" ht="15.75" customHeight="1">
      <c r="A195" s="23"/>
      <c r="B195" s="23"/>
      <c r="C195" s="18" t="s">
        <v>33</v>
      </c>
      <c r="D195" s="19"/>
      <c r="E195" s="20">
        <v>300.0</v>
      </c>
      <c r="F195" s="21">
        <f t="shared" si="1"/>
        <v>0</v>
      </c>
      <c r="G195" s="23"/>
      <c r="H195" s="2"/>
      <c r="I195" s="2"/>
      <c r="J195" s="2"/>
      <c r="K195" s="2"/>
    </row>
    <row r="196" ht="15.75" customHeight="1">
      <c r="A196" s="23"/>
      <c r="B196" s="23"/>
      <c r="C196" s="18" t="s">
        <v>34</v>
      </c>
      <c r="D196" s="19"/>
      <c r="E196" s="20">
        <v>100.0</v>
      </c>
      <c r="F196" s="21">
        <f t="shared" si="1"/>
        <v>0</v>
      </c>
      <c r="G196" s="23"/>
      <c r="H196" s="2"/>
      <c r="I196" s="2"/>
      <c r="J196" s="2"/>
      <c r="K196" s="2"/>
    </row>
    <row r="197" ht="15.75" customHeight="1">
      <c r="A197" s="23"/>
      <c r="B197" s="23"/>
      <c r="C197" s="18" t="s">
        <v>35</v>
      </c>
      <c r="D197" s="19"/>
      <c r="E197" s="20">
        <v>500.0</v>
      </c>
      <c r="F197" s="21">
        <f t="shared" si="1"/>
        <v>0</v>
      </c>
      <c r="G197" s="23"/>
      <c r="H197" s="2"/>
      <c r="I197" s="2"/>
      <c r="J197" s="2"/>
      <c r="K197" s="2"/>
    </row>
    <row r="198" ht="15.75" customHeight="1">
      <c r="A198" s="23"/>
      <c r="B198" s="23"/>
      <c r="C198" s="18" t="s">
        <v>36</v>
      </c>
      <c r="D198" s="19"/>
      <c r="E198" s="20">
        <v>1500.0</v>
      </c>
      <c r="F198" s="21">
        <f t="shared" si="1"/>
        <v>0</v>
      </c>
      <c r="G198" s="23"/>
      <c r="H198" s="2"/>
      <c r="I198" s="2"/>
      <c r="J198" s="2"/>
      <c r="K198" s="2"/>
    </row>
    <row r="199" ht="15.75" customHeight="1">
      <c r="A199" s="23"/>
      <c r="B199" s="23"/>
      <c r="C199" s="18" t="s">
        <v>37</v>
      </c>
      <c r="D199" s="19"/>
      <c r="E199" s="20">
        <v>4000.0</v>
      </c>
      <c r="F199" s="21">
        <f t="shared" si="1"/>
        <v>0</v>
      </c>
      <c r="G199" s="23"/>
      <c r="H199" s="2"/>
      <c r="I199" s="2"/>
      <c r="J199" s="2"/>
      <c r="K199" s="2"/>
    </row>
    <row r="200" ht="15.75" customHeight="1">
      <c r="A200" s="25"/>
      <c r="B200" s="25"/>
      <c r="C200" s="18" t="s">
        <v>38</v>
      </c>
      <c r="D200" s="19"/>
      <c r="E200" s="20">
        <v>0.0</v>
      </c>
      <c r="F200" s="21">
        <f t="shared" si="1"/>
        <v>0</v>
      </c>
      <c r="G200" s="25"/>
      <c r="H200" s="2"/>
      <c r="I200" s="2"/>
      <c r="J200" s="2"/>
      <c r="K200" s="2"/>
    </row>
    <row r="201" ht="15.75" customHeight="1">
      <c r="A201" s="16">
        <v>8.0</v>
      </c>
      <c r="B201" s="17"/>
      <c r="C201" s="18" t="s">
        <v>11</v>
      </c>
      <c r="D201" s="19"/>
      <c r="E201" s="20">
        <v>5000.0</v>
      </c>
      <c r="F201" s="21">
        <f t="shared" si="1"/>
        <v>0</v>
      </c>
      <c r="G201" s="22">
        <f>SUM(F201:F228)</f>
        <v>0</v>
      </c>
      <c r="H201" s="2"/>
      <c r="I201" s="2"/>
      <c r="J201" s="2"/>
      <c r="K201" s="2"/>
    </row>
    <row r="202" ht="15.75" customHeight="1">
      <c r="A202" s="23"/>
      <c r="B202" s="23"/>
      <c r="C202" s="18" t="s">
        <v>12</v>
      </c>
      <c r="D202" s="19"/>
      <c r="E202" s="20">
        <v>3000.0</v>
      </c>
      <c r="F202" s="21">
        <f t="shared" si="1"/>
        <v>0</v>
      </c>
      <c r="G202" s="23"/>
      <c r="H202" s="2"/>
      <c r="I202" s="2"/>
      <c r="J202" s="2"/>
      <c r="K202" s="2"/>
    </row>
    <row r="203" ht="15.75" customHeight="1">
      <c r="A203" s="23"/>
      <c r="B203" s="23"/>
      <c r="C203" s="18" t="s">
        <v>13</v>
      </c>
      <c r="D203" s="19"/>
      <c r="E203" s="20">
        <v>1000.0</v>
      </c>
      <c r="F203" s="21">
        <f t="shared" si="1"/>
        <v>0</v>
      </c>
      <c r="G203" s="23"/>
      <c r="H203" s="2"/>
      <c r="I203" s="2"/>
      <c r="J203" s="2"/>
      <c r="K203" s="2"/>
    </row>
    <row r="204" ht="15.75" customHeight="1">
      <c r="A204" s="23"/>
      <c r="B204" s="23"/>
      <c r="C204" s="18" t="s">
        <v>14</v>
      </c>
      <c r="D204" s="19"/>
      <c r="E204" s="20">
        <v>2800.0</v>
      </c>
      <c r="F204" s="21">
        <f t="shared" si="1"/>
        <v>0</v>
      </c>
      <c r="G204" s="23"/>
      <c r="H204" s="2"/>
      <c r="I204" s="2"/>
      <c r="J204" s="2"/>
      <c r="K204" s="2"/>
    </row>
    <row r="205" ht="15.75" customHeight="1">
      <c r="A205" s="23"/>
      <c r="B205" s="23"/>
      <c r="C205" s="18" t="s">
        <v>15</v>
      </c>
      <c r="D205" s="19"/>
      <c r="E205" s="20">
        <v>3500.0</v>
      </c>
      <c r="F205" s="21">
        <f t="shared" si="1"/>
        <v>0</v>
      </c>
      <c r="G205" s="23"/>
      <c r="H205" s="2"/>
      <c r="I205" s="2"/>
      <c r="J205" s="2"/>
      <c r="K205" s="2"/>
    </row>
    <row r="206" ht="15.75" customHeight="1">
      <c r="A206" s="23"/>
      <c r="B206" s="23"/>
      <c r="C206" s="18" t="s">
        <v>16</v>
      </c>
      <c r="D206" s="19"/>
      <c r="E206" s="20">
        <v>1000.0</v>
      </c>
      <c r="F206" s="21">
        <f t="shared" si="1"/>
        <v>0</v>
      </c>
      <c r="G206" s="23"/>
      <c r="H206" s="2"/>
      <c r="I206" s="2"/>
      <c r="J206" s="2"/>
      <c r="K206" s="2"/>
    </row>
    <row r="207" ht="15.75" customHeight="1">
      <c r="A207" s="23"/>
      <c r="B207" s="23"/>
      <c r="C207" s="18" t="s">
        <v>17</v>
      </c>
      <c r="D207" s="19"/>
      <c r="E207" s="20">
        <v>2000.0</v>
      </c>
      <c r="F207" s="21">
        <f t="shared" si="1"/>
        <v>0</v>
      </c>
      <c r="G207" s="23"/>
      <c r="H207" s="2"/>
      <c r="I207" s="2"/>
      <c r="J207" s="2"/>
      <c r="K207" s="2"/>
    </row>
    <row r="208" ht="15.75" customHeight="1">
      <c r="A208" s="23"/>
      <c r="B208" s="23"/>
      <c r="C208" s="18" t="s">
        <v>18</v>
      </c>
      <c r="D208" s="19"/>
      <c r="E208" s="20">
        <v>2000.0</v>
      </c>
      <c r="F208" s="21">
        <f t="shared" si="1"/>
        <v>0</v>
      </c>
      <c r="G208" s="23"/>
      <c r="H208" s="2"/>
      <c r="I208" s="2"/>
      <c r="J208" s="2"/>
      <c r="K208" s="2"/>
    </row>
    <row r="209" ht="15.75" customHeight="1">
      <c r="A209" s="23"/>
      <c r="B209" s="23"/>
      <c r="C209" s="18" t="s">
        <v>19</v>
      </c>
      <c r="D209" s="19"/>
      <c r="E209" s="20">
        <v>1300.0</v>
      </c>
      <c r="F209" s="21">
        <f t="shared" si="1"/>
        <v>0</v>
      </c>
      <c r="G209" s="23"/>
      <c r="H209" s="2"/>
      <c r="I209" s="2"/>
      <c r="J209" s="2"/>
      <c r="K209" s="2"/>
    </row>
    <row r="210" ht="15.75" customHeight="1">
      <c r="A210" s="23"/>
      <c r="B210" s="23"/>
      <c r="C210" s="18" t="s">
        <v>20</v>
      </c>
      <c r="D210" s="19"/>
      <c r="E210" s="20">
        <v>1000.0</v>
      </c>
      <c r="F210" s="21">
        <f t="shared" si="1"/>
        <v>0</v>
      </c>
      <c r="G210" s="23"/>
      <c r="H210" s="2"/>
      <c r="I210" s="2"/>
      <c r="J210" s="2"/>
      <c r="K210" s="2"/>
    </row>
    <row r="211" ht="15.75" customHeight="1">
      <c r="A211" s="23"/>
      <c r="B211" s="23"/>
      <c r="C211" s="18" t="s">
        <v>21</v>
      </c>
      <c r="D211" s="19"/>
      <c r="E211" s="20">
        <v>400.0</v>
      </c>
      <c r="F211" s="21">
        <f t="shared" si="1"/>
        <v>0</v>
      </c>
      <c r="G211" s="23"/>
      <c r="H211" s="2"/>
      <c r="I211" s="2"/>
      <c r="J211" s="2"/>
      <c r="K211" s="2"/>
    </row>
    <row r="212" ht="15.75" customHeight="1">
      <c r="A212" s="23"/>
      <c r="B212" s="23"/>
      <c r="C212" s="18" t="s">
        <v>22</v>
      </c>
      <c r="D212" s="19"/>
      <c r="E212" s="20">
        <v>7500.0</v>
      </c>
      <c r="F212" s="21">
        <f t="shared" si="1"/>
        <v>0</v>
      </c>
      <c r="G212" s="23"/>
      <c r="H212" s="2"/>
      <c r="I212" s="2"/>
      <c r="J212" s="2"/>
      <c r="K212" s="2"/>
    </row>
    <row r="213" ht="15.75" customHeight="1">
      <c r="A213" s="23"/>
      <c r="B213" s="23"/>
      <c r="C213" s="18" t="s">
        <v>23</v>
      </c>
      <c r="D213" s="19"/>
      <c r="E213" s="20">
        <v>2000.0</v>
      </c>
      <c r="F213" s="21">
        <f t="shared" si="1"/>
        <v>0</v>
      </c>
      <c r="G213" s="23"/>
      <c r="H213" s="2"/>
      <c r="I213" s="2"/>
      <c r="J213" s="2"/>
      <c r="K213" s="2"/>
    </row>
    <row r="214" ht="15.75" customHeight="1">
      <c r="A214" s="23"/>
      <c r="B214" s="23"/>
      <c r="C214" s="18" t="s">
        <v>24</v>
      </c>
      <c r="D214" s="19"/>
      <c r="E214" s="20">
        <v>800.0</v>
      </c>
      <c r="F214" s="21">
        <f t="shared" si="1"/>
        <v>0</v>
      </c>
      <c r="G214" s="23"/>
      <c r="H214" s="2"/>
      <c r="I214" s="2"/>
      <c r="J214" s="2"/>
      <c r="K214" s="2"/>
    </row>
    <row r="215" ht="15.75" customHeight="1">
      <c r="A215" s="23"/>
      <c r="B215" s="23"/>
      <c r="C215" s="18" t="s">
        <v>25</v>
      </c>
      <c r="D215" s="19"/>
      <c r="E215" s="20">
        <v>5000.0</v>
      </c>
      <c r="F215" s="21">
        <f t="shared" si="1"/>
        <v>0</v>
      </c>
      <c r="G215" s="23"/>
      <c r="H215" s="2"/>
      <c r="I215" s="2"/>
      <c r="J215" s="2"/>
      <c r="K215" s="2"/>
    </row>
    <row r="216" ht="15.75" customHeight="1">
      <c r="A216" s="23"/>
      <c r="B216" s="23"/>
      <c r="C216" s="18" t="s">
        <v>26</v>
      </c>
      <c r="D216" s="19"/>
      <c r="E216" s="20">
        <v>2700.0</v>
      </c>
      <c r="F216" s="21">
        <f t="shared" si="1"/>
        <v>0</v>
      </c>
      <c r="G216" s="23"/>
      <c r="H216" s="2"/>
      <c r="I216" s="2"/>
      <c r="J216" s="2"/>
      <c r="K216" s="2"/>
    </row>
    <row r="217" ht="15.75" customHeight="1">
      <c r="A217" s="23"/>
      <c r="B217" s="23"/>
      <c r="C217" s="18" t="s">
        <v>27</v>
      </c>
      <c r="D217" s="19"/>
      <c r="E217" s="20">
        <v>50000.0</v>
      </c>
      <c r="F217" s="21">
        <f t="shared" si="1"/>
        <v>0</v>
      </c>
      <c r="G217" s="23"/>
      <c r="H217" s="2"/>
      <c r="I217" s="2"/>
      <c r="J217" s="2"/>
      <c r="K217" s="2"/>
    </row>
    <row r="218" ht="15.75" customHeight="1">
      <c r="A218" s="23"/>
      <c r="B218" s="23"/>
      <c r="C218" s="18" t="s">
        <v>28</v>
      </c>
      <c r="D218" s="19"/>
      <c r="E218" s="20">
        <v>10000.0</v>
      </c>
      <c r="F218" s="21">
        <f t="shared" si="1"/>
        <v>0</v>
      </c>
      <c r="G218" s="23"/>
      <c r="H218" s="2"/>
      <c r="I218" s="2"/>
      <c r="J218" s="2"/>
      <c r="K218" s="2"/>
    </row>
    <row r="219" ht="15.75" customHeight="1">
      <c r="A219" s="23"/>
      <c r="B219" s="23"/>
      <c r="C219" s="18" t="s">
        <v>29</v>
      </c>
      <c r="D219" s="19"/>
      <c r="E219" s="20">
        <v>1000.0</v>
      </c>
      <c r="F219" s="21">
        <f t="shared" si="1"/>
        <v>0</v>
      </c>
      <c r="G219" s="23"/>
      <c r="H219" s="2"/>
      <c r="I219" s="2"/>
      <c r="J219" s="2"/>
      <c r="K219" s="2"/>
    </row>
    <row r="220" ht="15.75" customHeight="1">
      <c r="A220" s="23"/>
      <c r="B220" s="23"/>
      <c r="C220" s="18" t="s">
        <v>30</v>
      </c>
      <c r="D220" s="19"/>
      <c r="E220" s="20">
        <v>500.0</v>
      </c>
      <c r="F220" s="21">
        <f t="shared" si="1"/>
        <v>0</v>
      </c>
      <c r="G220" s="23"/>
      <c r="H220" s="2"/>
      <c r="I220" s="2"/>
      <c r="J220" s="2"/>
      <c r="K220" s="2"/>
    </row>
    <row r="221" ht="15.75" customHeight="1">
      <c r="A221" s="23"/>
      <c r="B221" s="23"/>
      <c r="C221" s="18" t="s">
        <v>31</v>
      </c>
      <c r="D221" s="19"/>
      <c r="E221" s="20">
        <v>200.0</v>
      </c>
      <c r="F221" s="21">
        <f t="shared" si="1"/>
        <v>0</v>
      </c>
      <c r="G221" s="23"/>
      <c r="H221" s="2"/>
      <c r="I221" s="2"/>
      <c r="J221" s="2"/>
      <c r="K221" s="2"/>
    </row>
    <row r="222" ht="15.75" customHeight="1">
      <c r="A222" s="23"/>
      <c r="B222" s="23"/>
      <c r="C222" s="18" t="s">
        <v>32</v>
      </c>
      <c r="D222" s="19"/>
      <c r="E222" s="20">
        <v>1000.0</v>
      </c>
      <c r="F222" s="21">
        <f t="shared" si="1"/>
        <v>0</v>
      </c>
      <c r="G222" s="23"/>
      <c r="H222" s="2"/>
      <c r="I222" s="2"/>
      <c r="J222" s="2"/>
      <c r="K222" s="2"/>
    </row>
    <row r="223" ht="15.75" customHeight="1">
      <c r="A223" s="23"/>
      <c r="B223" s="23"/>
      <c r="C223" s="18" t="s">
        <v>33</v>
      </c>
      <c r="D223" s="19"/>
      <c r="E223" s="20">
        <v>300.0</v>
      </c>
      <c r="F223" s="21">
        <f t="shared" si="1"/>
        <v>0</v>
      </c>
      <c r="G223" s="23"/>
      <c r="H223" s="2"/>
      <c r="I223" s="2"/>
      <c r="J223" s="2"/>
      <c r="K223" s="2"/>
    </row>
    <row r="224" ht="15.75" customHeight="1">
      <c r="A224" s="23"/>
      <c r="B224" s="23"/>
      <c r="C224" s="18" t="s">
        <v>34</v>
      </c>
      <c r="D224" s="19"/>
      <c r="E224" s="20">
        <v>100.0</v>
      </c>
      <c r="F224" s="21">
        <f t="shared" si="1"/>
        <v>0</v>
      </c>
      <c r="G224" s="23"/>
      <c r="H224" s="2"/>
      <c r="I224" s="2"/>
      <c r="J224" s="2"/>
      <c r="K224" s="2"/>
    </row>
    <row r="225" ht="15.75" customHeight="1">
      <c r="A225" s="23"/>
      <c r="B225" s="23"/>
      <c r="C225" s="18" t="s">
        <v>35</v>
      </c>
      <c r="D225" s="19"/>
      <c r="E225" s="20">
        <v>500.0</v>
      </c>
      <c r="F225" s="21">
        <f t="shared" si="1"/>
        <v>0</v>
      </c>
      <c r="G225" s="23"/>
      <c r="H225" s="2"/>
      <c r="I225" s="2"/>
      <c r="J225" s="2"/>
      <c r="K225" s="2"/>
    </row>
    <row r="226" ht="15.75" customHeight="1">
      <c r="A226" s="23"/>
      <c r="B226" s="23"/>
      <c r="C226" s="18" t="s">
        <v>36</v>
      </c>
      <c r="D226" s="19"/>
      <c r="E226" s="20">
        <v>1500.0</v>
      </c>
      <c r="F226" s="21">
        <f t="shared" si="1"/>
        <v>0</v>
      </c>
      <c r="G226" s="23"/>
      <c r="H226" s="2"/>
      <c r="I226" s="2"/>
      <c r="J226" s="2"/>
      <c r="K226" s="2"/>
    </row>
    <row r="227" ht="15.75" customHeight="1">
      <c r="A227" s="23"/>
      <c r="B227" s="23"/>
      <c r="C227" s="18" t="s">
        <v>37</v>
      </c>
      <c r="D227" s="19"/>
      <c r="E227" s="20">
        <v>4000.0</v>
      </c>
      <c r="F227" s="21">
        <f t="shared" si="1"/>
        <v>0</v>
      </c>
      <c r="G227" s="23"/>
      <c r="H227" s="2"/>
      <c r="I227" s="2"/>
      <c r="J227" s="2"/>
      <c r="K227" s="2"/>
    </row>
    <row r="228" ht="15.75" customHeight="1">
      <c r="A228" s="25"/>
      <c r="B228" s="25"/>
      <c r="C228" s="18" t="s">
        <v>38</v>
      </c>
      <c r="D228" s="19"/>
      <c r="E228" s="20">
        <v>0.0</v>
      </c>
      <c r="F228" s="21">
        <f t="shared" si="1"/>
        <v>0</v>
      </c>
      <c r="G228" s="25"/>
      <c r="H228" s="2"/>
      <c r="I228" s="2"/>
      <c r="J228" s="2"/>
      <c r="K228" s="2"/>
    </row>
    <row r="229" ht="15.75" customHeight="1">
      <c r="A229" s="33" t="s">
        <v>55</v>
      </c>
      <c r="B229" s="4"/>
      <c r="C229" s="4"/>
      <c r="D229" s="4"/>
      <c r="E229" s="4"/>
      <c r="F229" s="5"/>
      <c r="G229" s="31">
        <f>SUM(G5:G228)</f>
        <v>277000</v>
      </c>
      <c r="H229" s="2"/>
      <c r="I229" s="2"/>
      <c r="J229" s="2"/>
      <c r="K229" s="2"/>
    </row>
    <row r="230" ht="15.75" customHeight="1">
      <c r="A230" s="33" t="s">
        <v>56</v>
      </c>
      <c r="B230" s="4"/>
      <c r="C230" s="4"/>
      <c r="D230" s="4"/>
      <c r="E230" s="4"/>
      <c r="F230" s="5"/>
      <c r="G230" s="31">
        <f>G229*5%</f>
        <v>13850</v>
      </c>
      <c r="H230" s="2"/>
      <c r="I230" s="2"/>
      <c r="J230" s="2"/>
      <c r="K230" s="2"/>
    </row>
    <row r="231" ht="15.7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</row>
    <row r="232" ht="15.7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</row>
    <row r="233" ht="15.7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</row>
    <row r="234" ht="15.7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</row>
    <row r="235" ht="15.7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</row>
    <row r="236" ht="15.7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</row>
    <row r="237" ht="15.7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</row>
    <row r="238" ht="15.7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</row>
    <row r="239" ht="15.75" customHeight="1">
      <c r="A239" s="1"/>
      <c r="B239" s="1"/>
    </row>
    <row r="240" ht="15.75" customHeight="1">
      <c r="A240" s="1"/>
      <c r="B240" s="1"/>
    </row>
    <row r="241" ht="15.75" customHeight="1">
      <c r="A241" s="1"/>
      <c r="B241" s="1"/>
    </row>
    <row r="242" ht="15.75" customHeight="1">
      <c r="A242" s="1"/>
      <c r="B242" s="1"/>
    </row>
    <row r="243" ht="15.75" customHeight="1">
      <c r="A243" s="1"/>
      <c r="B243" s="1"/>
    </row>
    <row r="244" ht="15.75" customHeight="1">
      <c r="A244" s="1"/>
      <c r="B244" s="1"/>
    </row>
    <row r="245" ht="15.75" customHeight="1">
      <c r="A245" s="1"/>
      <c r="B245" s="1"/>
    </row>
    <row r="246" ht="15.75" customHeight="1">
      <c r="A246" s="1"/>
      <c r="B246" s="1"/>
    </row>
    <row r="247" ht="15.75" customHeight="1">
      <c r="A247" s="1"/>
      <c r="B247" s="1"/>
    </row>
    <row r="248" ht="15.75" customHeight="1">
      <c r="A248" s="1"/>
      <c r="B248" s="1"/>
    </row>
    <row r="249" ht="15.75" customHeight="1">
      <c r="A249" s="1"/>
      <c r="B249" s="1"/>
    </row>
    <row r="250" ht="15.75" customHeight="1">
      <c r="A250" s="1"/>
      <c r="B250" s="1"/>
    </row>
    <row r="251" ht="15.75" customHeight="1">
      <c r="A251" s="1"/>
      <c r="B251" s="1"/>
    </row>
    <row r="252" ht="15.75" customHeight="1">
      <c r="A252" s="1"/>
      <c r="B252" s="1"/>
    </row>
    <row r="253" ht="15.75" customHeight="1">
      <c r="A253" s="1"/>
      <c r="B253" s="1"/>
    </row>
    <row r="254" ht="15.75" customHeight="1">
      <c r="A254" s="1"/>
      <c r="B254" s="1"/>
    </row>
    <row r="255" ht="15.75" customHeight="1">
      <c r="A255" s="1"/>
      <c r="B255" s="1"/>
    </row>
    <row r="256" ht="15.75" customHeight="1">
      <c r="A256" s="1"/>
      <c r="B256" s="1"/>
    </row>
    <row r="257" ht="15.75" customHeight="1">
      <c r="A257" s="1"/>
      <c r="B257" s="1"/>
    </row>
    <row r="258" ht="15.75" customHeight="1">
      <c r="A258" s="1"/>
      <c r="B258" s="1"/>
    </row>
    <row r="259" ht="15.75" customHeight="1">
      <c r="A259" s="1"/>
      <c r="B259" s="1"/>
    </row>
    <row r="260" ht="15.75" customHeight="1">
      <c r="A260" s="1"/>
      <c r="B260" s="1"/>
    </row>
    <row r="261" ht="15.75" customHeight="1">
      <c r="A261" s="1"/>
      <c r="B261" s="1"/>
    </row>
    <row r="262" ht="15.75" customHeight="1">
      <c r="A262" s="1"/>
      <c r="B262" s="1"/>
    </row>
    <row r="263" ht="15.75" customHeight="1">
      <c r="A263" s="1"/>
      <c r="B263" s="1"/>
    </row>
    <row r="264" ht="15.75" customHeight="1">
      <c r="A264" s="1"/>
      <c r="B264" s="1"/>
    </row>
    <row r="265" ht="15.75" customHeight="1">
      <c r="A265" s="1"/>
      <c r="B265" s="1"/>
    </row>
    <row r="266" ht="15.75" customHeight="1">
      <c r="A266" s="1"/>
      <c r="B266" s="1"/>
    </row>
    <row r="267" ht="15.75" customHeight="1">
      <c r="A267" s="1"/>
      <c r="B267" s="1"/>
    </row>
    <row r="268" ht="15.75" customHeight="1">
      <c r="A268" s="1"/>
      <c r="B268" s="1"/>
    </row>
    <row r="269" ht="15.75" customHeight="1">
      <c r="A269" s="1"/>
      <c r="B269" s="1"/>
    </row>
    <row r="270" ht="15.75" customHeight="1">
      <c r="A270" s="1"/>
      <c r="B270" s="1"/>
    </row>
    <row r="271" ht="15.75" customHeight="1">
      <c r="A271" s="1"/>
      <c r="B271" s="1"/>
    </row>
    <row r="272" ht="15.75" customHeight="1">
      <c r="A272" s="1"/>
      <c r="B272" s="1"/>
    </row>
    <row r="273" ht="15.75" customHeight="1">
      <c r="A273" s="1"/>
      <c r="B273" s="1"/>
    </row>
    <row r="274" ht="15.75" customHeight="1">
      <c r="A274" s="1"/>
      <c r="B274" s="1"/>
    </row>
    <row r="275" ht="15.75" customHeight="1">
      <c r="A275" s="1"/>
      <c r="B275" s="1"/>
    </row>
    <row r="276" ht="15.75" customHeight="1">
      <c r="A276" s="1"/>
      <c r="B276" s="1"/>
    </row>
    <row r="277" ht="15.75" customHeight="1">
      <c r="A277" s="1"/>
      <c r="B277" s="1"/>
    </row>
    <row r="278" ht="15.75" customHeight="1">
      <c r="A278" s="1"/>
      <c r="B278" s="1"/>
    </row>
    <row r="279" ht="15.75" customHeight="1">
      <c r="A279" s="1"/>
      <c r="B279" s="1"/>
    </row>
    <row r="280" ht="15.75" customHeight="1">
      <c r="A280" s="1"/>
      <c r="B280" s="1"/>
    </row>
    <row r="281" ht="15.75" customHeight="1">
      <c r="A281" s="1"/>
      <c r="B281" s="1"/>
    </row>
    <row r="282" ht="15.75" customHeight="1">
      <c r="A282" s="1"/>
      <c r="B282" s="1"/>
    </row>
    <row r="283" ht="15.75" customHeight="1">
      <c r="A283" s="1"/>
      <c r="B283" s="1"/>
    </row>
    <row r="284" ht="15.75" customHeight="1">
      <c r="A284" s="1"/>
      <c r="B284" s="1"/>
    </row>
    <row r="285" ht="15.75" customHeight="1">
      <c r="A285" s="1"/>
      <c r="B285" s="1"/>
    </row>
    <row r="286" ht="15.75" customHeight="1">
      <c r="A286" s="1"/>
      <c r="B286" s="1"/>
    </row>
    <row r="287" ht="15.75" customHeight="1">
      <c r="A287" s="1"/>
      <c r="B287" s="1"/>
    </row>
    <row r="288" ht="15.75" customHeight="1">
      <c r="A288" s="1"/>
      <c r="B288" s="1"/>
    </row>
    <row r="289" ht="15.75" customHeight="1">
      <c r="A289" s="1"/>
      <c r="B289" s="1"/>
    </row>
    <row r="290" ht="15.75" customHeight="1">
      <c r="A290" s="1"/>
      <c r="B290" s="1"/>
    </row>
    <row r="291" ht="15.75" customHeight="1">
      <c r="A291" s="1"/>
      <c r="B291" s="1"/>
    </row>
    <row r="292" ht="15.75" customHeight="1">
      <c r="A292" s="1"/>
      <c r="B292" s="1"/>
    </row>
    <row r="293" ht="15.75" customHeight="1">
      <c r="A293" s="1"/>
      <c r="B293" s="1"/>
    </row>
    <row r="294" ht="15.75" customHeight="1">
      <c r="A294" s="1"/>
      <c r="B294" s="1"/>
    </row>
    <row r="295" ht="15.75" customHeight="1">
      <c r="A295" s="1"/>
      <c r="B295" s="1"/>
    </row>
    <row r="296" ht="15.75" customHeight="1">
      <c r="A296" s="1"/>
      <c r="B296" s="1"/>
    </row>
    <row r="297" ht="15.75" customHeight="1">
      <c r="A297" s="1"/>
      <c r="B297" s="1"/>
    </row>
    <row r="298" ht="15.75" customHeight="1">
      <c r="A298" s="1"/>
      <c r="B298" s="1"/>
    </row>
    <row r="299" ht="15.75" customHeight="1">
      <c r="A299" s="1"/>
      <c r="B299" s="1"/>
    </row>
    <row r="300" ht="15.75" customHeight="1">
      <c r="A300" s="1"/>
      <c r="B300" s="1"/>
    </row>
    <row r="301" ht="15.75" customHeight="1">
      <c r="A301" s="1"/>
      <c r="B301" s="1"/>
    </row>
    <row r="302" ht="15.75" customHeight="1">
      <c r="A302" s="1"/>
      <c r="B302" s="1"/>
    </row>
    <row r="303" ht="15.75" customHeight="1">
      <c r="A303" s="1"/>
      <c r="B303" s="1"/>
    </row>
    <row r="304" ht="15.75" customHeight="1">
      <c r="A304" s="1"/>
      <c r="B304" s="1"/>
    </row>
    <row r="305" ht="15.75" customHeight="1">
      <c r="A305" s="1"/>
      <c r="B305" s="1"/>
    </row>
    <row r="306" ht="15.75" customHeight="1">
      <c r="A306" s="1"/>
      <c r="B306" s="1"/>
    </row>
    <row r="307" ht="15.75" customHeight="1">
      <c r="A307" s="1"/>
      <c r="B307" s="1"/>
    </row>
    <row r="308" ht="15.75" customHeight="1">
      <c r="A308" s="1"/>
      <c r="B308" s="1"/>
    </row>
    <row r="309" ht="15.75" customHeight="1">
      <c r="A309" s="1"/>
      <c r="B309" s="1"/>
    </row>
    <row r="310" ht="15.75" customHeight="1">
      <c r="A310" s="1"/>
      <c r="B310" s="1"/>
    </row>
    <row r="311" ht="15.75" customHeight="1">
      <c r="A311" s="1"/>
      <c r="B311" s="1"/>
    </row>
    <row r="312" ht="15.75" customHeight="1">
      <c r="A312" s="1"/>
      <c r="B312" s="1"/>
    </row>
    <row r="313" ht="15.75" customHeight="1">
      <c r="A313" s="1"/>
      <c r="B313" s="1"/>
    </row>
    <row r="314" ht="15.75" customHeight="1">
      <c r="A314" s="1"/>
      <c r="B314" s="1"/>
    </row>
    <row r="315" ht="15.75" customHeight="1">
      <c r="A315" s="1"/>
      <c r="B315" s="1"/>
    </row>
    <row r="316" ht="15.75" customHeight="1">
      <c r="A316" s="1"/>
      <c r="B316" s="1"/>
    </row>
    <row r="317" ht="15.75" customHeight="1">
      <c r="A317" s="1"/>
      <c r="B317" s="1"/>
    </row>
    <row r="318" ht="15.75" customHeight="1">
      <c r="A318" s="1"/>
      <c r="B318" s="1"/>
    </row>
    <row r="319" ht="15.75" customHeight="1">
      <c r="A319" s="1"/>
      <c r="B319" s="1"/>
    </row>
    <row r="320" ht="15.75" customHeight="1">
      <c r="A320" s="1"/>
      <c r="B320" s="1"/>
    </row>
    <row r="321" ht="15.75" customHeight="1">
      <c r="A321" s="1"/>
      <c r="B321" s="1"/>
    </row>
    <row r="322" ht="15.75" customHeight="1">
      <c r="A322" s="1"/>
      <c r="B322" s="1"/>
    </row>
    <row r="323" ht="15.75" customHeight="1">
      <c r="A323" s="1"/>
      <c r="B323" s="1"/>
    </row>
    <row r="324" ht="15.75" customHeight="1">
      <c r="A324" s="1"/>
      <c r="B324" s="1"/>
    </row>
    <row r="325" ht="15.75" customHeight="1">
      <c r="A325" s="1"/>
      <c r="B325" s="1"/>
    </row>
    <row r="326" ht="15.75" customHeight="1">
      <c r="A326" s="1"/>
      <c r="B326" s="1"/>
    </row>
    <row r="327" ht="15.75" customHeight="1">
      <c r="A327" s="1"/>
      <c r="B327" s="1"/>
    </row>
    <row r="328" ht="15.75" customHeight="1">
      <c r="A328" s="1"/>
      <c r="B328" s="1"/>
    </row>
    <row r="329" ht="15.75" customHeight="1">
      <c r="A329" s="1"/>
      <c r="B329" s="1"/>
    </row>
    <row r="330" ht="15.75" customHeight="1">
      <c r="A330" s="1"/>
      <c r="B330" s="1"/>
    </row>
    <row r="331" ht="15.75" customHeight="1">
      <c r="A331" s="1"/>
      <c r="B331" s="1"/>
    </row>
    <row r="332" ht="15.75" customHeight="1">
      <c r="A332" s="1"/>
      <c r="B332" s="1"/>
    </row>
    <row r="333" ht="15.75" customHeight="1">
      <c r="A333" s="1"/>
      <c r="B333" s="1"/>
    </row>
    <row r="334" ht="15.75" customHeight="1">
      <c r="A334" s="1"/>
      <c r="B334" s="1"/>
    </row>
    <row r="335" ht="15.75" customHeight="1">
      <c r="A335" s="1"/>
      <c r="B335" s="1"/>
    </row>
    <row r="336" ht="15.75" customHeight="1">
      <c r="A336" s="1"/>
      <c r="B336" s="1"/>
    </row>
    <row r="337" ht="15.75" customHeight="1">
      <c r="A337" s="1"/>
      <c r="B337" s="1"/>
    </row>
    <row r="338" ht="15.75" customHeight="1">
      <c r="A338" s="1"/>
      <c r="B338" s="1"/>
    </row>
    <row r="339" ht="15.75" customHeight="1">
      <c r="A339" s="1"/>
      <c r="B339" s="1"/>
    </row>
    <row r="340" ht="15.75" customHeight="1">
      <c r="A340" s="1"/>
      <c r="B340" s="1"/>
    </row>
    <row r="341" ht="15.75" customHeight="1">
      <c r="A341" s="1"/>
      <c r="B341" s="1"/>
    </row>
    <row r="342" ht="15.75" customHeight="1">
      <c r="A342" s="1"/>
      <c r="B342" s="1"/>
    </row>
    <row r="343" ht="15.75" customHeight="1">
      <c r="A343" s="1"/>
      <c r="B343" s="1"/>
    </row>
    <row r="344" ht="15.75" customHeight="1">
      <c r="A344" s="1"/>
      <c r="B344" s="1"/>
    </row>
    <row r="345" ht="15.75" customHeight="1">
      <c r="A345" s="1"/>
      <c r="B345" s="1"/>
    </row>
    <row r="346" ht="15.75" customHeight="1">
      <c r="A346" s="1"/>
      <c r="B346" s="1"/>
    </row>
    <row r="347" ht="15.75" customHeight="1">
      <c r="A347" s="1"/>
      <c r="B347" s="1"/>
    </row>
    <row r="348" ht="15.75" customHeight="1">
      <c r="A348" s="1"/>
      <c r="B348" s="1"/>
    </row>
    <row r="349" ht="15.75" customHeight="1">
      <c r="A349" s="1"/>
      <c r="B349" s="1"/>
    </row>
    <row r="350" ht="15.75" customHeight="1">
      <c r="A350" s="1"/>
      <c r="B350" s="1"/>
    </row>
    <row r="351" ht="15.75" customHeight="1">
      <c r="A351" s="1"/>
      <c r="B351" s="1"/>
    </row>
    <row r="352" ht="15.75" customHeight="1">
      <c r="A352" s="1"/>
      <c r="B352" s="1"/>
    </row>
    <row r="353" ht="15.75" customHeight="1">
      <c r="A353" s="1"/>
      <c r="B353" s="1"/>
    </row>
    <row r="354" ht="15.75" customHeight="1">
      <c r="A354" s="1"/>
      <c r="B354" s="1"/>
    </row>
    <row r="355" ht="15.75" customHeight="1">
      <c r="A355" s="1"/>
      <c r="B355" s="1"/>
    </row>
    <row r="356" ht="15.75" customHeight="1">
      <c r="A356" s="1"/>
      <c r="B356" s="1"/>
    </row>
    <row r="357" ht="15.75" customHeight="1">
      <c r="A357" s="1"/>
      <c r="B357" s="1"/>
    </row>
    <row r="358" ht="15.75" customHeight="1">
      <c r="A358" s="1"/>
      <c r="B358" s="1"/>
    </row>
    <row r="359" ht="15.75" customHeight="1">
      <c r="A359" s="1"/>
      <c r="B359" s="1"/>
    </row>
    <row r="360" ht="15.75" customHeight="1">
      <c r="A360" s="1"/>
      <c r="B360" s="1"/>
    </row>
    <row r="361" ht="15.75" customHeight="1">
      <c r="A361" s="1"/>
      <c r="B361" s="1"/>
    </row>
    <row r="362" ht="15.75" customHeight="1">
      <c r="A362" s="1"/>
      <c r="B362" s="1"/>
    </row>
    <row r="363" ht="15.75" customHeight="1">
      <c r="A363" s="1"/>
      <c r="B363" s="1"/>
    </row>
    <row r="364" ht="15.75" customHeight="1">
      <c r="A364" s="1"/>
      <c r="B364" s="1"/>
    </row>
    <row r="365" ht="15.75" customHeight="1">
      <c r="A365" s="1"/>
      <c r="B365" s="1"/>
    </row>
    <row r="366" ht="15.75" customHeight="1">
      <c r="A366" s="1"/>
      <c r="B366" s="1"/>
    </row>
    <row r="367" ht="15.75" customHeight="1">
      <c r="A367" s="1"/>
      <c r="B367" s="1"/>
    </row>
    <row r="368" ht="15.75" customHeight="1">
      <c r="A368" s="1"/>
      <c r="B368" s="1"/>
    </row>
    <row r="369" ht="15.75" customHeight="1">
      <c r="A369" s="1"/>
      <c r="B369" s="1"/>
    </row>
    <row r="370" ht="15.75" customHeight="1">
      <c r="A370" s="1"/>
      <c r="B370" s="1"/>
    </row>
    <row r="371" ht="15.75" customHeight="1">
      <c r="A371" s="1"/>
      <c r="B371" s="1"/>
    </row>
    <row r="372" ht="15.75" customHeight="1">
      <c r="A372" s="1"/>
      <c r="B372" s="1"/>
    </row>
    <row r="373" ht="15.75" customHeight="1">
      <c r="A373" s="1"/>
      <c r="B373" s="1"/>
    </row>
    <row r="374" ht="15.75" customHeight="1">
      <c r="A374" s="1"/>
      <c r="B374" s="1"/>
    </row>
    <row r="375" ht="15.75" customHeight="1">
      <c r="A375" s="1"/>
      <c r="B375" s="1"/>
    </row>
    <row r="376" ht="15.75" customHeight="1">
      <c r="A376" s="1"/>
      <c r="B376" s="1"/>
    </row>
    <row r="377" ht="15.75" customHeight="1">
      <c r="A377" s="1"/>
      <c r="B377" s="1"/>
    </row>
    <row r="378" ht="15.75" customHeight="1">
      <c r="A378" s="1"/>
      <c r="B378" s="1"/>
    </row>
    <row r="379" ht="15.75" customHeight="1">
      <c r="A379" s="1"/>
      <c r="B379" s="1"/>
    </row>
    <row r="380" ht="15.75" customHeight="1">
      <c r="A380" s="1"/>
      <c r="B380" s="1"/>
    </row>
    <row r="381" ht="15.75" customHeight="1">
      <c r="A381" s="1"/>
      <c r="B381" s="1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">
    <mergeCell ref="G61:G88"/>
    <mergeCell ref="G89:G116"/>
    <mergeCell ref="G117:G144"/>
    <mergeCell ref="G145:G172"/>
    <mergeCell ref="G173:G200"/>
    <mergeCell ref="G201:G228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173:A200"/>
    <mergeCell ref="B173:B200"/>
    <mergeCell ref="A201:A228"/>
    <mergeCell ref="B201:B228"/>
    <mergeCell ref="A229:F229"/>
    <mergeCell ref="A230:F230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63"/>
    <col customWidth="1" min="3" max="6" width="7.63"/>
    <col customWidth="1" min="7" max="7" width="10.13"/>
    <col customWidth="1" min="8" max="8" width="9.25"/>
    <col customWidth="1" min="9" max="9" width="7.63"/>
    <col customWidth="1" min="10" max="10" width="10.63"/>
    <col customWidth="1" min="11" max="11" width="11.25"/>
    <col customWidth="1" min="12" max="12" width="11.38"/>
    <col customWidth="1" min="13" max="13" width="11.13"/>
    <col customWidth="1" min="14" max="14" width="17.13"/>
    <col customWidth="1" min="15" max="15" width="13.0"/>
    <col customWidth="1" min="16" max="26" width="7.63"/>
  </cols>
  <sheetData>
    <row r="1" ht="12.75" customHeight="1"/>
    <row r="2" ht="12.75" customHeight="1">
      <c r="A2" s="56" t="s">
        <v>93</v>
      </c>
      <c r="B2" s="57"/>
      <c r="C2" s="57"/>
      <c r="D2" s="57"/>
      <c r="E2" s="57"/>
      <c r="F2" s="57"/>
      <c r="G2" s="57"/>
      <c r="H2" s="58"/>
      <c r="I2" s="59"/>
      <c r="J2" s="60"/>
      <c r="K2" s="60"/>
      <c r="L2" s="60"/>
      <c r="M2" s="60"/>
      <c r="N2" s="60"/>
      <c r="O2" s="60"/>
    </row>
    <row r="3" ht="12.75" customHeight="1">
      <c r="A3" s="61" t="s">
        <v>2</v>
      </c>
      <c r="B3" s="61" t="s">
        <v>94</v>
      </c>
      <c r="C3" s="62" t="s">
        <v>95</v>
      </c>
      <c r="D3" s="4"/>
      <c r="E3" s="4"/>
      <c r="F3" s="4"/>
      <c r="G3" s="5"/>
      <c r="H3" s="61" t="s">
        <v>96</v>
      </c>
      <c r="I3" s="63"/>
      <c r="J3" s="62" t="s">
        <v>97</v>
      </c>
      <c r="K3" s="4"/>
      <c r="L3" s="4"/>
      <c r="M3" s="4"/>
      <c r="N3" s="4"/>
      <c r="O3" s="5"/>
    </row>
    <row r="4" ht="12.75" customHeight="1">
      <c r="A4" s="25"/>
      <c r="B4" s="25"/>
      <c r="C4" s="64" t="s">
        <v>98</v>
      </c>
      <c r="D4" s="64" t="s">
        <v>99</v>
      </c>
      <c r="E4" s="64" t="s">
        <v>100</v>
      </c>
      <c r="F4" s="64" t="s">
        <v>101</v>
      </c>
      <c r="G4" s="64" t="s">
        <v>102</v>
      </c>
      <c r="H4" s="25"/>
      <c r="I4" s="63"/>
      <c r="J4" s="65" t="s">
        <v>40</v>
      </c>
      <c r="K4" s="65" t="s">
        <v>41</v>
      </c>
      <c r="L4" s="65" t="s">
        <v>33</v>
      </c>
      <c r="M4" s="65" t="s">
        <v>42</v>
      </c>
      <c r="N4" s="65" t="s">
        <v>37</v>
      </c>
      <c r="O4" s="65" t="s">
        <v>43</v>
      </c>
    </row>
    <row r="5" ht="12.75" customHeight="1">
      <c r="A5" s="66">
        <v>1.0</v>
      </c>
      <c r="B5" s="67" t="s">
        <v>11</v>
      </c>
      <c r="C5" s="68">
        <v>1.0</v>
      </c>
      <c r="D5" s="68">
        <v>2.5</v>
      </c>
      <c r="E5" s="68">
        <v>0.0</v>
      </c>
      <c r="F5" s="68">
        <v>5.5</v>
      </c>
      <c r="G5" s="68">
        <v>0.5</v>
      </c>
      <c r="H5" s="69">
        <f t="shared" ref="H5:H31" si="1">SUM(C5:G5)</f>
        <v>9.5</v>
      </c>
      <c r="I5" s="63"/>
      <c r="J5" s="66">
        <f>H5+H6+H7+H8+H9+H10+H11+H23+H24+H25</f>
        <v>379.5</v>
      </c>
      <c r="K5" s="66">
        <f>H12+H13+H14+H15</f>
        <v>187.5</v>
      </c>
      <c r="L5" s="66">
        <f>H27+H28</f>
        <v>114</v>
      </c>
      <c r="M5" s="66">
        <f>H16+H17+H18+H19+H20+H29</f>
        <v>147.1</v>
      </c>
      <c r="N5" s="66">
        <f>H30</f>
        <v>23</v>
      </c>
      <c r="O5" s="66">
        <f>H31</f>
        <v>63</v>
      </c>
    </row>
    <row r="6" ht="12.75" customHeight="1">
      <c r="A6" s="66">
        <v>2.0</v>
      </c>
      <c r="B6" s="67" t="s">
        <v>103</v>
      </c>
      <c r="C6" s="68">
        <v>16.0</v>
      </c>
      <c r="D6" s="68">
        <v>4.5</v>
      </c>
      <c r="E6" s="68">
        <v>4.0</v>
      </c>
      <c r="F6" s="68">
        <v>14.0</v>
      </c>
      <c r="G6" s="68">
        <v>1.0</v>
      </c>
      <c r="H6" s="69">
        <f t="shared" si="1"/>
        <v>39.5</v>
      </c>
      <c r="I6" s="63"/>
      <c r="J6" s="70"/>
      <c r="K6" s="71"/>
      <c r="L6" s="72"/>
      <c r="M6" s="72"/>
      <c r="N6" s="72"/>
      <c r="O6" s="72"/>
    </row>
    <row r="7" ht="12.75" customHeight="1">
      <c r="A7" s="66">
        <v>3.0</v>
      </c>
      <c r="B7" s="67" t="s">
        <v>104</v>
      </c>
      <c r="C7" s="68">
        <v>4.0</v>
      </c>
      <c r="D7" s="68">
        <v>0.0</v>
      </c>
      <c r="E7" s="68">
        <v>0.0</v>
      </c>
      <c r="F7" s="68">
        <v>0.0</v>
      </c>
      <c r="G7" s="68">
        <v>0.0</v>
      </c>
      <c r="H7" s="69">
        <f t="shared" si="1"/>
        <v>4</v>
      </c>
      <c r="I7" s="73"/>
      <c r="J7" s="72"/>
      <c r="K7" s="59"/>
      <c r="L7" s="59"/>
      <c r="M7" s="59"/>
      <c r="N7" s="59"/>
      <c r="O7" s="59"/>
    </row>
    <row r="8" ht="12.75" customHeight="1">
      <c r="A8" s="66">
        <v>4.0</v>
      </c>
      <c r="B8" s="67" t="s">
        <v>14</v>
      </c>
      <c r="C8" s="68">
        <v>1.5</v>
      </c>
      <c r="D8" s="68">
        <v>0.5</v>
      </c>
      <c r="E8" s="68">
        <v>0.0</v>
      </c>
      <c r="F8" s="68">
        <v>2.0</v>
      </c>
      <c r="G8" s="68">
        <v>0.0</v>
      </c>
      <c r="H8" s="69">
        <f t="shared" si="1"/>
        <v>4</v>
      </c>
      <c r="I8" s="73"/>
      <c r="J8" s="59"/>
      <c r="K8" s="59"/>
      <c r="L8" s="59"/>
      <c r="M8" s="59"/>
      <c r="N8" s="59"/>
      <c r="O8" s="59"/>
    </row>
    <row r="9" ht="12.75" customHeight="1">
      <c r="A9" s="66">
        <v>5.0</v>
      </c>
      <c r="B9" s="67" t="s">
        <v>15</v>
      </c>
      <c r="C9" s="68">
        <v>0.0</v>
      </c>
      <c r="D9" s="68">
        <v>1.0</v>
      </c>
      <c r="E9" s="68">
        <v>0.0</v>
      </c>
      <c r="F9" s="68">
        <v>4.5</v>
      </c>
      <c r="G9" s="68">
        <v>0.0</v>
      </c>
      <c r="H9" s="69">
        <f t="shared" si="1"/>
        <v>5.5</v>
      </c>
      <c r="I9" s="73"/>
      <c r="J9" s="59"/>
      <c r="K9" s="59"/>
      <c r="L9" s="59"/>
      <c r="M9" s="59"/>
      <c r="N9" s="59"/>
      <c r="O9" s="59"/>
    </row>
    <row r="10" ht="12.75" customHeight="1">
      <c r="A10" s="66">
        <v>6.0</v>
      </c>
      <c r="B10" s="67" t="s">
        <v>16</v>
      </c>
      <c r="C10" s="68">
        <v>24.0</v>
      </c>
      <c r="D10" s="68">
        <v>16.5</v>
      </c>
      <c r="E10" s="68">
        <v>112.0</v>
      </c>
      <c r="F10" s="68">
        <v>29.5</v>
      </c>
      <c r="G10" s="68">
        <v>40.0</v>
      </c>
      <c r="H10" s="69">
        <f t="shared" si="1"/>
        <v>222</v>
      </c>
      <c r="I10" s="73"/>
      <c r="J10" s="59"/>
      <c r="K10" s="59"/>
      <c r="L10" s="59"/>
      <c r="M10" s="59"/>
      <c r="N10" s="59"/>
      <c r="O10" s="59"/>
    </row>
    <row r="11" ht="12.75" customHeight="1">
      <c r="A11" s="66">
        <v>7.0</v>
      </c>
      <c r="B11" s="67" t="s">
        <v>17</v>
      </c>
      <c r="C11" s="68">
        <v>7.0</v>
      </c>
      <c r="D11" s="68">
        <v>25.0</v>
      </c>
      <c r="E11" s="68">
        <v>8.5</v>
      </c>
      <c r="F11" s="68">
        <v>8.0</v>
      </c>
      <c r="G11" s="68">
        <v>23.0</v>
      </c>
      <c r="H11" s="69">
        <f t="shared" si="1"/>
        <v>71.5</v>
      </c>
      <c r="I11" s="73"/>
      <c r="J11" s="59"/>
      <c r="K11" s="59"/>
      <c r="L11" s="59"/>
      <c r="M11" s="59"/>
      <c r="N11" s="59"/>
      <c r="O11" s="59"/>
    </row>
    <row r="12" ht="12.75" customHeight="1">
      <c r="A12" s="66">
        <v>8.0</v>
      </c>
      <c r="B12" s="67" t="s">
        <v>18</v>
      </c>
      <c r="C12" s="68">
        <v>45.0</v>
      </c>
      <c r="D12" s="68">
        <v>5.0</v>
      </c>
      <c r="E12" s="68">
        <v>45.5</v>
      </c>
      <c r="F12" s="68">
        <v>8.5</v>
      </c>
      <c r="G12" s="68">
        <v>20.5</v>
      </c>
      <c r="H12" s="69">
        <f t="shared" si="1"/>
        <v>124.5</v>
      </c>
      <c r="I12" s="73"/>
      <c r="J12" s="59"/>
      <c r="K12" s="59"/>
      <c r="L12" s="59"/>
      <c r="M12" s="59"/>
      <c r="N12" s="59"/>
      <c r="O12" s="59"/>
    </row>
    <row r="13" ht="12.75" customHeight="1">
      <c r="A13" s="66">
        <v>9.0</v>
      </c>
      <c r="B13" s="67" t="s">
        <v>19</v>
      </c>
      <c r="C13" s="68">
        <v>0.0</v>
      </c>
      <c r="D13" s="68">
        <v>0.0</v>
      </c>
      <c r="E13" s="68">
        <v>3.0</v>
      </c>
      <c r="F13" s="68">
        <v>0.0</v>
      </c>
      <c r="G13" s="68">
        <v>0.0</v>
      </c>
      <c r="H13" s="69">
        <f t="shared" si="1"/>
        <v>3</v>
      </c>
      <c r="I13" s="73"/>
      <c r="J13" s="59"/>
      <c r="K13" s="59"/>
      <c r="L13" s="59"/>
      <c r="M13" s="59"/>
      <c r="N13" s="59"/>
      <c r="O13" s="59"/>
    </row>
    <row r="14" ht="12.75" customHeight="1">
      <c r="A14" s="66">
        <v>10.0</v>
      </c>
      <c r="B14" s="67" t="s">
        <v>20</v>
      </c>
      <c r="C14" s="68">
        <v>0.0</v>
      </c>
      <c r="D14" s="68">
        <v>0.0</v>
      </c>
      <c r="E14" s="68">
        <v>18.0</v>
      </c>
      <c r="F14" s="68">
        <v>11.0</v>
      </c>
      <c r="G14" s="68">
        <v>0.0</v>
      </c>
      <c r="H14" s="69">
        <f t="shared" si="1"/>
        <v>29</v>
      </c>
      <c r="I14" s="73"/>
      <c r="J14" s="59"/>
      <c r="K14" s="59"/>
      <c r="L14" s="59"/>
      <c r="M14" s="59"/>
      <c r="N14" s="59"/>
      <c r="O14" s="59"/>
    </row>
    <row r="15" ht="12.75" customHeight="1">
      <c r="A15" s="66">
        <v>11.0</v>
      </c>
      <c r="B15" s="67" t="s">
        <v>21</v>
      </c>
      <c r="C15" s="68">
        <v>0.0</v>
      </c>
      <c r="D15" s="68">
        <v>5.5</v>
      </c>
      <c r="E15" s="68">
        <v>6.5</v>
      </c>
      <c r="F15" s="68">
        <v>18.0</v>
      </c>
      <c r="G15" s="68">
        <v>1.0</v>
      </c>
      <c r="H15" s="69">
        <f t="shared" si="1"/>
        <v>31</v>
      </c>
      <c r="I15" s="73"/>
      <c r="J15" s="59"/>
      <c r="K15" s="59"/>
      <c r="L15" s="59"/>
      <c r="M15" s="59"/>
      <c r="N15" s="59"/>
      <c r="O15" s="59"/>
    </row>
    <row r="16" ht="12.75" customHeight="1">
      <c r="A16" s="66">
        <v>12.0</v>
      </c>
      <c r="B16" s="67" t="s">
        <v>22</v>
      </c>
      <c r="C16" s="68">
        <v>6.0</v>
      </c>
      <c r="D16" s="68">
        <v>0.1</v>
      </c>
      <c r="E16" s="68">
        <v>3.0</v>
      </c>
      <c r="F16" s="68">
        <v>0.0</v>
      </c>
      <c r="G16" s="68">
        <v>1.5</v>
      </c>
      <c r="H16" s="69">
        <f t="shared" si="1"/>
        <v>10.6</v>
      </c>
      <c r="I16" s="73"/>
      <c r="J16" s="59"/>
      <c r="K16" s="59"/>
      <c r="L16" s="59"/>
      <c r="M16" s="59"/>
      <c r="N16" s="59"/>
      <c r="O16" s="59"/>
    </row>
    <row r="17" ht="12.75" customHeight="1">
      <c r="A17" s="66">
        <v>13.0</v>
      </c>
      <c r="B17" s="67" t="s">
        <v>23</v>
      </c>
      <c r="C17" s="68">
        <v>0.0</v>
      </c>
      <c r="D17" s="68">
        <v>8.5</v>
      </c>
      <c r="E17" s="68">
        <v>33.5</v>
      </c>
      <c r="F17" s="68">
        <v>14.0</v>
      </c>
      <c r="G17" s="68">
        <v>0.0</v>
      </c>
      <c r="H17" s="69">
        <f t="shared" si="1"/>
        <v>56</v>
      </c>
      <c r="I17" s="73"/>
      <c r="J17" s="59"/>
      <c r="K17" s="59"/>
      <c r="L17" s="59"/>
      <c r="M17" s="59"/>
      <c r="N17" s="59"/>
      <c r="O17" s="59"/>
    </row>
    <row r="18" ht="12.75" customHeight="1">
      <c r="A18" s="66">
        <v>14.0</v>
      </c>
      <c r="B18" s="67" t="s">
        <v>24</v>
      </c>
      <c r="C18" s="68">
        <v>19.0</v>
      </c>
      <c r="D18" s="68">
        <v>2.5</v>
      </c>
      <c r="E18" s="68">
        <v>20.5</v>
      </c>
      <c r="F18" s="68">
        <v>11.5</v>
      </c>
      <c r="G18" s="68">
        <v>1.0</v>
      </c>
      <c r="H18" s="69">
        <f t="shared" si="1"/>
        <v>54.5</v>
      </c>
      <c r="I18" s="73"/>
      <c r="J18" s="59"/>
      <c r="K18" s="59"/>
      <c r="L18" s="59"/>
      <c r="M18" s="59"/>
      <c r="N18" s="59"/>
      <c r="O18" s="59"/>
    </row>
    <row r="19" ht="12.75" customHeight="1">
      <c r="A19" s="66">
        <v>15.0</v>
      </c>
      <c r="B19" s="67" t="s">
        <v>25</v>
      </c>
      <c r="C19" s="68">
        <v>2.5</v>
      </c>
      <c r="D19" s="68">
        <v>0.0</v>
      </c>
      <c r="E19" s="68">
        <v>0.0</v>
      </c>
      <c r="F19" s="68">
        <v>8.0</v>
      </c>
      <c r="G19" s="68">
        <v>0.5</v>
      </c>
      <c r="H19" s="69">
        <f t="shared" si="1"/>
        <v>11</v>
      </c>
      <c r="I19" s="73"/>
      <c r="J19" s="59"/>
      <c r="K19" s="59"/>
      <c r="L19" s="59"/>
      <c r="M19" s="59"/>
      <c r="N19" s="59"/>
      <c r="O19" s="59"/>
    </row>
    <row r="20" ht="12.75" customHeight="1">
      <c r="A20" s="66">
        <v>16.0</v>
      </c>
      <c r="B20" s="67" t="s">
        <v>26</v>
      </c>
      <c r="C20" s="68">
        <v>0.0</v>
      </c>
      <c r="D20" s="68">
        <v>1.0</v>
      </c>
      <c r="E20" s="68">
        <v>0.0</v>
      </c>
      <c r="F20" s="68">
        <v>0.0</v>
      </c>
      <c r="G20" s="68">
        <v>0.0</v>
      </c>
      <c r="H20" s="69">
        <f t="shared" si="1"/>
        <v>1</v>
      </c>
      <c r="I20" s="73"/>
      <c r="J20" s="59"/>
      <c r="K20" s="59"/>
      <c r="L20" s="59"/>
      <c r="M20" s="59"/>
      <c r="N20" s="59"/>
      <c r="O20" s="59"/>
    </row>
    <row r="21" ht="12.75" customHeight="1">
      <c r="A21" s="66">
        <v>17.0</v>
      </c>
      <c r="B21" s="67" t="s">
        <v>27</v>
      </c>
      <c r="C21" s="68">
        <v>0.0</v>
      </c>
      <c r="D21" s="68">
        <v>0.0</v>
      </c>
      <c r="E21" s="68">
        <v>0.0</v>
      </c>
      <c r="F21" s="68">
        <v>0.0</v>
      </c>
      <c r="G21" s="68">
        <v>0.0</v>
      </c>
      <c r="H21" s="69">
        <f t="shared" si="1"/>
        <v>0</v>
      </c>
      <c r="I21" s="73"/>
      <c r="J21" s="59"/>
      <c r="K21" s="59"/>
      <c r="L21" s="59"/>
      <c r="M21" s="59"/>
      <c r="N21" s="59"/>
      <c r="O21" s="59"/>
    </row>
    <row r="22" ht="12.75" customHeight="1">
      <c r="A22" s="66">
        <v>18.0</v>
      </c>
      <c r="B22" s="67" t="s">
        <v>28</v>
      </c>
      <c r="C22" s="68">
        <v>0.0</v>
      </c>
      <c r="D22" s="68">
        <v>0.0</v>
      </c>
      <c r="E22" s="68">
        <v>0.0</v>
      </c>
      <c r="F22" s="68">
        <v>0.0</v>
      </c>
      <c r="G22" s="68">
        <v>0.0</v>
      </c>
      <c r="H22" s="69">
        <f t="shared" si="1"/>
        <v>0</v>
      </c>
      <c r="I22" s="73"/>
      <c r="J22" s="59"/>
      <c r="K22" s="59"/>
      <c r="L22" s="59"/>
      <c r="M22" s="59"/>
      <c r="N22" s="59"/>
      <c r="O22" s="59"/>
    </row>
    <row r="23" ht="12.75" customHeight="1">
      <c r="A23" s="66">
        <v>19.0</v>
      </c>
      <c r="B23" s="67" t="s">
        <v>29</v>
      </c>
      <c r="C23" s="68">
        <v>0.0</v>
      </c>
      <c r="D23" s="68">
        <v>0.0</v>
      </c>
      <c r="E23" s="68">
        <v>5.0</v>
      </c>
      <c r="F23" s="68">
        <v>2.0</v>
      </c>
      <c r="G23" s="68">
        <v>0.0</v>
      </c>
      <c r="H23" s="69">
        <f t="shared" si="1"/>
        <v>7</v>
      </c>
      <c r="I23" s="73"/>
      <c r="J23" s="59"/>
      <c r="K23" s="59"/>
      <c r="L23" s="59"/>
      <c r="M23" s="59"/>
      <c r="N23" s="59"/>
      <c r="O23" s="59"/>
    </row>
    <row r="24" ht="12.75" customHeight="1">
      <c r="A24" s="66">
        <v>20.0</v>
      </c>
      <c r="B24" s="67" t="s">
        <v>30</v>
      </c>
      <c r="C24" s="68">
        <v>1.0</v>
      </c>
      <c r="D24" s="68">
        <v>2.5</v>
      </c>
      <c r="E24" s="68">
        <v>1.5</v>
      </c>
      <c r="F24" s="68">
        <v>1.0</v>
      </c>
      <c r="G24" s="68">
        <v>0.0</v>
      </c>
      <c r="H24" s="69">
        <f t="shared" si="1"/>
        <v>6</v>
      </c>
      <c r="I24" s="73"/>
      <c r="J24" s="59"/>
      <c r="K24" s="59"/>
      <c r="L24" s="59"/>
      <c r="M24" s="59"/>
      <c r="N24" s="59"/>
      <c r="O24" s="59"/>
    </row>
    <row r="25" ht="12.75" customHeight="1">
      <c r="A25" s="66">
        <v>21.0</v>
      </c>
      <c r="B25" s="67" t="s">
        <v>31</v>
      </c>
      <c r="C25" s="68">
        <v>0.0</v>
      </c>
      <c r="D25" s="68">
        <v>0.0</v>
      </c>
      <c r="E25" s="68">
        <v>0.0</v>
      </c>
      <c r="F25" s="68">
        <v>10.5</v>
      </c>
      <c r="G25" s="68">
        <v>0.0</v>
      </c>
      <c r="H25" s="69">
        <f t="shared" si="1"/>
        <v>10.5</v>
      </c>
      <c r="I25" s="73"/>
      <c r="J25" s="59"/>
      <c r="K25" s="59"/>
      <c r="L25" s="59"/>
      <c r="M25" s="59"/>
      <c r="N25" s="59"/>
      <c r="O25" s="59"/>
    </row>
    <row r="26" ht="12.75" customHeight="1">
      <c r="A26" s="66">
        <v>22.0</v>
      </c>
      <c r="B26" s="67" t="s">
        <v>32</v>
      </c>
      <c r="C26" s="68">
        <v>0.0</v>
      </c>
      <c r="D26" s="68">
        <v>0.0</v>
      </c>
      <c r="E26" s="68">
        <v>0.0</v>
      </c>
      <c r="F26" s="68">
        <v>0.0</v>
      </c>
      <c r="G26" s="68">
        <v>0.0</v>
      </c>
      <c r="H26" s="69">
        <f t="shared" si="1"/>
        <v>0</v>
      </c>
      <c r="I26" s="73"/>
      <c r="J26" s="59"/>
      <c r="K26" s="59"/>
      <c r="L26" s="59"/>
      <c r="M26" s="59"/>
      <c r="N26" s="59"/>
      <c r="O26" s="59"/>
    </row>
    <row r="27" ht="12.75" customHeight="1">
      <c r="A27" s="66">
        <v>23.0</v>
      </c>
      <c r="B27" s="67" t="s">
        <v>33</v>
      </c>
      <c r="C27" s="68">
        <v>17.0</v>
      </c>
      <c r="D27" s="68">
        <v>3.0</v>
      </c>
      <c r="E27" s="68">
        <v>8.5</v>
      </c>
      <c r="F27" s="68">
        <v>13.0</v>
      </c>
      <c r="G27" s="68">
        <v>32.5</v>
      </c>
      <c r="H27" s="69">
        <f t="shared" si="1"/>
        <v>74</v>
      </c>
      <c r="I27" s="73"/>
      <c r="J27" s="59"/>
      <c r="K27" s="59"/>
      <c r="L27" s="59"/>
      <c r="M27" s="59"/>
      <c r="N27" s="59"/>
      <c r="O27" s="59"/>
    </row>
    <row r="28" ht="12.75" customHeight="1">
      <c r="A28" s="66">
        <v>24.0</v>
      </c>
      <c r="B28" s="67" t="s">
        <v>34</v>
      </c>
      <c r="C28" s="68">
        <v>5.0</v>
      </c>
      <c r="D28" s="68">
        <v>1.0</v>
      </c>
      <c r="E28" s="68">
        <v>6.0</v>
      </c>
      <c r="F28" s="68">
        <v>26.0</v>
      </c>
      <c r="G28" s="68">
        <v>2.0</v>
      </c>
      <c r="H28" s="69">
        <f t="shared" si="1"/>
        <v>40</v>
      </c>
      <c r="I28" s="73"/>
      <c r="J28" s="59"/>
      <c r="K28" s="59"/>
      <c r="L28" s="59"/>
      <c r="M28" s="59"/>
      <c r="N28" s="59"/>
      <c r="O28" s="59"/>
    </row>
    <row r="29" ht="12.75" customHeight="1">
      <c r="A29" s="66">
        <v>26.0</v>
      </c>
      <c r="B29" s="67" t="s">
        <v>36</v>
      </c>
      <c r="C29" s="68">
        <v>6.0</v>
      </c>
      <c r="D29" s="68">
        <v>0.0</v>
      </c>
      <c r="E29" s="68">
        <v>0.0</v>
      </c>
      <c r="F29" s="68">
        <v>0.0</v>
      </c>
      <c r="G29" s="68">
        <v>8.0</v>
      </c>
      <c r="H29" s="69">
        <f t="shared" si="1"/>
        <v>14</v>
      </c>
      <c r="I29" s="73"/>
      <c r="J29" s="59"/>
      <c r="K29" s="59"/>
      <c r="L29" s="59"/>
      <c r="M29" s="59"/>
      <c r="N29" s="59"/>
      <c r="O29" s="59"/>
    </row>
    <row r="30" ht="12.75" customHeight="1">
      <c r="A30" s="66">
        <v>27.0</v>
      </c>
      <c r="B30" s="67" t="s">
        <v>37</v>
      </c>
      <c r="C30" s="68">
        <v>0.0</v>
      </c>
      <c r="D30" s="68">
        <v>1.0</v>
      </c>
      <c r="E30" s="68">
        <v>1.5</v>
      </c>
      <c r="F30" s="68">
        <v>0.0</v>
      </c>
      <c r="G30" s="68">
        <v>20.5</v>
      </c>
      <c r="H30" s="69">
        <f t="shared" si="1"/>
        <v>23</v>
      </c>
      <c r="I30" s="73"/>
      <c r="J30" s="59"/>
      <c r="K30" s="59"/>
      <c r="L30" s="59"/>
      <c r="M30" s="59"/>
      <c r="N30" s="59"/>
      <c r="O30" s="59"/>
    </row>
    <row r="31" ht="12.75" customHeight="1">
      <c r="A31" s="66">
        <v>28.0</v>
      </c>
      <c r="B31" s="67" t="s">
        <v>43</v>
      </c>
      <c r="C31" s="68">
        <v>21.0</v>
      </c>
      <c r="D31" s="68">
        <v>7.5</v>
      </c>
      <c r="E31" s="68">
        <v>23.0</v>
      </c>
      <c r="F31" s="68">
        <v>2.0</v>
      </c>
      <c r="G31" s="68">
        <v>9.5</v>
      </c>
      <c r="H31" s="69">
        <f t="shared" si="1"/>
        <v>63</v>
      </c>
      <c r="I31" s="73"/>
      <c r="J31" s="74"/>
      <c r="K31" s="74"/>
      <c r="L31" s="74"/>
      <c r="M31" s="74"/>
      <c r="N31" s="74"/>
      <c r="O31" s="74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</sheetData>
  <mergeCells count="6">
    <mergeCell ref="A2:H2"/>
    <mergeCell ref="A3:A4"/>
    <mergeCell ref="B3:B4"/>
    <mergeCell ref="C3:G3"/>
    <mergeCell ref="H3:H4"/>
    <mergeCell ref="J3:O3"/>
  </mergeCells>
  <printOptions/>
  <pageMargins bottom="0.75" footer="0.0" header="0.0" left="0.7" right="0.7" top="0.75"/>
  <pageSetup paperSize="9" scale="96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2021-10-21T16:12:52Z</dcterms:created>
  <dc:creator>BSD</dc:creator>
</cp:coreProperties>
</file>