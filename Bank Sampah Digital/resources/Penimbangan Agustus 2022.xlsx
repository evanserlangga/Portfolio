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4"/>
    <sheet state="visible" name="Cempaka, Anyer" sheetId="2" r:id="rId5"/>
    <sheet state="visible" name="Paku, Anyer" sheetId="3" r:id="rId6"/>
    <sheet state="visible" name="KEPUH " sheetId="4" r:id="rId7"/>
    <sheet state="visible" name="PAKOJAN " sheetId="5" r:id="rId8"/>
    <sheet state="visible" name="Anyer RT 4" sheetId="6" r:id="rId9"/>
    <sheet state="visible" name="Anyer 01" sheetId="7" r:id="rId10"/>
    <sheet state="visible" name="Anyer 02" sheetId="8" r:id="rId11"/>
    <sheet state="visible" name="Anyer RT 03" sheetId="9" r:id="rId12"/>
  </sheets>
  <definedNames/>
  <calcPr/>
  <extLst>
    <ext uri="GoogleSheetsCustomDataVersion1">
      <go:sheetsCustomData xmlns:go="http://customooxmlschemas.google.com/" r:id="rId13" roundtripDataSignature="AMtx7mhJmDfsMbd1T2CmJ5raDYJ9hX4F5Q=="/>
    </ext>
  </extLst>
</workbook>
</file>

<file path=xl/sharedStrings.xml><?xml version="1.0" encoding="utf-8"?>
<sst xmlns="http://schemas.openxmlformats.org/spreadsheetml/2006/main" count="2422" uniqueCount="126">
  <si>
    <t>TOTAL SAMPAH TERANGKUT</t>
  </si>
  <si>
    <t>No</t>
  </si>
  <si>
    <t>Nama Barang</t>
  </si>
  <si>
    <t>Titik</t>
  </si>
  <si>
    <t>KG</t>
  </si>
  <si>
    <t>TOTAL KATEGORI SAMPAH TERANGKUT</t>
  </si>
  <si>
    <t>RT 01</t>
  </si>
  <si>
    <t>RT 02</t>
  </si>
  <si>
    <t>RT 03</t>
  </si>
  <si>
    <t>RT 04</t>
  </si>
  <si>
    <t>RT 05</t>
  </si>
  <si>
    <t>Pakojan</t>
  </si>
  <si>
    <t>Cempaka</t>
  </si>
  <si>
    <t>Paku</t>
  </si>
  <si>
    <t>Cikepuh 2</t>
  </si>
  <si>
    <t>Plastik</t>
  </si>
  <si>
    <t>Kertas</t>
  </si>
  <si>
    <t>Beling</t>
  </si>
  <si>
    <t>Logam</t>
  </si>
  <si>
    <t>Minyak Jelantah</t>
  </si>
  <si>
    <t>Multilayer</t>
  </si>
  <si>
    <t>Gelas bersih</t>
  </si>
  <si>
    <t>Botol bersih putih</t>
  </si>
  <si>
    <t>Botol Warna</t>
  </si>
  <si>
    <t>Tutup botol</t>
  </si>
  <si>
    <t>Tutup galon</t>
  </si>
  <si>
    <t>Hitam</t>
  </si>
  <si>
    <t>Plastik campur</t>
  </si>
  <si>
    <t>Kardus</t>
  </si>
  <si>
    <t>Kertas Putihan/ HVS</t>
  </si>
  <si>
    <t>Koran/Buku</t>
  </si>
  <si>
    <t>Duplex</t>
  </si>
  <si>
    <t>Alumunium</t>
  </si>
  <si>
    <t>Besi</t>
  </si>
  <si>
    <t>Kaleng kue/susu</t>
  </si>
  <si>
    <t>Kaleng Minuman</t>
  </si>
  <si>
    <t>Stanless</t>
  </si>
  <si>
    <t>Tembaga</t>
  </si>
  <si>
    <t>Aki Motor</t>
  </si>
  <si>
    <t>Paralon</t>
  </si>
  <si>
    <t>Plastik bening</t>
  </si>
  <si>
    <t>Plastik Warna</t>
  </si>
  <si>
    <t>Selang</t>
  </si>
  <si>
    <t>Pecahan</t>
  </si>
  <si>
    <t>DAFTAR HARGA</t>
  </si>
  <si>
    <t>Data Penimbangan Bulan  2022</t>
  </si>
  <si>
    <t>Rekap Barang</t>
  </si>
  <si>
    <t>JENIS SAMPAH</t>
  </si>
  <si>
    <t>HARGA</t>
  </si>
  <si>
    <t>Nama Nasabah</t>
  </si>
  <si>
    <t>Jenis Sampah</t>
  </si>
  <si>
    <t>Jumlah</t>
  </si>
  <si>
    <t>Harga</t>
  </si>
  <si>
    <t>Jumlah Total</t>
  </si>
  <si>
    <t>Jumlah Saldo</t>
  </si>
  <si>
    <t>Jenis sampah</t>
  </si>
  <si>
    <t>Botol bersih</t>
  </si>
  <si>
    <t>Kodiyah</t>
  </si>
  <si>
    <t>Botol warna</t>
  </si>
  <si>
    <t>Sendal/Sepatu</t>
  </si>
  <si>
    <t>Lainnya</t>
  </si>
  <si>
    <t xml:space="preserve">Lainnya </t>
  </si>
  <si>
    <t>Rena Rodiyanti</t>
  </si>
  <si>
    <t>multilayer</t>
  </si>
  <si>
    <t>Masunah</t>
  </si>
  <si>
    <t>E. Juhaesih</t>
  </si>
  <si>
    <t>Turini</t>
  </si>
  <si>
    <t>Hj Udhiyah</t>
  </si>
  <si>
    <t>Eti</t>
  </si>
  <si>
    <t>Sali Salbiyah</t>
  </si>
  <si>
    <t>Total Transaksi</t>
  </si>
  <si>
    <t>Fee</t>
  </si>
  <si>
    <t>Hamsatang</t>
  </si>
  <si>
    <t>Fatimah</t>
  </si>
  <si>
    <t>Cetang</t>
  </si>
  <si>
    <t>Suanah</t>
  </si>
  <si>
    <t>Maskanah</t>
  </si>
  <si>
    <t>Sanati</t>
  </si>
  <si>
    <t>Hajanah</t>
  </si>
  <si>
    <t>Jarimah</t>
  </si>
  <si>
    <t>Rukmanah</t>
  </si>
  <si>
    <t>Aulia Ulfah</t>
  </si>
  <si>
    <t>Sumiyati</t>
  </si>
  <si>
    <t>Siti Rohaenah</t>
  </si>
  <si>
    <t>Marwiyah</t>
  </si>
  <si>
    <t>Nurul Komariah/ tatu</t>
  </si>
  <si>
    <t xml:space="preserve">Oom Romlah </t>
  </si>
  <si>
    <t xml:space="preserve">Samiyah </t>
  </si>
  <si>
    <t xml:space="preserve">Nuraeni </t>
  </si>
  <si>
    <t xml:space="preserve">Ipon muhayanah </t>
  </si>
  <si>
    <t xml:space="preserve">Sumiyati </t>
  </si>
  <si>
    <t xml:space="preserve">Siti Maemunah </t>
  </si>
  <si>
    <t xml:space="preserve">Umiyati </t>
  </si>
  <si>
    <t>Suparyati</t>
  </si>
  <si>
    <t>Nita</t>
  </si>
  <si>
    <t xml:space="preserve">Hadijah </t>
  </si>
  <si>
    <t xml:space="preserve">Ratu Ulfi Nurul Fitri </t>
  </si>
  <si>
    <t>sueb</t>
  </si>
  <si>
    <t xml:space="preserve">Linda </t>
  </si>
  <si>
    <t xml:space="preserve">Naufal </t>
  </si>
  <si>
    <t xml:space="preserve">Sofiah </t>
  </si>
  <si>
    <t xml:space="preserve">Mariyatul qibiah </t>
  </si>
  <si>
    <t>Masroh</t>
  </si>
  <si>
    <t>Multilaye</t>
  </si>
  <si>
    <t>Mulyanah</t>
  </si>
  <si>
    <t>Rohanah</t>
  </si>
  <si>
    <t xml:space="preserve">wety Susilawati </t>
  </si>
  <si>
    <t xml:space="preserve">Thoifah </t>
  </si>
  <si>
    <t xml:space="preserve">Helmi </t>
  </si>
  <si>
    <t xml:space="preserve">Dewi </t>
  </si>
  <si>
    <t xml:space="preserve">Bayinnah </t>
  </si>
  <si>
    <t xml:space="preserve">Julehah </t>
  </si>
  <si>
    <t xml:space="preserve">Dede yustiana </t>
  </si>
  <si>
    <t>Sunati</t>
  </si>
  <si>
    <t xml:space="preserve">Ayi Nurhayati </t>
  </si>
  <si>
    <t xml:space="preserve">Siti Ropiah </t>
  </si>
  <si>
    <t>Mas'fuah</t>
  </si>
  <si>
    <t>Asmawati</t>
  </si>
  <si>
    <t>Ati Pujiati</t>
  </si>
  <si>
    <t>Hadijah</t>
  </si>
  <si>
    <t>Sutilah</t>
  </si>
  <si>
    <t>Yesi Rahmawati</t>
  </si>
  <si>
    <t>Hikmaturochman</t>
  </si>
  <si>
    <t>Hafifah</t>
  </si>
  <si>
    <t>Jajat Sudrajat</t>
  </si>
  <si>
    <t>Imam Hambali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</si>
</sst>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1.0"/>
      <color theme="1"/>
      <name val="&quot;Times New Roman&quot;"/>
    </font>
    <font/>
    <font>
      <sz val="11.0"/>
      <color theme="1"/>
      <name val="&quot;Times New Roman&quot;"/>
    </font>
    <font>
      <sz val="12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2.0"/>
      <color theme="1"/>
      <name val="Times New Roman"/>
    </font>
    <font>
      <b/>
      <sz val="10.0"/>
      <color theme="1"/>
      <name val="Times New Roman"/>
    </font>
    <font>
      <b/>
      <sz val="12.0"/>
      <color rgb="FF000000"/>
      <name val="Arial"/>
    </font>
    <font>
      <sz val="12.0"/>
      <color rgb="FF000000"/>
      <name val="Arial"/>
    </font>
    <font>
      <sz val="10.0"/>
      <color rgb="FF000000"/>
      <name val="Arial"/>
    </font>
    <font>
      <b/>
      <sz val="11.0"/>
      <color theme="1"/>
      <name val="Times New Roman"/>
    </font>
    <font>
      <sz val="11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BBC04"/>
        <bgColor rgb="FFFBBC04"/>
      </patternFill>
    </fill>
    <fill>
      <patternFill patternType="solid">
        <fgColor rgb="FF00FF00"/>
        <bgColor rgb="FF00FF00"/>
      </patternFill>
    </fill>
    <fill>
      <patternFill patternType="solid">
        <fgColor theme="5"/>
        <bgColor theme="5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2" fontId="3" numFmtId="0" xfId="0" applyAlignment="1" applyBorder="1" applyFill="1" applyFont="1">
      <alignment horizontal="center" shrinkToFit="0" vertical="bottom" wrapText="1"/>
    </xf>
    <xf borderId="2" fillId="2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3" numFmtId="0" xfId="0" applyAlignment="1" applyBorder="1" applyFont="1">
      <alignment horizontal="center" shrinkToFit="0" vertical="bottom" wrapText="1"/>
    </xf>
    <xf borderId="6" fillId="0" fontId="3" numFmtId="0" xfId="0" applyAlignment="1" applyBorder="1" applyFont="1">
      <alignment horizontal="center" shrinkToFit="0" vertical="bottom" wrapText="1"/>
    </xf>
    <xf borderId="6" fillId="0" fontId="5" numFmtId="0" xfId="0" applyAlignment="1" applyBorder="1" applyFont="1">
      <alignment horizontal="center" shrinkToFit="0" vertical="bottom" wrapText="1"/>
    </xf>
    <xf borderId="6" fillId="0" fontId="5" numFmtId="0" xfId="0" applyAlignment="1" applyBorder="1" applyFont="1">
      <alignment shrinkToFit="0" vertical="bottom" wrapText="1"/>
    </xf>
    <xf borderId="6" fillId="0" fontId="6" numFmtId="0" xfId="0" applyAlignment="1" applyBorder="1" applyFont="1">
      <alignment horizontal="center" readingOrder="0" shrinkToFit="0" vertical="bottom" wrapText="1"/>
    </xf>
    <xf borderId="6" fillId="0" fontId="1" numFmtId="0" xfId="0" applyAlignment="1" applyBorder="1" applyFont="1">
      <alignment horizontal="center" vertical="bottom"/>
    </xf>
    <xf borderId="6" fillId="3" fontId="3" numFmtId="0" xfId="0" applyAlignment="1" applyBorder="1" applyFill="1" applyFont="1">
      <alignment horizontal="center" shrinkToFit="0" vertical="bottom" wrapText="1"/>
    </xf>
    <xf borderId="0" fillId="0" fontId="1" numFmtId="0" xfId="0" applyAlignment="1" applyFont="1">
      <alignment readingOrder="0" vertical="bottom"/>
    </xf>
    <xf borderId="0" fillId="0" fontId="7" numFmtId="0" xfId="0" applyAlignment="1" applyFont="1">
      <alignment vertical="center"/>
    </xf>
    <xf borderId="7" fillId="4" fontId="7" numFmtId="0" xfId="0" applyAlignment="1" applyBorder="1" applyFill="1" applyFont="1">
      <alignment vertical="center"/>
    </xf>
    <xf borderId="0" fillId="0" fontId="7" numFmtId="0" xfId="0" applyFont="1"/>
    <xf borderId="0" fillId="0" fontId="7" numFmtId="3" xfId="0" applyFont="1" applyNumberFormat="1"/>
    <xf borderId="8" fillId="5" fontId="8" numFmtId="0" xfId="0" applyAlignment="1" applyBorder="1" applyFill="1" applyFont="1">
      <alignment horizontal="center"/>
    </xf>
    <xf borderId="9" fillId="0" fontId="4" numFmtId="0" xfId="0" applyBorder="1" applyFont="1"/>
    <xf borderId="0" fillId="0" fontId="8" numFmtId="0" xfId="0" applyAlignment="1" applyFont="1">
      <alignment horizontal="center" vertical="center"/>
    </xf>
    <xf borderId="10" fillId="0" fontId="9" numFmtId="0" xfId="0" applyAlignment="1" applyBorder="1" applyFont="1">
      <alignment horizontal="center" vertical="center"/>
    </xf>
    <xf borderId="11" fillId="0" fontId="4" numFmtId="0" xfId="0" applyBorder="1" applyFont="1"/>
    <xf borderId="6" fillId="5" fontId="8" numFmtId="0" xfId="0" applyAlignment="1" applyBorder="1" applyFont="1">
      <alignment horizontal="center"/>
    </xf>
    <xf borderId="6" fillId="5" fontId="8" numFmtId="3" xfId="0" applyAlignment="1" applyBorder="1" applyFont="1" applyNumberFormat="1">
      <alignment horizontal="center"/>
    </xf>
    <xf borderId="0" fillId="0" fontId="7" numFmtId="3" xfId="0" applyAlignment="1" applyFont="1" applyNumberFormat="1">
      <alignment vertical="center"/>
    </xf>
    <xf borderId="12" fillId="0" fontId="4" numFmtId="0" xfId="0" applyBorder="1" applyFont="1"/>
    <xf borderId="13" fillId="0" fontId="4" numFmtId="0" xfId="0" applyBorder="1" applyFont="1"/>
    <xf borderId="6" fillId="6" fontId="10" numFmtId="0" xfId="0" applyBorder="1" applyFill="1" applyFont="1"/>
    <xf borderId="6" fillId="6" fontId="11" numFmtId="3" xfId="0" applyAlignment="1" applyBorder="1" applyFont="1" applyNumberFormat="1">
      <alignment horizontal="center"/>
    </xf>
    <xf borderId="0" fillId="0" fontId="12" numFmtId="0" xfId="0" applyAlignment="1" applyFont="1">
      <alignment horizontal="center" vertical="center"/>
    </xf>
    <xf borderId="6" fillId="0" fontId="12" numFmtId="0" xfId="0" applyAlignment="1" applyBorder="1" applyFont="1">
      <alignment horizontal="center" vertical="center"/>
    </xf>
    <xf borderId="6" fillId="4" fontId="12" numFmtId="0" xfId="0" applyAlignment="1" applyBorder="1" applyFont="1">
      <alignment horizontal="center" vertical="center"/>
    </xf>
    <xf borderId="6" fillId="0" fontId="12" numFmtId="0" xfId="0" applyBorder="1" applyFont="1"/>
    <xf borderId="6" fillId="0" fontId="12" numFmtId="0" xfId="0" applyAlignment="1" applyBorder="1" applyFont="1">
      <alignment horizontal="center"/>
    </xf>
    <xf borderId="6" fillId="0" fontId="12" numFmtId="3" xfId="0" applyAlignment="1" applyBorder="1" applyFont="1" applyNumberFormat="1">
      <alignment horizontal="center" vertical="center"/>
    </xf>
    <xf borderId="6" fillId="0" fontId="6" numFmtId="0" xfId="0" applyAlignment="1" applyBorder="1" applyFont="1">
      <alignment horizontal="center"/>
    </xf>
    <xf borderId="0" fillId="0" fontId="13" numFmtId="0" xfId="0" applyAlignment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vertical="center"/>
    </xf>
    <xf borderId="6" fillId="0" fontId="13" numFmtId="0" xfId="0" applyBorder="1" applyFont="1"/>
    <xf borderId="6" fillId="0" fontId="7" numFmtId="0" xfId="0" applyAlignment="1" applyBorder="1" applyFont="1">
      <alignment horizontal="center"/>
    </xf>
    <xf borderId="0" fillId="0" fontId="7" numFmtId="3" xfId="0" applyAlignment="1" applyFont="1" applyNumberFormat="1">
      <alignment horizontal="center"/>
    </xf>
    <xf borderId="6" fillId="0" fontId="13" numFmtId="0" xfId="0" applyAlignment="1" applyBorder="1" applyFont="1">
      <alignment horizontal="center"/>
    </xf>
    <xf borderId="1" fillId="0" fontId="14" numFmtId="3" xfId="0" applyAlignment="1" applyBorder="1" applyFont="1" applyNumberFormat="1">
      <alignment horizontal="center" vertical="center"/>
    </xf>
    <xf borderId="14" fillId="0" fontId="4" numFmtId="0" xfId="0" applyBorder="1" applyFont="1"/>
    <xf borderId="6" fillId="0" fontId="7" numFmtId="3" xfId="0" applyAlignment="1" applyBorder="1" applyFont="1" applyNumberFormat="1">
      <alignment horizontal="center"/>
    </xf>
    <xf borderId="6" fillId="6" fontId="15" numFmtId="3" xfId="0" applyAlignment="1" applyBorder="1" applyFont="1" applyNumberFormat="1">
      <alignment horizontal="center"/>
    </xf>
    <xf borderId="6" fillId="0" fontId="14" numFmtId="3" xfId="0" applyAlignment="1" applyBorder="1" applyFont="1" applyNumberFormat="1">
      <alignment horizontal="center"/>
    </xf>
    <xf borderId="6" fillId="0" fontId="16" numFmtId="3" xfId="0" applyAlignment="1" applyBorder="1" applyFont="1" applyNumberFormat="1">
      <alignment horizontal="center"/>
    </xf>
    <xf borderId="2" fillId="0" fontId="13" numFmtId="0" xfId="0" applyAlignment="1" applyBorder="1" applyFont="1">
      <alignment horizontal="center" vertical="center"/>
    </xf>
    <xf borderId="3" fillId="0" fontId="13" numFmtId="0" xfId="0" applyAlignment="1" applyBorder="1" applyFont="1">
      <alignment horizontal="center" vertical="center"/>
    </xf>
    <xf borderId="6" fillId="0" fontId="14" numFmtId="3" xfId="0" applyAlignment="1" applyBorder="1" applyFont="1" applyNumberFormat="1">
      <alignment horizontal="center" vertical="center"/>
    </xf>
    <xf borderId="15" fillId="4" fontId="7" numFmtId="0" xfId="0" applyAlignment="1" applyBorder="1" applyFont="1">
      <alignment vertical="center"/>
    </xf>
    <xf borderId="7" fillId="4" fontId="7" numFmtId="0" xfId="0" applyBorder="1" applyFont="1"/>
    <xf borderId="1" fillId="4" fontId="7" numFmtId="0" xfId="0" applyAlignment="1" applyBorder="1" applyFont="1">
      <alignment vertical="center"/>
    </xf>
    <xf borderId="0" fillId="0" fontId="7" numFmtId="0" xfId="0" applyAlignment="1" applyFont="1">
      <alignment readingOrder="0"/>
    </xf>
    <xf borderId="1" fillId="7" fontId="7" numFmtId="0" xfId="0" applyAlignment="1" applyBorder="1" applyFill="1" applyFont="1">
      <alignment horizontal="center" vertical="center"/>
    </xf>
    <xf borderId="16" fillId="4" fontId="7" numFmtId="0" xfId="0" applyAlignment="1" applyBorder="1" applyFont="1">
      <alignment horizontal="center" vertical="center"/>
    </xf>
    <xf borderId="17" fillId="4" fontId="7" numFmtId="0" xfId="0" applyAlignment="1" applyBorder="1" applyFont="1">
      <alignment horizontal="center" vertical="center"/>
    </xf>
    <xf borderId="18" fillId="4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7" fillId="4" fontId="14" numFmtId="0" xfId="0" applyBorder="1" applyFont="1"/>
    <xf borderId="7" fillId="8" fontId="7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2" max="2" width="7.0"/>
    <col customWidth="1" min="3" max="3" width="17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2" t="s">
        <v>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1</v>
      </c>
      <c r="C4" s="3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6"/>
      <c r="M4" s="3" t="s">
        <v>4</v>
      </c>
      <c r="N4" s="1"/>
      <c r="O4" s="4" t="s">
        <v>5</v>
      </c>
      <c r="P4" s="5"/>
      <c r="Q4" s="5"/>
      <c r="R4" s="5"/>
      <c r="S4" s="5"/>
      <c r="T4" s="6"/>
      <c r="U4" s="1"/>
      <c r="V4" s="1"/>
      <c r="W4" s="1"/>
      <c r="X4" s="1"/>
      <c r="Y4" s="1"/>
      <c r="Z4" s="1"/>
    </row>
    <row r="5">
      <c r="A5" s="1"/>
      <c r="B5" s="7"/>
      <c r="C5" s="7"/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7"/>
      <c r="N5" s="1"/>
      <c r="O5" s="9" t="s">
        <v>15</v>
      </c>
      <c r="P5" s="9" t="s">
        <v>16</v>
      </c>
      <c r="Q5" s="9" t="s">
        <v>17</v>
      </c>
      <c r="R5" s="9" t="s">
        <v>18</v>
      </c>
      <c r="S5" s="9" t="s">
        <v>19</v>
      </c>
      <c r="T5" s="9" t="s">
        <v>20</v>
      </c>
      <c r="U5" s="1"/>
      <c r="V5" s="1"/>
      <c r="W5" s="1"/>
      <c r="X5" s="1"/>
      <c r="Y5" s="1"/>
      <c r="Z5" s="1"/>
    </row>
    <row r="6">
      <c r="A6" s="1"/>
      <c r="B6" s="10">
        <v>1.0</v>
      </c>
      <c r="C6" s="11" t="s">
        <v>21</v>
      </c>
      <c r="D6" s="12">
        <v>2.0</v>
      </c>
      <c r="E6" s="12">
        <v>1.5</v>
      </c>
      <c r="F6" s="12">
        <v>2.0</v>
      </c>
      <c r="G6" s="12">
        <v>4.0</v>
      </c>
      <c r="H6" s="13"/>
      <c r="I6" s="12">
        <v>17.5</v>
      </c>
      <c r="J6" s="12">
        <v>0.5</v>
      </c>
      <c r="K6" s="12">
        <v>1.0</v>
      </c>
      <c r="L6" s="12">
        <v>3.0</v>
      </c>
      <c r="M6" s="14">
        <f t="shared" ref="M6:M32" si="1">sum(D6:L6)</f>
        <v>31.5</v>
      </c>
      <c r="N6" s="1"/>
      <c r="O6" s="10">
        <f>M6+M7+M8+M9+M10+M11+M12+M24+M25+M26+M27</f>
        <v>324</v>
      </c>
      <c r="P6" s="10">
        <f>M13+M14+M15+M16</f>
        <v>142</v>
      </c>
      <c r="Q6" s="10">
        <f>M28+M29</f>
        <v>69.5</v>
      </c>
      <c r="R6" s="10">
        <f>M17+M18+M19+M20+M21+M22+M31</f>
        <v>51.5</v>
      </c>
      <c r="S6" s="10">
        <f>M32</f>
        <v>29</v>
      </c>
      <c r="T6" s="10">
        <f>M30</f>
        <v>30</v>
      </c>
      <c r="U6" s="1"/>
      <c r="V6" s="1"/>
      <c r="W6" s="1"/>
      <c r="X6" s="1"/>
      <c r="Y6" s="1"/>
      <c r="Z6" s="1"/>
    </row>
    <row r="7">
      <c r="A7" s="1"/>
      <c r="B7" s="10">
        <v>2.0</v>
      </c>
      <c r="C7" s="11" t="s">
        <v>22</v>
      </c>
      <c r="D7" s="12">
        <v>11.5</v>
      </c>
      <c r="E7" s="12">
        <v>1.5</v>
      </c>
      <c r="F7" s="12">
        <v>7.0</v>
      </c>
      <c r="G7" s="12">
        <v>9.5</v>
      </c>
      <c r="H7" s="13"/>
      <c r="I7" s="12">
        <v>11.0</v>
      </c>
      <c r="J7" s="12">
        <v>2.5</v>
      </c>
      <c r="K7" s="12">
        <v>12.0</v>
      </c>
      <c r="L7" s="12">
        <v>5.5</v>
      </c>
      <c r="M7" s="14">
        <f t="shared" si="1"/>
        <v>60.5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0">
        <v>3.0</v>
      </c>
      <c r="C8" s="11" t="s">
        <v>23</v>
      </c>
      <c r="D8" s="12">
        <v>0.0</v>
      </c>
      <c r="E8" s="12">
        <v>0.0</v>
      </c>
      <c r="F8" s="12">
        <v>0.0</v>
      </c>
      <c r="G8" s="12">
        <v>0.0</v>
      </c>
      <c r="H8" s="13"/>
      <c r="I8" s="12">
        <v>0.0</v>
      </c>
      <c r="J8" s="12">
        <v>0.5</v>
      </c>
      <c r="K8" s="12">
        <v>0.0</v>
      </c>
      <c r="L8" s="12">
        <v>0.0</v>
      </c>
      <c r="M8" s="14">
        <f t="shared" si="1"/>
        <v>0.5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0">
        <v>4.0</v>
      </c>
      <c r="C9" s="11" t="s">
        <v>24</v>
      </c>
      <c r="D9" s="12">
        <v>1.5</v>
      </c>
      <c r="E9" s="12">
        <v>0.0</v>
      </c>
      <c r="F9" s="12">
        <v>0.0</v>
      </c>
      <c r="G9" s="12">
        <v>0.5</v>
      </c>
      <c r="H9" s="13"/>
      <c r="I9" s="12">
        <v>1.0</v>
      </c>
      <c r="J9" s="12">
        <v>0.5</v>
      </c>
      <c r="K9" s="12">
        <v>1.0</v>
      </c>
      <c r="L9" s="12">
        <v>1.0</v>
      </c>
      <c r="M9" s="14">
        <f t="shared" si="1"/>
        <v>5.5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0">
        <v>5.0</v>
      </c>
      <c r="C10" s="11" t="s">
        <v>25</v>
      </c>
      <c r="D10" s="12">
        <v>0.5</v>
      </c>
      <c r="E10" s="12">
        <v>0.0</v>
      </c>
      <c r="F10" s="12">
        <v>0.0</v>
      </c>
      <c r="G10" s="12">
        <v>1.0</v>
      </c>
      <c r="H10" s="13"/>
      <c r="I10" s="12">
        <v>0.0</v>
      </c>
      <c r="J10" s="12">
        <v>0.0</v>
      </c>
      <c r="K10" s="12">
        <v>0.5</v>
      </c>
      <c r="L10" s="12">
        <v>0.0</v>
      </c>
      <c r="M10" s="14">
        <f t="shared" si="1"/>
        <v>2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0">
        <v>6.0</v>
      </c>
      <c r="C11" s="11" t="s">
        <v>26</v>
      </c>
      <c r="D11" s="12">
        <v>21.5</v>
      </c>
      <c r="E11" s="12">
        <v>4.0</v>
      </c>
      <c r="F11" s="12">
        <v>43.0</v>
      </c>
      <c r="G11" s="12">
        <v>14.5</v>
      </c>
      <c r="H11" s="13"/>
      <c r="I11" s="12">
        <v>11.5</v>
      </c>
      <c r="J11" s="12">
        <v>22.5</v>
      </c>
      <c r="K11" s="12">
        <v>1.5</v>
      </c>
      <c r="L11" s="12">
        <v>27.0</v>
      </c>
      <c r="M11" s="14">
        <f t="shared" si="1"/>
        <v>145.5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0">
        <v>7.0</v>
      </c>
      <c r="C12" s="11" t="s">
        <v>27</v>
      </c>
      <c r="D12" s="12">
        <v>7.5</v>
      </c>
      <c r="E12" s="12">
        <v>0.0</v>
      </c>
      <c r="F12" s="12">
        <v>1.5</v>
      </c>
      <c r="G12" s="12">
        <v>0.0</v>
      </c>
      <c r="H12" s="13"/>
      <c r="I12" s="12">
        <v>8.5</v>
      </c>
      <c r="J12" s="12">
        <v>5.0</v>
      </c>
      <c r="K12" s="12">
        <v>29.0</v>
      </c>
      <c r="L12" s="12">
        <v>13.5</v>
      </c>
      <c r="M12" s="14">
        <f t="shared" si="1"/>
        <v>65</v>
      </c>
      <c r="N12" s="1"/>
      <c r="O12" s="1"/>
      <c r="P12" s="15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0">
        <v>8.0</v>
      </c>
      <c r="C13" s="11" t="s">
        <v>28</v>
      </c>
      <c r="D13" s="12">
        <v>8.0</v>
      </c>
      <c r="E13" s="12">
        <v>10.5</v>
      </c>
      <c r="F13" s="12">
        <v>16.5</v>
      </c>
      <c r="G13" s="12">
        <v>0.0</v>
      </c>
      <c r="H13" s="13"/>
      <c r="I13" s="12">
        <v>10.0</v>
      </c>
      <c r="J13" s="12">
        <v>13.5</v>
      </c>
      <c r="K13" s="12">
        <v>12.0</v>
      </c>
      <c r="L13" s="12">
        <v>7.5</v>
      </c>
      <c r="M13" s="14">
        <f t="shared" si="1"/>
        <v>78</v>
      </c>
      <c r="N13" s="1"/>
      <c r="O13" s="1"/>
      <c r="P13" s="15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0">
        <v>9.0</v>
      </c>
      <c r="C14" s="11" t="s">
        <v>29</v>
      </c>
      <c r="D14" s="12">
        <v>1.0</v>
      </c>
      <c r="E14" s="12">
        <v>0.0</v>
      </c>
      <c r="F14" s="12">
        <v>0.0</v>
      </c>
      <c r="G14" s="12">
        <v>0.0</v>
      </c>
      <c r="H14" s="13"/>
      <c r="I14" s="12">
        <v>0.0</v>
      </c>
      <c r="J14" s="12">
        <v>0.0</v>
      </c>
      <c r="K14" s="12">
        <v>0.0</v>
      </c>
      <c r="L14" s="12">
        <v>0.0</v>
      </c>
      <c r="M14" s="14">
        <f t="shared" si="1"/>
        <v>1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0">
        <v>10.0</v>
      </c>
      <c r="C15" s="11" t="s">
        <v>30</v>
      </c>
      <c r="D15" s="12">
        <v>0.0</v>
      </c>
      <c r="E15" s="12">
        <v>0.0</v>
      </c>
      <c r="F15" s="12">
        <v>5.0</v>
      </c>
      <c r="G15" s="12">
        <v>0.0</v>
      </c>
      <c r="H15" s="13"/>
      <c r="I15" s="12">
        <v>15.5</v>
      </c>
      <c r="J15" s="12">
        <v>0.0</v>
      </c>
      <c r="K15" s="12">
        <v>9.5</v>
      </c>
      <c r="L15" s="12">
        <v>6.0</v>
      </c>
      <c r="M15" s="14">
        <f t="shared" si="1"/>
        <v>36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0">
        <v>11.0</v>
      </c>
      <c r="C16" s="11" t="s">
        <v>31</v>
      </c>
      <c r="D16" s="12">
        <v>2.0</v>
      </c>
      <c r="E16" s="12">
        <v>3.0</v>
      </c>
      <c r="F16" s="12">
        <v>5.5</v>
      </c>
      <c r="G16" s="12">
        <v>0.0</v>
      </c>
      <c r="H16" s="13"/>
      <c r="I16" s="12">
        <v>2.0</v>
      </c>
      <c r="J16" s="12">
        <v>5.5</v>
      </c>
      <c r="K16" s="12">
        <v>4.5</v>
      </c>
      <c r="L16" s="12">
        <v>4.5</v>
      </c>
      <c r="M16" s="14">
        <f t="shared" si="1"/>
        <v>27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0">
        <v>12.0</v>
      </c>
      <c r="C17" s="11" t="s">
        <v>32</v>
      </c>
      <c r="D17" s="12">
        <v>0.0</v>
      </c>
      <c r="E17" s="12">
        <v>5.5</v>
      </c>
      <c r="F17" s="12">
        <v>0.0</v>
      </c>
      <c r="G17" s="12">
        <v>0.0</v>
      </c>
      <c r="H17" s="13"/>
      <c r="I17" s="12">
        <v>0.0</v>
      </c>
      <c r="J17" s="12">
        <v>0.0</v>
      </c>
      <c r="K17" s="12">
        <v>0.0</v>
      </c>
      <c r="L17" s="12">
        <v>0.0</v>
      </c>
      <c r="M17" s="14">
        <f t="shared" si="1"/>
        <v>5.5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0">
        <v>13.0</v>
      </c>
      <c r="C18" s="11" t="s">
        <v>33</v>
      </c>
      <c r="D18" s="12">
        <v>2.0</v>
      </c>
      <c r="E18" s="12">
        <v>10.0</v>
      </c>
      <c r="F18" s="12">
        <v>5.5</v>
      </c>
      <c r="G18" s="12">
        <v>4.0</v>
      </c>
      <c r="H18" s="13"/>
      <c r="I18" s="12">
        <v>0.0</v>
      </c>
      <c r="J18" s="12">
        <v>0.0</v>
      </c>
      <c r="K18" s="12">
        <v>0.0</v>
      </c>
      <c r="L18" s="12">
        <v>7.5</v>
      </c>
      <c r="M18" s="14">
        <f t="shared" si="1"/>
        <v>29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0">
        <v>14.0</v>
      </c>
      <c r="C19" s="11" t="s">
        <v>34</v>
      </c>
      <c r="D19" s="12">
        <v>0.0</v>
      </c>
      <c r="E19" s="12">
        <v>3.5</v>
      </c>
      <c r="F19" s="12">
        <v>6.0</v>
      </c>
      <c r="G19" s="12">
        <v>0.0</v>
      </c>
      <c r="H19" s="13"/>
      <c r="I19" s="12">
        <v>0.0</v>
      </c>
      <c r="J19" s="12">
        <v>2.0</v>
      </c>
      <c r="K19" s="12">
        <v>0.0</v>
      </c>
      <c r="L19" s="12">
        <v>0.0</v>
      </c>
      <c r="M19" s="14">
        <f t="shared" si="1"/>
        <v>11.5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0">
        <v>15.0</v>
      </c>
      <c r="C20" s="11" t="s">
        <v>35</v>
      </c>
      <c r="D20" s="12">
        <v>0.0</v>
      </c>
      <c r="E20" s="12">
        <v>0.0</v>
      </c>
      <c r="F20" s="12">
        <v>0.0</v>
      </c>
      <c r="G20" s="12">
        <v>0.0</v>
      </c>
      <c r="H20" s="13"/>
      <c r="I20" s="12">
        <v>0.0</v>
      </c>
      <c r="J20" s="12">
        <v>0.0</v>
      </c>
      <c r="K20" s="12">
        <v>2.0</v>
      </c>
      <c r="L20" s="12">
        <v>0.0</v>
      </c>
      <c r="M20" s="14">
        <f t="shared" si="1"/>
        <v>2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0">
        <v>16.0</v>
      </c>
      <c r="C21" s="11" t="s">
        <v>36</v>
      </c>
      <c r="D21" s="12">
        <v>0.0</v>
      </c>
      <c r="E21" s="12">
        <v>0.0</v>
      </c>
      <c r="F21" s="12">
        <v>0.0</v>
      </c>
      <c r="G21" s="12">
        <v>0.0</v>
      </c>
      <c r="H21" s="13"/>
      <c r="I21" s="12">
        <v>0.0</v>
      </c>
      <c r="J21" s="12">
        <v>0.0</v>
      </c>
      <c r="K21" s="12">
        <v>0.0</v>
      </c>
      <c r="L21" s="12">
        <v>0.0</v>
      </c>
      <c r="M21" s="14">
        <f t="shared" si="1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0">
        <v>17.0</v>
      </c>
      <c r="C22" s="11" t="s">
        <v>37</v>
      </c>
      <c r="D22" s="12">
        <v>0.0</v>
      </c>
      <c r="E22" s="12">
        <v>0.0</v>
      </c>
      <c r="F22" s="12">
        <v>0.0</v>
      </c>
      <c r="G22" s="12">
        <v>0.0</v>
      </c>
      <c r="H22" s="13"/>
      <c r="I22" s="12">
        <v>0.0</v>
      </c>
      <c r="J22" s="12">
        <v>0.0</v>
      </c>
      <c r="K22" s="12">
        <v>0.0</v>
      </c>
      <c r="L22" s="12">
        <v>0.0</v>
      </c>
      <c r="M22" s="14">
        <f t="shared" si="1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0">
        <v>18.0</v>
      </c>
      <c r="C23" s="11" t="s">
        <v>38</v>
      </c>
      <c r="D23" s="12">
        <v>0.0</v>
      </c>
      <c r="E23" s="12">
        <v>0.0</v>
      </c>
      <c r="F23" s="12">
        <v>0.0</v>
      </c>
      <c r="G23" s="12">
        <v>0.0</v>
      </c>
      <c r="H23" s="13"/>
      <c r="I23" s="12">
        <v>0.0</v>
      </c>
      <c r="J23" s="12">
        <v>0.0</v>
      </c>
      <c r="K23" s="12">
        <v>0.0</v>
      </c>
      <c r="L23" s="12">
        <v>0.0</v>
      </c>
      <c r="M23" s="14">
        <f t="shared" si="1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0">
        <v>19.0</v>
      </c>
      <c r="C24" s="11" t="s">
        <v>39</v>
      </c>
      <c r="D24" s="12">
        <v>0.0</v>
      </c>
      <c r="E24" s="12">
        <v>0.0</v>
      </c>
      <c r="F24" s="12">
        <v>0.0</v>
      </c>
      <c r="G24" s="12">
        <v>1.0</v>
      </c>
      <c r="H24" s="13"/>
      <c r="I24" s="12">
        <v>0.0</v>
      </c>
      <c r="J24" s="12">
        <v>0.0</v>
      </c>
      <c r="K24" s="12">
        <v>0.0</v>
      </c>
      <c r="L24" s="12">
        <v>0.0</v>
      </c>
      <c r="M24" s="14">
        <f t="shared" si="1"/>
        <v>1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0">
        <v>20.0</v>
      </c>
      <c r="C25" s="11" t="s">
        <v>40</v>
      </c>
      <c r="D25" s="12">
        <v>1.0</v>
      </c>
      <c r="E25" s="12">
        <v>2.0</v>
      </c>
      <c r="F25" s="12">
        <v>1.0</v>
      </c>
      <c r="G25" s="12">
        <v>0.0</v>
      </c>
      <c r="H25" s="13"/>
      <c r="I25" s="12">
        <v>1.0</v>
      </c>
      <c r="J25" s="12">
        <v>0.0</v>
      </c>
      <c r="K25" s="12">
        <v>1.0</v>
      </c>
      <c r="L25" s="12">
        <v>1.0</v>
      </c>
      <c r="M25" s="14">
        <f t="shared" si="1"/>
        <v>7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0">
        <v>21.0</v>
      </c>
      <c r="C26" s="11" t="s">
        <v>41</v>
      </c>
      <c r="D26" s="12">
        <v>1.5</v>
      </c>
      <c r="E26" s="12">
        <v>0.0</v>
      </c>
      <c r="F26" s="12">
        <v>1.0</v>
      </c>
      <c r="G26" s="12">
        <v>0.0</v>
      </c>
      <c r="H26" s="13"/>
      <c r="I26" s="12">
        <v>0.0</v>
      </c>
      <c r="J26" s="12">
        <v>1.0</v>
      </c>
      <c r="K26" s="12">
        <v>0.0</v>
      </c>
      <c r="L26" s="12">
        <v>0.0</v>
      </c>
      <c r="M26" s="14">
        <f t="shared" si="1"/>
        <v>3.5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0">
        <v>22.0</v>
      </c>
      <c r="C27" s="11" t="s">
        <v>42</v>
      </c>
      <c r="D27" s="12">
        <v>0.0</v>
      </c>
      <c r="E27" s="12">
        <v>0.0</v>
      </c>
      <c r="F27" s="12">
        <v>0.0</v>
      </c>
      <c r="G27" s="12">
        <v>0.0</v>
      </c>
      <c r="H27" s="13"/>
      <c r="I27" s="12">
        <v>2.0</v>
      </c>
      <c r="J27" s="12">
        <v>0.0</v>
      </c>
      <c r="K27" s="12">
        <v>0.0</v>
      </c>
      <c r="L27" s="12">
        <v>0.0</v>
      </c>
      <c r="M27" s="14">
        <f t="shared" si="1"/>
        <v>2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0">
        <v>23.0</v>
      </c>
      <c r="C28" s="11" t="s">
        <v>17</v>
      </c>
      <c r="D28" s="12">
        <v>0.0</v>
      </c>
      <c r="E28" s="12">
        <v>0.0</v>
      </c>
      <c r="F28" s="12">
        <v>13.0</v>
      </c>
      <c r="G28" s="12">
        <v>15.0</v>
      </c>
      <c r="H28" s="13"/>
      <c r="I28" s="12">
        <v>2.0</v>
      </c>
      <c r="J28" s="12">
        <v>0.0</v>
      </c>
      <c r="K28" s="12">
        <v>15.5</v>
      </c>
      <c r="L28" s="12">
        <v>11.5</v>
      </c>
      <c r="M28" s="14">
        <f t="shared" si="1"/>
        <v>57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0">
        <v>24.0</v>
      </c>
      <c r="C29" s="11" t="s">
        <v>43</v>
      </c>
      <c r="D29" s="12">
        <v>0.0</v>
      </c>
      <c r="E29" s="12">
        <v>0.0</v>
      </c>
      <c r="F29" s="12">
        <v>0.0</v>
      </c>
      <c r="G29" s="12">
        <v>0.0</v>
      </c>
      <c r="H29" s="13"/>
      <c r="I29" s="12">
        <v>10.0</v>
      </c>
      <c r="J29" s="12">
        <v>0.0</v>
      </c>
      <c r="K29" s="12">
        <v>2.5</v>
      </c>
      <c r="L29" s="12">
        <v>0.0</v>
      </c>
      <c r="M29" s="14">
        <f t="shared" si="1"/>
        <v>12.5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0">
        <v>25.0</v>
      </c>
      <c r="C30" s="11" t="s">
        <v>20</v>
      </c>
      <c r="D30" s="12">
        <v>7.0</v>
      </c>
      <c r="E30" s="12">
        <v>0.0</v>
      </c>
      <c r="F30" s="12">
        <v>0.0</v>
      </c>
      <c r="G30" s="12">
        <v>5.0</v>
      </c>
      <c r="H30" s="13"/>
      <c r="I30" s="12">
        <v>6.5</v>
      </c>
      <c r="J30" s="12">
        <v>0.0</v>
      </c>
      <c r="K30" s="12">
        <v>0.0</v>
      </c>
      <c r="L30" s="12">
        <v>11.5</v>
      </c>
      <c r="M30" s="14">
        <f t="shared" si="1"/>
        <v>30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0">
        <v>26.0</v>
      </c>
      <c r="C31" s="11" t="s">
        <v>13</v>
      </c>
      <c r="D31" s="12">
        <v>3.5</v>
      </c>
      <c r="E31" s="12">
        <v>0.0</v>
      </c>
      <c r="F31" s="12">
        <v>0.0</v>
      </c>
      <c r="G31" s="12">
        <v>0.0</v>
      </c>
      <c r="H31" s="13"/>
      <c r="I31" s="12">
        <v>0.0</v>
      </c>
      <c r="J31" s="12">
        <v>0.0</v>
      </c>
      <c r="K31" s="12">
        <v>0.0</v>
      </c>
      <c r="L31" s="12">
        <v>0.0</v>
      </c>
      <c r="M31" s="14">
        <f t="shared" si="1"/>
        <v>3.5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0">
        <v>27.0</v>
      </c>
      <c r="C32" s="11" t="s">
        <v>19</v>
      </c>
      <c r="D32" s="12">
        <v>10.0</v>
      </c>
      <c r="E32" s="12">
        <v>1.0</v>
      </c>
      <c r="F32" s="12">
        <v>1.5</v>
      </c>
      <c r="G32" s="12">
        <v>0.0</v>
      </c>
      <c r="H32" s="13"/>
      <c r="I32" s="12">
        <v>0.0</v>
      </c>
      <c r="J32" s="12">
        <v>4.5</v>
      </c>
      <c r="K32" s="12">
        <v>11.0</v>
      </c>
      <c r="L32" s="12">
        <v>1.0</v>
      </c>
      <c r="M32" s="14">
        <f t="shared" si="1"/>
        <v>29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D3:M3"/>
    <mergeCell ref="B4:B5"/>
    <mergeCell ref="C4:C5"/>
    <mergeCell ref="D4:L4"/>
    <mergeCell ref="M4:M5"/>
    <mergeCell ref="O4:T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16"/>
      <c r="B1" s="16"/>
      <c r="C1" s="16"/>
      <c r="D1" s="16"/>
      <c r="E1" s="17"/>
      <c r="F1" s="18"/>
      <c r="G1" s="18"/>
      <c r="H1" s="18"/>
      <c r="I1" s="18"/>
      <c r="J1" s="19"/>
      <c r="K1" s="18"/>
      <c r="L1" s="18"/>
      <c r="M1" s="18"/>
      <c r="N1" s="18"/>
    </row>
    <row r="2" ht="15.75" customHeight="1">
      <c r="A2" s="20" t="s">
        <v>44</v>
      </c>
      <c r="B2" s="21"/>
      <c r="C2" s="22"/>
      <c r="D2" s="22" t="s">
        <v>45</v>
      </c>
      <c r="K2" s="18"/>
      <c r="L2" s="23" t="s">
        <v>46</v>
      </c>
      <c r="M2" s="24"/>
      <c r="N2" s="18"/>
    </row>
    <row r="3" ht="15.75" customHeight="1">
      <c r="A3" s="25" t="s">
        <v>47</v>
      </c>
      <c r="B3" s="26" t="s">
        <v>48</v>
      </c>
      <c r="C3" s="16"/>
      <c r="D3" s="16"/>
      <c r="E3" s="17"/>
      <c r="F3" s="18"/>
      <c r="G3" s="18"/>
      <c r="H3" s="18"/>
      <c r="I3" s="18"/>
      <c r="J3" s="27"/>
      <c r="K3" s="18"/>
      <c r="L3" s="28"/>
      <c r="M3" s="29"/>
      <c r="N3" s="18"/>
    </row>
    <row r="4" ht="15.75" customHeight="1">
      <c r="A4" s="30" t="s">
        <v>21</v>
      </c>
      <c r="B4" s="31">
        <v>5000.0</v>
      </c>
      <c r="C4" s="32"/>
      <c r="D4" s="33" t="s">
        <v>1</v>
      </c>
      <c r="E4" s="34" t="s">
        <v>49</v>
      </c>
      <c r="F4" s="35" t="s">
        <v>50</v>
      </c>
      <c r="G4" s="36" t="s">
        <v>51</v>
      </c>
      <c r="H4" s="36" t="s">
        <v>52</v>
      </c>
      <c r="I4" s="36" t="s">
        <v>53</v>
      </c>
      <c r="J4" s="37" t="s">
        <v>54</v>
      </c>
      <c r="K4" s="18"/>
      <c r="L4" s="38" t="s">
        <v>55</v>
      </c>
      <c r="M4" s="38" t="s">
        <v>51</v>
      </c>
      <c r="N4" s="18"/>
    </row>
    <row r="5" ht="15.75" customHeight="1">
      <c r="A5" s="30" t="s">
        <v>56</v>
      </c>
      <c r="B5" s="31">
        <v>3000.0</v>
      </c>
      <c r="C5" s="39"/>
      <c r="D5" s="40">
        <v>1.0</v>
      </c>
      <c r="E5" s="41" t="s">
        <v>57</v>
      </c>
      <c r="F5" s="42" t="s">
        <v>21</v>
      </c>
      <c r="G5" s="43">
        <v>0.5</v>
      </c>
      <c r="H5" s="44">
        <f>VLOOKUP(F5,$A$4:$B$4,2,TRUE)</f>
        <v>5000</v>
      </c>
      <c r="I5" s="45">
        <f t="shared" ref="I5:I230" si="1">H5*G5</f>
        <v>2500</v>
      </c>
      <c r="J5" s="46">
        <f>SUM(I5:I32)</f>
        <v>15500</v>
      </c>
      <c r="K5" s="18"/>
      <c r="L5" s="42" t="s">
        <v>21</v>
      </c>
      <c r="M5" s="38">
        <f>SUMIF(F5:F228,"Gelas bersih",G5:G228)</f>
        <v>0.5</v>
      </c>
      <c r="N5" s="18"/>
    </row>
    <row r="6" ht="15.75" customHeight="1">
      <c r="A6" s="30" t="s">
        <v>58</v>
      </c>
      <c r="B6" s="31">
        <v>1000.0</v>
      </c>
      <c r="C6" s="39"/>
      <c r="D6" s="47"/>
      <c r="E6" s="47"/>
      <c r="F6" s="42" t="s">
        <v>56</v>
      </c>
      <c r="G6" s="43">
        <v>0.5</v>
      </c>
      <c r="H6" s="48">
        <f>VLOOKUP(F6,$A$5:$B$5,2,TRUE)</f>
        <v>3000</v>
      </c>
      <c r="I6" s="45">
        <f t="shared" si="1"/>
        <v>1500</v>
      </c>
      <c r="J6" s="47"/>
      <c r="K6" s="18"/>
      <c r="L6" s="42" t="s">
        <v>56</v>
      </c>
      <c r="M6" s="38">
        <f>SUMIF(F6:F229,"Botol bersih",G6:G229)</f>
        <v>2.5</v>
      </c>
      <c r="N6" s="18"/>
    </row>
    <row r="7" ht="15.75" customHeight="1">
      <c r="A7" s="30" t="s">
        <v>24</v>
      </c>
      <c r="B7" s="31">
        <v>2800.0</v>
      </c>
      <c r="C7" s="39"/>
      <c r="D7" s="47"/>
      <c r="E7" s="47"/>
      <c r="F7" s="42" t="s">
        <v>58</v>
      </c>
      <c r="G7" s="43">
        <v>0.5</v>
      </c>
      <c r="H7" s="48">
        <f>VLOOKUP(F7,$A$6:$B$6,2,TRUE)</f>
        <v>1000</v>
      </c>
      <c r="I7" s="45">
        <f t="shared" si="1"/>
        <v>500</v>
      </c>
      <c r="J7" s="47"/>
      <c r="K7" s="18"/>
      <c r="L7" s="42" t="s">
        <v>58</v>
      </c>
      <c r="M7" s="38">
        <f>SUMIF(F7:F230,"Botol Warna",G7:G230)</f>
        <v>0.5</v>
      </c>
      <c r="N7" s="18"/>
    </row>
    <row r="8" ht="15.75" customHeight="1">
      <c r="A8" s="30" t="s">
        <v>25</v>
      </c>
      <c r="B8" s="31">
        <v>3500.0</v>
      </c>
      <c r="C8" s="39"/>
      <c r="D8" s="47"/>
      <c r="E8" s="47"/>
      <c r="F8" s="42" t="s">
        <v>24</v>
      </c>
      <c r="G8" s="43"/>
      <c r="H8" s="48">
        <f>VLOOKUP(F8,$A$7:$B$7,2,TRUE)</f>
        <v>2800</v>
      </c>
      <c r="I8" s="45">
        <f t="shared" si="1"/>
        <v>0</v>
      </c>
      <c r="J8" s="47"/>
      <c r="K8" s="18"/>
      <c r="L8" s="42" t="s">
        <v>24</v>
      </c>
      <c r="M8" s="38">
        <f>SUMIF(F8:F231,"Tutup botol",G8:G231)</f>
        <v>0.5</v>
      </c>
      <c r="N8" s="18"/>
    </row>
    <row r="9" ht="15.75" customHeight="1">
      <c r="A9" s="30" t="s">
        <v>26</v>
      </c>
      <c r="B9" s="31">
        <v>1000.0</v>
      </c>
      <c r="C9" s="39"/>
      <c r="D9" s="47"/>
      <c r="E9" s="47"/>
      <c r="F9" s="42" t="s">
        <v>25</v>
      </c>
      <c r="G9" s="43"/>
      <c r="H9" s="48">
        <f>VLOOKUP(F9,$A$8:$B$8,2,TRUE)</f>
        <v>3500</v>
      </c>
      <c r="I9" s="45">
        <f t="shared" si="1"/>
        <v>0</v>
      </c>
      <c r="J9" s="47"/>
      <c r="K9" s="18"/>
      <c r="L9" s="42" t="s">
        <v>25</v>
      </c>
      <c r="M9" s="38">
        <f>SUMIF(F9:F232,"Tutup galon",G9:G232)</f>
        <v>0</v>
      </c>
      <c r="N9" s="18"/>
    </row>
    <row r="10" ht="15.75" customHeight="1">
      <c r="A10" s="30" t="s">
        <v>27</v>
      </c>
      <c r="B10" s="31">
        <v>2000.0</v>
      </c>
      <c r="C10" s="39"/>
      <c r="D10" s="47"/>
      <c r="E10" s="47"/>
      <c r="F10" s="42" t="s">
        <v>26</v>
      </c>
      <c r="G10" s="43">
        <v>5.0</v>
      </c>
      <c r="H10" s="48">
        <f>VLOOKUP(F10,$A$9:$B$9,2,TRUE)</f>
        <v>1000</v>
      </c>
      <c r="I10" s="45">
        <f t="shared" si="1"/>
        <v>5000</v>
      </c>
      <c r="J10" s="47"/>
      <c r="K10" s="18"/>
      <c r="L10" s="42" t="s">
        <v>26</v>
      </c>
      <c r="M10" s="38">
        <f>SUMIF(F10:F233,"Hitam",G10:G233)</f>
        <v>22.5</v>
      </c>
      <c r="N10" s="18"/>
    </row>
    <row r="11" ht="15.75" customHeight="1">
      <c r="A11" s="30" t="s">
        <v>28</v>
      </c>
      <c r="B11" s="31">
        <v>2000.0</v>
      </c>
      <c r="C11" s="39"/>
      <c r="D11" s="47"/>
      <c r="E11" s="47"/>
      <c r="F11" s="42" t="s">
        <v>27</v>
      </c>
      <c r="G11" s="43"/>
      <c r="H11" s="48">
        <f>VLOOKUP(F11,$A$10:$B$10,2,TRUE)</f>
        <v>2000</v>
      </c>
      <c r="I11" s="45">
        <f t="shared" si="1"/>
        <v>0</v>
      </c>
      <c r="J11" s="47"/>
      <c r="K11" s="18"/>
      <c r="L11" s="42" t="s">
        <v>27</v>
      </c>
      <c r="M11" s="38">
        <f>SUMIF(F11:F234,"Plastik Campur",G11:G234)</f>
        <v>5</v>
      </c>
      <c r="N11" s="18"/>
    </row>
    <row r="12" ht="15.75" customHeight="1">
      <c r="A12" s="30" t="s">
        <v>29</v>
      </c>
      <c r="B12" s="31">
        <v>1300.0</v>
      </c>
      <c r="C12" s="39"/>
      <c r="D12" s="47"/>
      <c r="E12" s="47"/>
      <c r="F12" s="42" t="s">
        <v>28</v>
      </c>
      <c r="G12" s="43">
        <v>3.0</v>
      </c>
      <c r="H12" s="48">
        <f>VLOOKUP(F12,$A$11:$B$11,2,TRUE)</f>
        <v>2000</v>
      </c>
      <c r="I12" s="45">
        <f t="shared" si="1"/>
        <v>6000</v>
      </c>
      <c r="J12" s="47"/>
      <c r="K12" s="18"/>
      <c r="L12" s="42" t="s">
        <v>28</v>
      </c>
      <c r="M12" s="38">
        <f>SUMIF(F12:F235,"Kardus",G12:G235)</f>
        <v>13.5</v>
      </c>
      <c r="N12" s="18"/>
    </row>
    <row r="13" ht="15.75" customHeight="1">
      <c r="A13" s="30" t="s">
        <v>30</v>
      </c>
      <c r="B13" s="31">
        <v>1000.0</v>
      </c>
      <c r="C13" s="39"/>
      <c r="D13" s="47"/>
      <c r="E13" s="47"/>
      <c r="F13" s="42" t="s">
        <v>29</v>
      </c>
      <c r="G13" s="43"/>
      <c r="H13" s="48">
        <f>VLOOKUP(F13,$A$12:$B$12,2,TRUE)</f>
        <v>1300</v>
      </c>
      <c r="I13" s="45">
        <f t="shared" si="1"/>
        <v>0</v>
      </c>
      <c r="J13" s="47"/>
      <c r="K13" s="18"/>
      <c r="L13" s="42" t="s">
        <v>29</v>
      </c>
      <c r="M13" s="38">
        <f>SUMIF(F13:F236,"Kertas Putihan/ HVS",G13:G236)</f>
        <v>0</v>
      </c>
      <c r="N13" s="18"/>
    </row>
    <row r="14" ht="15.75" customHeight="1">
      <c r="A14" s="30" t="s">
        <v>31</v>
      </c>
      <c r="B14" s="31">
        <v>400.0</v>
      </c>
      <c r="C14" s="39"/>
      <c r="D14" s="47"/>
      <c r="E14" s="47"/>
      <c r="F14" s="42" t="s">
        <v>30</v>
      </c>
      <c r="G14" s="43"/>
      <c r="H14" s="48">
        <f>VLOOKUP(F14,$A$13:$B$13,2,TRUE)</f>
        <v>1000</v>
      </c>
      <c r="I14" s="45">
        <f t="shared" si="1"/>
        <v>0</v>
      </c>
      <c r="J14" s="47"/>
      <c r="K14" s="18"/>
      <c r="L14" s="42" t="s">
        <v>30</v>
      </c>
      <c r="M14" s="38">
        <f>SUMIF(F14:F237,"Koran/Buku",G14:G237)</f>
        <v>0</v>
      </c>
      <c r="N14" s="18"/>
    </row>
    <row r="15" ht="15.75" customHeight="1">
      <c r="A15" s="30" t="s">
        <v>32</v>
      </c>
      <c r="B15" s="31">
        <v>7500.0</v>
      </c>
      <c r="C15" s="39"/>
      <c r="D15" s="47"/>
      <c r="E15" s="47"/>
      <c r="F15" s="42" t="s">
        <v>31</v>
      </c>
      <c r="G15" s="43"/>
      <c r="H15" s="48">
        <f>VLOOKUP(F15,$A$14:$B$14,2,TRUE)</f>
        <v>400</v>
      </c>
      <c r="I15" s="45">
        <f t="shared" si="1"/>
        <v>0</v>
      </c>
      <c r="J15" s="47"/>
      <c r="K15" s="18"/>
      <c r="L15" s="42" t="s">
        <v>31</v>
      </c>
      <c r="M15" s="38">
        <f>SUMIF(F15:F238,"Duplex",G15:G238)</f>
        <v>5.5</v>
      </c>
      <c r="N15" s="18"/>
    </row>
    <row r="16" ht="15.75" customHeight="1">
      <c r="A16" s="30" t="s">
        <v>33</v>
      </c>
      <c r="B16" s="31">
        <v>2000.0</v>
      </c>
      <c r="C16" s="39"/>
      <c r="D16" s="47"/>
      <c r="E16" s="47"/>
      <c r="F16" s="42" t="s">
        <v>32</v>
      </c>
      <c r="G16" s="43"/>
      <c r="H16" s="48">
        <f>VLOOKUP(F16,$A$15:$B$15,2,TRUE)</f>
        <v>7500</v>
      </c>
      <c r="I16" s="45">
        <f t="shared" si="1"/>
        <v>0</v>
      </c>
      <c r="J16" s="47"/>
      <c r="K16" s="18"/>
      <c r="L16" s="42" t="s">
        <v>32</v>
      </c>
      <c r="M16" s="38">
        <f>SUMIF(F16:F239,"Alumunium",G16:G239)</f>
        <v>0</v>
      </c>
      <c r="N16" s="18"/>
    </row>
    <row r="17" ht="15.75" customHeight="1">
      <c r="A17" s="30" t="s">
        <v>34</v>
      </c>
      <c r="B17" s="31">
        <v>800.0</v>
      </c>
      <c r="C17" s="39"/>
      <c r="D17" s="47"/>
      <c r="E17" s="47"/>
      <c r="F17" s="42" t="s">
        <v>33</v>
      </c>
      <c r="G17" s="43"/>
      <c r="H17" s="48">
        <f>VLOOKUP(F17,$A$16:$B$16,2,TRUE)</f>
        <v>2000</v>
      </c>
      <c r="I17" s="45">
        <f t="shared" si="1"/>
        <v>0</v>
      </c>
      <c r="J17" s="47"/>
      <c r="K17" s="18"/>
      <c r="L17" s="42" t="s">
        <v>33</v>
      </c>
      <c r="M17" s="38">
        <f>SUMIF(F17:F240,"Besi",G17:G240)</f>
        <v>0</v>
      </c>
      <c r="N17" s="18"/>
    </row>
    <row r="18" ht="15.75" customHeight="1">
      <c r="A18" s="30" t="s">
        <v>35</v>
      </c>
      <c r="B18" s="31">
        <v>5000.0</v>
      </c>
      <c r="C18" s="39"/>
      <c r="D18" s="47"/>
      <c r="E18" s="47"/>
      <c r="F18" s="42" t="s">
        <v>34</v>
      </c>
      <c r="G18" s="43"/>
      <c r="H18" s="48">
        <f>VLOOKUP(F18,$A$17:$B$17,2,TRUE)</f>
        <v>800</v>
      </c>
      <c r="I18" s="45">
        <f t="shared" si="1"/>
        <v>0</v>
      </c>
      <c r="J18" s="47"/>
      <c r="K18" s="18"/>
      <c r="L18" s="42" t="s">
        <v>34</v>
      </c>
      <c r="M18" s="38">
        <f>SUMIF(F18:F241,"Kaleng kue/susu",G18:G241)</f>
        <v>2</v>
      </c>
      <c r="N18" s="18"/>
    </row>
    <row r="19" ht="15.75" customHeight="1">
      <c r="A19" s="30" t="s">
        <v>36</v>
      </c>
      <c r="B19" s="31">
        <v>2700.0</v>
      </c>
      <c r="C19" s="39"/>
      <c r="D19" s="47"/>
      <c r="E19" s="47"/>
      <c r="F19" s="42" t="s">
        <v>35</v>
      </c>
      <c r="G19" s="43"/>
      <c r="H19" s="48">
        <f>VLOOKUP(F19,$A$18:$B$18,2,TRUE)</f>
        <v>5000</v>
      </c>
      <c r="I19" s="45">
        <f t="shared" si="1"/>
        <v>0</v>
      </c>
      <c r="J19" s="47"/>
      <c r="K19" s="18"/>
      <c r="L19" s="42" t="s">
        <v>35</v>
      </c>
      <c r="M19" s="38">
        <f>SUMIF(F19:F242,"Kaleng Minuman",G19:G242)</f>
        <v>0</v>
      </c>
      <c r="N19" s="18"/>
    </row>
    <row r="20" ht="15.75" customHeight="1">
      <c r="A20" s="30" t="s">
        <v>37</v>
      </c>
      <c r="B20" s="31">
        <v>50000.0</v>
      </c>
      <c r="C20" s="39"/>
      <c r="D20" s="47"/>
      <c r="E20" s="47"/>
      <c r="F20" s="42" t="s">
        <v>36</v>
      </c>
      <c r="G20" s="43"/>
      <c r="H20" s="48">
        <f>VLOOKUP(F20,$A$19:$B$19,2,TRUE)</f>
        <v>2700</v>
      </c>
      <c r="I20" s="45">
        <f t="shared" si="1"/>
        <v>0</v>
      </c>
      <c r="J20" s="47"/>
      <c r="K20" s="18"/>
      <c r="L20" s="42" t="s">
        <v>36</v>
      </c>
      <c r="M20" s="38">
        <f>SUMIF(F20:F243,"Stanless",G20:G243)</f>
        <v>0</v>
      </c>
      <c r="N20" s="18"/>
    </row>
    <row r="21" ht="15.75" customHeight="1">
      <c r="A21" s="30" t="s">
        <v>38</v>
      </c>
      <c r="B21" s="31">
        <v>10000.0</v>
      </c>
      <c r="C21" s="39"/>
      <c r="D21" s="47"/>
      <c r="E21" s="47"/>
      <c r="F21" s="42" t="s">
        <v>37</v>
      </c>
      <c r="G21" s="43"/>
      <c r="H21" s="48">
        <f>VLOOKUP(F21,$A$20:$B$20,2,TRUE)</f>
        <v>50000</v>
      </c>
      <c r="I21" s="45">
        <f t="shared" si="1"/>
        <v>0</v>
      </c>
      <c r="J21" s="47"/>
      <c r="K21" s="18"/>
      <c r="L21" s="42" t="s">
        <v>37</v>
      </c>
      <c r="M21" s="38">
        <f>SUMIF(F21:F244,"Tembaga",G21:G244)</f>
        <v>0</v>
      </c>
      <c r="N21" s="18"/>
    </row>
    <row r="22" ht="15.75" customHeight="1">
      <c r="A22" s="30" t="s">
        <v>39</v>
      </c>
      <c r="B22" s="31">
        <v>1000.0</v>
      </c>
      <c r="C22" s="39"/>
      <c r="D22" s="47"/>
      <c r="E22" s="47"/>
      <c r="F22" s="42" t="s">
        <v>38</v>
      </c>
      <c r="G22" s="43"/>
      <c r="H22" s="48">
        <f>VLOOKUP(F22,$A$21:$B$21,2,TRUE)</f>
        <v>10000</v>
      </c>
      <c r="I22" s="45">
        <f t="shared" si="1"/>
        <v>0</v>
      </c>
      <c r="J22" s="47"/>
      <c r="K22" s="18"/>
      <c r="L22" s="42" t="s">
        <v>38</v>
      </c>
      <c r="M22" s="38">
        <f>SUMIF(F22:F245,"Aki Motor",G22:G245)</f>
        <v>0</v>
      </c>
      <c r="N22" s="18"/>
    </row>
    <row r="23" ht="15.75" customHeight="1">
      <c r="A23" s="30" t="s">
        <v>40</v>
      </c>
      <c r="B23" s="31">
        <v>500.0</v>
      </c>
      <c r="C23" s="39"/>
      <c r="D23" s="47"/>
      <c r="E23" s="47"/>
      <c r="F23" s="42" t="s">
        <v>39</v>
      </c>
      <c r="G23" s="43"/>
      <c r="H23" s="48">
        <f>VLOOKUP(F23,$A$22:$B$22,2,TRUE)</f>
        <v>1000</v>
      </c>
      <c r="I23" s="45">
        <f t="shared" si="1"/>
        <v>0</v>
      </c>
      <c r="J23" s="47"/>
      <c r="K23" s="18"/>
      <c r="L23" s="42" t="s">
        <v>39</v>
      </c>
      <c r="M23" s="38">
        <f>SUMIF(F23:F246,"Paralon",G23:G246)</f>
        <v>0</v>
      </c>
      <c r="N23" s="18"/>
    </row>
    <row r="24" ht="15.75" customHeight="1">
      <c r="A24" s="30" t="s">
        <v>41</v>
      </c>
      <c r="B24" s="31">
        <v>200.0</v>
      </c>
      <c r="C24" s="39"/>
      <c r="D24" s="47"/>
      <c r="E24" s="47"/>
      <c r="F24" s="42" t="s">
        <v>40</v>
      </c>
      <c r="G24" s="43"/>
      <c r="H24" s="48">
        <f>VLOOKUP(F24,$A$23:$B$23,2,TRUE)</f>
        <v>500</v>
      </c>
      <c r="I24" s="45">
        <f t="shared" si="1"/>
        <v>0</v>
      </c>
      <c r="J24" s="47"/>
      <c r="K24" s="18"/>
      <c r="L24" s="42" t="s">
        <v>40</v>
      </c>
      <c r="M24" s="38">
        <f>SUMIF(F24:F247,"Plastik bening",G24:G247)</f>
        <v>0</v>
      </c>
      <c r="N24" s="18"/>
    </row>
    <row r="25" ht="15.75" customHeight="1">
      <c r="A25" s="30" t="s">
        <v>42</v>
      </c>
      <c r="B25" s="31">
        <v>1000.0</v>
      </c>
      <c r="C25" s="39"/>
      <c r="D25" s="47"/>
      <c r="E25" s="47"/>
      <c r="F25" s="42" t="s">
        <v>41</v>
      </c>
      <c r="G25" s="43"/>
      <c r="H25" s="48">
        <f>VLOOKUP(F25,$A$24:$B$24,2,TRUE)</f>
        <v>200</v>
      </c>
      <c r="I25" s="45">
        <f t="shared" si="1"/>
        <v>0</v>
      </c>
      <c r="J25" s="47"/>
      <c r="K25" s="18"/>
      <c r="L25" s="42" t="s">
        <v>41</v>
      </c>
      <c r="M25" s="38">
        <f>SUMIF(F25:F248,"Plastik Warna",G25:G248)</f>
        <v>1</v>
      </c>
      <c r="N25" s="18"/>
    </row>
    <row r="26" ht="15.75" customHeight="1">
      <c r="A26" s="30" t="s">
        <v>17</v>
      </c>
      <c r="B26" s="31">
        <v>300.0</v>
      </c>
      <c r="C26" s="39"/>
      <c r="D26" s="47"/>
      <c r="E26" s="47"/>
      <c r="F26" s="42" t="s">
        <v>42</v>
      </c>
      <c r="G26" s="43"/>
      <c r="H26" s="48">
        <f>VLOOKUP(F26,$A$25:$B$25,2,TRUE)</f>
        <v>1000</v>
      </c>
      <c r="I26" s="45">
        <f t="shared" si="1"/>
        <v>0</v>
      </c>
      <c r="J26" s="47"/>
      <c r="K26" s="18"/>
      <c r="L26" s="42" t="s">
        <v>42</v>
      </c>
      <c r="M26" s="38">
        <f>SUMIF(F26:F249,"Selang",G26:G249)</f>
        <v>0</v>
      </c>
      <c r="N26" s="18"/>
    </row>
    <row r="27" ht="15.75" customHeight="1">
      <c r="A27" s="30" t="s">
        <v>43</v>
      </c>
      <c r="B27" s="31">
        <v>100.0</v>
      </c>
      <c r="C27" s="39"/>
      <c r="D27" s="47"/>
      <c r="E27" s="47"/>
      <c r="F27" s="42" t="s">
        <v>17</v>
      </c>
      <c r="G27" s="43"/>
      <c r="H27" s="48">
        <f>VLOOKUP(F27,$A$26:$B$26,2,TRUE)</f>
        <v>300</v>
      </c>
      <c r="I27" s="45">
        <f t="shared" si="1"/>
        <v>0</v>
      </c>
      <c r="J27" s="47"/>
      <c r="K27" s="18"/>
      <c r="L27" s="42" t="s">
        <v>17</v>
      </c>
      <c r="M27" s="38">
        <f>SUMIF(F27:F250,"Beling",G27:G250)</f>
        <v>0</v>
      </c>
      <c r="N27" s="18"/>
    </row>
    <row r="28" ht="15.75" customHeight="1">
      <c r="A28" s="30" t="s">
        <v>59</v>
      </c>
      <c r="B28" s="31">
        <v>500.0</v>
      </c>
      <c r="C28" s="39"/>
      <c r="D28" s="47"/>
      <c r="E28" s="47"/>
      <c r="F28" s="42" t="s">
        <v>43</v>
      </c>
      <c r="G28" s="43"/>
      <c r="H28" s="48">
        <f>VLOOKUP(F28,$A$27:$B$27,2,TRUE)</f>
        <v>100</v>
      </c>
      <c r="I28" s="45">
        <f t="shared" si="1"/>
        <v>0</v>
      </c>
      <c r="J28" s="47"/>
      <c r="K28" s="18"/>
      <c r="L28" s="42" t="s">
        <v>43</v>
      </c>
      <c r="M28" s="38">
        <f>SUMIF(F28:F251,"Pecahan",G28:G251)</f>
        <v>0</v>
      </c>
      <c r="N28" s="18"/>
    </row>
    <row r="29" ht="15.75" customHeight="1">
      <c r="A29" s="30" t="s">
        <v>13</v>
      </c>
      <c r="B29" s="49">
        <v>1500.0</v>
      </c>
      <c r="C29" s="39"/>
      <c r="D29" s="47"/>
      <c r="E29" s="47"/>
      <c r="F29" s="42" t="s">
        <v>59</v>
      </c>
      <c r="G29" s="43"/>
      <c r="H29" s="48">
        <f>VLOOKUP(F29,$A$28:$B$28,2,TRUE)</f>
        <v>500</v>
      </c>
      <c r="I29" s="45">
        <f t="shared" si="1"/>
        <v>0</v>
      </c>
      <c r="J29" s="47"/>
      <c r="K29" s="18"/>
      <c r="L29" s="42" t="s">
        <v>59</v>
      </c>
      <c r="M29" s="38">
        <f>SUMIF(F29:F252,"Sendal/Sepatu",G29:G252)</f>
        <v>0</v>
      </c>
      <c r="N29" s="18"/>
    </row>
    <row r="30" ht="15.75" customHeight="1">
      <c r="A30" s="30" t="s">
        <v>19</v>
      </c>
      <c r="B30" s="31">
        <v>4000.0</v>
      </c>
      <c r="C30" s="39"/>
      <c r="D30" s="47"/>
      <c r="E30" s="47"/>
      <c r="F30" s="42" t="s">
        <v>13</v>
      </c>
      <c r="G30" s="43"/>
      <c r="H30" s="48">
        <f>VLOOKUP(F30,$A$29:$B$29,2,TRUE)</f>
        <v>1500</v>
      </c>
      <c r="I30" s="45">
        <f t="shared" si="1"/>
        <v>0</v>
      </c>
      <c r="J30" s="47"/>
      <c r="K30" s="18"/>
      <c r="L30" s="42" t="s">
        <v>13</v>
      </c>
      <c r="M30" s="38">
        <f>SUMIF(F30:F253,"Paku",G30:G253)</f>
        <v>0</v>
      </c>
      <c r="N30" s="18"/>
    </row>
    <row r="31" ht="15.75" customHeight="1">
      <c r="A31" s="30" t="s">
        <v>60</v>
      </c>
      <c r="B31" s="31">
        <v>500.0</v>
      </c>
      <c r="C31" s="39"/>
      <c r="D31" s="47"/>
      <c r="E31" s="47"/>
      <c r="F31" s="42" t="s">
        <v>19</v>
      </c>
      <c r="G31" s="43"/>
      <c r="H31" s="48">
        <f>VLOOKUP(F31,$A$30:$B$30,2,TRUE)</f>
        <v>4000</v>
      </c>
      <c r="I31" s="45">
        <f t="shared" si="1"/>
        <v>0</v>
      </c>
      <c r="J31" s="47"/>
      <c r="K31" s="18"/>
      <c r="L31" s="42" t="s">
        <v>19</v>
      </c>
      <c r="M31" s="38">
        <f>SUMIF(F31:F254,"Minyak Jelantah",G31:G254)</f>
        <v>4.5</v>
      </c>
      <c r="N31" s="18"/>
    </row>
    <row r="32" ht="15.75" customHeight="1">
      <c r="A32" s="39"/>
      <c r="B32" s="39"/>
      <c r="C32" s="39"/>
      <c r="D32" s="7"/>
      <c r="E32" s="7"/>
      <c r="F32" s="42" t="s">
        <v>61</v>
      </c>
      <c r="G32" s="43"/>
      <c r="H32" s="48">
        <f>VLOOKUP(F32,$A$31:$B$31,2,TRUE)</f>
        <v>500</v>
      </c>
      <c r="I32" s="45">
        <f t="shared" si="1"/>
        <v>0</v>
      </c>
      <c r="J32" s="7"/>
      <c r="K32" s="18"/>
      <c r="L32" s="42" t="s">
        <v>60</v>
      </c>
      <c r="M32" s="38">
        <f>SUMIF(F32:F255,"Lainnya",G32:G255)</f>
        <v>0</v>
      </c>
      <c r="N32" s="18"/>
    </row>
    <row r="33" ht="15.75" customHeight="1">
      <c r="A33" s="39"/>
      <c r="B33" s="39"/>
      <c r="C33" s="39"/>
      <c r="D33" s="40">
        <v>2.0</v>
      </c>
      <c r="E33" s="41" t="s">
        <v>62</v>
      </c>
      <c r="F33" s="42" t="s">
        <v>21</v>
      </c>
      <c r="G33" s="43"/>
      <c r="H33" s="50">
        <f>VLOOKUP(F33,$A$4:$B$4,2,TRUE)</f>
        <v>5000</v>
      </c>
      <c r="I33" s="45">
        <f t="shared" si="1"/>
        <v>0</v>
      </c>
      <c r="J33" s="46">
        <f>SUM(I33:I60)</f>
        <v>600</v>
      </c>
      <c r="K33" s="18"/>
      <c r="L33" s="18"/>
      <c r="M33" s="18"/>
      <c r="N33" s="18"/>
    </row>
    <row r="34" ht="15.75" customHeight="1">
      <c r="A34" s="39"/>
      <c r="B34" s="39"/>
      <c r="C34" s="39"/>
      <c r="D34" s="47"/>
      <c r="E34" s="47"/>
      <c r="F34" s="42" t="s">
        <v>56</v>
      </c>
      <c r="G34" s="43"/>
      <c r="H34" s="50">
        <f>VLOOKUP(F34,$A$5:$B$5,2,TRUE)</f>
        <v>3000</v>
      </c>
      <c r="I34" s="45">
        <f t="shared" si="1"/>
        <v>0</v>
      </c>
      <c r="J34" s="47"/>
      <c r="K34" s="18"/>
      <c r="L34" s="18"/>
      <c r="M34" s="18"/>
      <c r="N34" s="18"/>
    </row>
    <row r="35" ht="15.75" customHeight="1">
      <c r="A35" s="39"/>
      <c r="B35" s="39"/>
      <c r="C35" s="39"/>
      <c r="D35" s="47"/>
      <c r="E35" s="47"/>
      <c r="F35" s="42" t="s">
        <v>58</v>
      </c>
      <c r="G35" s="43"/>
      <c r="H35" s="50">
        <f>VLOOKUP(F35,$A$6:$B$6,2,TRUE)</f>
        <v>1000</v>
      </c>
      <c r="I35" s="45">
        <f t="shared" si="1"/>
        <v>0</v>
      </c>
      <c r="J35" s="47"/>
      <c r="K35" s="18"/>
      <c r="L35" s="18"/>
      <c r="M35" s="18"/>
      <c r="N35" s="18"/>
    </row>
    <row r="36" ht="15.75" customHeight="1">
      <c r="A36" s="39"/>
      <c r="B36" s="39"/>
      <c r="C36" s="39"/>
      <c r="D36" s="47"/>
      <c r="E36" s="47"/>
      <c r="F36" s="42" t="s">
        <v>24</v>
      </c>
      <c r="G36" s="43"/>
      <c r="H36" s="50">
        <f>VLOOKUP(F36,$A$7:$B$7,2,TRUE)</f>
        <v>2800</v>
      </c>
      <c r="I36" s="45">
        <f t="shared" si="1"/>
        <v>0</v>
      </c>
      <c r="J36" s="47"/>
      <c r="K36" s="18"/>
      <c r="L36" s="18"/>
      <c r="M36" s="18"/>
      <c r="N36" s="18"/>
    </row>
    <row r="37" ht="15.75" customHeight="1">
      <c r="A37" s="39"/>
      <c r="B37" s="39"/>
      <c r="C37" s="39"/>
      <c r="D37" s="47"/>
      <c r="E37" s="47"/>
      <c r="F37" s="42" t="s">
        <v>25</v>
      </c>
      <c r="G37" s="43"/>
      <c r="H37" s="50">
        <f>VLOOKUP(F37,$A$8:$B$8,2,TRUE)</f>
        <v>3500</v>
      </c>
      <c r="I37" s="45">
        <f t="shared" si="1"/>
        <v>0</v>
      </c>
      <c r="J37" s="47"/>
      <c r="K37" s="18"/>
      <c r="L37" s="18"/>
      <c r="M37" s="18"/>
      <c r="N37" s="18"/>
    </row>
    <row r="38" ht="15.75" customHeight="1">
      <c r="A38" s="39"/>
      <c r="B38" s="39"/>
      <c r="C38" s="39"/>
      <c r="D38" s="47"/>
      <c r="E38" s="47"/>
      <c r="F38" s="42" t="s">
        <v>26</v>
      </c>
      <c r="G38" s="43"/>
      <c r="H38" s="50">
        <f>VLOOKUP(F38,$A$9:$B$9,2,TRUE)</f>
        <v>1000</v>
      </c>
      <c r="I38" s="45">
        <f t="shared" si="1"/>
        <v>0</v>
      </c>
      <c r="J38" s="47"/>
      <c r="K38" s="18"/>
      <c r="L38" s="18"/>
      <c r="M38" s="18"/>
      <c r="N38" s="18"/>
    </row>
    <row r="39" ht="15.75" customHeight="1">
      <c r="A39" s="39"/>
      <c r="B39" s="39"/>
      <c r="C39" s="39"/>
      <c r="D39" s="47"/>
      <c r="E39" s="47"/>
      <c r="F39" s="42" t="s">
        <v>27</v>
      </c>
      <c r="G39" s="43"/>
      <c r="H39" s="50">
        <f>VLOOKUP(F39,$A$10:$B$10,2,TRUE)</f>
        <v>2000</v>
      </c>
      <c r="I39" s="45">
        <f t="shared" si="1"/>
        <v>0</v>
      </c>
      <c r="J39" s="47"/>
      <c r="K39" s="18"/>
      <c r="L39" s="18"/>
      <c r="M39" s="18"/>
      <c r="N39" s="18"/>
    </row>
    <row r="40" ht="15.75" customHeight="1">
      <c r="A40" s="39"/>
      <c r="B40" s="39"/>
      <c r="C40" s="39"/>
      <c r="D40" s="47"/>
      <c r="E40" s="47"/>
      <c r="F40" s="42" t="s">
        <v>28</v>
      </c>
      <c r="G40" s="43"/>
      <c r="H40" s="50">
        <f>VLOOKUP(F40,$A$11:$B$11,2,TRUE)</f>
        <v>2000</v>
      </c>
      <c r="I40" s="45">
        <f t="shared" si="1"/>
        <v>0</v>
      </c>
      <c r="J40" s="47"/>
      <c r="K40" s="18"/>
      <c r="L40" s="18"/>
      <c r="M40" s="18"/>
      <c r="N40" s="18"/>
    </row>
    <row r="41" ht="15.75" customHeight="1">
      <c r="A41" s="39"/>
      <c r="B41" s="39"/>
      <c r="C41" s="39"/>
      <c r="D41" s="47"/>
      <c r="E41" s="47"/>
      <c r="F41" s="42" t="s">
        <v>29</v>
      </c>
      <c r="G41" s="43"/>
      <c r="H41" s="50">
        <f>VLOOKUP(F41,$A$12:$B$12,2,TRUE)</f>
        <v>1300</v>
      </c>
      <c r="I41" s="45">
        <f t="shared" si="1"/>
        <v>0</v>
      </c>
      <c r="J41" s="47"/>
      <c r="K41" s="18"/>
      <c r="L41" s="18"/>
      <c r="M41" s="18"/>
      <c r="N41" s="18"/>
    </row>
    <row r="42" ht="15.75" customHeight="1">
      <c r="A42" s="39"/>
      <c r="B42" s="39"/>
      <c r="C42" s="39"/>
      <c r="D42" s="47"/>
      <c r="E42" s="47"/>
      <c r="F42" s="42" t="s">
        <v>30</v>
      </c>
      <c r="G42" s="43"/>
      <c r="H42" s="50">
        <f>VLOOKUP(F42,$A$13:$B$13,2,TRUE)</f>
        <v>1000</v>
      </c>
      <c r="I42" s="45">
        <f t="shared" si="1"/>
        <v>0</v>
      </c>
      <c r="J42" s="47"/>
      <c r="K42" s="18"/>
      <c r="L42" s="18"/>
      <c r="M42" s="18"/>
      <c r="N42" s="18"/>
    </row>
    <row r="43" ht="15.75" customHeight="1">
      <c r="A43" s="39"/>
      <c r="B43" s="39"/>
      <c r="C43" s="39"/>
      <c r="D43" s="47"/>
      <c r="E43" s="47"/>
      <c r="F43" s="42" t="s">
        <v>31</v>
      </c>
      <c r="G43" s="43">
        <v>1.5</v>
      </c>
      <c r="H43" s="50">
        <f>VLOOKUP(F43,$A$14:$B$14,2,TRUE)</f>
        <v>400</v>
      </c>
      <c r="I43" s="45">
        <f t="shared" si="1"/>
        <v>600</v>
      </c>
      <c r="J43" s="47"/>
      <c r="K43" s="18"/>
      <c r="L43" s="18"/>
      <c r="M43" s="18"/>
      <c r="N43" s="18"/>
    </row>
    <row r="44" ht="15.75" customHeight="1">
      <c r="A44" s="39"/>
      <c r="B44" s="39"/>
      <c r="C44" s="39"/>
      <c r="D44" s="47"/>
      <c r="E44" s="47"/>
      <c r="F44" s="42" t="s">
        <v>32</v>
      </c>
      <c r="G44" s="43"/>
      <c r="H44" s="50">
        <f>VLOOKUP(F44,$A$15:$B$15,2,TRUE)</f>
        <v>7500</v>
      </c>
      <c r="I44" s="45">
        <f t="shared" si="1"/>
        <v>0</v>
      </c>
      <c r="J44" s="47"/>
      <c r="K44" s="18"/>
      <c r="L44" s="18"/>
      <c r="M44" s="18"/>
      <c r="N44" s="18"/>
    </row>
    <row r="45" ht="15.75" customHeight="1">
      <c r="A45" s="39"/>
      <c r="B45" s="39"/>
      <c r="C45" s="39"/>
      <c r="D45" s="47"/>
      <c r="E45" s="47"/>
      <c r="F45" s="42" t="s">
        <v>33</v>
      </c>
      <c r="G45" s="43"/>
      <c r="H45" s="50">
        <f>VLOOKUP(F45,$A$16:$B$16,2,TRUE)</f>
        <v>2000</v>
      </c>
      <c r="I45" s="45">
        <f t="shared" si="1"/>
        <v>0</v>
      </c>
      <c r="J45" s="47"/>
      <c r="K45" s="18"/>
      <c r="L45" s="18"/>
      <c r="M45" s="18"/>
      <c r="N45" s="18"/>
    </row>
    <row r="46" ht="15.75" customHeight="1">
      <c r="A46" s="39"/>
      <c r="B46" s="39"/>
      <c r="C46" s="39"/>
      <c r="D46" s="47"/>
      <c r="E46" s="47"/>
      <c r="F46" s="42" t="s">
        <v>34</v>
      </c>
      <c r="G46" s="43"/>
      <c r="H46" s="50">
        <f>VLOOKUP(F46,$A$17:$B$17,2,TRUE)</f>
        <v>800</v>
      </c>
      <c r="I46" s="45">
        <f t="shared" si="1"/>
        <v>0</v>
      </c>
      <c r="J46" s="47"/>
      <c r="K46" s="18"/>
      <c r="L46" s="18"/>
      <c r="M46" s="18"/>
      <c r="N46" s="18"/>
    </row>
    <row r="47" ht="15.75" customHeight="1">
      <c r="A47" s="39"/>
      <c r="B47" s="39"/>
      <c r="C47" s="39"/>
      <c r="D47" s="47"/>
      <c r="E47" s="47"/>
      <c r="F47" s="42" t="s">
        <v>35</v>
      </c>
      <c r="G47" s="43"/>
      <c r="H47" s="50">
        <f>VLOOKUP(F47,$A$18:$B$18,2,TRUE)</f>
        <v>5000</v>
      </c>
      <c r="I47" s="45">
        <f t="shared" si="1"/>
        <v>0</v>
      </c>
      <c r="J47" s="47"/>
      <c r="K47" s="18"/>
      <c r="L47" s="18"/>
      <c r="M47" s="18"/>
      <c r="N47" s="18"/>
    </row>
    <row r="48" ht="15.75" customHeight="1">
      <c r="A48" s="39"/>
      <c r="B48" s="39"/>
      <c r="C48" s="39"/>
      <c r="D48" s="47"/>
      <c r="E48" s="47"/>
      <c r="F48" s="42" t="s">
        <v>36</v>
      </c>
      <c r="G48" s="43"/>
      <c r="H48" s="50">
        <f>VLOOKUP(F48,$A$19:$B$19,2,TRUE)</f>
        <v>2700</v>
      </c>
      <c r="I48" s="45">
        <f t="shared" si="1"/>
        <v>0</v>
      </c>
      <c r="J48" s="47"/>
      <c r="K48" s="18"/>
      <c r="L48" s="18"/>
      <c r="M48" s="18"/>
      <c r="N48" s="18"/>
    </row>
    <row r="49" ht="15.75" customHeight="1">
      <c r="A49" s="39"/>
      <c r="B49" s="39"/>
      <c r="C49" s="39"/>
      <c r="D49" s="47"/>
      <c r="E49" s="47"/>
      <c r="F49" s="42" t="s">
        <v>37</v>
      </c>
      <c r="G49" s="43"/>
      <c r="H49" s="50">
        <f>VLOOKUP(F49,$A$20:$B$20,2,TRUE)</f>
        <v>50000</v>
      </c>
      <c r="I49" s="45">
        <f t="shared" si="1"/>
        <v>0</v>
      </c>
      <c r="J49" s="47"/>
      <c r="K49" s="18"/>
      <c r="L49" s="18"/>
      <c r="M49" s="18"/>
      <c r="N49" s="18"/>
    </row>
    <row r="50" ht="15.75" customHeight="1">
      <c r="A50" s="39"/>
      <c r="B50" s="39"/>
      <c r="C50" s="39"/>
      <c r="D50" s="47"/>
      <c r="E50" s="47"/>
      <c r="F50" s="42" t="s">
        <v>38</v>
      </c>
      <c r="G50" s="43"/>
      <c r="H50" s="50">
        <f>VLOOKUP(F50,$A$21:$B$21,2,TRUE)</f>
        <v>10000</v>
      </c>
      <c r="I50" s="45">
        <f t="shared" si="1"/>
        <v>0</v>
      </c>
      <c r="J50" s="47"/>
      <c r="K50" s="18"/>
      <c r="L50" s="18"/>
      <c r="M50" s="18"/>
      <c r="N50" s="18"/>
    </row>
    <row r="51" ht="15.75" customHeight="1">
      <c r="A51" s="39"/>
      <c r="B51" s="39"/>
      <c r="C51" s="39"/>
      <c r="D51" s="47"/>
      <c r="E51" s="47"/>
      <c r="F51" s="42" t="s">
        <v>39</v>
      </c>
      <c r="G51" s="43"/>
      <c r="H51" s="50">
        <f>VLOOKUP(F51,$A$22:$B$22,2,TRUE)</f>
        <v>1000</v>
      </c>
      <c r="I51" s="45">
        <f t="shared" si="1"/>
        <v>0</v>
      </c>
      <c r="J51" s="47"/>
      <c r="K51" s="18"/>
      <c r="L51" s="18"/>
      <c r="M51" s="18"/>
      <c r="N51" s="18"/>
    </row>
    <row r="52" ht="15.75" customHeight="1">
      <c r="A52" s="39"/>
      <c r="B52" s="39"/>
      <c r="C52" s="39"/>
      <c r="D52" s="47"/>
      <c r="E52" s="47"/>
      <c r="F52" s="42" t="s">
        <v>40</v>
      </c>
      <c r="G52" s="43"/>
      <c r="H52" s="50">
        <f>VLOOKUP(F52,$A$23:$B$23,2,TRUE)</f>
        <v>500</v>
      </c>
      <c r="I52" s="45">
        <f t="shared" si="1"/>
        <v>0</v>
      </c>
      <c r="J52" s="47"/>
      <c r="K52" s="18"/>
      <c r="L52" s="18"/>
      <c r="M52" s="18"/>
      <c r="N52" s="18"/>
    </row>
    <row r="53" ht="15.75" customHeight="1">
      <c r="A53" s="39"/>
      <c r="B53" s="39"/>
      <c r="C53" s="39"/>
      <c r="D53" s="47"/>
      <c r="E53" s="47"/>
      <c r="F53" s="42" t="s">
        <v>41</v>
      </c>
      <c r="G53" s="43"/>
      <c r="H53" s="50">
        <f>VLOOKUP(F53,$A$24:$B$24,2,TRUE)</f>
        <v>200</v>
      </c>
      <c r="I53" s="45">
        <f t="shared" si="1"/>
        <v>0</v>
      </c>
      <c r="J53" s="47"/>
      <c r="K53" s="18"/>
      <c r="L53" s="18"/>
      <c r="M53" s="18"/>
      <c r="N53" s="18"/>
    </row>
    <row r="54" ht="15.75" customHeight="1">
      <c r="A54" s="39"/>
      <c r="B54" s="39"/>
      <c r="C54" s="39"/>
      <c r="D54" s="47"/>
      <c r="E54" s="47"/>
      <c r="F54" s="42" t="s">
        <v>42</v>
      </c>
      <c r="G54" s="43"/>
      <c r="H54" s="50">
        <f>VLOOKUP(F54,$A$25:$B$25,2,TRUE)</f>
        <v>1000</v>
      </c>
      <c r="I54" s="45">
        <f t="shared" si="1"/>
        <v>0</v>
      </c>
      <c r="J54" s="47"/>
      <c r="K54" s="18"/>
      <c r="L54" s="18"/>
      <c r="M54" s="18"/>
      <c r="N54" s="18"/>
    </row>
    <row r="55" ht="15.75" customHeight="1">
      <c r="A55" s="39"/>
      <c r="B55" s="39"/>
      <c r="C55" s="39"/>
      <c r="D55" s="47"/>
      <c r="E55" s="47"/>
      <c r="F55" s="42" t="s">
        <v>17</v>
      </c>
      <c r="G55" s="43"/>
      <c r="H55" s="50">
        <f>VLOOKUP(F55,$A$26:$B$26,2,TRUE)</f>
        <v>300</v>
      </c>
      <c r="I55" s="45">
        <f t="shared" si="1"/>
        <v>0</v>
      </c>
      <c r="J55" s="47"/>
      <c r="K55" s="18"/>
      <c r="L55" s="18"/>
      <c r="M55" s="18"/>
      <c r="N55" s="18"/>
    </row>
    <row r="56" ht="15.75" customHeight="1">
      <c r="A56" s="39"/>
      <c r="B56" s="39"/>
      <c r="C56" s="39"/>
      <c r="D56" s="47"/>
      <c r="E56" s="47"/>
      <c r="F56" s="42" t="s">
        <v>43</v>
      </c>
      <c r="G56" s="43"/>
      <c r="H56" s="50">
        <f>VLOOKUP(F56,$A$27:$B$27,2,TRUE)</f>
        <v>100</v>
      </c>
      <c r="I56" s="45">
        <f t="shared" si="1"/>
        <v>0</v>
      </c>
      <c r="J56" s="47"/>
      <c r="K56" s="18"/>
      <c r="L56" s="18"/>
      <c r="M56" s="18"/>
      <c r="N56" s="18"/>
    </row>
    <row r="57" ht="15.75" customHeight="1">
      <c r="A57" s="39"/>
      <c r="B57" s="39"/>
      <c r="C57" s="39"/>
      <c r="D57" s="47"/>
      <c r="E57" s="47"/>
      <c r="F57" s="42" t="s">
        <v>59</v>
      </c>
      <c r="G57" s="43"/>
      <c r="H57" s="50">
        <f>VLOOKUP(F57,$A$28:$B$28,2,TRUE)</f>
        <v>500</v>
      </c>
      <c r="I57" s="45">
        <f t="shared" si="1"/>
        <v>0</v>
      </c>
      <c r="J57" s="47"/>
      <c r="K57" s="18"/>
      <c r="L57" s="18"/>
      <c r="M57" s="18"/>
      <c r="N57" s="18"/>
    </row>
    <row r="58" ht="15.75" customHeight="1">
      <c r="A58" s="39"/>
      <c r="B58" s="39"/>
      <c r="C58" s="39"/>
      <c r="D58" s="47"/>
      <c r="E58" s="47"/>
      <c r="F58" s="42" t="s">
        <v>13</v>
      </c>
      <c r="G58" s="43"/>
      <c r="H58" s="51">
        <f>VLOOKUP(F58,$A$29:$B$29,2,TRUE)</f>
        <v>1500</v>
      </c>
      <c r="I58" s="45">
        <f t="shared" si="1"/>
        <v>0</v>
      </c>
      <c r="J58" s="47"/>
      <c r="K58" s="18"/>
      <c r="L58" s="18"/>
      <c r="M58" s="18"/>
      <c r="N58" s="18"/>
    </row>
    <row r="59" ht="15.75" customHeight="1">
      <c r="A59" s="39"/>
      <c r="B59" s="39"/>
      <c r="C59" s="39"/>
      <c r="D59" s="47"/>
      <c r="E59" s="47"/>
      <c r="F59" s="42" t="s">
        <v>19</v>
      </c>
      <c r="G59" s="43"/>
      <c r="H59" s="50">
        <f>VLOOKUP(F59,$A$30:$B$30,2,TRUE)</f>
        <v>4000</v>
      </c>
      <c r="I59" s="45">
        <f t="shared" si="1"/>
        <v>0</v>
      </c>
      <c r="J59" s="47"/>
      <c r="K59" s="18"/>
      <c r="L59" s="18"/>
      <c r="M59" s="18"/>
      <c r="N59" s="18"/>
    </row>
    <row r="60" ht="15.75" customHeight="1">
      <c r="A60" s="39"/>
      <c r="B60" s="39"/>
      <c r="C60" s="39"/>
      <c r="D60" s="7"/>
      <c r="E60" s="7"/>
      <c r="F60" s="42" t="s">
        <v>63</v>
      </c>
      <c r="G60" s="43">
        <v>0.5</v>
      </c>
      <c r="H60" s="50">
        <v>0.0</v>
      </c>
      <c r="I60" s="45">
        <f t="shared" si="1"/>
        <v>0</v>
      </c>
      <c r="J60" s="7"/>
      <c r="K60" s="18"/>
      <c r="L60" s="18"/>
      <c r="M60" s="18"/>
      <c r="N60" s="18"/>
    </row>
    <row r="61" ht="15.75" customHeight="1">
      <c r="A61" s="39"/>
      <c r="B61" s="39"/>
      <c r="C61" s="39"/>
      <c r="D61" s="40">
        <v>3.0</v>
      </c>
      <c r="E61" s="41" t="s">
        <v>64</v>
      </c>
      <c r="F61" s="42" t="s">
        <v>21</v>
      </c>
      <c r="G61" s="43"/>
      <c r="H61" s="50">
        <f>VLOOKUP(F61,$A$4:$B$4,2,TRUE)</f>
        <v>5000</v>
      </c>
      <c r="I61" s="45">
        <f t="shared" si="1"/>
        <v>0</v>
      </c>
      <c r="J61" s="46">
        <f>SUM(I61:I88)</f>
        <v>44600</v>
      </c>
      <c r="K61" s="18"/>
      <c r="L61" s="18"/>
      <c r="M61" s="18"/>
      <c r="N61" s="18"/>
    </row>
    <row r="62" ht="15.75" customHeight="1">
      <c r="A62" s="39"/>
      <c r="B62" s="39"/>
      <c r="C62" s="39"/>
      <c r="D62" s="47"/>
      <c r="E62" s="47"/>
      <c r="F62" s="42" t="s">
        <v>56</v>
      </c>
      <c r="G62" s="43">
        <v>1.5</v>
      </c>
      <c r="H62" s="50">
        <f>VLOOKUP(F62,$A$5:$B$5,2,TRUE)</f>
        <v>3000</v>
      </c>
      <c r="I62" s="45">
        <f t="shared" si="1"/>
        <v>4500</v>
      </c>
      <c r="J62" s="47"/>
      <c r="K62" s="18"/>
      <c r="L62" s="18"/>
      <c r="M62" s="18"/>
      <c r="N62" s="18"/>
    </row>
    <row r="63" ht="15.75" customHeight="1">
      <c r="A63" s="39"/>
      <c r="B63" s="39"/>
      <c r="C63" s="39"/>
      <c r="D63" s="47"/>
      <c r="E63" s="47"/>
      <c r="F63" s="42" t="s">
        <v>58</v>
      </c>
      <c r="G63" s="43"/>
      <c r="H63" s="50">
        <f>VLOOKUP(F63,$A$6:$B$6,2,TRUE)</f>
        <v>1000</v>
      </c>
      <c r="I63" s="45">
        <f t="shared" si="1"/>
        <v>0</v>
      </c>
      <c r="J63" s="47"/>
      <c r="K63" s="18"/>
      <c r="L63" s="18"/>
      <c r="M63" s="18"/>
      <c r="N63" s="18"/>
    </row>
    <row r="64" ht="15.75" customHeight="1">
      <c r="A64" s="39"/>
      <c r="B64" s="39"/>
      <c r="C64" s="39"/>
      <c r="D64" s="47"/>
      <c r="E64" s="47"/>
      <c r="F64" s="42" t="s">
        <v>24</v>
      </c>
      <c r="G64" s="43"/>
      <c r="H64" s="50">
        <f>VLOOKUP(F64,$A$7:$B$7,2,TRUE)</f>
        <v>2800</v>
      </c>
      <c r="I64" s="45">
        <f t="shared" si="1"/>
        <v>0</v>
      </c>
      <c r="J64" s="47"/>
      <c r="K64" s="18"/>
      <c r="L64" s="18"/>
      <c r="M64" s="18"/>
      <c r="N64" s="18"/>
    </row>
    <row r="65" ht="15.75" customHeight="1">
      <c r="A65" s="39"/>
      <c r="B65" s="39"/>
      <c r="C65" s="39"/>
      <c r="D65" s="47"/>
      <c r="E65" s="47"/>
      <c r="F65" s="42" t="s">
        <v>25</v>
      </c>
      <c r="G65" s="43"/>
      <c r="H65" s="50">
        <f>VLOOKUP(F65,$A$8:$B$8,2,TRUE)</f>
        <v>3500</v>
      </c>
      <c r="I65" s="45">
        <f t="shared" si="1"/>
        <v>0</v>
      </c>
      <c r="J65" s="47"/>
      <c r="K65" s="18"/>
      <c r="L65" s="18"/>
      <c r="M65" s="18"/>
      <c r="N65" s="18"/>
    </row>
    <row r="66" ht="15.75" customHeight="1">
      <c r="A66" s="39"/>
      <c r="B66" s="39"/>
      <c r="C66" s="39"/>
      <c r="D66" s="47"/>
      <c r="E66" s="47"/>
      <c r="F66" s="42" t="s">
        <v>26</v>
      </c>
      <c r="G66" s="43">
        <v>2.5</v>
      </c>
      <c r="H66" s="50">
        <f>VLOOKUP(F66,$A$9:$B$9,2,TRUE)</f>
        <v>1000</v>
      </c>
      <c r="I66" s="45">
        <f t="shared" si="1"/>
        <v>2500</v>
      </c>
      <c r="J66" s="47"/>
      <c r="K66" s="18"/>
      <c r="L66" s="18"/>
      <c r="M66" s="18"/>
      <c r="N66" s="18"/>
    </row>
    <row r="67" ht="15.75" customHeight="1">
      <c r="A67" s="39"/>
      <c r="B67" s="39"/>
      <c r="C67" s="39"/>
      <c r="D67" s="47"/>
      <c r="E67" s="47"/>
      <c r="F67" s="42" t="s">
        <v>27</v>
      </c>
      <c r="G67" s="43">
        <v>1.0</v>
      </c>
      <c r="H67" s="50">
        <f>VLOOKUP(F67,$A$10:$B$10,2,TRUE)</f>
        <v>2000</v>
      </c>
      <c r="I67" s="45">
        <f t="shared" si="1"/>
        <v>2000</v>
      </c>
      <c r="J67" s="47"/>
      <c r="K67" s="18"/>
      <c r="L67" s="18"/>
      <c r="M67" s="18"/>
      <c r="N67" s="18"/>
    </row>
    <row r="68" ht="15.75" customHeight="1">
      <c r="A68" s="39"/>
      <c r="B68" s="39"/>
      <c r="C68" s="39"/>
      <c r="D68" s="47"/>
      <c r="E68" s="47"/>
      <c r="F68" s="42" t="s">
        <v>28</v>
      </c>
      <c r="G68" s="43">
        <v>7.5</v>
      </c>
      <c r="H68" s="50">
        <f>VLOOKUP(F68,$A$11:$B$11,2,TRUE)</f>
        <v>2000</v>
      </c>
      <c r="I68" s="45">
        <f t="shared" si="1"/>
        <v>15000</v>
      </c>
      <c r="J68" s="47"/>
      <c r="K68" s="18"/>
      <c r="L68" s="18"/>
      <c r="M68" s="18"/>
      <c r="N68" s="18"/>
    </row>
    <row r="69" ht="15.75" customHeight="1">
      <c r="A69" s="39"/>
      <c r="B69" s="39"/>
      <c r="C69" s="39"/>
      <c r="D69" s="47"/>
      <c r="E69" s="47"/>
      <c r="F69" s="42" t="s">
        <v>29</v>
      </c>
      <c r="G69" s="43"/>
      <c r="H69" s="50">
        <f>VLOOKUP(F69,$A$12:$B$12,2,TRUE)</f>
        <v>1300</v>
      </c>
      <c r="I69" s="45">
        <f t="shared" si="1"/>
        <v>0</v>
      </c>
      <c r="J69" s="47"/>
      <c r="K69" s="18"/>
      <c r="L69" s="18"/>
      <c r="M69" s="18"/>
      <c r="N69" s="18"/>
    </row>
    <row r="70" ht="15.75" customHeight="1">
      <c r="A70" s="39"/>
      <c r="B70" s="39"/>
      <c r="C70" s="39"/>
      <c r="D70" s="47"/>
      <c r="E70" s="47"/>
      <c r="F70" s="42" t="s">
        <v>30</v>
      </c>
      <c r="G70" s="43"/>
      <c r="H70" s="50">
        <f>VLOOKUP(F70,$A$13:$B$13,2,TRUE)</f>
        <v>1000</v>
      </c>
      <c r="I70" s="45">
        <f t="shared" si="1"/>
        <v>0</v>
      </c>
      <c r="J70" s="47"/>
      <c r="K70" s="18"/>
      <c r="L70" s="18"/>
      <c r="M70" s="18"/>
      <c r="N70" s="18"/>
    </row>
    <row r="71" ht="15.75" customHeight="1">
      <c r="A71" s="39"/>
      <c r="B71" s="39"/>
      <c r="C71" s="39"/>
      <c r="D71" s="47"/>
      <c r="E71" s="47"/>
      <c r="F71" s="42" t="s">
        <v>31</v>
      </c>
      <c r="G71" s="43">
        <v>2.5</v>
      </c>
      <c r="H71" s="50">
        <f>VLOOKUP(F71,$A$14:$B$14,2,TRUE)</f>
        <v>400</v>
      </c>
      <c r="I71" s="45">
        <f t="shared" si="1"/>
        <v>1000</v>
      </c>
      <c r="J71" s="47"/>
      <c r="K71" s="18"/>
      <c r="L71" s="18"/>
      <c r="M71" s="18"/>
      <c r="N71" s="18"/>
    </row>
    <row r="72" ht="15.75" customHeight="1">
      <c r="A72" s="39"/>
      <c r="B72" s="39"/>
      <c r="C72" s="39"/>
      <c r="D72" s="47"/>
      <c r="E72" s="47"/>
      <c r="F72" s="42" t="s">
        <v>32</v>
      </c>
      <c r="G72" s="43"/>
      <c r="H72" s="50">
        <f>VLOOKUP(F72,$A$15:$B$15,2,TRUE)</f>
        <v>7500</v>
      </c>
      <c r="I72" s="45">
        <f t="shared" si="1"/>
        <v>0</v>
      </c>
      <c r="J72" s="47"/>
      <c r="K72" s="18"/>
      <c r="L72" s="18"/>
      <c r="M72" s="18"/>
      <c r="N72" s="18"/>
    </row>
    <row r="73" ht="15.75" customHeight="1">
      <c r="A73" s="39"/>
      <c r="B73" s="39"/>
      <c r="C73" s="39"/>
      <c r="D73" s="47"/>
      <c r="E73" s="47"/>
      <c r="F73" s="42" t="s">
        <v>33</v>
      </c>
      <c r="G73" s="43"/>
      <c r="H73" s="50">
        <f>VLOOKUP(F73,$A$16:$B$16,2,TRUE)</f>
        <v>2000</v>
      </c>
      <c r="I73" s="45">
        <f t="shared" si="1"/>
        <v>0</v>
      </c>
      <c r="J73" s="47"/>
      <c r="K73" s="18"/>
      <c r="L73" s="18"/>
      <c r="M73" s="18"/>
      <c r="N73" s="18"/>
    </row>
    <row r="74" ht="15.75" customHeight="1">
      <c r="A74" s="39"/>
      <c r="B74" s="39"/>
      <c r="C74" s="39"/>
      <c r="D74" s="47"/>
      <c r="E74" s="47"/>
      <c r="F74" s="42" t="s">
        <v>34</v>
      </c>
      <c r="G74" s="43">
        <v>2.0</v>
      </c>
      <c r="H74" s="50">
        <f>VLOOKUP(F74,$A$17:$B$17,2,TRUE)</f>
        <v>800</v>
      </c>
      <c r="I74" s="45">
        <f t="shared" si="1"/>
        <v>1600</v>
      </c>
      <c r="J74" s="47"/>
      <c r="K74" s="18"/>
      <c r="L74" s="18"/>
      <c r="M74" s="18"/>
      <c r="N74" s="18"/>
    </row>
    <row r="75" ht="15.75" customHeight="1">
      <c r="A75" s="39"/>
      <c r="B75" s="39"/>
      <c r="C75" s="39"/>
      <c r="D75" s="47"/>
      <c r="E75" s="47"/>
      <c r="F75" s="42" t="s">
        <v>35</v>
      </c>
      <c r="G75" s="43"/>
      <c r="H75" s="50">
        <f>VLOOKUP(F75,$A$18:$B$18,2,TRUE)</f>
        <v>5000</v>
      </c>
      <c r="I75" s="45">
        <f t="shared" si="1"/>
        <v>0</v>
      </c>
      <c r="J75" s="47"/>
      <c r="K75" s="18"/>
      <c r="L75" s="18"/>
      <c r="M75" s="18"/>
      <c r="N75" s="18"/>
    </row>
    <row r="76" ht="15.75" customHeight="1">
      <c r="A76" s="39"/>
      <c r="B76" s="39"/>
      <c r="C76" s="39"/>
      <c r="D76" s="47"/>
      <c r="E76" s="47"/>
      <c r="F76" s="42" t="s">
        <v>36</v>
      </c>
      <c r="G76" s="43"/>
      <c r="H76" s="50">
        <f>VLOOKUP(F76,$A$19:$B$19,2,TRUE)</f>
        <v>2700</v>
      </c>
      <c r="I76" s="45">
        <f t="shared" si="1"/>
        <v>0</v>
      </c>
      <c r="J76" s="47"/>
      <c r="K76" s="18"/>
      <c r="L76" s="18"/>
      <c r="M76" s="18"/>
      <c r="N76" s="18"/>
    </row>
    <row r="77" ht="15.75" customHeight="1">
      <c r="A77" s="39"/>
      <c r="B77" s="39"/>
      <c r="C77" s="39"/>
      <c r="D77" s="47"/>
      <c r="E77" s="47"/>
      <c r="F77" s="42" t="s">
        <v>37</v>
      </c>
      <c r="G77" s="43"/>
      <c r="H77" s="50">
        <f>VLOOKUP(F77,$A$20:$B$20,2,TRUE)</f>
        <v>50000</v>
      </c>
      <c r="I77" s="45">
        <f t="shared" si="1"/>
        <v>0</v>
      </c>
      <c r="J77" s="47"/>
      <c r="K77" s="18"/>
      <c r="L77" s="18"/>
      <c r="M77" s="18"/>
      <c r="N77" s="18"/>
    </row>
    <row r="78" ht="15.75" customHeight="1">
      <c r="A78" s="39"/>
      <c r="B78" s="39"/>
      <c r="C78" s="39"/>
      <c r="D78" s="47"/>
      <c r="E78" s="47"/>
      <c r="F78" s="42" t="s">
        <v>38</v>
      </c>
      <c r="G78" s="43"/>
      <c r="H78" s="50">
        <f>VLOOKUP(F78,$A$21:$B$21,2,TRUE)</f>
        <v>10000</v>
      </c>
      <c r="I78" s="45">
        <f t="shared" si="1"/>
        <v>0</v>
      </c>
      <c r="J78" s="47"/>
      <c r="K78" s="18"/>
      <c r="L78" s="18"/>
      <c r="M78" s="18"/>
      <c r="N78" s="18"/>
    </row>
    <row r="79" ht="15.75" customHeight="1">
      <c r="A79" s="39"/>
      <c r="B79" s="39"/>
      <c r="C79" s="39"/>
      <c r="D79" s="47"/>
      <c r="E79" s="47"/>
      <c r="F79" s="42" t="s">
        <v>39</v>
      </c>
      <c r="G79" s="43"/>
      <c r="H79" s="50">
        <f>VLOOKUP(F79,$A$22:$B$22,2,TRUE)</f>
        <v>1000</v>
      </c>
      <c r="I79" s="45">
        <f t="shared" si="1"/>
        <v>0</v>
      </c>
      <c r="J79" s="47"/>
      <c r="K79" s="18"/>
      <c r="L79" s="18"/>
      <c r="M79" s="18"/>
      <c r="N79" s="18"/>
    </row>
    <row r="80" ht="15.75" customHeight="1">
      <c r="A80" s="39"/>
      <c r="B80" s="39"/>
      <c r="C80" s="39"/>
      <c r="D80" s="47"/>
      <c r="E80" s="47"/>
      <c r="F80" s="42" t="s">
        <v>40</v>
      </c>
      <c r="G80" s="43"/>
      <c r="H80" s="50">
        <f>VLOOKUP(F80,$A$23:$B$23,2,TRUE)</f>
        <v>500</v>
      </c>
      <c r="I80" s="45">
        <f t="shared" si="1"/>
        <v>0</v>
      </c>
      <c r="J80" s="47"/>
      <c r="K80" s="18"/>
      <c r="L80" s="18"/>
      <c r="M80" s="18"/>
      <c r="N80" s="18"/>
    </row>
    <row r="81" ht="15.75" customHeight="1">
      <c r="A81" s="39"/>
      <c r="B81" s="39"/>
      <c r="C81" s="39"/>
      <c r="D81" s="47"/>
      <c r="E81" s="47"/>
      <c r="F81" s="42" t="s">
        <v>41</v>
      </c>
      <c r="G81" s="43"/>
      <c r="H81" s="50">
        <f>VLOOKUP(F81,$A$24:$B$24,2,TRUE)</f>
        <v>200</v>
      </c>
      <c r="I81" s="45">
        <f t="shared" si="1"/>
        <v>0</v>
      </c>
      <c r="J81" s="47"/>
      <c r="K81" s="18"/>
      <c r="L81" s="18"/>
      <c r="M81" s="18"/>
      <c r="N81" s="18"/>
    </row>
    <row r="82" ht="15.75" customHeight="1">
      <c r="A82" s="39"/>
      <c r="B82" s="39"/>
      <c r="C82" s="39"/>
      <c r="D82" s="47"/>
      <c r="E82" s="47"/>
      <c r="F82" s="42" t="s">
        <v>42</v>
      </c>
      <c r="G82" s="43"/>
      <c r="H82" s="50">
        <f>VLOOKUP(F82,$A$25:$B$25,2,TRUE)</f>
        <v>1000</v>
      </c>
      <c r="I82" s="45">
        <f t="shared" si="1"/>
        <v>0</v>
      </c>
      <c r="J82" s="47"/>
      <c r="K82" s="18"/>
      <c r="L82" s="18"/>
      <c r="M82" s="18"/>
      <c r="N82" s="18"/>
    </row>
    <row r="83" ht="15.75" customHeight="1">
      <c r="A83" s="39"/>
      <c r="B83" s="39"/>
      <c r="C83" s="39"/>
      <c r="D83" s="47"/>
      <c r="E83" s="47"/>
      <c r="F83" s="42" t="s">
        <v>17</v>
      </c>
      <c r="G83" s="43"/>
      <c r="H83" s="50">
        <f>VLOOKUP(F83,$A$26:$B$26,2,TRUE)</f>
        <v>300</v>
      </c>
      <c r="I83" s="45">
        <f t="shared" si="1"/>
        <v>0</v>
      </c>
      <c r="J83" s="47"/>
      <c r="K83" s="18"/>
      <c r="L83" s="18"/>
      <c r="M83" s="18"/>
      <c r="N83" s="18"/>
    </row>
    <row r="84" ht="15.75" customHeight="1">
      <c r="A84" s="39"/>
      <c r="B84" s="39"/>
      <c r="C84" s="39"/>
      <c r="D84" s="47"/>
      <c r="E84" s="47"/>
      <c r="F84" s="42" t="s">
        <v>43</v>
      </c>
      <c r="G84" s="43"/>
      <c r="H84" s="50">
        <f>VLOOKUP(F84,$A$27:$B$27,2,TRUE)</f>
        <v>100</v>
      </c>
      <c r="I84" s="45">
        <f t="shared" si="1"/>
        <v>0</v>
      </c>
      <c r="J84" s="47"/>
      <c r="K84" s="18"/>
      <c r="L84" s="18"/>
      <c r="M84" s="18"/>
      <c r="N84" s="18"/>
    </row>
    <row r="85" ht="15.75" customHeight="1">
      <c r="A85" s="39"/>
      <c r="B85" s="39"/>
      <c r="C85" s="39"/>
      <c r="D85" s="47"/>
      <c r="E85" s="47"/>
      <c r="F85" s="42" t="s">
        <v>59</v>
      </c>
      <c r="G85" s="43"/>
      <c r="H85" s="50">
        <f>VLOOKUP(F85,$A$28:$B$28,2,TRUE)</f>
        <v>500</v>
      </c>
      <c r="I85" s="45">
        <f t="shared" si="1"/>
        <v>0</v>
      </c>
      <c r="J85" s="47"/>
      <c r="K85" s="18"/>
      <c r="L85" s="18"/>
      <c r="M85" s="18"/>
      <c r="N85" s="18"/>
    </row>
    <row r="86" ht="15.75" customHeight="1">
      <c r="A86" s="39"/>
      <c r="B86" s="39"/>
      <c r="C86" s="39"/>
      <c r="D86" s="47"/>
      <c r="E86" s="47"/>
      <c r="F86" s="42" t="s">
        <v>13</v>
      </c>
      <c r="G86" s="43"/>
      <c r="H86" s="50">
        <f>VLOOKUP(F86,$A$29:$B$29,2,TRUE)</f>
        <v>1500</v>
      </c>
      <c r="I86" s="45">
        <f t="shared" si="1"/>
        <v>0</v>
      </c>
      <c r="J86" s="47"/>
      <c r="K86" s="18"/>
      <c r="L86" s="18"/>
      <c r="M86" s="18"/>
      <c r="N86" s="18"/>
    </row>
    <row r="87" ht="15.75" customHeight="1">
      <c r="A87" s="39"/>
      <c r="B87" s="39"/>
      <c r="C87" s="39"/>
      <c r="D87" s="47"/>
      <c r="E87" s="47"/>
      <c r="F87" s="42" t="s">
        <v>19</v>
      </c>
      <c r="G87" s="43">
        <v>4.5</v>
      </c>
      <c r="H87" s="50">
        <f>VLOOKUP(F87,$A$30:$B$30,2,TRUE)</f>
        <v>4000</v>
      </c>
      <c r="I87" s="45">
        <f t="shared" si="1"/>
        <v>18000</v>
      </c>
      <c r="J87" s="47"/>
      <c r="K87" s="18"/>
      <c r="L87" s="18"/>
      <c r="M87" s="18"/>
      <c r="N87" s="18"/>
    </row>
    <row r="88" ht="15.75" customHeight="1">
      <c r="A88" s="39"/>
      <c r="B88" s="39"/>
      <c r="C88" s="39"/>
      <c r="D88" s="7"/>
      <c r="E88" s="7"/>
      <c r="F88" s="42" t="s">
        <v>63</v>
      </c>
      <c r="G88" s="43">
        <v>2.0</v>
      </c>
      <c r="H88" s="50">
        <v>0.0</v>
      </c>
      <c r="I88" s="45">
        <f t="shared" si="1"/>
        <v>0</v>
      </c>
      <c r="J88" s="7"/>
      <c r="K88" s="18"/>
      <c r="L88" s="18"/>
      <c r="M88" s="18"/>
      <c r="N88" s="18"/>
    </row>
    <row r="89" ht="15.75" customHeight="1">
      <c r="A89" s="39"/>
      <c r="B89" s="39"/>
      <c r="C89" s="39"/>
      <c r="D89" s="40">
        <v>4.0</v>
      </c>
      <c r="E89" s="41" t="s">
        <v>65</v>
      </c>
      <c r="F89" s="42" t="s">
        <v>21</v>
      </c>
      <c r="G89" s="43"/>
      <c r="H89" s="50">
        <f>VLOOKUP(F89,$A$4:$B$4,2,TRUE)</f>
        <v>5000</v>
      </c>
      <c r="I89" s="45">
        <f t="shared" si="1"/>
        <v>0</v>
      </c>
      <c r="J89" s="46">
        <f>SUM(I89:I116)</f>
        <v>7200</v>
      </c>
      <c r="K89" s="18"/>
      <c r="L89" s="18"/>
      <c r="M89" s="18"/>
      <c r="N89" s="18"/>
    </row>
    <row r="90" ht="15.75" customHeight="1">
      <c r="A90" s="39"/>
      <c r="B90" s="39"/>
      <c r="C90" s="39"/>
      <c r="D90" s="47"/>
      <c r="E90" s="47"/>
      <c r="F90" s="42" t="s">
        <v>56</v>
      </c>
      <c r="G90" s="43"/>
      <c r="H90" s="50">
        <f>VLOOKUP(F90,$A$5:$B$5,2,TRUE)</f>
        <v>3000</v>
      </c>
      <c r="I90" s="45">
        <f t="shared" si="1"/>
        <v>0</v>
      </c>
      <c r="J90" s="47"/>
      <c r="K90" s="18"/>
      <c r="L90" s="18"/>
      <c r="M90" s="18"/>
      <c r="N90" s="18"/>
    </row>
    <row r="91" ht="15.75" customHeight="1">
      <c r="A91" s="39"/>
      <c r="B91" s="39"/>
      <c r="C91" s="39"/>
      <c r="D91" s="47"/>
      <c r="E91" s="47"/>
      <c r="F91" s="42" t="s">
        <v>58</v>
      </c>
      <c r="G91" s="43"/>
      <c r="H91" s="50">
        <f>VLOOKUP(F91,$A$6:$B$6,2,TRUE)</f>
        <v>1000</v>
      </c>
      <c r="I91" s="45">
        <f t="shared" si="1"/>
        <v>0</v>
      </c>
      <c r="J91" s="47"/>
      <c r="K91" s="18"/>
      <c r="L91" s="18"/>
      <c r="M91" s="18"/>
      <c r="N91" s="18"/>
    </row>
    <row r="92" ht="15.75" customHeight="1">
      <c r="A92" s="39"/>
      <c r="B92" s="39"/>
      <c r="C92" s="39"/>
      <c r="D92" s="47"/>
      <c r="E92" s="47"/>
      <c r="F92" s="42" t="s">
        <v>24</v>
      </c>
      <c r="G92" s="43"/>
      <c r="H92" s="50">
        <f>VLOOKUP(F92,$A$7:$B$7,2,TRUE)</f>
        <v>2800</v>
      </c>
      <c r="I92" s="45">
        <f t="shared" si="1"/>
        <v>0</v>
      </c>
      <c r="J92" s="47"/>
      <c r="K92" s="18"/>
      <c r="L92" s="18"/>
      <c r="M92" s="18"/>
      <c r="N92" s="18"/>
    </row>
    <row r="93" ht="15.75" customHeight="1">
      <c r="A93" s="39"/>
      <c r="B93" s="39"/>
      <c r="C93" s="39"/>
      <c r="D93" s="47"/>
      <c r="E93" s="47"/>
      <c r="F93" s="42" t="s">
        <v>25</v>
      </c>
      <c r="G93" s="43"/>
      <c r="H93" s="50">
        <f>VLOOKUP(F93,$A$8:$B$8,2,TRUE)</f>
        <v>3500</v>
      </c>
      <c r="I93" s="45">
        <f t="shared" si="1"/>
        <v>0</v>
      </c>
      <c r="J93" s="47"/>
      <c r="K93" s="18"/>
      <c r="L93" s="18"/>
      <c r="M93" s="18"/>
      <c r="N93" s="18"/>
    </row>
    <row r="94" ht="15.75" customHeight="1">
      <c r="A94" s="39"/>
      <c r="B94" s="39"/>
      <c r="C94" s="39"/>
      <c r="D94" s="47"/>
      <c r="E94" s="47"/>
      <c r="F94" s="42" t="s">
        <v>26</v>
      </c>
      <c r="G94" s="43">
        <v>4.0</v>
      </c>
      <c r="H94" s="50">
        <f>VLOOKUP(F94,$A$9:$B$9,2,TRUE)</f>
        <v>1000</v>
      </c>
      <c r="I94" s="45">
        <f t="shared" si="1"/>
        <v>4000</v>
      </c>
      <c r="J94" s="47"/>
      <c r="K94" s="18"/>
      <c r="L94" s="18"/>
      <c r="M94" s="18"/>
      <c r="N94" s="18"/>
    </row>
    <row r="95" ht="15.75" customHeight="1">
      <c r="A95" s="39"/>
      <c r="B95" s="39"/>
      <c r="C95" s="39"/>
      <c r="D95" s="47"/>
      <c r="E95" s="47"/>
      <c r="F95" s="42" t="s">
        <v>27</v>
      </c>
      <c r="G95" s="43">
        <v>1.5</v>
      </c>
      <c r="H95" s="50">
        <f>VLOOKUP(F95,$A$10:$B$10,2,TRUE)</f>
        <v>2000</v>
      </c>
      <c r="I95" s="45">
        <f t="shared" si="1"/>
        <v>3000</v>
      </c>
      <c r="J95" s="47"/>
      <c r="K95" s="18"/>
      <c r="L95" s="18"/>
      <c r="M95" s="18"/>
      <c r="N95" s="18"/>
    </row>
    <row r="96" ht="15.75" customHeight="1">
      <c r="A96" s="39"/>
      <c r="B96" s="39"/>
      <c r="C96" s="39"/>
      <c r="D96" s="47"/>
      <c r="E96" s="47"/>
      <c r="F96" s="42" t="s">
        <v>28</v>
      </c>
      <c r="G96" s="43"/>
      <c r="H96" s="50">
        <f>VLOOKUP(F96,$A$11:$B$11,2,TRUE)</f>
        <v>2000</v>
      </c>
      <c r="I96" s="45">
        <f t="shared" si="1"/>
        <v>0</v>
      </c>
      <c r="J96" s="47"/>
      <c r="K96" s="18"/>
      <c r="L96" s="18"/>
      <c r="M96" s="18"/>
      <c r="N96" s="18"/>
    </row>
    <row r="97" ht="15.75" customHeight="1">
      <c r="A97" s="39"/>
      <c r="B97" s="39"/>
      <c r="C97" s="39"/>
      <c r="D97" s="47"/>
      <c r="E97" s="47"/>
      <c r="F97" s="42" t="s">
        <v>29</v>
      </c>
      <c r="G97" s="43"/>
      <c r="H97" s="50">
        <f>VLOOKUP(F97,$A$12:$B$12,2,TRUE)</f>
        <v>1300</v>
      </c>
      <c r="I97" s="45">
        <f t="shared" si="1"/>
        <v>0</v>
      </c>
      <c r="J97" s="47"/>
      <c r="K97" s="18"/>
      <c r="L97" s="18"/>
      <c r="M97" s="18"/>
      <c r="N97" s="18"/>
    </row>
    <row r="98" ht="15.75" customHeight="1">
      <c r="A98" s="39"/>
      <c r="B98" s="39"/>
      <c r="C98" s="39"/>
      <c r="D98" s="47"/>
      <c r="E98" s="47"/>
      <c r="F98" s="42" t="s">
        <v>30</v>
      </c>
      <c r="G98" s="43"/>
      <c r="H98" s="50">
        <f>VLOOKUP(F98,$A$13:$B$13,2,TRUE)</f>
        <v>1000</v>
      </c>
      <c r="I98" s="45">
        <f t="shared" si="1"/>
        <v>0</v>
      </c>
      <c r="J98" s="47"/>
      <c r="K98" s="18"/>
      <c r="L98" s="18"/>
      <c r="M98" s="18"/>
      <c r="N98" s="18"/>
    </row>
    <row r="99" ht="15.75" customHeight="1">
      <c r="A99" s="39"/>
      <c r="B99" s="39"/>
      <c r="C99" s="39"/>
      <c r="D99" s="47"/>
      <c r="E99" s="47"/>
      <c r="F99" s="42" t="s">
        <v>31</v>
      </c>
      <c r="G99" s="43"/>
      <c r="H99" s="50">
        <f>VLOOKUP(F99,$A$14:$B$14,2,TRUE)</f>
        <v>400</v>
      </c>
      <c r="I99" s="45">
        <f t="shared" si="1"/>
        <v>0</v>
      </c>
      <c r="J99" s="47"/>
      <c r="K99" s="18"/>
      <c r="L99" s="18"/>
      <c r="M99" s="18"/>
      <c r="N99" s="18"/>
    </row>
    <row r="100" ht="15.75" customHeight="1">
      <c r="A100" s="39"/>
      <c r="B100" s="39"/>
      <c r="C100" s="39"/>
      <c r="D100" s="47"/>
      <c r="E100" s="47"/>
      <c r="F100" s="42" t="s">
        <v>32</v>
      </c>
      <c r="G100" s="43"/>
      <c r="H100" s="50">
        <f>VLOOKUP(F100,$A$15:$B$15,2,TRUE)</f>
        <v>7500</v>
      </c>
      <c r="I100" s="45">
        <f t="shared" si="1"/>
        <v>0</v>
      </c>
      <c r="J100" s="47"/>
      <c r="K100" s="18"/>
      <c r="L100" s="18"/>
      <c r="M100" s="18"/>
      <c r="N100" s="18"/>
    </row>
    <row r="101" ht="15.75" customHeight="1">
      <c r="A101" s="39"/>
      <c r="B101" s="39"/>
      <c r="C101" s="39"/>
      <c r="D101" s="47"/>
      <c r="E101" s="47"/>
      <c r="F101" s="42" t="s">
        <v>33</v>
      </c>
      <c r="G101" s="43"/>
      <c r="H101" s="50">
        <f>VLOOKUP(F101,$A$16:$B$16,2,TRUE)</f>
        <v>2000</v>
      </c>
      <c r="I101" s="45">
        <f t="shared" si="1"/>
        <v>0</v>
      </c>
      <c r="J101" s="47"/>
      <c r="K101" s="18"/>
      <c r="L101" s="18"/>
      <c r="M101" s="18"/>
      <c r="N101" s="18"/>
    </row>
    <row r="102" ht="15.75" customHeight="1">
      <c r="A102" s="39"/>
      <c r="B102" s="39"/>
      <c r="C102" s="39"/>
      <c r="D102" s="47"/>
      <c r="E102" s="47"/>
      <c r="F102" s="42" t="s">
        <v>34</v>
      </c>
      <c r="G102" s="43"/>
      <c r="H102" s="50">
        <f>VLOOKUP(F102,$A$17:$B$17,2,TRUE)</f>
        <v>800</v>
      </c>
      <c r="I102" s="45">
        <f t="shared" si="1"/>
        <v>0</v>
      </c>
      <c r="J102" s="47"/>
      <c r="K102" s="18"/>
      <c r="L102" s="18"/>
      <c r="M102" s="18"/>
      <c r="N102" s="18"/>
    </row>
    <row r="103" ht="15.75" customHeight="1">
      <c r="A103" s="39"/>
      <c r="B103" s="39"/>
      <c r="C103" s="39"/>
      <c r="D103" s="47"/>
      <c r="E103" s="47"/>
      <c r="F103" s="42" t="s">
        <v>35</v>
      </c>
      <c r="G103" s="43"/>
      <c r="H103" s="50">
        <f>VLOOKUP(F103,$A$18:$B$18,2,TRUE)</f>
        <v>5000</v>
      </c>
      <c r="I103" s="45">
        <f t="shared" si="1"/>
        <v>0</v>
      </c>
      <c r="J103" s="47"/>
      <c r="K103" s="18"/>
      <c r="L103" s="18"/>
      <c r="M103" s="18"/>
      <c r="N103" s="18"/>
    </row>
    <row r="104" ht="15.75" customHeight="1">
      <c r="A104" s="39"/>
      <c r="B104" s="39"/>
      <c r="C104" s="39"/>
      <c r="D104" s="47"/>
      <c r="E104" s="47"/>
      <c r="F104" s="42" t="s">
        <v>36</v>
      </c>
      <c r="G104" s="43"/>
      <c r="H104" s="50">
        <f>VLOOKUP(F104,$A$19:$B$19,2,TRUE)</f>
        <v>2700</v>
      </c>
      <c r="I104" s="45">
        <f t="shared" si="1"/>
        <v>0</v>
      </c>
      <c r="J104" s="47"/>
      <c r="K104" s="18"/>
      <c r="L104" s="18"/>
      <c r="M104" s="18"/>
      <c r="N104" s="18"/>
    </row>
    <row r="105" ht="15.75" customHeight="1">
      <c r="A105" s="39"/>
      <c r="B105" s="39"/>
      <c r="C105" s="39"/>
      <c r="D105" s="47"/>
      <c r="E105" s="47"/>
      <c r="F105" s="42" t="s">
        <v>37</v>
      </c>
      <c r="G105" s="43"/>
      <c r="H105" s="50">
        <f>VLOOKUP(F105,$A$20:$B$20,2,TRUE)</f>
        <v>50000</v>
      </c>
      <c r="I105" s="45">
        <f t="shared" si="1"/>
        <v>0</v>
      </c>
      <c r="J105" s="47"/>
      <c r="K105" s="18"/>
      <c r="L105" s="18"/>
      <c r="M105" s="18"/>
      <c r="N105" s="18"/>
    </row>
    <row r="106" ht="15.75" customHeight="1">
      <c r="A106" s="39"/>
      <c r="B106" s="39"/>
      <c r="C106" s="39"/>
      <c r="D106" s="47"/>
      <c r="E106" s="47"/>
      <c r="F106" s="42" t="s">
        <v>38</v>
      </c>
      <c r="G106" s="43"/>
      <c r="H106" s="50">
        <f>VLOOKUP(F106,$A$21:$B$21,2,TRUE)</f>
        <v>10000</v>
      </c>
      <c r="I106" s="45">
        <f t="shared" si="1"/>
        <v>0</v>
      </c>
      <c r="J106" s="47"/>
      <c r="K106" s="18"/>
      <c r="L106" s="18"/>
      <c r="M106" s="18"/>
      <c r="N106" s="18"/>
    </row>
    <row r="107" ht="15.75" customHeight="1">
      <c r="A107" s="39"/>
      <c r="B107" s="39"/>
      <c r="C107" s="39"/>
      <c r="D107" s="47"/>
      <c r="E107" s="47"/>
      <c r="F107" s="42" t="s">
        <v>39</v>
      </c>
      <c r="G107" s="43"/>
      <c r="H107" s="50">
        <f>VLOOKUP(F107,$A$22:$B$22,2,TRUE)</f>
        <v>1000</v>
      </c>
      <c r="I107" s="45">
        <f t="shared" si="1"/>
        <v>0</v>
      </c>
      <c r="J107" s="47"/>
      <c r="K107" s="18"/>
      <c r="L107" s="18"/>
      <c r="M107" s="18"/>
      <c r="N107" s="18"/>
    </row>
    <row r="108" ht="15.75" customHeight="1">
      <c r="A108" s="39"/>
      <c r="B108" s="39"/>
      <c r="C108" s="39"/>
      <c r="D108" s="47"/>
      <c r="E108" s="47"/>
      <c r="F108" s="42" t="s">
        <v>40</v>
      </c>
      <c r="G108" s="43"/>
      <c r="H108" s="50">
        <f>VLOOKUP(F108,$A$23:$B$23,2,TRUE)</f>
        <v>500</v>
      </c>
      <c r="I108" s="45">
        <f t="shared" si="1"/>
        <v>0</v>
      </c>
      <c r="J108" s="47"/>
      <c r="K108" s="18"/>
      <c r="L108" s="18"/>
      <c r="M108" s="18"/>
      <c r="N108" s="18"/>
    </row>
    <row r="109" ht="15.75" customHeight="1">
      <c r="A109" s="39"/>
      <c r="B109" s="39"/>
      <c r="C109" s="39"/>
      <c r="D109" s="47"/>
      <c r="E109" s="47"/>
      <c r="F109" s="42" t="s">
        <v>41</v>
      </c>
      <c r="G109" s="43">
        <v>1.0</v>
      </c>
      <c r="H109" s="50">
        <f>VLOOKUP(F109,$A$24:$B$24,2,TRUE)</f>
        <v>200</v>
      </c>
      <c r="I109" s="45">
        <f t="shared" si="1"/>
        <v>200</v>
      </c>
      <c r="J109" s="47"/>
      <c r="K109" s="18"/>
      <c r="L109" s="18"/>
      <c r="M109" s="18"/>
      <c r="N109" s="18"/>
    </row>
    <row r="110" ht="15.75" customHeight="1">
      <c r="A110" s="39"/>
      <c r="B110" s="39"/>
      <c r="C110" s="39"/>
      <c r="D110" s="47"/>
      <c r="E110" s="47"/>
      <c r="F110" s="42" t="s">
        <v>42</v>
      </c>
      <c r="G110" s="43"/>
      <c r="H110" s="50">
        <f>VLOOKUP(F110,$A$25:$B$25,2,TRUE)</f>
        <v>1000</v>
      </c>
      <c r="I110" s="45">
        <f t="shared" si="1"/>
        <v>0</v>
      </c>
      <c r="J110" s="47"/>
      <c r="K110" s="18"/>
      <c r="L110" s="18"/>
      <c r="M110" s="18"/>
      <c r="N110" s="18"/>
    </row>
    <row r="111" ht="15.75" customHeight="1">
      <c r="A111" s="39"/>
      <c r="B111" s="39"/>
      <c r="C111" s="39"/>
      <c r="D111" s="47"/>
      <c r="E111" s="47"/>
      <c r="F111" s="42" t="s">
        <v>17</v>
      </c>
      <c r="G111" s="43"/>
      <c r="H111" s="50">
        <f>VLOOKUP(F111,$A$26:$B$26,2,TRUE)</f>
        <v>300</v>
      </c>
      <c r="I111" s="45">
        <f t="shared" si="1"/>
        <v>0</v>
      </c>
      <c r="J111" s="47"/>
      <c r="K111" s="18"/>
      <c r="L111" s="18"/>
      <c r="M111" s="18"/>
      <c r="N111" s="18"/>
    </row>
    <row r="112" ht="15.75" customHeight="1">
      <c r="A112" s="39"/>
      <c r="B112" s="39"/>
      <c r="C112" s="39"/>
      <c r="D112" s="47"/>
      <c r="E112" s="47"/>
      <c r="F112" s="42" t="s">
        <v>43</v>
      </c>
      <c r="G112" s="43"/>
      <c r="H112" s="50">
        <f>VLOOKUP(F112,$A$27:$B$27,2,TRUE)</f>
        <v>100</v>
      </c>
      <c r="I112" s="45">
        <f t="shared" si="1"/>
        <v>0</v>
      </c>
      <c r="J112" s="47"/>
      <c r="K112" s="18"/>
      <c r="L112" s="18"/>
      <c r="M112" s="18"/>
      <c r="N112" s="18"/>
    </row>
    <row r="113" ht="15.75" customHeight="1">
      <c r="A113" s="39"/>
      <c r="B113" s="39"/>
      <c r="C113" s="39"/>
      <c r="D113" s="47"/>
      <c r="E113" s="47"/>
      <c r="F113" s="42" t="s">
        <v>59</v>
      </c>
      <c r="G113" s="43"/>
      <c r="H113" s="50">
        <f>VLOOKUP(F113,$A$28:$B$28,2,TRUE)</f>
        <v>500</v>
      </c>
      <c r="I113" s="45">
        <f t="shared" si="1"/>
        <v>0</v>
      </c>
      <c r="J113" s="47"/>
      <c r="K113" s="18"/>
      <c r="L113" s="18"/>
      <c r="M113" s="18"/>
      <c r="N113" s="18"/>
    </row>
    <row r="114" ht="15.75" customHeight="1">
      <c r="A114" s="39"/>
      <c r="B114" s="39"/>
      <c r="C114" s="39"/>
      <c r="D114" s="47"/>
      <c r="E114" s="47"/>
      <c r="F114" s="42" t="s">
        <v>13</v>
      </c>
      <c r="G114" s="43"/>
      <c r="H114" s="50">
        <f>VLOOKUP(F114,$A$29:$B$29,2,TRUE)</f>
        <v>1500</v>
      </c>
      <c r="I114" s="45">
        <f t="shared" si="1"/>
        <v>0</v>
      </c>
      <c r="J114" s="47"/>
      <c r="K114" s="18"/>
      <c r="L114" s="18"/>
      <c r="M114" s="18"/>
      <c r="N114" s="18"/>
    </row>
    <row r="115" ht="15.75" customHeight="1">
      <c r="A115" s="39"/>
      <c r="B115" s="39"/>
      <c r="C115" s="39"/>
      <c r="D115" s="47"/>
      <c r="E115" s="47"/>
      <c r="F115" s="42" t="s">
        <v>19</v>
      </c>
      <c r="G115" s="43"/>
      <c r="H115" s="50">
        <f>VLOOKUP(F115,$A$30:$B$30,2,TRUE)</f>
        <v>4000</v>
      </c>
      <c r="I115" s="45">
        <f t="shared" si="1"/>
        <v>0</v>
      </c>
      <c r="J115" s="47"/>
      <c r="K115" s="18"/>
      <c r="L115" s="18"/>
      <c r="M115" s="18"/>
      <c r="N115" s="18"/>
    </row>
    <row r="116" ht="15.75" customHeight="1">
      <c r="A116" s="39"/>
      <c r="B116" s="39"/>
      <c r="C116" s="39"/>
      <c r="D116" s="7"/>
      <c r="E116" s="7"/>
      <c r="F116" s="42" t="s">
        <v>60</v>
      </c>
      <c r="G116" s="43"/>
      <c r="H116" s="50">
        <f>VLOOKUP(F116,$A$31:$B$31,2,TRUE)</f>
        <v>500</v>
      </c>
      <c r="I116" s="45">
        <f t="shared" si="1"/>
        <v>0</v>
      </c>
      <c r="J116" s="7"/>
      <c r="K116" s="18"/>
      <c r="L116" s="18"/>
      <c r="M116" s="18"/>
      <c r="N116" s="18"/>
    </row>
    <row r="117" ht="15.75" customHeight="1">
      <c r="A117" s="39"/>
      <c r="B117" s="39"/>
      <c r="C117" s="39"/>
      <c r="D117" s="40">
        <v>5.0</v>
      </c>
      <c r="E117" s="41" t="s">
        <v>66</v>
      </c>
      <c r="F117" s="42" t="s">
        <v>21</v>
      </c>
      <c r="G117" s="43"/>
      <c r="H117" s="50">
        <f>VLOOKUP(F117,$A$4:$B$4,2,TRUE)</f>
        <v>5000</v>
      </c>
      <c r="I117" s="45">
        <f t="shared" si="1"/>
        <v>0</v>
      </c>
      <c r="J117" s="46">
        <f>SUM(I117:I144)</f>
        <v>8300</v>
      </c>
      <c r="K117" s="18"/>
      <c r="L117" s="18"/>
      <c r="M117" s="18"/>
      <c r="N117" s="18"/>
    </row>
    <row r="118" ht="15.75" customHeight="1">
      <c r="A118" s="39"/>
      <c r="B118" s="39"/>
      <c r="C118" s="39"/>
      <c r="D118" s="47"/>
      <c r="E118" s="47"/>
      <c r="F118" s="42" t="s">
        <v>56</v>
      </c>
      <c r="G118" s="43">
        <v>0.5</v>
      </c>
      <c r="H118" s="50">
        <f>VLOOKUP(F118,$A$5:$B$5,2,TRUE)</f>
        <v>3000</v>
      </c>
      <c r="I118" s="45">
        <f t="shared" si="1"/>
        <v>1500</v>
      </c>
      <c r="J118" s="47"/>
      <c r="K118" s="18"/>
      <c r="L118" s="18"/>
      <c r="M118" s="18"/>
      <c r="N118" s="18"/>
    </row>
    <row r="119" ht="15.75" customHeight="1">
      <c r="A119" s="39"/>
      <c r="B119" s="39"/>
      <c r="C119" s="39"/>
      <c r="D119" s="47"/>
      <c r="E119" s="47"/>
      <c r="F119" s="42" t="s">
        <v>58</v>
      </c>
      <c r="G119" s="43"/>
      <c r="H119" s="50">
        <f>VLOOKUP(F119,$A$6:$B$6,2,TRUE)</f>
        <v>1000</v>
      </c>
      <c r="I119" s="45">
        <f t="shared" si="1"/>
        <v>0</v>
      </c>
      <c r="J119" s="47"/>
      <c r="K119" s="18"/>
      <c r="L119" s="18"/>
      <c r="M119" s="18"/>
      <c r="N119" s="18"/>
    </row>
    <row r="120" ht="15.75" customHeight="1">
      <c r="A120" s="39"/>
      <c r="B120" s="39"/>
      <c r="C120" s="39"/>
      <c r="D120" s="47"/>
      <c r="E120" s="47"/>
      <c r="F120" s="42" t="s">
        <v>24</v>
      </c>
      <c r="G120" s="43">
        <v>0.5</v>
      </c>
      <c r="H120" s="50">
        <f>VLOOKUP(F120,$A$7:$B$7,2,TRUE)</f>
        <v>2800</v>
      </c>
      <c r="I120" s="45">
        <f t="shared" si="1"/>
        <v>1400</v>
      </c>
      <c r="J120" s="47"/>
      <c r="K120" s="18"/>
      <c r="L120" s="18"/>
      <c r="M120" s="18"/>
      <c r="N120" s="18"/>
    </row>
    <row r="121" ht="15.75" customHeight="1">
      <c r="A121" s="39"/>
      <c r="B121" s="39"/>
      <c r="C121" s="39"/>
      <c r="D121" s="47"/>
      <c r="E121" s="47"/>
      <c r="F121" s="42" t="s">
        <v>25</v>
      </c>
      <c r="G121" s="43"/>
      <c r="H121" s="50">
        <f>VLOOKUP(F121,$A$8:$B$8,2,TRUE)</f>
        <v>3500</v>
      </c>
      <c r="I121" s="45">
        <f t="shared" si="1"/>
        <v>0</v>
      </c>
      <c r="J121" s="47"/>
      <c r="K121" s="18"/>
      <c r="L121" s="18"/>
      <c r="M121" s="18"/>
      <c r="N121" s="18"/>
    </row>
    <row r="122" ht="15.75" customHeight="1">
      <c r="A122" s="39"/>
      <c r="B122" s="39"/>
      <c r="C122" s="39"/>
      <c r="D122" s="47"/>
      <c r="E122" s="47"/>
      <c r="F122" s="42" t="s">
        <v>26</v>
      </c>
      <c r="G122" s="43">
        <v>3.0</v>
      </c>
      <c r="H122" s="50">
        <f>VLOOKUP(F122,$A$9:$B$9,2,TRUE)</f>
        <v>1000</v>
      </c>
      <c r="I122" s="45">
        <f t="shared" si="1"/>
        <v>3000</v>
      </c>
      <c r="J122" s="47"/>
      <c r="K122" s="18"/>
      <c r="L122" s="18"/>
      <c r="M122" s="18"/>
      <c r="N122" s="18"/>
    </row>
    <row r="123" ht="15.75" customHeight="1">
      <c r="A123" s="39"/>
      <c r="B123" s="39"/>
      <c r="C123" s="39"/>
      <c r="D123" s="47"/>
      <c r="E123" s="47"/>
      <c r="F123" s="42" t="s">
        <v>27</v>
      </c>
      <c r="G123" s="43"/>
      <c r="H123" s="50">
        <f>VLOOKUP(F123,$A$10:$B$10,2,TRUE)</f>
        <v>2000</v>
      </c>
      <c r="I123" s="45">
        <f t="shared" si="1"/>
        <v>0</v>
      </c>
      <c r="J123" s="47"/>
      <c r="K123" s="18"/>
      <c r="L123" s="18"/>
      <c r="M123" s="18"/>
      <c r="N123" s="18"/>
    </row>
    <row r="124" ht="15.75" customHeight="1">
      <c r="A124" s="39"/>
      <c r="B124" s="39"/>
      <c r="C124" s="39"/>
      <c r="D124" s="47"/>
      <c r="E124" s="47"/>
      <c r="F124" s="42" t="s">
        <v>28</v>
      </c>
      <c r="G124" s="43">
        <v>1.0</v>
      </c>
      <c r="H124" s="50">
        <f>VLOOKUP(F124,$A$11:$B$11,2,TRUE)</f>
        <v>2000</v>
      </c>
      <c r="I124" s="45">
        <f t="shared" si="1"/>
        <v>2000</v>
      </c>
      <c r="J124" s="47"/>
      <c r="K124" s="18"/>
      <c r="L124" s="18"/>
      <c r="M124" s="18"/>
      <c r="N124" s="18"/>
    </row>
    <row r="125" ht="15.75" customHeight="1">
      <c r="A125" s="39"/>
      <c r="B125" s="39"/>
      <c r="C125" s="39"/>
      <c r="D125" s="47"/>
      <c r="E125" s="47"/>
      <c r="F125" s="42" t="s">
        <v>29</v>
      </c>
      <c r="G125" s="43"/>
      <c r="H125" s="50">
        <f>VLOOKUP(F125,$A$12:$B$12,2,TRUE)</f>
        <v>1300</v>
      </c>
      <c r="I125" s="45">
        <f t="shared" si="1"/>
        <v>0</v>
      </c>
      <c r="J125" s="47"/>
      <c r="K125" s="18"/>
      <c r="L125" s="18"/>
      <c r="M125" s="18"/>
      <c r="N125" s="18"/>
    </row>
    <row r="126" ht="15.75" customHeight="1">
      <c r="A126" s="39"/>
      <c r="B126" s="39"/>
      <c r="C126" s="39"/>
      <c r="D126" s="47"/>
      <c r="E126" s="47"/>
      <c r="F126" s="42" t="s">
        <v>30</v>
      </c>
      <c r="G126" s="43"/>
      <c r="H126" s="50">
        <f>VLOOKUP(F126,$A$13:$B$13,2,TRUE)</f>
        <v>1000</v>
      </c>
      <c r="I126" s="45">
        <f t="shared" si="1"/>
        <v>0</v>
      </c>
      <c r="J126" s="47"/>
      <c r="K126" s="18"/>
      <c r="L126" s="18"/>
      <c r="M126" s="18"/>
      <c r="N126" s="18"/>
    </row>
    <row r="127" ht="15.75" customHeight="1">
      <c r="A127" s="39"/>
      <c r="B127" s="39"/>
      <c r="C127" s="39"/>
      <c r="D127" s="47"/>
      <c r="E127" s="47"/>
      <c r="F127" s="42" t="s">
        <v>31</v>
      </c>
      <c r="G127" s="43">
        <v>1.0</v>
      </c>
      <c r="H127" s="50">
        <f>VLOOKUP(F127,$A$14:$B$14,2,TRUE)</f>
        <v>400</v>
      </c>
      <c r="I127" s="45">
        <f t="shared" si="1"/>
        <v>400</v>
      </c>
      <c r="J127" s="47"/>
      <c r="K127" s="18"/>
      <c r="L127" s="18"/>
      <c r="M127" s="18"/>
      <c r="N127" s="18"/>
    </row>
    <row r="128" ht="15.75" customHeight="1">
      <c r="A128" s="39"/>
      <c r="B128" s="39"/>
      <c r="C128" s="39"/>
      <c r="D128" s="47"/>
      <c r="E128" s="47"/>
      <c r="F128" s="42" t="s">
        <v>32</v>
      </c>
      <c r="G128" s="43"/>
      <c r="H128" s="50">
        <f>VLOOKUP(F128,$A$15:$B$15,2,TRUE)</f>
        <v>7500</v>
      </c>
      <c r="I128" s="45">
        <f t="shared" si="1"/>
        <v>0</v>
      </c>
      <c r="J128" s="47"/>
      <c r="K128" s="18"/>
      <c r="L128" s="18"/>
      <c r="M128" s="18"/>
      <c r="N128" s="18"/>
    </row>
    <row r="129" ht="15.75" customHeight="1">
      <c r="A129" s="39"/>
      <c r="B129" s="39"/>
      <c r="C129" s="39"/>
      <c r="D129" s="47"/>
      <c r="E129" s="47"/>
      <c r="F129" s="42" t="s">
        <v>33</v>
      </c>
      <c r="G129" s="43"/>
      <c r="H129" s="50">
        <f>VLOOKUP(F129,$A$16:$B$16,2,TRUE)</f>
        <v>2000</v>
      </c>
      <c r="I129" s="45">
        <f t="shared" si="1"/>
        <v>0</v>
      </c>
      <c r="J129" s="47"/>
      <c r="K129" s="18"/>
      <c r="L129" s="18"/>
      <c r="M129" s="18"/>
      <c r="N129" s="18"/>
    </row>
    <row r="130" ht="15.75" customHeight="1">
      <c r="A130" s="39"/>
      <c r="B130" s="39"/>
      <c r="C130" s="39"/>
      <c r="D130" s="47"/>
      <c r="E130" s="47"/>
      <c r="F130" s="42" t="s">
        <v>34</v>
      </c>
      <c r="G130" s="43"/>
      <c r="H130" s="50">
        <f>VLOOKUP(F130,$A$17:$B$17,2,TRUE)</f>
        <v>800</v>
      </c>
      <c r="I130" s="45">
        <f t="shared" si="1"/>
        <v>0</v>
      </c>
      <c r="J130" s="47"/>
      <c r="K130" s="18"/>
      <c r="L130" s="18"/>
      <c r="M130" s="18"/>
      <c r="N130" s="18"/>
    </row>
    <row r="131" ht="15.75" customHeight="1">
      <c r="A131" s="39"/>
      <c r="B131" s="39"/>
      <c r="C131" s="39"/>
      <c r="D131" s="47"/>
      <c r="E131" s="47"/>
      <c r="F131" s="42" t="s">
        <v>35</v>
      </c>
      <c r="G131" s="43"/>
      <c r="H131" s="50">
        <f>VLOOKUP(F131,$A$18:$B$18,2,TRUE)</f>
        <v>5000</v>
      </c>
      <c r="I131" s="45">
        <f t="shared" si="1"/>
        <v>0</v>
      </c>
      <c r="J131" s="47"/>
      <c r="K131" s="18"/>
      <c r="L131" s="18"/>
      <c r="M131" s="18"/>
      <c r="N131" s="18"/>
    </row>
    <row r="132" ht="15.75" customHeight="1">
      <c r="A132" s="39"/>
      <c r="B132" s="39"/>
      <c r="C132" s="39"/>
      <c r="D132" s="47"/>
      <c r="E132" s="47"/>
      <c r="F132" s="42" t="s">
        <v>36</v>
      </c>
      <c r="G132" s="43"/>
      <c r="H132" s="50">
        <f>VLOOKUP(F132,$A$19:$B$19,2,TRUE)</f>
        <v>2700</v>
      </c>
      <c r="I132" s="45">
        <f t="shared" si="1"/>
        <v>0</v>
      </c>
      <c r="J132" s="47"/>
      <c r="K132" s="18"/>
      <c r="L132" s="18"/>
      <c r="M132" s="18"/>
      <c r="N132" s="18"/>
    </row>
    <row r="133" ht="15.75" customHeight="1">
      <c r="A133" s="39"/>
      <c r="B133" s="39"/>
      <c r="C133" s="39"/>
      <c r="D133" s="47"/>
      <c r="E133" s="47"/>
      <c r="F133" s="42" t="s">
        <v>37</v>
      </c>
      <c r="G133" s="43"/>
      <c r="H133" s="50">
        <f>VLOOKUP(F133,$A$20:$B$20,2,TRUE)</f>
        <v>50000</v>
      </c>
      <c r="I133" s="45">
        <f t="shared" si="1"/>
        <v>0</v>
      </c>
      <c r="J133" s="47"/>
      <c r="K133" s="18"/>
      <c r="L133" s="18"/>
      <c r="M133" s="18"/>
      <c r="N133" s="18"/>
    </row>
    <row r="134" ht="15.75" customHeight="1">
      <c r="A134" s="39"/>
      <c r="B134" s="39"/>
      <c r="C134" s="39"/>
      <c r="D134" s="47"/>
      <c r="E134" s="47"/>
      <c r="F134" s="42" t="s">
        <v>38</v>
      </c>
      <c r="G134" s="43"/>
      <c r="H134" s="50">
        <f>VLOOKUP(F134,$A$21:$B$21,2,TRUE)</f>
        <v>10000</v>
      </c>
      <c r="I134" s="45">
        <f t="shared" si="1"/>
        <v>0</v>
      </c>
      <c r="J134" s="47"/>
      <c r="K134" s="18"/>
      <c r="L134" s="18"/>
      <c r="M134" s="18"/>
      <c r="N134" s="18"/>
    </row>
    <row r="135" ht="15.75" customHeight="1">
      <c r="A135" s="39"/>
      <c r="B135" s="39"/>
      <c r="C135" s="39"/>
      <c r="D135" s="47"/>
      <c r="E135" s="47"/>
      <c r="F135" s="42" t="s">
        <v>39</v>
      </c>
      <c r="G135" s="43"/>
      <c r="H135" s="50">
        <f>VLOOKUP(F135,$A$22:$B$22,2,TRUE)</f>
        <v>1000</v>
      </c>
      <c r="I135" s="45">
        <f t="shared" si="1"/>
        <v>0</v>
      </c>
      <c r="J135" s="47"/>
      <c r="K135" s="18"/>
      <c r="L135" s="18"/>
      <c r="M135" s="18"/>
      <c r="N135" s="18"/>
    </row>
    <row r="136" ht="15.75" customHeight="1">
      <c r="A136" s="39"/>
      <c r="B136" s="39"/>
      <c r="C136" s="39"/>
      <c r="D136" s="47"/>
      <c r="E136" s="47"/>
      <c r="F136" s="42" t="s">
        <v>40</v>
      </c>
      <c r="G136" s="43"/>
      <c r="H136" s="50">
        <f>VLOOKUP(F136,$A$23:$B$23,2,TRUE)</f>
        <v>500</v>
      </c>
      <c r="I136" s="45">
        <f t="shared" si="1"/>
        <v>0</v>
      </c>
      <c r="J136" s="47"/>
      <c r="K136" s="18"/>
      <c r="L136" s="18"/>
      <c r="M136" s="18"/>
      <c r="N136" s="18"/>
    </row>
    <row r="137" ht="15.75" customHeight="1">
      <c r="A137" s="39"/>
      <c r="B137" s="39"/>
      <c r="C137" s="39"/>
      <c r="D137" s="47"/>
      <c r="E137" s="47"/>
      <c r="F137" s="42" t="s">
        <v>41</v>
      </c>
      <c r="G137" s="43"/>
      <c r="H137" s="50">
        <f>VLOOKUP(F137,$A$24:$B$24,2,TRUE)</f>
        <v>200</v>
      </c>
      <c r="I137" s="45">
        <f t="shared" si="1"/>
        <v>0</v>
      </c>
      <c r="J137" s="47"/>
      <c r="K137" s="18"/>
      <c r="L137" s="18"/>
      <c r="M137" s="18"/>
      <c r="N137" s="18"/>
    </row>
    <row r="138" ht="15.75" customHeight="1">
      <c r="A138" s="39"/>
      <c r="B138" s="39"/>
      <c r="C138" s="39"/>
      <c r="D138" s="47"/>
      <c r="E138" s="47"/>
      <c r="F138" s="42" t="s">
        <v>42</v>
      </c>
      <c r="G138" s="43"/>
      <c r="H138" s="50">
        <f>VLOOKUP(F138,$A$25:$B$25,2,TRUE)</f>
        <v>1000</v>
      </c>
      <c r="I138" s="45">
        <f t="shared" si="1"/>
        <v>0</v>
      </c>
      <c r="J138" s="47"/>
      <c r="K138" s="18"/>
      <c r="L138" s="18"/>
      <c r="M138" s="18"/>
      <c r="N138" s="18"/>
    </row>
    <row r="139" ht="15.75" customHeight="1">
      <c r="A139" s="39"/>
      <c r="B139" s="39"/>
      <c r="C139" s="39"/>
      <c r="D139" s="47"/>
      <c r="E139" s="47"/>
      <c r="F139" s="42" t="s">
        <v>17</v>
      </c>
      <c r="G139" s="43"/>
      <c r="H139" s="50">
        <f>VLOOKUP(F139,$A$26:$B$26,2,TRUE)</f>
        <v>300</v>
      </c>
      <c r="I139" s="45">
        <f t="shared" si="1"/>
        <v>0</v>
      </c>
      <c r="J139" s="47"/>
      <c r="K139" s="18"/>
      <c r="L139" s="18"/>
      <c r="M139" s="18"/>
      <c r="N139" s="18"/>
    </row>
    <row r="140" ht="15.75" customHeight="1">
      <c r="A140" s="39"/>
      <c r="B140" s="39"/>
      <c r="C140" s="39"/>
      <c r="D140" s="47"/>
      <c r="E140" s="47"/>
      <c r="F140" s="42" t="s">
        <v>43</v>
      </c>
      <c r="G140" s="43"/>
      <c r="H140" s="50">
        <f>VLOOKUP(F140,$A$27:$B$27,2,TRUE)</f>
        <v>100</v>
      </c>
      <c r="I140" s="45">
        <f t="shared" si="1"/>
        <v>0</v>
      </c>
      <c r="J140" s="47"/>
      <c r="K140" s="18"/>
      <c r="L140" s="18"/>
      <c r="M140" s="18"/>
      <c r="N140" s="18"/>
    </row>
    <row r="141" ht="15.75" customHeight="1">
      <c r="A141" s="39"/>
      <c r="B141" s="39"/>
      <c r="C141" s="39"/>
      <c r="D141" s="47"/>
      <c r="E141" s="47"/>
      <c r="F141" s="42" t="s">
        <v>59</v>
      </c>
      <c r="G141" s="43"/>
      <c r="H141" s="50">
        <f>VLOOKUP(F141,$A$28:$B$28,2,TRUE)</f>
        <v>500</v>
      </c>
      <c r="I141" s="45">
        <f t="shared" si="1"/>
        <v>0</v>
      </c>
      <c r="J141" s="47"/>
      <c r="K141" s="18"/>
      <c r="L141" s="18"/>
      <c r="M141" s="18"/>
      <c r="N141" s="18"/>
    </row>
    <row r="142" ht="15.75" customHeight="1">
      <c r="A142" s="39"/>
      <c r="B142" s="39"/>
      <c r="C142" s="39"/>
      <c r="D142" s="47"/>
      <c r="E142" s="47"/>
      <c r="F142" s="42" t="s">
        <v>13</v>
      </c>
      <c r="G142" s="43"/>
      <c r="H142" s="50">
        <f>VLOOKUP(F142,$A$29:$B$29,2,TRUE)</f>
        <v>1500</v>
      </c>
      <c r="I142" s="45">
        <f t="shared" si="1"/>
        <v>0</v>
      </c>
      <c r="J142" s="47"/>
      <c r="K142" s="18"/>
      <c r="L142" s="18"/>
      <c r="M142" s="18"/>
      <c r="N142" s="18"/>
    </row>
    <row r="143" ht="15.75" customHeight="1">
      <c r="A143" s="39"/>
      <c r="B143" s="39"/>
      <c r="C143" s="39"/>
      <c r="D143" s="47"/>
      <c r="E143" s="47"/>
      <c r="F143" s="42" t="s">
        <v>19</v>
      </c>
      <c r="G143" s="43"/>
      <c r="H143" s="50">
        <f>VLOOKUP(F143,$A$30:$B$30,2,TRUE)</f>
        <v>4000</v>
      </c>
      <c r="I143" s="45">
        <f t="shared" si="1"/>
        <v>0</v>
      </c>
      <c r="J143" s="47"/>
      <c r="K143" s="18"/>
      <c r="L143" s="18"/>
      <c r="M143" s="18"/>
      <c r="N143" s="18"/>
    </row>
    <row r="144" ht="15.75" customHeight="1">
      <c r="A144" s="39"/>
      <c r="B144" s="39"/>
      <c r="C144" s="39"/>
      <c r="D144" s="7"/>
      <c r="E144" s="7"/>
      <c r="F144" s="42" t="s">
        <v>60</v>
      </c>
      <c r="G144" s="43"/>
      <c r="H144" s="50">
        <f>VLOOKUP(F144,$A$31:$B$31,2,TRUE)</f>
        <v>500</v>
      </c>
      <c r="I144" s="45">
        <f t="shared" si="1"/>
        <v>0</v>
      </c>
      <c r="J144" s="7"/>
      <c r="K144" s="18"/>
      <c r="L144" s="18"/>
      <c r="M144" s="18"/>
      <c r="N144" s="18"/>
    </row>
    <row r="145" ht="15.75" customHeight="1">
      <c r="A145" s="39"/>
      <c r="B145" s="39"/>
      <c r="C145" s="39"/>
      <c r="D145" s="40">
        <v>6.0</v>
      </c>
      <c r="E145" s="41" t="s">
        <v>67</v>
      </c>
      <c r="F145" s="42" t="s">
        <v>21</v>
      </c>
      <c r="G145" s="43"/>
      <c r="H145" s="50">
        <f>VLOOKUP(F145,$A$4:$B$4,2,TRUE)</f>
        <v>5000</v>
      </c>
      <c r="I145" s="45">
        <f t="shared" si="1"/>
        <v>0</v>
      </c>
      <c r="J145" s="46">
        <f>SUM(I145:I172)</f>
        <v>7500</v>
      </c>
      <c r="K145" s="18"/>
      <c r="L145" s="18"/>
      <c r="M145" s="18"/>
      <c r="N145" s="18"/>
    </row>
    <row r="146" ht="15.75" customHeight="1">
      <c r="A146" s="39"/>
      <c r="B146" s="39"/>
      <c r="C146" s="39"/>
      <c r="D146" s="47"/>
      <c r="E146" s="47"/>
      <c r="F146" s="42" t="s">
        <v>56</v>
      </c>
      <c r="G146" s="43"/>
      <c r="H146" s="50">
        <f>VLOOKUP(F146,$A$5:$B$5,2,TRUE)</f>
        <v>3000</v>
      </c>
      <c r="I146" s="45">
        <f t="shared" si="1"/>
        <v>0</v>
      </c>
      <c r="J146" s="47"/>
      <c r="K146" s="18"/>
      <c r="L146" s="18"/>
      <c r="M146" s="18"/>
      <c r="N146" s="18"/>
    </row>
    <row r="147" ht="15.75" customHeight="1">
      <c r="A147" s="39"/>
      <c r="B147" s="39"/>
      <c r="C147" s="39"/>
      <c r="D147" s="47"/>
      <c r="E147" s="47"/>
      <c r="F147" s="42" t="s">
        <v>58</v>
      </c>
      <c r="G147" s="43"/>
      <c r="H147" s="50">
        <f>VLOOKUP(F147,$A$6:$B$6,2,TRUE)</f>
        <v>1000</v>
      </c>
      <c r="I147" s="45">
        <f t="shared" si="1"/>
        <v>0</v>
      </c>
      <c r="J147" s="47"/>
      <c r="K147" s="18"/>
      <c r="L147" s="18"/>
      <c r="M147" s="18"/>
      <c r="N147" s="18"/>
    </row>
    <row r="148" ht="15.75" customHeight="1">
      <c r="A148" s="39"/>
      <c r="B148" s="39"/>
      <c r="C148" s="39"/>
      <c r="D148" s="47"/>
      <c r="E148" s="47"/>
      <c r="F148" s="42" t="s">
        <v>24</v>
      </c>
      <c r="G148" s="43"/>
      <c r="H148" s="50">
        <f>VLOOKUP(F148,$A$7:$B$7,2,TRUE)</f>
        <v>2800</v>
      </c>
      <c r="I148" s="45">
        <f t="shared" si="1"/>
        <v>0</v>
      </c>
      <c r="J148" s="47"/>
      <c r="K148" s="18"/>
      <c r="L148" s="18"/>
      <c r="M148" s="18"/>
      <c r="N148" s="18"/>
    </row>
    <row r="149" ht="15.75" customHeight="1">
      <c r="A149" s="39"/>
      <c r="B149" s="39"/>
      <c r="C149" s="39"/>
      <c r="D149" s="47"/>
      <c r="E149" s="47"/>
      <c r="F149" s="42" t="s">
        <v>25</v>
      </c>
      <c r="G149" s="43"/>
      <c r="H149" s="50">
        <f>VLOOKUP(F149,$A$8:$B$8,2,TRUE)</f>
        <v>3500</v>
      </c>
      <c r="I149" s="45">
        <f t="shared" si="1"/>
        <v>0</v>
      </c>
      <c r="J149" s="47"/>
      <c r="K149" s="18"/>
      <c r="L149" s="18"/>
      <c r="M149" s="18"/>
      <c r="N149" s="18"/>
    </row>
    <row r="150" ht="15.75" customHeight="1">
      <c r="A150" s="39"/>
      <c r="B150" s="39"/>
      <c r="C150" s="39"/>
      <c r="D150" s="47"/>
      <c r="E150" s="47"/>
      <c r="F150" s="42" t="s">
        <v>26</v>
      </c>
      <c r="G150" s="43">
        <v>4.5</v>
      </c>
      <c r="H150" s="50">
        <f>VLOOKUP(F150,$A$9:$B$9,2,TRUE)</f>
        <v>1000</v>
      </c>
      <c r="I150" s="45">
        <f t="shared" si="1"/>
        <v>4500</v>
      </c>
      <c r="J150" s="47"/>
      <c r="K150" s="18"/>
      <c r="L150" s="18"/>
      <c r="M150" s="18"/>
      <c r="N150" s="18"/>
    </row>
    <row r="151" ht="15.75" customHeight="1">
      <c r="A151" s="39"/>
      <c r="B151" s="39"/>
      <c r="C151" s="39"/>
      <c r="D151" s="47"/>
      <c r="E151" s="47"/>
      <c r="F151" s="42" t="s">
        <v>27</v>
      </c>
      <c r="G151" s="43"/>
      <c r="H151" s="50">
        <f>VLOOKUP(F151,$A$10:$B$10,2,TRUE)</f>
        <v>2000</v>
      </c>
      <c r="I151" s="45">
        <f t="shared" si="1"/>
        <v>0</v>
      </c>
      <c r="J151" s="47"/>
      <c r="K151" s="18"/>
      <c r="L151" s="18"/>
      <c r="M151" s="18"/>
      <c r="N151" s="18"/>
    </row>
    <row r="152" ht="15.75" customHeight="1">
      <c r="A152" s="39"/>
      <c r="B152" s="39"/>
      <c r="C152" s="39"/>
      <c r="D152" s="47"/>
      <c r="E152" s="47"/>
      <c r="F152" s="42" t="s">
        <v>28</v>
      </c>
      <c r="G152" s="43">
        <v>1.5</v>
      </c>
      <c r="H152" s="50">
        <f>VLOOKUP(F152,$A$11:$B$11,2,TRUE)</f>
        <v>2000</v>
      </c>
      <c r="I152" s="45">
        <f t="shared" si="1"/>
        <v>3000</v>
      </c>
      <c r="J152" s="47"/>
      <c r="K152" s="18"/>
      <c r="L152" s="18"/>
      <c r="M152" s="18"/>
      <c r="N152" s="18"/>
    </row>
    <row r="153" ht="15.75" customHeight="1">
      <c r="A153" s="39"/>
      <c r="B153" s="39"/>
      <c r="C153" s="39"/>
      <c r="D153" s="47"/>
      <c r="E153" s="47"/>
      <c r="F153" s="42" t="s">
        <v>29</v>
      </c>
      <c r="G153" s="43"/>
      <c r="H153" s="50">
        <f>VLOOKUP(F153,$A$12:$B$12,2,TRUE)</f>
        <v>1300</v>
      </c>
      <c r="I153" s="45">
        <f t="shared" si="1"/>
        <v>0</v>
      </c>
      <c r="J153" s="47"/>
      <c r="K153" s="18"/>
      <c r="L153" s="18"/>
      <c r="M153" s="18"/>
      <c r="N153" s="18"/>
    </row>
    <row r="154" ht="15.75" customHeight="1">
      <c r="A154" s="39"/>
      <c r="B154" s="39"/>
      <c r="C154" s="39"/>
      <c r="D154" s="47"/>
      <c r="E154" s="47"/>
      <c r="F154" s="42" t="s">
        <v>30</v>
      </c>
      <c r="G154" s="43"/>
      <c r="H154" s="50">
        <f>VLOOKUP(F154,$A$13:$B$13,2,TRUE)</f>
        <v>1000</v>
      </c>
      <c r="I154" s="45">
        <f t="shared" si="1"/>
        <v>0</v>
      </c>
      <c r="J154" s="47"/>
      <c r="K154" s="18"/>
      <c r="L154" s="18"/>
      <c r="M154" s="18"/>
      <c r="N154" s="18"/>
    </row>
    <row r="155" ht="15.75" customHeight="1">
      <c r="A155" s="39"/>
      <c r="B155" s="39"/>
      <c r="C155" s="39"/>
      <c r="D155" s="47"/>
      <c r="E155" s="47"/>
      <c r="F155" s="42" t="s">
        <v>31</v>
      </c>
      <c r="G155" s="43"/>
      <c r="H155" s="50">
        <f>VLOOKUP(F155,$A$14:$B$14,2,TRUE)</f>
        <v>400</v>
      </c>
      <c r="I155" s="45">
        <f t="shared" si="1"/>
        <v>0</v>
      </c>
      <c r="J155" s="47"/>
      <c r="K155" s="18"/>
      <c r="L155" s="18"/>
      <c r="M155" s="18"/>
      <c r="N155" s="18"/>
    </row>
    <row r="156" ht="15.75" customHeight="1">
      <c r="A156" s="39"/>
      <c r="B156" s="39"/>
      <c r="C156" s="39"/>
      <c r="D156" s="47"/>
      <c r="E156" s="47"/>
      <c r="F156" s="42" t="s">
        <v>32</v>
      </c>
      <c r="G156" s="43"/>
      <c r="H156" s="50">
        <f>VLOOKUP(F156,$A$15:$B$15,2,TRUE)</f>
        <v>7500</v>
      </c>
      <c r="I156" s="45">
        <f t="shared" si="1"/>
        <v>0</v>
      </c>
      <c r="J156" s="47"/>
      <c r="K156" s="18"/>
      <c r="L156" s="18"/>
      <c r="M156" s="18"/>
      <c r="N156" s="18"/>
    </row>
    <row r="157" ht="15.75" customHeight="1">
      <c r="A157" s="39"/>
      <c r="B157" s="39"/>
      <c r="C157" s="39"/>
      <c r="D157" s="47"/>
      <c r="E157" s="47"/>
      <c r="F157" s="42" t="s">
        <v>33</v>
      </c>
      <c r="G157" s="43"/>
      <c r="H157" s="50">
        <f>VLOOKUP(F157,$A$16:$B$16,2,TRUE)</f>
        <v>2000</v>
      </c>
      <c r="I157" s="45">
        <f t="shared" si="1"/>
        <v>0</v>
      </c>
      <c r="J157" s="47"/>
      <c r="K157" s="18"/>
      <c r="L157" s="18"/>
      <c r="M157" s="18"/>
      <c r="N157" s="18"/>
    </row>
    <row r="158" ht="15.75" customHeight="1">
      <c r="A158" s="39"/>
      <c r="B158" s="39"/>
      <c r="C158" s="39"/>
      <c r="D158" s="47"/>
      <c r="E158" s="47"/>
      <c r="F158" s="42" t="s">
        <v>34</v>
      </c>
      <c r="G158" s="43"/>
      <c r="H158" s="50">
        <f>VLOOKUP(F158,$A$17:$B$17,2,TRUE)</f>
        <v>800</v>
      </c>
      <c r="I158" s="45">
        <f t="shared" si="1"/>
        <v>0</v>
      </c>
      <c r="J158" s="47"/>
      <c r="K158" s="18"/>
      <c r="L158" s="18"/>
      <c r="M158" s="18"/>
      <c r="N158" s="18"/>
    </row>
    <row r="159" ht="15.75" customHeight="1">
      <c r="A159" s="39"/>
      <c r="B159" s="39"/>
      <c r="C159" s="39"/>
      <c r="D159" s="47"/>
      <c r="E159" s="47"/>
      <c r="F159" s="42" t="s">
        <v>35</v>
      </c>
      <c r="G159" s="43"/>
      <c r="H159" s="50">
        <f>VLOOKUP(F159,$A$18:$B$18,2,TRUE)</f>
        <v>5000</v>
      </c>
      <c r="I159" s="45">
        <f t="shared" si="1"/>
        <v>0</v>
      </c>
      <c r="J159" s="47"/>
      <c r="K159" s="18"/>
      <c r="L159" s="18"/>
      <c r="M159" s="18"/>
      <c r="N159" s="18"/>
    </row>
    <row r="160" ht="15.75" customHeight="1">
      <c r="A160" s="39"/>
      <c r="B160" s="39"/>
      <c r="C160" s="39"/>
      <c r="D160" s="47"/>
      <c r="E160" s="47"/>
      <c r="F160" s="42" t="s">
        <v>36</v>
      </c>
      <c r="G160" s="43"/>
      <c r="H160" s="50">
        <f>VLOOKUP(F160,$A$19:$B$19,2,TRUE)</f>
        <v>2700</v>
      </c>
      <c r="I160" s="45">
        <f t="shared" si="1"/>
        <v>0</v>
      </c>
      <c r="J160" s="47"/>
      <c r="K160" s="18"/>
      <c r="L160" s="18"/>
      <c r="M160" s="18"/>
      <c r="N160" s="18"/>
    </row>
    <row r="161" ht="15.75" customHeight="1">
      <c r="A161" s="39"/>
      <c r="B161" s="39"/>
      <c r="C161" s="39"/>
      <c r="D161" s="47"/>
      <c r="E161" s="47"/>
      <c r="F161" s="42" t="s">
        <v>37</v>
      </c>
      <c r="G161" s="43"/>
      <c r="H161" s="50">
        <f>VLOOKUP(F161,$A$20:$B$20,2,TRUE)</f>
        <v>50000</v>
      </c>
      <c r="I161" s="45">
        <f t="shared" si="1"/>
        <v>0</v>
      </c>
      <c r="J161" s="47"/>
      <c r="K161" s="18"/>
      <c r="L161" s="18"/>
      <c r="M161" s="18"/>
      <c r="N161" s="18"/>
    </row>
    <row r="162" ht="15.75" customHeight="1">
      <c r="A162" s="39"/>
      <c r="B162" s="39"/>
      <c r="C162" s="39"/>
      <c r="D162" s="47"/>
      <c r="E162" s="47"/>
      <c r="F162" s="42" t="s">
        <v>38</v>
      </c>
      <c r="G162" s="43"/>
      <c r="H162" s="50">
        <f>VLOOKUP(F162,$A$21:$B$21,2,TRUE)</f>
        <v>10000</v>
      </c>
      <c r="I162" s="45">
        <f t="shared" si="1"/>
        <v>0</v>
      </c>
      <c r="J162" s="47"/>
      <c r="K162" s="18"/>
      <c r="L162" s="18"/>
      <c r="M162" s="18"/>
      <c r="N162" s="18"/>
    </row>
    <row r="163" ht="15.75" customHeight="1">
      <c r="A163" s="39"/>
      <c r="B163" s="39"/>
      <c r="C163" s="39"/>
      <c r="D163" s="47"/>
      <c r="E163" s="47"/>
      <c r="F163" s="42" t="s">
        <v>39</v>
      </c>
      <c r="G163" s="43"/>
      <c r="H163" s="50">
        <f>VLOOKUP(F163,$A$22:$B$22,2,TRUE)</f>
        <v>1000</v>
      </c>
      <c r="I163" s="45">
        <f t="shared" si="1"/>
        <v>0</v>
      </c>
      <c r="J163" s="47"/>
      <c r="K163" s="18"/>
      <c r="L163" s="18"/>
      <c r="M163" s="18"/>
      <c r="N163" s="18"/>
    </row>
    <row r="164" ht="15.75" customHeight="1">
      <c r="A164" s="39"/>
      <c r="B164" s="39"/>
      <c r="C164" s="39"/>
      <c r="D164" s="47"/>
      <c r="E164" s="47"/>
      <c r="F164" s="42" t="s">
        <v>40</v>
      </c>
      <c r="G164" s="43"/>
      <c r="H164" s="50">
        <f>VLOOKUP(F164,$A$23:$B$23,2,TRUE)</f>
        <v>500</v>
      </c>
      <c r="I164" s="45">
        <f t="shared" si="1"/>
        <v>0</v>
      </c>
      <c r="J164" s="47"/>
      <c r="K164" s="18"/>
      <c r="L164" s="18"/>
      <c r="M164" s="18"/>
      <c r="N164" s="18"/>
    </row>
    <row r="165" ht="15.75" customHeight="1">
      <c r="A165" s="39"/>
      <c r="B165" s="39"/>
      <c r="C165" s="39"/>
      <c r="D165" s="47"/>
      <c r="E165" s="47"/>
      <c r="F165" s="42" t="s">
        <v>41</v>
      </c>
      <c r="G165" s="43"/>
      <c r="H165" s="50">
        <f>VLOOKUP(F165,$A$24:$B$24,2,TRUE)</f>
        <v>200</v>
      </c>
      <c r="I165" s="45">
        <f t="shared" si="1"/>
        <v>0</v>
      </c>
      <c r="J165" s="47"/>
      <c r="K165" s="18"/>
      <c r="L165" s="18"/>
      <c r="M165" s="18"/>
      <c r="N165" s="18"/>
    </row>
    <row r="166" ht="15.75" customHeight="1">
      <c r="A166" s="39"/>
      <c r="B166" s="39"/>
      <c r="C166" s="39"/>
      <c r="D166" s="47"/>
      <c r="E166" s="47"/>
      <c r="F166" s="42" t="s">
        <v>42</v>
      </c>
      <c r="G166" s="43"/>
      <c r="H166" s="50">
        <f>VLOOKUP(F166,$A$25:$B$25,2,TRUE)</f>
        <v>1000</v>
      </c>
      <c r="I166" s="45">
        <f t="shared" si="1"/>
        <v>0</v>
      </c>
      <c r="J166" s="47"/>
      <c r="K166" s="18"/>
      <c r="L166" s="18"/>
      <c r="M166" s="18"/>
      <c r="N166" s="18"/>
    </row>
    <row r="167" ht="15.75" customHeight="1">
      <c r="A167" s="39"/>
      <c r="B167" s="39"/>
      <c r="C167" s="39"/>
      <c r="D167" s="47"/>
      <c r="E167" s="47"/>
      <c r="F167" s="42" t="s">
        <v>17</v>
      </c>
      <c r="G167" s="43"/>
      <c r="H167" s="50">
        <f>VLOOKUP(F167,$A$26:$B$26,2,TRUE)</f>
        <v>300</v>
      </c>
      <c r="I167" s="45">
        <f t="shared" si="1"/>
        <v>0</v>
      </c>
      <c r="J167" s="47"/>
      <c r="K167" s="18"/>
      <c r="L167" s="18"/>
      <c r="M167" s="18"/>
      <c r="N167" s="18"/>
    </row>
    <row r="168" ht="15.75" customHeight="1">
      <c r="A168" s="39"/>
      <c r="B168" s="39"/>
      <c r="C168" s="39"/>
      <c r="D168" s="47"/>
      <c r="E168" s="47"/>
      <c r="F168" s="42" t="s">
        <v>43</v>
      </c>
      <c r="G168" s="43"/>
      <c r="H168" s="50">
        <f>VLOOKUP(F168,$A$27:$B$27,2,TRUE)</f>
        <v>100</v>
      </c>
      <c r="I168" s="45">
        <f t="shared" si="1"/>
        <v>0</v>
      </c>
      <c r="J168" s="47"/>
      <c r="K168" s="18"/>
      <c r="L168" s="18"/>
      <c r="M168" s="18"/>
      <c r="N168" s="18"/>
    </row>
    <row r="169" ht="15.75" customHeight="1">
      <c r="A169" s="39"/>
      <c r="B169" s="39"/>
      <c r="C169" s="39"/>
      <c r="D169" s="47"/>
      <c r="E169" s="47"/>
      <c r="F169" s="42" t="s">
        <v>59</v>
      </c>
      <c r="G169" s="43"/>
      <c r="H169" s="50">
        <f>VLOOKUP(F169,$A$28:$B$28,2,TRUE)</f>
        <v>500</v>
      </c>
      <c r="I169" s="45">
        <f t="shared" si="1"/>
        <v>0</v>
      </c>
      <c r="J169" s="47"/>
      <c r="K169" s="18"/>
      <c r="L169" s="18"/>
      <c r="M169" s="18"/>
      <c r="N169" s="18"/>
    </row>
    <row r="170" ht="15.75" customHeight="1">
      <c r="A170" s="39"/>
      <c r="B170" s="39"/>
      <c r="C170" s="39"/>
      <c r="D170" s="47"/>
      <c r="E170" s="47"/>
      <c r="F170" s="42" t="s">
        <v>13</v>
      </c>
      <c r="G170" s="43"/>
      <c r="H170" s="50">
        <f>VLOOKUP(F170,$A$29:$B$29,2,TRUE)</f>
        <v>1500</v>
      </c>
      <c r="I170" s="45">
        <f t="shared" si="1"/>
        <v>0</v>
      </c>
      <c r="J170" s="47"/>
      <c r="K170" s="18"/>
      <c r="L170" s="18"/>
      <c r="M170" s="18"/>
      <c r="N170" s="18"/>
    </row>
    <row r="171" ht="15.75" customHeight="1">
      <c r="A171" s="39"/>
      <c r="B171" s="39"/>
      <c r="C171" s="39"/>
      <c r="D171" s="47"/>
      <c r="E171" s="47"/>
      <c r="F171" s="42" t="s">
        <v>19</v>
      </c>
      <c r="G171" s="43"/>
      <c r="H171" s="50">
        <f>VLOOKUP(F171,$A$30:$B$30,2,TRUE)</f>
        <v>4000</v>
      </c>
      <c r="I171" s="45">
        <f t="shared" si="1"/>
        <v>0</v>
      </c>
      <c r="J171" s="47"/>
      <c r="K171" s="18"/>
      <c r="L171" s="18"/>
      <c r="M171" s="18"/>
      <c r="N171" s="18"/>
    </row>
    <row r="172" ht="15.75" customHeight="1">
      <c r="A172" s="39"/>
      <c r="B172" s="39"/>
      <c r="C172" s="39"/>
      <c r="D172" s="7"/>
      <c r="E172" s="7"/>
      <c r="F172" s="42" t="s">
        <v>63</v>
      </c>
      <c r="G172" s="43">
        <v>1.0</v>
      </c>
      <c r="H172" s="50">
        <v>0.0</v>
      </c>
      <c r="I172" s="45">
        <f t="shared" si="1"/>
        <v>0</v>
      </c>
      <c r="J172" s="7"/>
      <c r="K172" s="18"/>
      <c r="L172" s="18"/>
      <c r="M172" s="18"/>
      <c r="N172" s="18"/>
    </row>
    <row r="173" ht="15.75" customHeight="1">
      <c r="A173" s="39"/>
      <c r="B173" s="39"/>
      <c r="C173" s="39"/>
      <c r="D173" s="40">
        <v>7.0</v>
      </c>
      <c r="E173" s="41" t="s">
        <v>68</v>
      </c>
      <c r="F173" s="42" t="s">
        <v>21</v>
      </c>
      <c r="G173" s="43"/>
      <c r="H173" s="50">
        <f>VLOOKUP(F173,$A$4:$B$4,2,TRUE)</f>
        <v>5000</v>
      </c>
      <c r="I173" s="45">
        <f t="shared" si="1"/>
        <v>0</v>
      </c>
      <c r="J173" s="46">
        <f>SUM(I173:I200)</f>
        <v>6700</v>
      </c>
      <c r="K173" s="18"/>
      <c r="L173" s="18"/>
      <c r="M173" s="18"/>
      <c r="N173" s="18"/>
    </row>
    <row r="174" ht="15.75" customHeight="1">
      <c r="A174" s="39"/>
      <c r="B174" s="39"/>
      <c r="C174" s="39"/>
      <c r="D174" s="47"/>
      <c r="E174" s="47"/>
      <c r="F174" s="42" t="s">
        <v>56</v>
      </c>
      <c r="G174" s="43"/>
      <c r="H174" s="50">
        <f>VLOOKUP(F174,$A$5:$B$5,2,TRUE)</f>
        <v>3000</v>
      </c>
      <c r="I174" s="45">
        <f t="shared" si="1"/>
        <v>0</v>
      </c>
      <c r="J174" s="47"/>
      <c r="K174" s="18"/>
      <c r="L174" s="18"/>
      <c r="M174" s="18"/>
      <c r="N174" s="18"/>
    </row>
    <row r="175" ht="15.75" customHeight="1">
      <c r="A175" s="39"/>
      <c r="B175" s="39"/>
      <c r="C175" s="39"/>
      <c r="D175" s="47"/>
      <c r="E175" s="47"/>
      <c r="F175" s="42" t="s">
        <v>58</v>
      </c>
      <c r="G175" s="43"/>
      <c r="H175" s="50">
        <f>VLOOKUP(F175,$A$6:$B$6,2,TRUE)</f>
        <v>1000</v>
      </c>
      <c r="I175" s="45">
        <f t="shared" si="1"/>
        <v>0</v>
      </c>
      <c r="J175" s="47"/>
      <c r="K175" s="18"/>
      <c r="L175" s="18"/>
      <c r="M175" s="18"/>
      <c r="N175" s="18"/>
    </row>
    <row r="176" ht="15.75" customHeight="1">
      <c r="A176" s="39"/>
      <c r="B176" s="39"/>
      <c r="C176" s="39"/>
      <c r="D176" s="47"/>
      <c r="E176" s="47"/>
      <c r="F176" s="42" t="s">
        <v>24</v>
      </c>
      <c r="G176" s="43"/>
      <c r="H176" s="50">
        <f>VLOOKUP(F176,$A$7:$B$7,2,TRUE)</f>
        <v>2800</v>
      </c>
      <c r="I176" s="45">
        <f t="shared" si="1"/>
        <v>0</v>
      </c>
      <c r="J176" s="47"/>
      <c r="K176" s="18"/>
      <c r="L176" s="18"/>
      <c r="M176" s="18"/>
      <c r="N176" s="18"/>
    </row>
    <row r="177" ht="15.75" customHeight="1">
      <c r="A177" s="39"/>
      <c r="B177" s="39"/>
      <c r="C177" s="39"/>
      <c r="D177" s="47"/>
      <c r="E177" s="47"/>
      <c r="F177" s="42" t="s">
        <v>25</v>
      </c>
      <c r="G177" s="43"/>
      <c r="H177" s="50">
        <f>VLOOKUP(F177,$A$8:$B$8,2,TRUE)</f>
        <v>3500</v>
      </c>
      <c r="I177" s="45">
        <f t="shared" si="1"/>
        <v>0</v>
      </c>
      <c r="J177" s="47"/>
      <c r="K177" s="18"/>
      <c r="L177" s="18"/>
      <c r="M177" s="18"/>
      <c r="N177" s="18"/>
    </row>
    <row r="178" ht="15.75" customHeight="1">
      <c r="A178" s="39"/>
      <c r="B178" s="39"/>
      <c r="C178" s="39"/>
      <c r="D178" s="47"/>
      <c r="E178" s="47"/>
      <c r="F178" s="42" t="s">
        <v>26</v>
      </c>
      <c r="G178" s="43">
        <v>0.5</v>
      </c>
      <c r="H178" s="50">
        <f>VLOOKUP(F178,$A$9:$B$9,2,TRUE)</f>
        <v>1000</v>
      </c>
      <c r="I178" s="45">
        <f t="shared" si="1"/>
        <v>500</v>
      </c>
      <c r="J178" s="47"/>
      <c r="K178" s="18"/>
      <c r="L178" s="18"/>
      <c r="M178" s="18"/>
      <c r="N178" s="18"/>
    </row>
    <row r="179" ht="15.75" customHeight="1">
      <c r="A179" s="39"/>
      <c r="B179" s="39"/>
      <c r="C179" s="39"/>
      <c r="D179" s="47"/>
      <c r="E179" s="47"/>
      <c r="F179" s="42" t="s">
        <v>27</v>
      </c>
      <c r="G179" s="43">
        <v>2.5</v>
      </c>
      <c r="H179" s="50">
        <f>VLOOKUP(F179,$A$10:$B$10,2,TRUE)</f>
        <v>2000</v>
      </c>
      <c r="I179" s="45">
        <f t="shared" si="1"/>
        <v>5000</v>
      </c>
      <c r="J179" s="47"/>
      <c r="K179" s="18"/>
      <c r="L179" s="18"/>
      <c r="M179" s="18"/>
      <c r="N179" s="18"/>
    </row>
    <row r="180" ht="15.75" customHeight="1">
      <c r="A180" s="39"/>
      <c r="B180" s="39"/>
      <c r="C180" s="39"/>
      <c r="D180" s="47"/>
      <c r="E180" s="47"/>
      <c r="F180" s="42" t="s">
        <v>28</v>
      </c>
      <c r="G180" s="43">
        <v>0.5</v>
      </c>
      <c r="H180" s="50">
        <f>VLOOKUP(F180,$A$11:$B$11,2,TRUE)</f>
        <v>2000</v>
      </c>
      <c r="I180" s="45">
        <f t="shared" si="1"/>
        <v>1000</v>
      </c>
      <c r="J180" s="47"/>
      <c r="K180" s="18"/>
      <c r="L180" s="18"/>
      <c r="M180" s="18"/>
      <c r="N180" s="18"/>
    </row>
    <row r="181" ht="15.75" customHeight="1">
      <c r="A181" s="39"/>
      <c r="B181" s="39"/>
      <c r="C181" s="39"/>
      <c r="D181" s="47"/>
      <c r="E181" s="47"/>
      <c r="F181" s="42" t="s">
        <v>29</v>
      </c>
      <c r="G181" s="43"/>
      <c r="H181" s="50">
        <f>VLOOKUP(F181,$A$12:$B$12,2,TRUE)</f>
        <v>1300</v>
      </c>
      <c r="I181" s="45">
        <f t="shared" si="1"/>
        <v>0</v>
      </c>
      <c r="J181" s="47"/>
      <c r="K181" s="18"/>
      <c r="L181" s="18"/>
      <c r="M181" s="18"/>
      <c r="N181" s="18"/>
    </row>
    <row r="182" ht="15.75" customHeight="1">
      <c r="A182" s="39"/>
      <c r="B182" s="39"/>
      <c r="C182" s="39"/>
      <c r="D182" s="47"/>
      <c r="E182" s="47"/>
      <c r="F182" s="42" t="s">
        <v>30</v>
      </c>
      <c r="G182" s="43"/>
      <c r="H182" s="50">
        <f>VLOOKUP(F182,$A$13:$B$13,2,TRUE)</f>
        <v>1000</v>
      </c>
      <c r="I182" s="45">
        <f t="shared" si="1"/>
        <v>0</v>
      </c>
      <c r="J182" s="47"/>
      <c r="K182" s="18"/>
      <c r="L182" s="18"/>
      <c r="M182" s="18"/>
      <c r="N182" s="18"/>
    </row>
    <row r="183" ht="15.75" customHeight="1">
      <c r="A183" s="39"/>
      <c r="B183" s="39"/>
      <c r="C183" s="39"/>
      <c r="D183" s="47"/>
      <c r="E183" s="47"/>
      <c r="F183" s="42" t="s">
        <v>31</v>
      </c>
      <c r="G183" s="43">
        <v>0.5</v>
      </c>
      <c r="H183" s="50">
        <f>VLOOKUP(F183,$A$14:$B$14,2,TRUE)</f>
        <v>400</v>
      </c>
      <c r="I183" s="45">
        <f t="shared" si="1"/>
        <v>200</v>
      </c>
      <c r="J183" s="47"/>
      <c r="K183" s="18"/>
      <c r="L183" s="18"/>
      <c r="M183" s="18"/>
      <c r="N183" s="18"/>
    </row>
    <row r="184" ht="15.75" customHeight="1">
      <c r="A184" s="39"/>
      <c r="B184" s="39"/>
      <c r="C184" s="39"/>
      <c r="D184" s="47"/>
      <c r="E184" s="47"/>
      <c r="F184" s="42" t="s">
        <v>32</v>
      </c>
      <c r="G184" s="43"/>
      <c r="H184" s="50">
        <f>VLOOKUP(F184,$A$15:$B$15,2,TRUE)</f>
        <v>7500</v>
      </c>
      <c r="I184" s="45">
        <f t="shared" si="1"/>
        <v>0</v>
      </c>
      <c r="J184" s="47"/>
      <c r="K184" s="18"/>
      <c r="L184" s="18"/>
      <c r="M184" s="18"/>
      <c r="N184" s="18"/>
    </row>
    <row r="185" ht="15.75" customHeight="1">
      <c r="A185" s="39"/>
      <c r="B185" s="39"/>
      <c r="C185" s="39"/>
      <c r="D185" s="47"/>
      <c r="E185" s="47"/>
      <c r="F185" s="42" t="s">
        <v>33</v>
      </c>
      <c r="G185" s="43"/>
      <c r="H185" s="50">
        <f>VLOOKUP(F185,$A$16:$B$16,2,TRUE)</f>
        <v>2000</v>
      </c>
      <c r="I185" s="45">
        <f t="shared" si="1"/>
        <v>0</v>
      </c>
      <c r="J185" s="47"/>
      <c r="K185" s="18"/>
      <c r="L185" s="18"/>
      <c r="M185" s="18"/>
      <c r="N185" s="18"/>
    </row>
    <row r="186" ht="15.75" customHeight="1">
      <c r="A186" s="39"/>
      <c r="B186" s="39"/>
      <c r="C186" s="39"/>
      <c r="D186" s="47"/>
      <c r="E186" s="47"/>
      <c r="F186" s="42" t="s">
        <v>34</v>
      </c>
      <c r="G186" s="43"/>
      <c r="H186" s="50">
        <f>VLOOKUP(F186,$A$17:$B$17,2,TRUE)</f>
        <v>800</v>
      </c>
      <c r="I186" s="45">
        <f t="shared" si="1"/>
        <v>0</v>
      </c>
      <c r="J186" s="47"/>
      <c r="K186" s="18"/>
      <c r="L186" s="18"/>
      <c r="M186" s="18"/>
      <c r="N186" s="18"/>
    </row>
    <row r="187" ht="15.75" customHeight="1">
      <c r="A187" s="39"/>
      <c r="B187" s="39"/>
      <c r="C187" s="39"/>
      <c r="D187" s="47"/>
      <c r="E187" s="47"/>
      <c r="F187" s="42" t="s">
        <v>35</v>
      </c>
      <c r="G187" s="43"/>
      <c r="H187" s="50">
        <f>VLOOKUP(F187,$A$18:$B$18,2,TRUE)</f>
        <v>5000</v>
      </c>
      <c r="I187" s="45">
        <f t="shared" si="1"/>
        <v>0</v>
      </c>
      <c r="J187" s="47"/>
      <c r="K187" s="18"/>
      <c r="L187" s="18"/>
      <c r="M187" s="18"/>
      <c r="N187" s="18"/>
    </row>
    <row r="188" ht="15.75" customHeight="1">
      <c r="A188" s="39"/>
      <c r="B188" s="39"/>
      <c r="C188" s="39"/>
      <c r="D188" s="47"/>
      <c r="E188" s="47"/>
      <c r="F188" s="42" t="s">
        <v>36</v>
      </c>
      <c r="G188" s="43"/>
      <c r="H188" s="50">
        <f>VLOOKUP(F188,$A$19:$B$19,2,TRUE)</f>
        <v>2700</v>
      </c>
      <c r="I188" s="45">
        <f t="shared" si="1"/>
        <v>0</v>
      </c>
      <c r="J188" s="47"/>
      <c r="K188" s="18"/>
      <c r="L188" s="18"/>
      <c r="M188" s="18"/>
      <c r="N188" s="18"/>
    </row>
    <row r="189" ht="15.75" customHeight="1">
      <c r="A189" s="39"/>
      <c r="B189" s="39"/>
      <c r="C189" s="39"/>
      <c r="D189" s="47"/>
      <c r="E189" s="47"/>
      <c r="F189" s="42" t="s">
        <v>37</v>
      </c>
      <c r="G189" s="43"/>
      <c r="H189" s="50">
        <f>VLOOKUP(F189,$A$20:$B$20,2,TRUE)</f>
        <v>50000</v>
      </c>
      <c r="I189" s="45">
        <f t="shared" si="1"/>
        <v>0</v>
      </c>
      <c r="J189" s="47"/>
      <c r="K189" s="18"/>
      <c r="L189" s="18"/>
      <c r="M189" s="18"/>
      <c r="N189" s="18"/>
    </row>
    <row r="190" ht="15.75" customHeight="1">
      <c r="A190" s="39"/>
      <c r="B190" s="39"/>
      <c r="C190" s="39"/>
      <c r="D190" s="47"/>
      <c r="E190" s="47"/>
      <c r="F190" s="42" t="s">
        <v>38</v>
      </c>
      <c r="G190" s="43"/>
      <c r="H190" s="50">
        <f>VLOOKUP(F190,$A$21:$B$21,2,TRUE)</f>
        <v>10000</v>
      </c>
      <c r="I190" s="45">
        <f t="shared" si="1"/>
        <v>0</v>
      </c>
      <c r="J190" s="47"/>
      <c r="K190" s="18"/>
      <c r="L190" s="18"/>
      <c r="M190" s="18"/>
      <c r="N190" s="18"/>
    </row>
    <row r="191" ht="15.75" customHeight="1">
      <c r="A191" s="39"/>
      <c r="B191" s="39"/>
      <c r="C191" s="39"/>
      <c r="D191" s="47"/>
      <c r="E191" s="47"/>
      <c r="F191" s="42" t="s">
        <v>39</v>
      </c>
      <c r="G191" s="43"/>
      <c r="H191" s="50">
        <f>VLOOKUP(F191,$A$22:$B$22,2,TRUE)</f>
        <v>1000</v>
      </c>
      <c r="I191" s="45">
        <f t="shared" si="1"/>
        <v>0</v>
      </c>
      <c r="J191" s="47"/>
      <c r="K191" s="18"/>
      <c r="L191" s="18"/>
      <c r="M191" s="18"/>
      <c r="N191" s="18"/>
    </row>
    <row r="192" ht="15.75" customHeight="1">
      <c r="A192" s="39"/>
      <c r="B192" s="39"/>
      <c r="C192" s="39"/>
      <c r="D192" s="47"/>
      <c r="E192" s="47"/>
      <c r="F192" s="42" t="s">
        <v>40</v>
      </c>
      <c r="G192" s="43"/>
      <c r="H192" s="50">
        <f>VLOOKUP(F192,$A$23:$B$23,2,TRUE)</f>
        <v>500</v>
      </c>
      <c r="I192" s="45">
        <f t="shared" si="1"/>
        <v>0</v>
      </c>
      <c r="J192" s="47"/>
      <c r="K192" s="18"/>
      <c r="L192" s="18"/>
      <c r="M192" s="18"/>
      <c r="N192" s="18"/>
    </row>
    <row r="193" ht="15.75" customHeight="1">
      <c r="A193" s="39"/>
      <c r="B193" s="39"/>
      <c r="C193" s="39"/>
      <c r="D193" s="47"/>
      <c r="E193" s="47"/>
      <c r="F193" s="42" t="s">
        <v>41</v>
      </c>
      <c r="G193" s="43"/>
      <c r="H193" s="50">
        <f>VLOOKUP(F193,$A$24:$B$24,2,TRUE)</f>
        <v>200</v>
      </c>
      <c r="I193" s="45">
        <f t="shared" si="1"/>
        <v>0</v>
      </c>
      <c r="J193" s="47"/>
      <c r="K193" s="18"/>
      <c r="L193" s="18"/>
      <c r="M193" s="18"/>
      <c r="N193" s="18"/>
    </row>
    <row r="194" ht="15.75" customHeight="1">
      <c r="A194" s="39"/>
      <c r="B194" s="39"/>
      <c r="C194" s="39"/>
      <c r="D194" s="47"/>
      <c r="E194" s="47"/>
      <c r="F194" s="42" t="s">
        <v>42</v>
      </c>
      <c r="G194" s="43"/>
      <c r="H194" s="50">
        <f>VLOOKUP(F194,$A$25:$B$25,2,TRUE)</f>
        <v>1000</v>
      </c>
      <c r="I194" s="45">
        <f t="shared" si="1"/>
        <v>0</v>
      </c>
      <c r="J194" s="47"/>
      <c r="K194" s="18"/>
      <c r="L194" s="18"/>
      <c r="M194" s="18"/>
      <c r="N194" s="18"/>
    </row>
    <row r="195" ht="15.75" customHeight="1">
      <c r="A195" s="39"/>
      <c r="B195" s="39"/>
      <c r="C195" s="39"/>
      <c r="D195" s="47"/>
      <c r="E195" s="47"/>
      <c r="F195" s="42" t="s">
        <v>17</v>
      </c>
      <c r="G195" s="43"/>
      <c r="H195" s="50">
        <f>VLOOKUP(F195,$A$26:$B$26,2,TRUE)</f>
        <v>300</v>
      </c>
      <c r="I195" s="45">
        <f t="shared" si="1"/>
        <v>0</v>
      </c>
      <c r="J195" s="47"/>
      <c r="K195" s="18"/>
      <c r="L195" s="18"/>
      <c r="M195" s="18"/>
      <c r="N195" s="18"/>
    </row>
    <row r="196" ht="15.75" customHeight="1">
      <c r="A196" s="39"/>
      <c r="B196" s="39"/>
      <c r="C196" s="39"/>
      <c r="D196" s="47"/>
      <c r="E196" s="47"/>
      <c r="F196" s="42" t="s">
        <v>43</v>
      </c>
      <c r="G196" s="43"/>
      <c r="H196" s="50">
        <f>VLOOKUP(F196,$A$27:$B$27,2,TRUE)</f>
        <v>100</v>
      </c>
      <c r="I196" s="45">
        <f t="shared" si="1"/>
        <v>0</v>
      </c>
      <c r="J196" s="47"/>
      <c r="K196" s="18"/>
      <c r="L196" s="18"/>
      <c r="M196" s="18"/>
      <c r="N196" s="18"/>
    </row>
    <row r="197" ht="15.75" customHeight="1">
      <c r="A197" s="39"/>
      <c r="B197" s="39"/>
      <c r="C197" s="39"/>
      <c r="D197" s="47"/>
      <c r="E197" s="47"/>
      <c r="F197" s="42" t="s">
        <v>59</v>
      </c>
      <c r="G197" s="43"/>
      <c r="H197" s="50">
        <f>VLOOKUP(F197,$A$28:$B$28,2,TRUE)</f>
        <v>500</v>
      </c>
      <c r="I197" s="45">
        <f t="shared" si="1"/>
        <v>0</v>
      </c>
      <c r="J197" s="47"/>
      <c r="K197" s="18"/>
      <c r="L197" s="18"/>
      <c r="M197" s="18"/>
      <c r="N197" s="18"/>
    </row>
    <row r="198" ht="15.75" customHeight="1">
      <c r="A198" s="39"/>
      <c r="B198" s="39"/>
      <c r="C198" s="39"/>
      <c r="D198" s="47"/>
      <c r="E198" s="47"/>
      <c r="F198" s="42" t="s">
        <v>13</v>
      </c>
      <c r="G198" s="43"/>
      <c r="H198" s="50">
        <f>VLOOKUP(F198,$A$29:$B$29,2,TRUE)</f>
        <v>1500</v>
      </c>
      <c r="I198" s="45">
        <f t="shared" si="1"/>
        <v>0</v>
      </c>
      <c r="J198" s="47"/>
      <c r="K198" s="18"/>
      <c r="L198" s="18"/>
      <c r="M198" s="18"/>
      <c r="N198" s="18"/>
    </row>
    <row r="199" ht="15.75" customHeight="1">
      <c r="A199" s="39"/>
      <c r="B199" s="39"/>
      <c r="C199" s="39"/>
      <c r="D199" s="47"/>
      <c r="E199" s="47"/>
      <c r="F199" s="42" t="s">
        <v>19</v>
      </c>
      <c r="G199" s="43"/>
      <c r="H199" s="50">
        <f>VLOOKUP(F199,$A$30:$B$30,2,TRUE)</f>
        <v>4000</v>
      </c>
      <c r="I199" s="45">
        <f t="shared" si="1"/>
        <v>0</v>
      </c>
      <c r="J199" s="47"/>
      <c r="K199" s="18"/>
      <c r="L199" s="18"/>
      <c r="M199" s="18"/>
      <c r="N199" s="18"/>
    </row>
    <row r="200" ht="15.75" customHeight="1">
      <c r="A200" s="39"/>
      <c r="B200" s="39"/>
      <c r="C200" s="39"/>
      <c r="D200" s="7"/>
      <c r="E200" s="7"/>
      <c r="F200" s="42" t="s">
        <v>63</v>
      </c>
      <c r="G200" s="43">
        <v>0.5</v>
      </c>
      <c r="H200" s="50">
        <v>0.0</v>
      </c>
      <c r="I200" s="45">
        <f t="shared" si="1"/>
        <v>0</v>
      </c>
      <c r="J200" s="7"/>
      <c r="K200" s="18"/>
      <c r="L200" s="18"/>
      <c r="M200" s="18"/>
      <c r="N200" s="18"/>
    </row>
    <row r="201" ht="15.75" customHeight="1">
      <c r="A201" s="39"/>
      <c r="B201" s="39"/>
      <c r="C201" s="39"/>
      <c r="D201" s="40">
        <v>8.0</v>
      </c>
      <c r="E201" s="41" t="s">
        <v>69</v>
      </c>
      <c r="F201" s="42" t="s">
        <v>21</v>
      </c>
      <c r="G201" s="43"/>
      <c r="H201" s="50">
        <f>VLOOKUP(F201,$A$4:$B$4,2,TRUE)</f>
        <v>5000</v>
      </c>
      <c r="I201" s="45">
        <f t="shared" si="1"/>
        <v>0</v>
      </c>
      <c r="J201" s="46">
        <f>SUM(I201:I228)</f>
        <v>3000</v>
      </c>
      <c r="K201" s="18"/>
      <c r="L201" s="18"/>
      <c r="M201" s="18"/>
      <c r="N201" s="18"/>
    </row>
    <row r="202" ht="15.75" customHeight="1">
      <c r="A202" s="39"/>
      <c r="B202" s="39"/>
      <c r="C202" s="39"/>
      <c r="D202" s="47"/>
      <c r="E202" s="47"/>
      <c r="F202" s="42" t="s">
        <v>56</v>
      </c>
      <c r="G202" s="43"/>
      <c r="H202" s="50">
        <f>VLOOKUP(F202,$A$5:$B$5,2,TRUE)</f>
        <v>3000</v>
      </c>
      <c r="I202" s="45">
        <f t="shared" si="1"/>
        <v>0</v>
      </c>
      <c r="J202" s="47"/>
      <c r="K202" s="18"/>
      <c r="L202" s="18"/>
      <c r="M202" s="18"/>
      <c r="N202" s="18"/>
    </row>
    <row r="203" ht="15.75" customHeight="1">
      <c r="A203" s="39"/>
      <c r="B203" s="39"/>
      <c r="C203" s="39"/>
      <c r="D203" s="47"/>
      <c r="E203" s="47"/>
      <c r="F203" s="42" t="s">
        <v>58</v>
      </c>
      <c r="G203" s="43"/>
      <c r="H203" s="50">
        <f>VLOOKUP(F203,$A$6:$B$6,2,TRUE)</f>
        <v>1000</v>
      </c>
      <c r="I203" s="45">
        <f t="shared" si="1"/>
        <v>0</v>
      </c>
      <c r="J203" s="47"/>
      <c r="K203" s="18"/>
      <c r="L203" s="18"/>
      <c r="M203" s="18"/>
      <c r="N203" s="18"/>
    </row>
    <row r="204" ht="15.75" customHeight="1">
      <c r="A204" s="39"/>
      <c r="B204" s="39"/>
      <c r="C204" s="39"/>
      <c r="D204" s="47"/>
      <c r="E204" s="47"/>
      <c r="F204" s="42" t="s">
        <v>24</v>
      </c>
      <c r="G204" s="43"/>
      <c r="H204" s="50">
        <f>VLOOKUP(F204,$A$7:$B$7,2,TRUE)</f>
        <v>2800</v>
      </c>
      <c r="I204" s="45">
        <f t="shared" si="1"/>
        <v>0</v>
      </c>
      <c r="J204" s="47"/>
      <c r="K204" s="18"/>
      <c r="L204" s="18"/>
      <c r="M204" s="18"/>
      <c r="N204" s="18"/>
    </row>
    <row r="205" ht="15.75" customHeight="1">
      <c r="A205" s="39"/>
      <c r="B205" s="39"/>
      <c r="C205" s="39"/>
      <c r="D205" s="47"/>
      <c r="E205" s="47"/>
      <c r="F205" s="42" t="s">
        <v>25</v>
      </c>
      <c r="G205" s="43"/>
      <c r="H205" s="50">
        <f>VLOOKUP(F205,$A$8:$B$8,2,TRUE)</f>
        <v>3500</v>
      </c>
      <c r="I205" s="45">
        <f t="shared" si="1"/>
        <v>0</v>
      </c>
      <c r="J205" s="47"/>
      <c r="K205" s="18"/>
      <c r="L205" s="18"/>
      <c r="M205" s="18"/>
      <c r="N205" s="18"/>
    </row>
    <row r="206" ht="15.75" customHeight="1">
      <c r="A206" s="39"/>
      <c r="B206" s="39"/>
      <c r="C206" s="39"/>
      <c r="D206" s="47"/>
      <c r="E206" s="47"/>
      <c r="F206" s="42" t="s">
        <v>26</v>
      </c>
      <c r="G206" s="43">
        <v>3.0</v>
      </c>
      <c r="H206" s="50">
        <f>VLOOKUP(F206,$A$9:$B$9,2,TRUE)</f>
        <v>1000</v>
      </c>
      <c r="I206" s="45">
        <f t="shared" si="1"/>
        <v>3000</v>
      </c>
      <c r="J206" s="47"/>
      <c r="K206" s="18"/>
      <c r="L206" s="18"/>
      <c r="M206" s="18"/>
      <c r="N206" s="18"/>
    </row>
    <row r="207" ht="15.75" customHeight="1">
      <c r="A207" s="39"/>
      <c r="B207" s="39"/>
      <c r="C207" s="39"/>
      <c r="D207" s="47"/>
      <c r="E207" s="47"/>
      <c r="F207" s="42" t="s">
        <v>27</v>
      </c>
      <c r="G207" s="43"/>
      <c r="H207" s="50">
        <f>VLOOKUP(F207,$A$10:$B$10,2,TRUE)</f>
        <v>2000</v>
      </c>
      <c r="I207" s="45">
        <f t="shared" si="1"/>
        <v>0</v>
      </c>
      <c r="J207" s="47"/>
      <c r="K207" s="18"/>
      <c r="L207" s="18"/>
      <c r="M207" s="18"/>
      <c r="N207" s="18"/>
    </row>
    <row r="208" ht="15.75" customHeight="1">
      <c r="A208" s="39"/>
      <c r="B208" s="39"/>
      <c r="C208" s="39"/>
      <c r="D208" s="47"/>
      <c r="E208" s="47"/>
      <c r="F208" s="42" t="s">
        <v>28</v>
      </c>
      <c r="G208" s="43"/>
      <c r="H208" s="50">
        <f>VLOOKUP(F208,$A$11:$B$11,2,TRUE)</f>
        <v>2000</v>
      </c>
      <c r="I208" s="45">
        <f t="shared" si="1"/>
        <v>0</v>
      </c>
      <c r="J208" s="47"/>
      <c r="K208" s="18"/>
      <c r="L208" s="18"/>
      <c r="M208" s="18"/>
      <c r="N208" s="18"/>
    </row>
    <row r="209" ht="15.75" customHeight="1">
      <c r="A209" s="39"/>
      <c r="B209" s="39"/>
      <c r="C209" s="39"/>
      <c r="D209" s="47"/>
      <c r="E209" s="47"/>
      <c r="F209" s="42" t="s">
        <v>29</v>
      </c>
      <c r="G209" s="43"/>
      <c r="H209" s="50">
        <f>VLOOKUP(F209,$A$12:$B$12,2,TRUE)</f>
        <v>1300</v>
      </c>
      <c r="I209" s="45">
        <f t="shared" si="1"/>
        <v>0</v>
      </c>
      <c r="J209" s="47"/>
      <c r="K209" s="18"/>
      <c r="L209" s="18"/>
      <c r="M209" s="18"/>
      <c r="N209" s="18"/>
    </row>
    <row r="210" ht="15.75" customHeight="1">
      <c r="A210" s="39"/>
      <c r="B210" s="39"/>
      <c r="C210" s="39"/>
      <c r="D210" s="47"/>
      <c r="E210" s="47"/>
      <c r="F210" s="42" t="s">
        <v>30</v>
      </c>
      <c r="G210" s="43"/>
      <c r="H210" s="50">
        <f>VLOOKUP(F210,$A$13:$B$13,2,TRUE)</f>
        <v>1000</v>
      </c>
      <c r="I210" s="45">
        <f t="shared" si="1"/>
        <v>0</v>
      </c>
      <c r="J210" s="47"/>
      <c r="K210" s="18"/>
      <c r="L210" s="18"/>
      <c r="M210" s="18"/>
      <c r="N210" s="18"/>
    </row>
    <row r="211" ht="15.75" customHeight="1">
      <c r="A211" s="39"/>
      <c r="B211" s="39"/>
      <c r="C211" s="39"/>
      <c r="D211" s="47"/>
      <c r="E211" s="47"/>
      <c r="F211" s="42" t="s">
        <v>31</v>
      </c>
      <c r="G211" s="43"/>
      <c r="H211" s="50">
        <f>VLOOKUP(F211,$A$14:$B$14,2,TRUE)</f>
        <v>400</v>
      </c>
      <c r="I211" s="45">
        <f t="shared" si="1"/>
        <v>0</v>
      </c>
      <c r="J211" s="47"/>
      <c r="K211" s="18"/>
      <c r="L211" s="18"/>
      <c r="M211" s="18"/>
      <c r="N211" s="18"/>
    </row>
    <row r="212" ht="15.75" customHeight="1">
      <c r="A212" s="39"/>
      <c r="B212" s="39"/>
      <c r="C212" s="39"/>
      <c r="D212" s="47"/>
      <c r="E212" s="47"/>
      <c r="F212" s="42" t="s">
        <v>32</v>
      </c>
      <c r="G212" s="43"/>
      <c r="H212" s="50">
        <f>VLOOKUP(F212,$A$15:$B$15,2,TRUE)</f>
        <v>7500</v>
      </c>
      <c r="I212" s="45">
        <f t="shared" si="1"/>
        <v>0</v>
      </c>
      <c r="J212" s="47"/>
      <c r="K212" s="18"/>
      <c r="L212" s="18"/>
      <c r="M212" s="18"/>
      <c r="N212" s="18"/>
    </row>
    <row r="213" ht="15.75" customHeight="1">
      <c r="A213" s="39"/>
      <c r="B213" s="39"/>
      <c r="C213" s="39"/>
      <c r="D213" s="47"/>
      <c r="E213" s="47"/>
      <c r="F213" s="42" t="s">
        <v>33</v>
      </c>
      <c r="G213" s="43"/>
      <c r="H213" s="50">
        <f>VLOOKUP(F213,$A$16:$B$16,2,TRUE)</f>
        <v>2000</v>
      </c>
      <c r="I213" s="45">
        <f t="shared" si="1"/>
        <v>0</v>
      </c>
      <c r="J213" s="47"/>
      <c r="K213" s="18"/>
      <c r="L213" s="18"/>
      <c r="M213" s="18"/>
      <c r="N213" s="18"/>
    </row>
    <row r="214" ht="15.75" customHeight="1">
      <c r="A214" s="39"/>
      <c r="B214" s="39"/>
      <c r="C214" s="39"/>
      <c r="D214" s="47"/>
      <c r="E214" s="47"/>
      <c r="F214" s="42" t="s">
        <v>34</v>
      </c>
      <c r="G214" s="43"/>
      <c r="H214" s="50">
        <f>VLOOKUP(F214,$A$17:$B$17,2,TRUE)</f>
        <v>800</v>
      </c>
      <c r="I214" s="45">
        <f t="shared" si="1"/>
        <v>0</v>
      </c>
      <c r="J214" s="47"/>
      <c r="K214" s="18"/>
      <c r="L214" s="18"/>
      <c r="M214" s="18"/>
      <c r="N214" s="18"/>
    </row>
    <row r="215" ht="15.75" customHeight="1">
      <c r="A215" s="39"/>
      <c r="B215" s="39"/>
      <c r="C215" s="39"/>
      <c r="D215" s="47"/>
      <c r="E215" s="47"/>
      <c r="F215" s="42" t="s">
        <v>35</v>
      </c>
      <c r="G215" s="43"/>
      <c r="H215" s="50">
        <f>VLOOKUP(F215,$A$18:$B$18,2,TRUE)</f>
        <v>5000</v>
      </c>
      <c r="I215" s="45">
        <f t="shared" si="1"/>
        <v>0</v>
      </c>
      <c r="J215" s="47"/>
      <c r="K215" s="18"/>
      <c r="L215" s="18"/>
      <c r="M215" s="18"/>
      <c r="N215" s="18"/>
    </row>
    <row r="216" ht="15.75" customHeight="1">
      <c r="A216" s="39"/>
      <c r="B216" s="39"/>
      <c r="C216" s="39"/>
      <c r="D216" s="47"/>
      <c r="E216" s="47"/>
      <c r="F216" s="42" t="s">
        <v>36</v>
      </c>
      <c r="G216" s="43"/>
      <c r="H216" s="50">
        <f>VLOOKUP(F216,$A$19:$B$19,2,TRUE)</f>
        <v>2700</v>
      </c>
      <c r="I216" s="45">
        <f t="shared" si="1"/>
        <v>0</v>
      </c>
      <c r="J216" s="47"/>
      <c r="K216" s="18"/>
      <c r="L216" s="18"/>
      <c r="M216" s="18"/>
      <c r="N216" s="18"/>
    </row>
    <row r="217" ht="15.75" customHeight="1">
      <c r="A217" s="39"/>
      <c r="B217" s="39"/>
      <c r="C217" s="39"/>
      <c r="D217" s="47"/>
      <c r="E217" s="47"/>
      <c r="F217" s="42" t="s">
        <v>37</v>
      </c>
      <c r="G217" s="43"/>
      <c r="H217" s="50">
        <f>VLOOKUP(F217,$A$20:$B$20,2,TRUE)</f>
        <v>50000</v>
      </c>
      <c r="I217" s="45">
        <f t="shared" si="1"/>
        <v>0</v>
      </c>
      <c r="J217" s="47"/>
      <c r="K217" s="18"/>
      <c r="L217" s="18"/>
      <c r="M217" s="18"/>
      <c r="N217" s="18"/>
    </row>
    <row r="218" ht="15.75" customHeight="1">
      <c r="A218" s="39"/>
      <c r="B218" s="39"/>
      <c r="C218" s="39"/>
      <c r="D218" s="47"/>
      <c r="E218" s="47"/>
      <c r="F218" s="42" t="s">
        <v>38</v>
      </c>
      <c r="G218" s="43"/>
      <c r="H218" s="50">
        <f>VLOOKUP(F218,$A$21:$B$21,2,TRUE)</f>
        <v>10000</v>
      </c>
      <c r="I218" s="45">
        <f t="shared" si="1"/>
        <v>0</v>
      </c>
      <c r="J218" s="47"/>
      <c r="K218" s="18"/>
      <c r="L218" s="18"/>
      <c r="M218" s="18"/>
      <c r="N218" s="18"/>
    </row>
    <row r="219" ht="15.75" customHeight="1">
      <c r="A219" s="39"/>
      <c r="B219" s="39"/>
      <c r="C219" s="39"/>
      <c r="D219" s="47"/>
      <c r="E219" s="47"/>
      <c r="F219" s="42" t="s">
        <v>39</v>
      </c>
      <c r="G219" s="43"/>
      <c r="H219" s="50">
        <f>VLOOKUP(F219,$A$22:$B$22,2,TRUE)</f>
        <v>1000</v>
      </c>
      <c r="I219" s="45">
        <f t="shared" si="1"/>
        <v>0</v>
      </c>
      <c r="J219" s="47"/>
      <c r="K219" s="18"/>
      <c r="L219" s="18"/>
      <c r="M219" s="18"/>
      <c r="N219" s="18"/>
    </row>
    <row r="220" ht="15.75" customHeight="1">
      <c r="A220" s="39"/>
      <c r="B220" s="39"/>
      <c r="C220" s="39"/>
      <c r="D220" s="47"/>
      <c r="E220" s="47"/>
      <c r="F220" s="42" t="s">
        <v>40</v>
      </c>
      <c r="G220" s="43"/>
      <c r="H220" s="50">
        <f>VLOOKUP(F220,$A$23:$B$23,2,TRUE)</f>
        <v>500</v>
      </c>
      <c r="I220" s="45">
        <f t="shared" si="1"/>
        <v>0</v>
      </c>
      <c r="J220" s="47"/>
      <c r="K220" s="18"/>
      <c r="L220" s="18"/>
      <c r="M220" s="18"/>
      <c r="N220" s="18"/>
    </row>
    <row r="221" ht="15.75" customHeight="1">
      <c r="A221" s="39"/>
      <c r="B221" s="39"/>
      <c r="C221" s="39"/>
      <c r="D221" s="47"/>
      <c r="E221" s="47"/>
      <c r="F221" s="42" t="s">
        <v>41</v>
      </c>
      <c r="G221" s="43"/>
      <c r="H221" s="50">
        <f>VLOOKUP(F221,$A$24:$B$24,2,TRUE)</f>
        <v>200</v>
      </c>
      <c r="I221" s="45">
        <f t="shared" si="1"/>
        <v>0</v>
      </c>
      <c r="J221" s="47"/>
      <c r="K221" s="18"/>
      <c r="L221" s="18"/>
      <c r="M221" s="18"/>
      <c r="N221" s="18"/>
    </row>
    <row r="222" ht="15.75" customHeight="1">
      <c r="A222" s="39"/>
      <c r="B222" s="39"/>
      <c r="C222" s="39"/>
      <c r="D222" s="47"/>
      <c r="E222" s="47"/>
      <c r="F222" s="42" t="s">
        <v>42</v>
      </c>
      <c r="G222" s="43"/>
      <c r="H222" s="50">
        <f>VLOOKUP(F222,$A$25:$B$25,2,TRUE)</f>
        <v>1000</v>
      </c>
      <c r="I222" s="45">
        <f t="shared" si="1"/>
        <v>0</v>
      </c>
      <c r="J222" s="47"/>
      <c r="K222" s="18"/>
      <c r="L222" s="18"/>
      <c r="M222" s="18"/>
      <c r="N222" s="18"/>
    </row>
    <row r="223" ht="15.75" customHeight="1">
      <c r="A223" s="39"/>
      <c r="B223" s="39"/>
      <c r="C223" s="39"/>
      <c r="D223" s="47"/>
      <c r="E223" s="47"/>
      <c r="F223" s="42" t="s">
        <v>17</v>
      </c>
      <c r="G223" s="43"/>
      <c r="H223" s="50">
        <f>VLOOKUP(F223,$A$26:$B$26,2,TRUE)</f>
        <v>300</v>
      </c>
      <c r="I223" s="45">
        <f t="shared" si="1"/>
        <v>0</v>
      </c>
      <c r="J223" s="47"/>
      <c r="K223" s="18"/>
      <c r="L223" s="18"/>
      <c r="M223" s="18"/>
      <c r="N223" s="18"/>
    </row>
    <row r="224" ht="15.75" customHeight="1">
      <c r="A224" s="39"/>
      <c r="B224" s="39"/>
      <c r="C224" s="39"/>
      <c r="D224" s="47"/>
      <c r="E224" s="47"/>
      <c r="F224" s="42" t="s">
        <v>43</v>
      </c>
      <c r="G224" s="43"/>
      <c r="H224" s="50">
        <f>VLOOKUP(F224,$A$27:$B$27,2,TRUE)</f>
        <v>100</v>
      </c>
      <c r="I224" s="45">
        <f t="shared" si="1"/>
        <v>0</v>
      </c>
      <c r="J224" s="47"/>
      <c r="K224" s="18"/>
      <c r="L224" s="18"/>
      <c r="M224" s="18"/>
      <c r="N224" s="18"/>
    </row>
    <row r="225" ht="15.75" customHeight="1">
      <c r="A225" s="39"/>
      <c r="B225" s="39"/>
      <c r="C225" s="39"/>
      <c r="D225" s="47"/>
      <c r="E225" s="47"/>
      <c r="F225" s="42" t="s">
        <v>59</v>
      </c>
      <c r="G225" s="43"/>
      <c r="H225" s="50">
        <f>VLOOKUP(F225,$A$28:$B$28,2,TRUE)</f>
        <v>500</v>
      </c>
      <c r="I225" s="45">
        <f t="shared" si="1"/>
        <v>0</v>
      </c>
      <c r="J225" s="47"/>
      <c r="K225" s="18"/>
      <c r="L225" s="18"/>
      <c r="M225" s="18"/>
      <c r="N225" s="18"/>
    </row>
    <row r="226" ht="15.75" customHeight="1">
      <c r="A226" s="39"/>
      <c r="B226" s="39"/>
      <c r="C226" s="39"/>
      <c r="D226" s="47"/>
      <c r="E226" s="47"/>
      <c r="F226" s="42" t="s">
        <v>13</v>
      </c>
      <c r="G226" s="43"/>
      <c r="H226" s="50">
        <f>VLOOKUP(F226,$A$29:$B$29,2,TRUE)</f>
        <v>1500</v>
      </c>
      <c r="I226" s="45">
        <f t="shared" si="1"/>
        <v>0</v>
      </c>
      <c r="J226" s="47"/>
      <c r="K226" s="18"/>
      <c r="L226" s="18"/>
      <c r="M226" s="18"/>
      <c r="N226" s="18"/>
    </row>
    <row r="227" ht="15.75" customHeight="1">
      <c r="A227" s="39"/>
      <c r="B227" s="39"/>
      <c r="C227" s="39"/>
      <c r="D227" s="47"/>
      <c r="E227" s="47"/>
      <c r="F227" s="42" t="s">
        <v>19</v>
      </c>
      <c r="G227" s="43"/>
      <c r="H227" s="50">
        <f>VLOOKUP(F227,$A$30:$B$30,2,TRUE)</f>
        <v>4000</v>
      </c>
      <c r="I227" s="45">
        <f t="shared" si="1"/>
        <v>0</v>
      </c>
      <c r="J227" s="47"/>
      <c r="K227" s="18"/>
      <c r="L227" s="18"/>
      <c r="M227" s="18"/>
      <c r="N227" s="18"/>
    </row>
    <row r="228" ht="15.75" customHeight="1">
      <c r="A228" s="39"/>
      <c r="B228" s="39"/>
      <c r="C228" s="39"/>
      <c r="D228" s="7"/>
      <c r="E228" s="7"/>
      <c r="F228" s="42" t="s">
        <v>63</v>
      </c>
      <c r="G228" s="43">
        <v>1.0</v>
      </c>
      <c r="H228" s="50">
        <v>0.0</v>
      </c>
      <c r="I228" s="45">
        <f t="shared" si="1"/>
        <v>0</v>
      </c>
      <c r="J228" s="7"/>
      <c r="K228" s="18"/>
      <c r="L228" s="18"/>
      <c r="M228" s="18"/>
      <c r="N228" s="18"/>
    </row>
    <row r="229" ht="15.75" customHeight="1">
      <c r="A229" s="39"/>
      <c r="B229" s="39"/>
      <c r="C229" s="39"/>
      <c r="D229" s="52" t="s">
        <v>70</v>
      </c>
      <c r="E229" s="53"/>
      <c r="F229" s="53"/>
      <c r="G229" s="53"/>
      <c r="H229" s="53"/>
      <c r="I229" s="45">
        <f t="shared" si="1"/>
        <v>0</v>
      </c>
      <c r="J229" s="54">
        <f>SUM(J5:J228)</f>
        <v>93400</v>
      </c>
      <c r="K229" s="18"/>
      <c r="L229" s="18"/>
      <c r="M229" s="18"/>
      <c r="N229" s="18"/>
    </row>
    <row r="230" ht="15.75" customHeight="1">
      <c r="A230" s="39"/>
      <c r="B230" s="39"/>
      <c r="C230" s="39"/>
      <c r="D230" s="52" t="s">
        <v>71</v>
      </c>
      <c r="E230" s="53"/>
      <c r="F230" s="53"/>
      <c r="G230" s="53"/>
      <c r="H230" s="53"/>
      <c r="I230" s="45">
        <f t="shared" si="1"/>
        <v>0</v>
      </c>
      <c r="J230" s="54">
        <f>J229*5%</f>
        <v>4670</v>
      </c>
      <c r="K230" s="18"/>
      <c r="L230" s="18"/>
      <c r="M230" s="18"/>
      <c r="N230" s="18"/>
    </row>
    <row r="231" ht="15.75" customHeight="1">
      <c r="A231" s="16"/>
      <c r="B231" s="16"/>
      <c r="C231" s="16"/>
      <c r="D231" s="16"/>
      <c r="E231" s="55"/>
      <c r="F231" s="18"/>
      <c r="G231" s="18"/>
      <c r="H231" s="18"/>
      <c r="I231" s="18"/>
      <c r="J231" s="19"/>
      <c r="K231" s="18"/>
      <c r="L231" s="18"/>
      <c r="M231" s="18"/>
      <c r="N231" s="18"/>
    </row>
    <row r="232" ht="15.75" customHeight="1">
      <c r="A232" s="16"/>
      <c r="B232" s="16"/>
      <c r="C232" s="16"/>
      <c r="D232" s="16"/>
      <c r="E232" s="17"/>
      <c r="F232" s="18"/>
      <c r="G232" s="18"/>
      <c r="H232" s="18"/>
      <c r="I232" s="18"/>
      <c r="J232" s="19"/>
      <c r="K232" s="18"/>
      <c r="L232" s="18"/>
      <c r="M232" s="18"/>
      <c r="N232" s="18"/>
    </row>
    <row r="233" ht="15.75" customHeight="1">
      <c r="A233" s="16"/>
      <c r="B233" s="16"/>
      <c r="C233" s="16"/>
      <c r="D233" s="16"/>
      <c r="E233" s="17"/>
      <c r="F233" s="18"/>
      <c r="G233" s="18"/>
      <c r="H233" s="18"/>
      <c r="I233" s="18"/>
      <c r="J233" s="19"/>
      <c r="K233" s="18"/>
      <c r="L233" s="18"/>
      <c r="M233" s="18"/>
      <c r="N233" s="18"/>
    </row>
    <row r="234" ht="15.75" customHeight="1">
      <c r="A234" s="16"/>
      <c r="B234" s="16"/>
      <c r="C234" s="16"/>
      <c r="D234" s="16"/>
      <c r="E234" s="17"/>
      <c r="F234" s="18"/>
      <c r="G234" s="18"/>
      <c r="H234" s="18"/>
      <c r="I234" s="18"/>
      <c r="J234" s="19"/>
      <c r="K234" s="18"/>
      <c r="L234" s="18"/>
      <c r="M234" s="18"/>
      <c r="N234" s="18"/>
    </row>
    <row r="235" ht="15.75" customHeight="1">
      <c r="A235" s="16"/>
      <c r="B235" s="16"/>
      <c r="C235" s="16"/>
      <c r="D235" s="16"/>
      <c r="E235" s="17"/>
      <c r="F235" s="18"/>
      <c r="G235" s="18"/>
      <c r="H235" s="18"/>
      <c r="I235" s="18"/>
      <c r="J235" s="19"/>
      <c r="K235" s="18"/>
      <c r="L235" s="18"/>
      <c r="M235" s="18"/>
      <c r="N235" s="18"/>
    </row>
    <row r="236" ht="15.75" customHeight="1">
      <c r="A236" s="16"/>
      <c r="B236" s="16"/>
      <c r="C236" s="16"/>
      <c r="D236" s="16"/>
      <c r="E236" s="17"/>
      <c r="F236" s="18"/>
      <c r="G236" s="18"/>
      <c r="H236" s="18"/>
      <c r="I236" s="18"/>
      <c r="J236" s="19"/>
      <c r="K236" s="18"/>
      <c r="L236" s="18"/>
      <c r="M236" s="18"/>
      <c r="N236" s="18"/>
    </row>
    <row r="237" ht="15.75" customHeight="1">
      <c r="A237" s="16"/>
      <c r="B237" s="16"/>
      <c r="C237" s="16"/>
      <c r="D237" s="16"/>
      <c r="E237" s="17"/>
      <c r="F237" s="18"/>
      <c r="G237" s="18"/>
      <c r="H237" s="18"/>
      <c r="I237" s="18"/>
      <c r="J237" s="19"/>
      <c r="K237" s="18"/>
      <c r="L237" s="18"/>
      <c r="M237" s="18"/>
      <c r="N237" s="18"/>
    </row>
    <row r="238" ht="15.75" customHeight="1">
      <c r="A238" s="16"/>
      <c r="B238" s="16"/>
      <c r="C238" s="16"/>
      <c r="D238" s="16"/>
      <c r="E238" s="17"/>
      <c r="F238" s="18"/>
      <c r="G238" s="18"/>
      <c r="H238" s="18"/>
      <c r="I238" s="18"/>
      <c r="J238" s="19"/>
      <c r="K238" s="18"/>
      <c r="L238" s="18"/>
      <c r="M238" s="18"/>
      <c r="N238" s="18"/>
    </row>
    <row r="239" ht="15.75" customHeight="1">
      <c r="A239" s="16"/>
      <c r="B239" s="16"/>
      <c r="C239" s="16"/>
      <c r="D239" s="16"/>
      <c r="E239" s="17"/>
      <c r="J239" s="19"/>
    </row>
    <row r="240" ht="15.75" customHeight="1">
      <c r="A240" s="16"/>
      <c r="B240" s="16"/>
      <c r="C240" s="16"/>
      <c r="D240" s="16"/>
      <c r="E240" s="17"/>
      <c r="J240" s="19"/>
    </row>
    <row r="241" ht="15.75" customHeight="1">
      <c r="A241" s="16"/>
      <c r="B241" s="16"/>
      <c r="C241" s="16"/>
      <c r="D241" s="16"/>
      <c r="E241" s="17"/>
      <c r="J241" s="19"/>
    </row>
    <row r="242" ht="15.75" customHeight="1">
      <c r="A242" s="16"/>
      <c r="B242" s="16"/>
      <c r="C242" s="16"/>
      <c r="D242" s="16"/>
      <c r="E242" s="17"/>
      <c r="J242" s="19"/>
    </row>
    <row r="243" ht="15.75" customHeight="1">
      <c r="A243" s="16"/>
      <c r="B243" s="16"/>
      <c r="C243" s="16"/>
      <c r="D243" s="16"/>
      <c r="E243" s="17"/>
      <c r="J243" s="19"/>
    </row>
    <row r="244" ht="15.75" customHeight="1">
      <c r="A244" s="16"/>
      <c r="B244" s="16"/>
      <c r="C244" s="16"/>
      <c r="D244" s="16"/>
      <c r="E244" s="17"/>
      <c r="J244" s="19"/>
    </row>
    <row r="245" ht="15.75" customHeight="1">
      <c r="A245" s="16"/>
      <c r="B245" s="16"/>
      <c r="C245" s="16"/>
      <c r="D245" s="16"/>
      <c r="E245" s="17"/>
      <c r="J245" s="19"/>
    </row>
    <row r="246" ht="15.75" customHeight="1">
      <c r="A246" s="16"/>
      <c r="B246" s="16"/>
      <c r="C246" s="16"/>
      <c r="D246" s="16"/>
      <c r="E246" s="17"/>
      <c r="J246" s="19"/>
    </row>
    <row r="247" ht="15.75" customHeight="1">
      <c r="A247" s="16"/>
      <c r="B247" s="16"/>
      <c r="C247" s="16"/>
      <c r="D247" s="16"/>
      <c r="E247" s="17"/>
      <c r="J247" s="19"/>
    </row>
    <row r="248" ht="15.75" customHeight="1">
      <c r="A248" s="16"/>
      <c r="B248" s="16"/>
      <c r="C248" s="16"/>
      <c r="D248" s="16"/>
      <c r="E248" s="17"/>
      <c r="J248" s="19"/>
    </row>
    <row r="249" ht="15.75" customHeight="1">
      <c r="A249" s="16"/>
      <c r="B249" s="16"/>
      <c r="C249" s="16"/>
      <c r="D249" s="16"/>
      <c r="E249" s="17"/>
      <c r="J249" s="19"/>
    </row>
    <row r="250" ht="15.75" customHeight="1">
      <c r="A250" s="16"/>
      <c r="B250" s="16"/>
      <c r="C250" s="16"/>
      <c r="D250" s="16"/>
      <c r="E250" s="17"/>
      <c r="J250" s="19"/>
    </row>
    <row r="251" ht="15.75" customHeight="1">
      <c r="A251" s="16"/>
      <c r="B251" s="16"/>
      <c r="C251" s="16"/>
      <c r="D251" s="16"/>
      <c r="E251" s="17"/>
      <c r="J251" s="19"/>
    </row>
    <row r="252" ht="15.75" customHeight="1">
      <c r="A252" s="16"/>
      <c r="B252" s="16"/>
      <c r="C252" s="16"/>
      <c r="D252" s="16"/>
      <c r="E252" s="17"/>
      <c r="J252" s="19"/>
    </row>
    <row r="253" ht="15.75" customHeight="1">
      <c r="A253" s="16"/>
      <c r="B253" s="16"/>
      <c r="C253" s="16"/>
      <c r="D253" s="16"/>
      <c r="E253" s="17"/>
      <c r="J253" s="19"/>
    </row>
    <row r="254" ht="15.75" customHeight="1">
      <c r="A254" s="16"/>
      <c r="B254" s="16"/>
      <c r="C254" s="16"/>
      <c r="D254" s="16"/>
      <c r="E254" s="17"/>
      <c r="J254" s="19"/>
    </row>
    <row r="255" ht="15.75" customHeight="1">
      <c r="A255" s="16"/>
      <c r="B255" s="16"/>
      <c r="C255" s="16"/>
      <c r="D255" s="16"/>
      <c r="E255" s="17"/>
      <c r="J255" s="19"/>
    </row>
    <row r="256" ht="15.75" customHeight="1">
      <c r="A256" s="16"/>
      <c r="B256" s="16"/>
      <c r="C256" s="16"/>
      <c r="D256" s="16"/>
      <c r="E256" s="17"/>
      <c r="J256" s="19"/>
    </row>
    <row r="257" ht="15.75" customHeight="1">
      <c r="A257" s="16"/>
      <c r="B257" s="16"/>
      <c r="C257" s="16"/>
      <c r="D257" s="16"/>
      <c r="E257" s="17"/>
      <c r="J257" s="19"/>
    </row>
    <row r="258" ht="15.75" customHeight="1">
      <c r="A258" s="16"/>
      <c r="B258" s="16"/>
      <c r="C258" s="16"/>
      <c r="D258" s="16"/>
      <c r="E258" s="17"/>
      <c r="J258" s="19"/>
    </row>
    <row r="259" ht="15.75" customHeight="1">
      <c r="A259" s="16"/>
      <c r="B259" s="16"/>
      <c r="C259" s="16"/>
      <c r="D259" s="16"/>
      <c r="E259" s="17"/>
      <c r="J259" s="19"/>
    </row>
    <row r="260" ht="15.75" customHeight="1">
      <c r="A260" s="16"/>
      <c r="B260" s="16"/>
      <c r="C260" s="16"/>
      <c r="D260" s="16"/>
      <c r="E260" s="17"/>
      <c r="J260" s="19"/>
    </row>
    <row r="261" ht="15.75" customHeight="1">
      <c r="A261" s="16"/>
      <c r="B261" s="16"/>
      <c r="C261" s="16"/>
      <c r="D261" s="16"/>
      <c r="E261" s="17"/>
      <c r="J261" s="19"/>
    </row>
    <row r="262" ht="15.75" customHeight="1">
      <c r="A262" s="16"/>
      <c r="B262" s="16"/>
      <c r="C262" s="16"/>
      <c r="D262" s="16"/>
      <c r="E262" s="17"/>
      <c r="J262" s="19"/>
    </row>
    <row r="263" ht="15.75" customHeight="1">
      <c r="A263" s="16"/>
      <c r="B263" s="16"/>
      <c r="C263" s="16"/>
      <c r="D263" s="16"/>
      <c r="E263" s="17"/>
      <c r="J263" s="19"/>
    </row>
    <row r="264" ht="15.75" customHeight="1">
      <c r="A264" s="16"/>
      <c r="B264" s="16"/>
      <c r="C264" s="16"/>
      <c r="D264" s="16"/>
      <c r="E264" s="17"/>
      <c r="J264" s="19"/>
    </row>
    <row r="265" ht="15.75" customHeight="1">
      <c r="A265" s="16"/>
      <c r="B265" s="16"/>
      <c r="C265" s="16"/>
      <c r="D265" s="16"/>
      <c r="E265" s="17"/>
      <c r="J265" s="19"/>
    </row>
    <row r="266" ht="15.75" customHeight="1">
      <c r="A266" s="16"/>
      <c r="B266" s="16"/>
      <c r="C266" s="16"/>
      <c r="D266" s="16"/>
      <c r="E266" s="17"/>
      <c r="J266" s="19"/>
    </row>
    <row r="267" ht="15.75" customHeight="1">
      <c r="A267" s="16"/>
      <c r="B267" s="16"/>
      <c r="C267" s="16"/>
      <c r="D267" s="16"/>
      <c r="E267" s="17"/>
      <c r="J267" s="19"/>
    </row>
    <row r="268" ht="15.75" customHeight="1">
      <c r="A268" s="16"/>
      <c r="B268" s="16"/>
      <c r="C268" s="16"/>
      <c r="D268" s="16"/>
      <c r="E268" s="17"/>
      <c r="J268" s="19"/>
    </row>
    <row r="269" ht="15.75" customHeight="1">
      <c r="A269" s="16"/>
      <c r="B269" s="16"/>
      <c r="C269" s="16"/>
      <c r="D269" s="16"/>
      <c r="E269" s="17"/>
      <c r="J269" s="19"/>
    </row>
    <row r="270" ht="15.75" customHeight="1">
      <c r="A270" s="16"/>
      <c r="B270" s="16"/>
      <c r="C270" s="16"/>
      <c r="D270" s="16"/>
      <c r="E270" s="17"/>
      <c r="J270" s="19"/>
    </row>
    <row r="271" ht="15.75" customHeight="1">
      <c r="A271" s="16"/>
      <c r="B271" s="16"/>
      <c r="C271" s="16"/>
      <c r="D271" s="16"/>
      <c r="E271" s="17"/>
      <c r="J271" s="19"/>
    </row>
    <row r="272" ht="15.75" customHeight="1">
      <c r="A272" s="16"/>
      <c r="B272" s="16"/>
      <c r="C272" s="16"/>
      <c r="D272" s="16"/>
      <c r="E272" s="17"/>
      <c r="J272" s="19"/>
    </row>
    <row r="273" ht="15.75" customHeight="1">
      <c r="A273" s="16"/>
      <c r="B273" s="16"/>
      <c r="C273" s="16"/>
      <c r="D273" s="16"/>
      <c r="E273" s="17"/>
      <c r="J273" s="19"/>
    </row>
    <row r="274" ht="15.75" customHeight="1">
      <c r="A274" s="16"/>
      <c r="B274" s="16"/>
      <c r="C274" s="16"/>
      <c r="D274" s="16"/>
      <c r="E274" s="17"/>
      <c r="J274" s="19"/>
    </row>
    <row r="275" ht="15.75" customHeight="1">
      <c r="A275" s="16"/>
      <c r="B275" s="16"/>
      <c r="C275" s="16"/>
      <c r="D275" s="16"/>
      <c r="E275" s="17"/>
      <c r="J275" s="19"/>
    </row>
    <row r="276" ht="15.75" customHeight="1">
      <c r="A276" s="16"/>
      <c r="B276" s="16"/>
      <c r="C276" s="16"/>
      <c r="D276" s="16"/>
      <c r="E276" s="17"/>
      <c r="J276" s="19"/>
    </row>
    <row r="277" ht="15.75" customHeight="1">
      <c r="A277" s="16"/>
      <c r="B277" s="16"/>
      <c r="C277" s="16"/>
      <c r="D277" s="16"/>
      <c r="E277" s="17"/>
      <c r="J277" s="19"/>
    </row>
    <row r="278" ht="15.75" customHeight="1">
      <c r="A278" s="16"/>
      <c r="B278" s="16"/>
      <c r="C278" s="16"/>
      <c r="D278" s="16"/>
      <c r="E278" s="17"/>
      <c r="J278" s="19"/>
    </row>
    <row r="279" ht="15.75" customHeight="1">
      <c r="A279" s="16"/>
      <c r="B279" s="16"/>
      <c r="C279" s="16"/>
      <c r="D279" s="16"/>
      <c r="E279" s="17"/>
      <c r="J279" s="19"/>
    </row>
    <row r="280" ht="15.75" customHeight="1">
      <c r="A280" s="16"/>
      <c r="B280" s="16"/>
      <c r="C280" s="16"/>
      <c r="D280" s="16"/>
      <c r="E280" s="17"/>
      <c r="J280" s="19"/>
    </row>
    <row r="281" ht="15.75" customHeight="1">
      <c r="A281" s="16"/>
      <c r="B281" s="16"/>
      <c r="C281" s="16"/>
      <c r="D281" s="16"/>
      <c r="E281" s="17"/>
      <c r="J281" s="19"/>
    </row>
    <row r="282" ht="15.75" customHeight="1">
      <c r="A282" s="16"/>
      <c r="B282" s="16"/>
      <c r="C282" s="16"/>
      <c r="D282" s="16"/>
      <c r="E282" s="17"/>
      <c r="J282" s="19"/>
    </row>
    <row r="283" ht="15.75" customHeight="1">
      <c r="A283" s="16"/>
      <c r="B283" s="16"/>
      <c r="C283" s="16"/>
      <c r="D283" s="16"/>
      <c r="E283" s="17"/>
      <c r="J283" s="19"/>
    </row>
    <row r="284" ht="15.75" customHeight="1">
      <c r="A284" s="16"/>
      <c r="B284" s="16"/>
      <c r="C284" s="16"/>
      <c r="D284" s="16"/>
      <c r="E284" s="17"/>
      <c r="J284" s="19"/>
    </row>
    <row r="285" ht="15.75" customHeight="1">
      <c r="A285" s="16"/>
      <c r="B285" s="16"/>
      <c r="C285" s="16"/>
      <c r="D285" s="16"/>
      <c r="E285" s="17"/>
      <c r="J285" s="19"/>
    </row>
    <row r="286" ht="15.75" customHeight="1">
      <c r="A286" s="16"/>
      <c r="B286" s="16"/>
      <c r="C286" s="16"/>
      <c r="D286" s="16"/>
      <c r="E286" s="17"/>
      <c r="J286" s="19"/>
    </row>
    <row r="287" ht="15.75" customHeight="1">
      <c r="A287" s="16"/>
      <c r="B287" s="16"/>
      <c r="C287" s="16"/>
      <c r="D287" s="16"/>
      <c r="E287" s="17"/>
      <c r="J287" s="19"/>
    </row>
    <row r="288" ht="15.75" customHeight="1">
      <c r="A288" s="16"/>
      <c r="B288" s="16"/>
      <c r="C288" s="16"/>
      <c r="D288" s="16"/>
      <c r="E288" s="17"/>
      <c r="J288" s="19"/>
    </row>
    <row r="289" ht="15.75" customHeight="1">
      <c r="A289" s="16"/>
      <c r="B289" s="16"/>
      <c r="C289" s="16"/>
      <c r="D289" s="16"/>
      <c r="E289" s="17"/>
      <c r="J289" s="19"/>
    </row>
    <row r="290" ht="15.75" customHeight="1">
      <c r="A290" s="16"/>
      <c r="B290" s="16"/>
      <c r="C290" s="16"/>
      <c r="D290" s="16"/>
      <c r="E290" s="17"/>
      <c r="J290" s="19"/>
    </row>
    <row r="291" ht="15.75" customHeight="1">
      <c r="A291" s="16"/>
      <c r="B291" s="16"/>
      <c r="C291" s="16"/>
      <c r="D291" s="16"/>
      <c r="E291" s="17"/>
      <c r="J291" s="19"/>
    </row>
    <row r="292" ht="15.75" customHeight="1">
      <c r="A292" s="16"/>
      <c r="B292" s="16"/>
      <c r="C292" s="16"/>
      <c r="D292" s="16"/>
      <c r="E292" s="17"/>
      <c r="J292" s="19"/>
    </row>
    <row r="293" ht="15.75" customHeight="1">
      <c r="A293" s="16"/>
      <c r="B293" s="16"/>
      <c r="C293" s="16"/>
      <c r="D293" s="16"/>
      <c r="E293" s="17"/>
      <c r="J293" s="19"/>
    </row>
    <row r="294" ht="15.75" customHeight="1">
      <c r="A294" s="16"/>
      <c r="B294" s="16"/>
      <c r="C294" s="16"/>
      <c r="D294" s="16"/>
      <c r="E294" s="17"/>
      <c r="J294" s="19"/>
    </row>
    <row r="295" ht="15.75" customHeight="1">
      <c r="A295" s="16"/>
      <c r="B295" s="16"/>
      <c r="C295" s="16"/>
      <c r="D295" s="16"/>
      <c r="E295" s="17"/>
      <c r="J295" s="19"/>
    </row>
    <row r="296" ht="15.75" customHeight="1">
      <c r="A296" s="16"/>
      <c r="B296" s="16"/>
      <c r="C296" s="16"/>
      <c r="D296" s="16"/>
      <c r="E296" s="17"/>
      <c r="J296" s="19"/>
    </row>
    <row r="297" ht="15.75" customHeight="1">
      <c r="A297" s="16"/>
      <c r="B297" s="16"/>
      <c r="C297" s="16"/>
      <c r="D297" s="16"/>
      <c r="E297" s="17"/>
      <c r="J297" s="19"/>
    </row>
    <row r="298" ht="15.75" customHeight="1">
      <c r="A298" s="16"/>
      <c r="B298" s="16"/>
      <c r="C298" s="16"/>
      <c r="D298" s="16"/>
      <c r="E298" s="17"/>
      <c r="J298" s="19"/>
    </row>
    <row r="299" ht="15.75" customHeight="1">
      <c r="A299" s="16"/>
      <c r="B299" s="16"/>
      <c r="C299" s="16"/>
      <c r="D299" s="16"/>
      <c r="E299" s="17"/>
      <c r="J299" s="19"/>
    </row>
    <row r="300" ht="15.75" customHeight="1">
      <c r="A300" s="16"/>
      <c r="B300" s="16"/>
      <c r="C300" s="16"/>
      <c r="D300" s="16"/>
      <c r="E300" s="17"/>
      <c r="J300" s="19"/>
    </row>
    <row r="301" ht="15.75" customHeight="1">
      <c r="A301" s="16"/>
      <c r="B301" s="16"/>
      <c r="C301" s="16"/>
      <c r="D301" s="16"/>
      <c r="E301" s="17"/>
      <c r="J301" s="19"/>
    </row>
    <row r="302" ht="15.75" customHeight="1">
      <c r="A302" s="16"/>
      <c r="B302" s="16"/>
      <c r="C302" s="16"/>
      <c r="D302" s="16"/>
      <c r="E302" s="17"/>
      <c r="J302" s="19"/>
    </row>
    <row r="303" ht="15.75" customHeight="1">
      <c r="A303" s="16"/>
      <c r="B303" s="16"/>
      <c r="C303" s="16"/>
      <c r="D303" s="16"/>
      <c r="E303" s="17"/>
      <c r="J303" s="19"/>
    </row>
    <row r="304" ht="15.75" customHeight="1">
      <c r="A304" s="16"/>
      <c r="B304" s="16"/>
      <c r="C304" s="16"/>
      <c r="D304" s="16"/>
      <c r="E304" s="17"/>
      <c r="J304" s="19"/>
    </row>
    <row r="305" ht="15.75" customHeight="1">
      <c r="A305" s="16"/>
      <c r="B305" s="16"/>
      <c r="C305" s="16"/>
      <c r="D305" s="16"/>
      <c r="E305" s="17"/>
      <c r="J305" s="19"/>
    </row>
    <row r="306" ht="15.75" customHeight="1">
      <c r="A306" s="16"/>
      <c r="B306" s="16"/>
      <c r="C306" s="16"/>
      <c r="D306" s="16"/>
      <c r="E306" s="17"/>
      <c r="J306" s="19"/>
    </row>
    <row r="307" ht="15.75" customHeight="1">
      <c r="A307" s="16"/>
      <c r="B307" s="16"/>
      <c r="C307" s="16"/>
      <c r="D307" s="16"/>
      <c r="E307" s="17"/>
      <c r="J307" s="19"/>
    </row>
    <row r="308" ht="15.75" customHeight="1">
      <c r="A308" s="16"/>
      <c r="B308" s="16"/>
      <c r="C308" s="16"/>
      <c r="D308" s="16"/>
      <c r="E308" s="17"/>
      <c r="J308" s="19"/>
    </row>
    <row r="309" ht="15.75" customHeight="1">
      <c r="A309" s="16"/>
      <c r="B309" s="16"/>
      <c r="C309" s="16"/>
      <c r="D309" s="16"/>
      <c r="E309" s="17"/>
      <c r="J309" s="19"/>
    </row>
    <row r="310" ht="15.75" customHeight="1">
      <c r="A310" s="16"/>
      <c r="B310" s="16"/>
      <c r="C310" s="16"/>
      <c r="D310" s="16"/>
      <c r="E310" s="17"/>
      <c r="J310" s="19"/>
    </row>
    <row r="311" ht="15.75" customHeight="1">
      <c r="A311" s="16"/>
      <c r="B311" s="16"/>
      <c r="C311" s="16"/>
      <c r="D311" s="16"/>
      <c r="E311" s="17"/>
      <c r="J311" s="19"/>
    </row>
    <row r="312" ht="15.75" customHeight="1">
      <c r="A312" s="16"/>
      <c r="B312" s="16"/>
      <c r="C312" s="16"/>
      <c r="D312" s="16"/>
      <c r="E312" s="17"/>
      <c r="J312" s="19"/>
    </row>
    <row r="313" ht="15.75" customHeight="1">
      <c r="A313" s="16"/>
      <c r="B313" s="16"/>
      <c r="C313" s="16"/>
      <c r="D313" s="16"/>
      <c r="E313" s="17"/>
      <c r="J313" s="19"/>
    </row>
    <row r="314" ht="15.75" customHeight="1">
      <c r="A314" s="16"/>
      <c r="B314" s="16"/>
      <c r="C314" s="16"/>
      <c r="D314" s="16"/>
      <c r="E314" s="17"/>
      <c r="J314" s="19"/>
    </row>
    <row r="315" ht="15.75" customHeight="1">
      <c r="A315" s="16"/>
      <c r="B315" s="16"/>
      <c r="C315" s="16"/>
      <c r="D315" s="16"/>
      <c r="E315" s="17"/>
      <c r="J315" s="19"/>
    </row>
    <row r="316" ht="15.75" customHeight="1">
      <c r="A316" s="16"/>
      <c r="B316" s="16"/>
      <c r="C316" s="16"/>
      <c r="D316" s="16"/>
      <c r="E316" s="17"/>
      <c r="J316" s="19"/>
    </row>
    <row r="317" ht="15.75" customHeight="1">
      <c r="A317" s="16"/>
      <c r="B317" s="16"/>
      <c r="C317" s="16"/>
      <c r="D317" s="16"/>
      <c r="E317" s="17"/>
      <c r="J317" s="19"/>
    </row>
    <row r="318" ht="15.75" customHeight="1">
      <c r="A318" s="16"/>
      <c r="B318" s="16"/>
      <c r="C318" s="16"/>
      <c r="D318" s="16"/>
      <c r="E318" s="17"/>
      <c r="J318" s="19"/>
    </row>
    <row r="319" ht="15.75" customHeight="1">
      <c r="A319" s="16"/>
      <c r="B319" s="16"/>
      <c r="C319" s="16"/>
      <c r="D319" s="16"/>
      <c r="E319" s="17"/>
      <c r="J319" s="19"/>
    </row>
    <row r="320" ht="15.75" customHeight="1">
      <c r="A320" s="16"/>
      <c r="B320" s="16"/>
      <c r="C320" s="16"/>
      <c r="D320" s="16"/>
      <c r="E320" s="17"/>
      <c r="J320" s="19"/>
    </row>
    <row r="321" ht="15.75" customHeight="1">
      <c r="A321" s="16"/>
      <c r="B321" s="16"/>
      <c r="C321" s="16"/>
      <c r="D321" s="16"/>
      <c r="E321" s="17"/>
      <c r="J321" s="19"/>
    </row>
    <row r="322" ht="15.75" customHeight="1">
      <c r="A322" s="16"/>
      <c r="B322" s="16"/>
      <c r="C322" s="16"/>
      <c r="D322" s="16"/>
      <c r="E322" s="17"/>
      <c r="J322" s="19"/>
    </row>
    <row r="323" ht="15.75" customHeight="1">
      <c r="A323" s="16"/>
      <c r="B323" s="16"/>
      <c r="C323" s="16"/>
      <c r="D323" s="16"/>
      <c r="E323" s="17"/>
      <c r="J323" s="19"/>
    </row>
    <row r="324" ht="15.75" customHeight="1">
      <c r="A324" s="16"/>
      <c r="B324" s="16"/>
      <c r="C324" s="16"/>
      <c r="D324" s="16"/>
      <c r="E324" s="17"/>
      <c r="J324" s="19"/>
    </row>
    <row r="325" ht="15.75" customHeight="1">
      <c r="A325" s="16"/>
      <c r="B325" s="16"/>
      <c r="C325" s="16"/>
      <c r="D325" s="16"/>
      <c r="E325" s="17"/>
      <c r="J325" s="19"/>
    </row>
    <row r="326" ht="15.75" customHeight="1">
      <c r="A326" s="16"/>
      <c r="B326" s="16"/>
      <c r="C326" s="16"/>
      <c r="D326" s="16"/>
      <c r="E326" s="17"/>
      <c r="J326" s="19"/>
    </row>
    <row r="327" ht="15.75" customHeight="1">
      <c r="A327" s="16"/>
      <c r="B327" s="16"/>
      <c r="C327" s="16"/>
      <c r="D327" s="16"/>
      <c r="E327" s="17"/>
      <c r="J327" s="19"/>
    </row>
    <row r="328" ht="15.75" customHeight="1">
      <c r="A328" s="16"/>
      <c r="B328" s="16"/>
      <c r="C328" s="16"/>
      <c r="D328" s="16"/>
      <c r="E328" s="17"/>
      <c r="J328" s="19"/>
    </row>
    <row r="329" ht="15.75" customHeight="1">
      <c r="A329" s="16"/>
      <c r="B329" s="16"/>
      <c r="C329" s="16"/>
      <c r="D329" s="16"/>
      <c r="E329" s="17"/>
      <c r="J329" s="19"/>
    </row>
    <row r="330" ht="15.75" customHeight="1">
      <c r="A330" s="16"/>
      <c r="B330" s="16"/>
      <c r="C330" s="16"/>
      <c r="D330" s="16"/>
      <c r="E330" s="17"/>
      <c r="J330" s="19"/>
    </row>
    <row r="331" ht="15.75" customHeight="1">
      <c r="A331" s="16"/>
      <c r="B331" s="16"/>
      <c r="C331" s="16"/>
      <c r="D331" s="16"/>
      <c r="E331" s="17"/>
      <c r="J331" s="19"/>
    </row>
    <row r="332" ht="15.75" customHeight="1">
      <c r="A332" s="16"/>
      <c r="B332" s="16"/>
      <c r="C332" s="16"/>
      <c r="D332" s="16"/>
      <c r="E332" s="17"/>
      <c r="J332" s="19"/>
    </row>
    <row r="333" ht="15.75" customHeight="1">
      <c r="A333" s="16"/>
      <c r="B333" s="16"/>
      <c r="C333" s="16"/>
      <c r="D333" s="16"/>
      <c r="E333" s="17"/>
      <c r="J333" s="19"/>
    </row>
    <row r="334" ht="15.75" customHeight="1">
      <c r="A334" s="16"/>
      <c r="B334" s="16"/>
      <c r="C334" s="16"/>
      <c r="D334" s="16"/>
      <c r="E334" s="17"/>
      <c r="J334" s="19"/>
    </row>
    <row r="335" ht="15.75" customHeight="1">
      <c r="A335" s="16"/>
      <c r="B335" s="16"/>
      <c r="C335" s="16"/>
      <c r="D335" s="16"/>
      <c r="E335" s="17"/>
      <c r="J335" s="19"/>
    </row>
    <row r="336" ht="15.75" customHeight="1">
      <c r="A336" s="16"/>
      <c r="B336" s="16"/>
      <c r="C336" s="16"/>
      <c r="D336" s="16"/>
      <c r="E336" s="17"/>
      <c r="J336" s="19"/>
    </row>
    <row r="337" ht="15.75" customHeight="1">
      <c r="A337" s="16"/>
      <c r="B337" s="16"/>
      <c r="C337" s="16"/>
      <c r="D337" s="16"/>
      <c r="E337" s="17"/>
      <c r="J337" s="19"/>
    </row>
    <row r="338" ht="15.75" customHeight="1">
      <c r="A338" s="16"/>
      <c r="B338" s="16"/>
      <c r="C338" s="16"/>
      <c r="D338" s="16"/>
      <c r="E338" s="17"/>
      <c r="J338" s="19"/>
    </row>
    <row r="339" ht="15.75" customHeight="1">
      <c r="A339" s="16"/>
      <c r="B339" s="16"/>
      <c r="C339" s="16"/>
      <c r="D339" s="16"/>
      <c r="E339" s="17"/>
      <c r="J339" s="19"/>
    </row>
    <row r="340" ht="15.75" customHeight="1">
      <c r="A340" s="16"/>
      <c r="B340" s="16"/>
      <c r="C340" s="16"/>
      <c r="D340" s="16"/>
      <c r="E340" s="17"/>
      <c r="J340" s="19"/>
    </row>
    <row r="341" ht="15.75" customHeight="1">
      <c r="A341" s="16"/>
      <c r="B341" s="16"/>
      <c r="C341" s="16"/>
      <c r="D341" s="16"/>
      <c r="E341" s="17"/>
      <c r="J341" s="19"/>
    </row>
    <row r="342" ht="15.75" customHeight="1">
      <c r="A342" s="16"/>
      <c r="B342" s="16"/>
      <c r="C342" s="16"/>
      <c r="D342" s="16"/>
      <c r="E342" s="17"/>
      <c r="J342" s="19"/>
    </row>
    <row r="343" ht="15.75" customHeight="1">
      <c r="A343" s="16"/>
      <c r="B343" s="16"/>
      <c r="C343" s="16"/>
      <c r="D343" s="16"/>
      <c r="E343" s="17"/>
      <c r="J343" s="19"/>
    </row>
    <row r="344" ht="15.75" customHeight="1">
      <c r="A344" s="16"/>
      <c r="B344" s="16"/>
      <c r="C344" s="16"/>
      <c r="D344" s="16"/>
      <c r="E344" s="17"/>
      <c r="J344" s="19"/>
    </row>
    <row r="345" ht="15.75" customHeight="1">
      <c r="A345" s="16"/>
      <c r="B345" s="16"/>
      <c r="C345" s="16"/>
      <c r="D345" s="16"/>
      <c r="E345" s="17"/>
      <c r="J345" s="19"/>
    </row>
    <row r="346" ht="15.75" customHeight="1">
      <c r="A346" s="16"/>
      <c r="B346" s="16"/>
      <c r="C346" s="16"/>
      <c r="D346" s="16"/>
      <c r="E346" s="17"/>
      <c r="J346" s="19"/>
    </row>
    <row r="347" ht="15.75" customHeight="1">
      <c r="A347" s="16"/>
      <c r="B347" s="16"/>
      <c r="C347" s="16"/>
      <c r="D347" s="16"/>
      <c r="E347" s="17"/>
      <c r="J347" s="19"/>
    </row>
    <row r="348" ht="15.75" customHeight="1">
      <c r="A348" s="16"/>
      <c r="B348" s="16"/>
      <c r="C348" s="16"/>
      <c r="D348" s="16"/>
      <c r="E348" s="17"/>
      <c r="J348" s="19"/>
    </row>
    <row r="349" ht="15.75" customHeight="1">
      <c r="A349" s="16"/>
      <c r="B349" s="16"/>
      <c r="C349" s="16"/>
      <c r="D349" s="16"/>
      <c r="E349" s="17"/>
      <c r="J349" s="19"/>
    </row>
    <row r="350" ht="15.75" customHeight="1">
      <c r="A350" s="16"/>
      <c r="B350" s="16"/>
      <c r="C350" s="16"/>
      <c r="D350" s="16"/>
      <c r="E350" s="17"/>
      <c r="J350" s="19"/>
    </row>
    <row r="351" ht="15.75" customHeight="1">
      <c r="A351" s="16"/>
      <c r="B351" s="16"/>
      <c r="C351" s="16"/>
      <c r="D351" s="16"/>
      <c r="E351" s="17"/>
      <c r="J351" s="19"/>
    </row>
    <row r="352" ht="15.75" customHeight="1">
      <c r="A352" s="16"/>
      <c r="B352" s="16"/>
      <c r="C352" s="16"/>
      <c r="D352" s="16"/>
      <c r="E352" s="17"/>
      <c r="J352" s="19"/>
    </row>
    <row r="353" ht="15.75" customHeight="1">
      <c r="A353" s="16"/>
      <c r="B353" s="16"/>
      <c r="C353" s="16"/>
      <c r="D353" s="16"/>
      <c r="E353" s="17"/>
      <c r="J353" s="19"/>
    </row>
    <row r="354" ht="15.75" customHeight="1">
      <c r="A354" s="16"/>
      <c r="B354" s="16"/>
      <c r="C354" s="16"/>
      <c r="D354" s="16"/>
      <c r="E354" s="17"/>
      <c r="J354" s="19"/>
    </row>
    <row r="355" ht="15.75" customHeight="1">
      <c r="A355" s="16"/>
      <c r="B355" s="16"/>
      <c r="C355" s="16"/>
      <c r="D355" s="16"/>
      <c r="E355" s="17"/>
      <c r="J355" s="19"/>
    </row>
    <row r="356" ht="15.75" customHeight="1">
      <c r="A356" s="16"/>
      <c r="B356" s="16"/>
      <c r="C356" s="16"/>
      <c r="D356" s="16"/>
      <c r="E356" s="17"/>
      <c r="J356" s="19"/>
    </row>
    <row r="357" ht="15.75" customHeight="1">
      <c r="A357" s="16"/>
      <c r="B357" s="16"/>
      <c r="C357" s="16"/>
      <c r="D357" s="16"/>
      <c r="E357" s="17"/>
      <c r="J357" s="19"/>
    </row>
    <row r="358" ht="15.75" customHeight="1">
      <c r="A358" s="16"/>
      <c r="B358" s="16"/>
      <c r="C358" s="16"/>
      <c r="D358" s="16"/>
      <c r="E358" s="17"/>
      <c r="J358" s="19"/>
    </row>
    <row r="359" ht="15.75" customHeight="1">
      <c r="A359" s="16"/>
      <c r="B359" s="16"/>
      <c r="C359" s="16"/>
      <c r="D359" s="16"/>
      <c r="E359" s="17"/>
      <c r="J359" s="19"/>
    </row>
    <row r="360" ht="15.75" customHeight="1">
      <c r="A360" s="16"/>
      <c r="B360" s="16"/>
      <c r="C360" s="16"/>
      <c r="D360" s="16"/>
      <c r="E360" s="17"/>
      <c r="J360" s="19"/>
    </row>
    <row r="361" ht="15.75" customHeight="1">
      <c r="A361" s="16"/>
      <c r="B361" s="16"/>
      <c r="C361" s="16"/>
      <c r="D361" s="16"/>
      <c r="E361" s="17"/>
      <c r="J361" s="19"/>
    </row>
    <row r="362" ht="15.75" customHeight="1">
      <c r="A362" s="16"/>
      <c r="B362" s="16"/>
      <c r="C362" s="16"/>
      <c r="D362" s="16"/>
      <c r="E362" s="17"/>
      <c r="J362" s="19"/>
    </row>
    <row r="363" ht="15.75" customHeight="1">
      <c r="A363" s="16"/>
      <c r="B363" s="16"/>
      <c r="C363" s="16"/>
      <c r="D363" s="16"/>
      <c r="E363" s="17"/>
      <c r="J363" s="19"/>
    </row>
    <row r="364" ht="15.75" customHeight="1">
      <c r="A364" s="16"/>
      <c r="B364" s="16"/>
      <c r="C364" s="16"/>
      <c r="D364" s="16"/>
      <c r="E364" s="17"/>
      <c r="J364" s="19"/>
    </row>
    <row r="365" ht="15.75" customHeight="1">
      <c r="A365" s="16"/>
      <c r="B365" s="16"/>
      <c r="C365" s="16"/>
      <c r="D365" s="16"/>
      <c r="E365" s="17"/>
      <c r="J365" s="19"/>
    </row>
    <row r="366" ht="15.75" customHeight="1">
      <c r="A366" s="16"/>
      <c r="B366" s="16"/>
      <c r="C366" s="16"/>
      <c r="D366" s="16"/>
      <c r="E366" s="17"/>
      <c r="J366" s="19"/>
    </row>
    <row r="367" ht="15.75" customHeight="1">
      <c r="A367" s="16"/>
      <c r="B367" s="16"/>
      <c r="C367" s="16"/>
      <c r="D367" s="16"/>
      <c r="E367" s="17"/>
      <c r="J367" s="19"/>
    </row>
    <row r="368" ht="15.75" customHeight="1">
      <c r="A368" s="16"/>
      <c r="B368" s="16"/>
      <c r="C368" s="16"/>
      <c r="D368" s="16"/>
      <c r="E368" s="17"/>
      <c r="J368" s="19"/>
    </row>
    <row r="369" ht="15.75" customHeight="1">
      <c r="A369" s="16"/>
      <c r="B369" s="16"/>
      <c r="C369" s="16"/>
      <c r="D369" s="16"/>
      <c r="E369" s="17"/>
      <c r="J369" s="19"/>
    </row>
    <row r="370" ht="15.75" customHeight="1">
      <c r="A370" s="16"/>
      <c r="B370" s="16"/>
      <c r="C370" s="16"/>
      <c r="D370" s="16"/>
      <c r="E370" s="17"/>
      <c r="J370" s="19"/>
    </row>
    <row r="371" ht="15.75" customHeight="1">
      <c r="A371" s="16"/>
      <c r="B371" s="16"/>
      <c r="C371" s="16"/>
      <c r="D371" s="16"/>
      <c r="E371" s="17"/>
      <c r="J371" s="19"/>
    </row>
    <row r="372" ht="15.75" customHeight="1">
      <c r="A372" s="16"/>
      <c r="B372" s="16"/>
      <c r="C372" s="16"/>
      <c r="D372" s="16"/>
      <c r="E372" s="17"/>
      <c r="J372" s="19"/>
    </row>
    <row r="373" ht="15.75" customHeight="1">
      <c r="A373" s="16"/>
      <c r="B373" s="16"/>
      <c r="C373" s="16"/>
      <c r="D373" s="16"/>
      <c r="E373" s="17"/>
      <c r="J373" s="19"/>
    </row>
    <row r="374" ht="15.75" customHeight="1">
      <c r="A374" s="16"/>
      <c r="B374" s="16"/>
      <c r="C374" s="16"/>
      <c r="D374" s="16"/>
      <c r="E374" s="17"/>
      <c r="J374" s="19"/>
    </row>
    <row r="375" ht="15.75" customHeight="1">
      <c r="A375" s="16"/>
      <c r="B375" s="16"/>
      <c r="C375" s="16"/>
      <c r="D375" s="16"/>
      <c r="E375" s="17"/>
      <c r="J375" s="19"/>
    </row>
    <row r="376" ht="15.75" customHeight="1">
      <c r="A376" s="16"/>
      <c r="B376" s="16"/>
      <c r="C376" s="16"/>
      <c r="D376" s="16"/>
      <c r="E376" s="17"/>
      <c r="J376" s="19"/>
    </row>
    <row r="377" ht="15.75" customHeight="1">
      <c r="A377" s="16"/>
      <c r="B377" s="16"/>
      <c r="C377" s="16"/>
      <c r="D377" s="16"/>
      <c r="E377" s="17"/>
      <c r="J377" s="19"/>
    </row>
    <row r="378" ht="15.75" customHeight="1">
      <c r="A378" s="16"/>
      <c r="B378" s="16"/>
      <c r="C378" s="16"/>
      <c r="D378" s="16"/>
      <c r="E378" s="17"/>
      <c r="J378" s="19"/>
    </row>
    <row r="379" ht="15.75" customHeight="1">
      <c r="A379" s="16"/>
      <c r="B379" s="16"/>
      <c r="C379" s="16"/>
      <c r="D379" s="16"/>
      <c r="E379" s="17"/>
      <c r="J379" s="19"/>
    </row>
    <row r="380" ht="15.75" customHeight="1">
      <c r="A380" s="16"/>
      <c r="B380" s="16"/>
      <c r="C380" s="16"/>
      <c r="D380" s="16"/>
      <c r="E380" s="17"/>
      <c r="J380" s="19"/>
    </row>
    <row r="381" ht="15.75" customHeight="1">
      <c r="A381" s="16"/>
      <c r="B381" s="16"/>
      <c r="C381" s="16"/>
      <c r="D381" s="16"/>
      <c r="E381" s="17"/>
      <c r="J381" s="19"/>
    </row>
    <row r="382" ht="15.75" customHeight="1">
      <c r="E382" s="56"/>
      <c r="J382" s="19"/>
    </row>
    <row r="383" ht="15.75" customHeight="1">
      <c r="E383" s="56"/>
      <c r="J383" s="19"/>
    </row>
    <row r="384" ht="15.75" customHeight="1">
      <c r="E384" s="56"/>
      <c r="J384" s="19"/>
    </row>
  </sheetData>
  <mergeCells count="27">
    <mergeCell ref="J5:J32"/>
    <mergeCell ref="J33:J60"/>
    <mergeCell ref="J61:J88"/>
    <mergeCell ref="J89:J116"/>
    <mergeCell ref="J117:J144"/>
    <mergeCell ref="J145:J172"/>
    <mergeCell ref="J173:J200"/>
    <mergeCell ref="J201:J228"/>
    <mergeCell ref="A2:B2"/>
    <mergeCell ref="D2:J2"/>
    <mergeCell ref="L2:M3"/>
    <mergeCell ref="D5:D32"/>
    <mergeCell ref="E5:E32"/>
    <mergeCell ref="D33:D60"/>
    <mergeCell ref="E33:E60"/>
    <mergeCell ref="D145:D172"/>
    <mergeCell ref="D173:D200"/>
    <mergeCell ref="D201:D228"/>
    <mergeCell ref="E173:E200"/>
    <mergeCell ref="E201:E228"/>
    <mergeCell ref="D61:D88"/>
    <mergeCell ref="E61:E88"/>
    <mergeCell ref="D89:D116"/>
    <mergeCell ref="E89:E116"/>
    <mergeCell ref="D117:D144"/>
    <mergeCell ref="E117:E144"/>
    <mergeCell ref="E145:E17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16"/>
      <c r="B1" s="16"/>
      <c r="C1" s="16"/>
      <c r="D1" s="16"/>
      <c r="E1" s="17"/>
      <c r="F1" s="18"/>
      <c r="G1" s="18"/>
      <c r="H1" s="18"/>
      <c r="I1" s="18"/>
      <c r="J1" s="19"/>
      <c r="K1" s="18"/>
      <c r="L1" s="18"/>
      <c r="M1" s="18"/>
      <c r="N1" s="18"/>
    </row>
    <row r="2" ht="15.75" customHeight="1">
      <c r="A2" s="20" t="s">
        <v>44</v>
      </c>
      <c r="B2" s="21"/>
      <c r="C2" s="22"/>
      <c r="D2" s="22" t="s">
        <v>45</v>
      </c>
      <c r="K2" s="18"/>
      <c r="L2" s="23" t="s">
        <v>46</v>
      </c>
      <c r="M2" s="24"/>
      <c r="N2" s="18"/>
    </row>
    <row r="3" ht="15.75" customHeight="1">
      <c r="A3" s="25" t="s">
        <v>47</v>
      </c>
      <c r="B3" s="26" t="s">
        <v>48</v>
      </c>
      <c r="C3" s="16"/>
      <c r="D3" s="16"/>
      <c r="E3" s="17"/>
      <c r="F3" s="18"/>
      <c r="G3" s="18"/>
      <c r="H3" s="18"/>
      <c r="I3" s="18"/>
      <c r="J3" s="27"/>
      <c r="K3" s="18"/>
      <c r="L3" s="28"/>
      <c r="M3" s="29"/>
      <c r="N3" s="18"/>
    </row>
    <row r="4" ht="15.75" customHeight="1">
      <c r="A4" s="30" t="s">
        <v>21</v>
      </c>
      <c r="B4" s="31">
        <v>5000.0</v>
      </c>
      <c r="C4" s="32"/>
      <c r="D4" s="33" t="s">
        <v>1</v>
      </c>
      <c r="E4" s="34" t="s">
        <v>49</v>
      </c>
      <c r="F4" s="35" t="s">
        <v>50</v>
      </c>
      <c r="G4" s="36" t="s">
        <v>51</v>
      </c>
      <c r="H4" s="36" t="s">
        <v>52</v>
      </c>
      <c r="I4" s="36" t="s">
        <v>53</v>
      </c>
      <c r="J4" s="37" t="s">
        <v>54</v>
      </c>
      <c r="K4" s="18"/>
      <c r="L4" s="38" t="s">
        <v>55</v>
      </c>
      <c r="M4" s="38" t="s">
        <v>51</v>
      </c>
      <c r="N4" s="18"/>
    </row>
    <row r="5" ht="15.75" customHeight="1">
      <c r="A5" s="30" t="s">
        <v>56</v>
      </c>
      <c r="B5" s="31">
        <v>3000.0</v>
      </c>
      <c r="C5" s="39"/>
      <c r="D5" s="40">
        <v>1.0</v>
      </c>
      <c r="E5" s="41" t="s">
        <v>72</v>
      </c>
      <c r="F5" s="42" t="s">
        <v>21</v>
      </c>
      <c r="G5" s="43">
        <v>1.0</v>
      </c>
      <c r="H5" s="44">
        <f>VLOOKUP(F5,$A$4:$B$4,2,TRUE)</f>
        <v>5000</v>
      </c>
      <c r="I5" s="45">
        <f t="shared" ref="I5:I370" si="1">G5*H5</f>
        <v>5000</v>
      </c>
      <c r="J5" s="46">
        <f>SUM(I5:I32)</f>
        <v>20300</v>
      </c>
      <c r="K5" s="18"/>
      <c r="L5" s="42" t="s">
        <v>21</v>
      </c>
      <c r="M5" s="38">
        <f>SUMIF(F5:F368,"Gelas bersih",G5:G368)</f>
        <v>1</v>
      </c>
      <c r="N5" s="18"/>
    </row>
    <row r="6" ht="15.75" customHeight="1">
      <c r="A6" s="30" t="s">
        <v>58</v>
      </c>
      <c r="B6" s="31">
        <v>1000.0</v>
      </c>
      <c r="C6" s="39"/>
      <c r="D6" s="47"/>
      <c r="E6" s="47"/>
      <c r="F6" s="42" t="s">
        <v>56</v>
      </c>
      <c r="G6" s="43">
        <v>2.0</v>
      </c>
      <c r="H6" s="48">
        <f>VLOOKUP(F6,$A$5:$B$5,2,TRUE)</f>
        <v>3000</v>
      </c>
      <c r="I6" s="45">
        <f t="shared" si="1"/>
        <v>6000</v>
      </c>
      <c r="J6" s="47"/>
      <c r="K6" s="18"/>
      <c r="L6" s="42" t="s">
        <v>56</v>
      </c>
      <c r="M6" s="38">
        <f>SUMIF(F6:F369,"Botol bersih",G6:G369)</f>
        <v>12</v>
      </c>
      <c r="N6" s="18"/>
    </row>
    <row r="7" ht="15.75" customHeight="1">
      <c r="A7" s="30" t="s">
        <v>24</v>
      </c>
      <c r="B7" s="31">
        <v>2800.0</v>
      </c>
      <c r="C7" s="39"/>
      <c r="D7" s="47"/>
      <c r="E7" s="47"/>
      <c r="F7" s="42" t="s">
        <v>58</v>
      </c>
      <c r="G7" s="43"/>
      <c r="H7" s="48">
        <f>VLOOKUP(F7,$A$6:$B$6,2,TRUE)</f>
        <v>1000</v>
      </c>
      <c r="I7" s="45">
        <f t="shared" si="1"/>
        <v>0</v>
      </c>
      <c r="J7" s="47"/>
      <c r="K7" s="18"/>
      <c r="L7" s="42" t="s">
        <v>58</v>
      </c>
      <c r="M7" s="38">
        <f>SUMIF(F7:F370,"Botol Warna",G7:G370)</f>
        <v>0</v>
      </c>
      <c r="N7" s="18"/>
    </row>
    <row r="8" ht="15.75" customHeight="1">
      <c r="A8" s="30" t="s">
        <v>25</v>
      </c>
      <c r="B8" s="31">
        <v>3500.0</v>
      </c>
      <c r="C8" s="39"/>
      <c r="D8" s="47"/>
      <c r="E8" s="47"/>
      <c r="F8" s="42" t="s">
        <v>24</v>
      </c>
      <c r="G8" s="43">
        <v>1.0</v>
      </c>
      <c r="H8" s="48">
        <f>VLOOKUP(F8,$A$7:$B$7,2,TRUE)</f>
        <v>2800</v>
      </c>
      <c r="I8" s="45">
        <f t="shared" si="1"/>
        <v>2800</v>
      </c>
      <c r="J8" s="47"/>
      <c r="K8" s="18"/>
      <c r="L8" s="42" t="s">
        <v>24</v>
      </c>
      <c r="M8" s="38">
        <f>SUMIF(F8:F371,"Tutup botol",G8:G371)</f>
        <v>1</v>
      </c>
      <c r="N8" s="18"/>
    </row>
    <row r="9" ht="15.75" customHeight="1">
      <c r="A9" s="30" t="s">
        <v>26</v>
      </c>
      <c r="B9" s="31">
        <v>1000.0</v>
      </c>
      <c r="C9" s="39"/>
      <c r="D9" s="47"/>
      <c r="E9" s="47"/>
      <c r="F9" s="42" t="s">
        <v>25</v>
      </c>
      <c r="G9" s="43"/>
      <c r="H9" s="48">
        <f>VLOOKUP(F9,$A$8:$B$8,2,TRUE)</f>
        <v>3500</v>
      </c>
      <c r="I9" s="45">
        <f t="shared" si="1"/>
        <v>0</v>
      </c>
      <c r="J9" s="47"/>
      <c r="K9" s="18"/>
      <c r="L9" s="42" t="s">
        <v>25</v>
      </c>
      <c r="M9" s="38">
        <f>SUMIF(F9:F372,"Tutup galon",G9:G372)</f>
        <v>0.5</v>
      </c>
      <c r="N9" s="18"/>
    </row>
    <row r="10" ht="15.75" customHeight="1">
      <c r="A10" s="30" t="s">
        <v>27</v>
      </c>
      <c r="B10" s="31">
        <v>2000.0</v>
      </c>
      <c r="C10" s="39"/>
      <c r="D10" s="47"/>
      <c r="E10" s="47"/>
      <c r="F10" s="42" t="s">
        <v>26</v>
      </c>
      <c r="G10" s="43">
        <v>0.5</v>
      </c>
      <c r="H10" s="48">
        <f>VLOOKUP(F10,$A$9:$B$9,2,TRUE)</f>
        <v>1000</v>
      </c>
      <c r="I10" s="45">
        <f t="shared" si="1"/>
        <v>500</v>
      </c>
      <c r="J10" s="47"/>
      <c r="K10" s="18"/>
      <c r="L10" s="42" t="s">
        <v>26</v>
      </c>
      <c r="M10" s="38">
        <f>SUMIF(F10:F373,"Hitam",G10:G373)</f>
        <v>1.5</v>
      </c>
      <c r="N10" s="18"/>
    </row>
    <row r="11" ht="15.75" customHeight="1">
      <c r="A11" s="30" t="s">
        <v>28</v>
      </c>
      <c r="B11" s="31">
        <v>2000.0</v>
      </c>
      <c r="C11" s="39"/>
      <c r="D11" s="47"/>
      <c r="E11" s="47"/>
      <c r="F11" s="42" t="s">
        <v>27</v>
      </c>
      <c r="G11" s="43"/>
      <c r="H11" s="48">
        <f>VLOOKUP(F11,$A$10:$B$10,2,TRUE)</f>
        <v>2000</v>
      </c>
      <c r="I11" s="45">
        <f t="shared" si="1"/>
        <v>0</v>
      </c>
      <c r="J11" s="47"/>
      <c r="K11" s="18"/>
      <c r="L11" s="42" t="s">
        <v>27</v>
      </c>
      <c r="M11" s="38">
        <f>SUMIF(F11:F374,"Plastik Campur",G11:G374)</f>
        <v>29</v>
      </c>
      <c r="N11" s="18"/>
    </row>
    <row r="12" ht="15.75" customHeight="1">
      <c r="A12" s="30" t="s">
        <v>29</v>
      </c>
      <c r="B12" s="31">
        <v>1300.0</v>
      </c>
      <c r="C12" s="39"/>
      <c r="D12" s="47"/>
      <c r="E12" s="47"/>
      <c r="F12" s="42" t="s">
        <v>28</v>
      </c>
      <c r="G12" s="43">
        <v>3.0</v>
      </c>
      <c r="H12" s="48">
        <f>VLOOKUP(F12,$A$11:$B$11,2,TRUE)</f>
        <v>2000</v>
      </c>
      <c r="I12" s="45">
        <f t="shared" si="1"/>
        <v>6000</v>
      </c>
      <c r="J12" s="47"/>
      <c r="K12" s="18"/>
      <c r="L12" s="42" t="s">
        <v>28</v>
      </c>
      <c r="M12" s="38">
        <f>SUMIF(F12:F375,"Kardus",G12:G375)</f>
        <v>12</v>
      </c>
      <c r="N12" s="18"/>
    </row>
    <row r="13" ht="15.75" customHeight="1">
      <c r="A13" s="30" t="s">
        <v>30</v>
      </c>
      <c r="B13" s="31">
        <v>1000.0</v>
      </c>
      <c r="C13" s="39"/>
      <c r="D13" s="47"/>
      <c r="E13" s="47"/>
      <c r="F13" s="42" t="s">
        <v>29</v>
      </c>
      <c r="G13" s="43"/>
      <c r="H13" s="48">
        <f>VLOOKUP(F13,$A$12:$B$12,2,TRUE)</f>
        <v>1300</v>
      </c>
      <c r="I13" s="45">
        <f t="shared" si="1"/>
        <v>0</v>
      </c>
      <c r="J13" s="47"/>
      <c r="K13" s="18"/>
      <c r="L13" s="42" t="s">
        <v>29</v>
      </c>
      <c r="M13" s="38">
        <f>SUMIF(F13:F376,"Kertas Putihan/ HVS",G13:G376)</f>
        <v>0</v>
      </c>
      <c r="N13" s="18"/>
    </row>
    <row r="14" ht="15.75" customHeight="1">
      <c r="A14" s="30" t="s">
        <v>31</v>
      </c>
      <c r="B14" s="31">
        <v>400.0</v>
      </c>
      <c r="C14" s="39"/>
      <c r="D14" s="47"/>
      <c r="E14" s="47"/>
      <c r="F14" s="42" t="s">
        <v>30</v>
      </c>
      <c r="G14" s="43"/>
      <c r="H14" s="48">
        <f>VLOOKUP(F14,$A$13:$B$13,2,TRUE)</f>
        <v>1000</v>
      </c>
      <c r="I14" s="45">
        <f t="shared" si="1"/>
        <v>0</v>
      </c>
      <c r="J14" s="47"/>
      <c r="K14" s="18"/>
      <c r="L14" s="42" t="s">
        <v>30</v>
      </c>
      <c r="M14" s="38">
        <f>SUMIF(F14:F377,"Koran/Buku",G14:G377)</f>
        <v>9.5</v>
      </c>
      <c r="N14" s="18"/>
    </row>
    <row r="15" ht="15.75" customHeight="1">
      <c r="A15" s="30" t="s">
        <v>32</v>
      </c>
      <c r="B15" s="31">
        <v>7500.0</v>
      </c>
      <c r="C15" s="39"/>
      <c r="D15" s="47"/>
      <c r="E15" s="47"/>
      <c r="F15" s="42" t="s">
        <v>31</v>
      </c>
      <c r="G15" s="43"/>
      <c r="H15" s="48">
        <f>VLOOKUP(F15,$A$14:$B$14,2,TRUE)</f>
        <v>400</v>
      </c>
      <c r="I15" s="45">
        <f t="shared" si="1"/>
        <v>0</v>
      </c>
      <c r="J15" s="47"/>
      <c r="K15" s="18"/>
      <c r="L15" s="42" t="s">
        <v>31</v>
      </c>
      <c r="M15" s="38">
        <f>SUMIF(F15:F378,"Duplex",G15:G378)</f>
        <v>4.5</v>
      </c>
      <c r="N15" s="18"/>
    </row>
    <row r="16" ht="15.75" customHeight="1">
      <c r="A16" s="30" t="s">
        <v>33</v>
      </c>
      <c r="B16" s="31">
        <v>2000.0</v>
      </c>
      <c r="C16" s="39"/>
      <c r="D16" s="47"/>
      <c r="E16" s="47"/>
      <c r="F16" s="42" t="s">
        <v>32</v>
      </c>
      <c r="G16" s="43"/>
      <c r="H16" s="48">
        <f>VLOOKUP(F16,$A$15:$B$15,2,TRUE)</f>
        <v>7500</v>
      </c>
      <c r="I16" s="45">
        <f t="shared" si="1"/>
        <v>0</v>
      </c>
      <c r="J16" s="47"/>
      <c r="K16" s="18"/>
      <c r="L16" s="42" t="s">
        <v>32</v>
      </c>
      <c r="M16" s="38">
        <f>SUMIF(F16:F379,"Alumunium",G16:G379)</f>
        <v>0</v>
      </c>
      <c r="N16" s="18"/>
    </row>
    <row r="17" ht="15.75" customHeight="1">
      <c r="A17" s="30" t="s">
        <v>34</v>
      </c>
      <c r="B17" s="31">
        <v>800.0</v>
      </c>
      <c r="C17" s="39"/>
      <c r="D17" s="47"/>
      <c r="E17" s="47"/>
      <c r="F17" s="42" t="s">
        <v>33</v>
      </c>
      <c r="G17" s="43"/>
      <c r="H17" s="48">
        <f>VLOOKUP(F17,$A$16:$B$16,2,TRUE)</f>
        <v>2000</v>
      </c>
      <c r="I17" s="45">
        <f t="shared" si="1"/>
        <v>0</v>
      </c>
      <c r="J17" s="47"/>
      <c r="K17" s="18"/>
      <c r="L17" s="42" t="s">
        <v>33</v>
      </c>
      <c r="M17" s="38">
        <f>SUMIF(F17:F380,"Besi",G17:G380)</f>
        <v>0</v>
      </c>
      <c r="N17" s="18"/>
    </row>
    <row r="18" ht="15.75" customHeight="1">
      <c r="A18" s="30" t="s">
        <v>35</v>
      </c>
      <c r="B18" s="31">
        <v>5000.0</v>
      </c>
      <c r="C18" s="39"/>
      <c r="D18" s="47"/>
      <c r="E18" s="47"/>
      <c r="F18" s="42" t="s">
        <v>34</v>
      </c>
      <c r="G18" s="43"/>
      <c r="H18" s="48">
        <f>VLOOKUP(F18,$A$17:$B$17,2,TRUE)</f>
        <v>800</v>
      </c>
      <c r="I18" s="45">
        <f t="shared" si="1"/>
        <v>0</v>
      </c>
      <c r="J18" s="47"/>
      <c r="K18" s="18"/>
      <c r="L18" s="42" t="s">
        <v>34</v>
      </c>
      <c r="M18" s="38">
        <f>SUMIF(F18:F381,"Kaleng kue/susu",G18:G381)</f>
        <v>0</v>
      </c>
      <c r="N18" s="18"/>
    </row>
    <row r="19" ht="15.75" customHeight="1">
      <c r="A19" s="30" t="s">
        <v>36</v>
      </c>
      <c r="B19" s="31">
        <v>2700.0</v>
      </c>
      <c r="C19" s="39"/>
      <c r="D19" s="47"/>
      <c r="E19" s="47"/>
      <c r="F19" s="42" t="s">
        <v>35</v>
      </c>
      <c r="G19" s="43"/>
      <c r="H19" s="48">
        <f>VLOOKUP(F19,$A$18:$B$18,2,TRUE)</f>
        <v>5000</v>
      </c>
      <c r="I19" s="45">
        <f t="shared" si="1"/>
        <v>0</v>
      </c>
      <c r="J19" s="47"/>
      <c r="K19" s="18"/>
      <c r="L19" s="42" t="s">
        <v>35</v>
      </c>
      <c r="M19" s="38">
        <f>SUMIF(F19:F382,"Kaleng Minuman",G19:G382)</f>
        <v>2</v>
      </c>
      <c r="N19" s="18"/>
    </row>
    <row r="20" ht="15.75" customHeight="1">
      <c r="A20" s="30" t="s">
        <v>37</v>
      </c>
      <c r="B20" s="31">
        <v>50000.0</v>
      </c>
      <c r="C20" s="39"/>
      <c r="D20" s="47"/>
      <c r="E20" s="47"/>
      <c r="F20" s="42" t="s">
        <v>36</v>
      </c>
      <c r="G20" s="43"/>
      <c r="H20" s="48">
        <f>VLOOKUP(F20,$A$19:$B$19,2,TRUE)</f>
        <v>2700</v>
      </c>
      <c r="I20" s="45">
        <f t="shared" si="1"/>
        <v>0</v>
      </c>
      <c r="J20" s="47"/>
      <c r="K20" s="18"/>
      <c r="L20" s="42" t="s">
        <v>36</v>
      </c>
      <c r="M20" s="38">
        <f>SUMIF(F20:F383,"Stanless",G20:G383)</f>
        <v>0</v>
      </c>
      <c r="N20" s="18"/>
    </row>
    <row r="21" ht="15.75" customHeight="1">
      <c r="A21" s="30" t="s">
        <v>38</v>
      </c>
      <c r="B21" s="31">
        <v>10000.0</v>
      </c>
      <c r="C21" s="39"/>
      <c r="D21" s="47"/>
      <c r="E21" s="47"/>
      <c r="F21" s="42" t="s">
        <v>37</v>
      </c>
      <c r="G21" s="43"/>
      <c r="H21" s="48">
        <f>VLOOKUP(F21,$A$20:$B$20,2,TRUE)</f>
        <v>50000</v>
      </c>
      <c r="I21" s="45">
        <f t="shared" si="1"/>
        <v>0</v>
      </c>
      <c r="J21" s="47"/>
      <c r="K21" s="18"/>
      <c r="L21" s="42" t="s">
        <v>37</v>
      </c>
      <c r="M21" s="38">
        <f>SUMIF(F21:F384,"Tembaga",G21:G384)</f>
        <v>0</v>
      </c>
      <c r="N21" s="18"/>
    </row>
    <row r="22" ht="15.75" customHeight="1">
      <c r="A22" s="30" t="s">
        <v>39</v>
      </c>
      <c r="B22" s="31">
        <v>1000.0</v>
      </c>
      <c r="C22" s="39"/>
      <c r="D22" s="47"/>
      <c r="E22" s="47"/>
      <c r="F22" s="42" t="s">
        <v>38</v>
      </c>
      <c r="G22" s="43"/>
      <c r="H22" s="48">
        <f>VLOOKUP(F22,$A$21:$B$21,2,TRUE)</f>
        <v>10000</v>
      </c>
      <c r="I22" s="45">
        <f t="shared" si="1"/>
        <v>0</v>
      </c>
      <c r="J22" s="47"/>
      <c r="K22" s="18"/>
      <c r="L22" s="42" t="s">
        <v>38</v>
      </c>
      <c r="M22" s="38">
        <f>SUMIF(F22:F385,"Aki Motor",G22:G385)</f>
        <v>0</v>
      </c>
      <c r="N22" s="18"/>
    </row>
    <row r="23" ht="15.75" customHeight="1">
      <c r="A23" s="30" t="s">
        <v>40</v>
      </c>
      <c r="B23" s="31">
        <v>500.0</v>
      </c>
      <c r="C23" s="39"/>
      <c r="D23" s="47"/>
      <c r="E23" s="47"/>
      <c r="F23" s="42" t="s">
        <v>39</v>
      </c>
      <c r="G23" s="43"/>
      <c r="H23" s="48">
        <f>VLOOKUP(F23,$A$22:$B$22,2,TRUE)</f>
        <v>1000</v>
      </c>
      <c r="I23" s="45">
        <f t="shared" si="1"/>
        <v>0</v>
      </c>
      <c r="J23" s="47"/>
      <c r="K23" s="18"/>
      <c r="L23" s="42" t="s">
        <v>39</v>
      </c>
      <c r="M23" s="38">
        <f>SUMIF(F23:F386,"Paralon",G23:G386)</f>
        <v>0</v>
      </c>
      <c r="N23" s="18"/>
    </row>
    <row r="24" ht="15.75" customHeight="1">
      <c r="A24" s="30" t="s">
        <v>41</v>
      </c>
      <c r="B24" s="31">
        <v>200.0</v>
      </c>
      <c r="C24" s="39"/>
      <c r="D24" s="47"/>
      <c r="E24" s="47"/>
      <c r="F24" s="42" t="s">
        <v>40</v>
      </c>
      <c r="G24" s="43"/>
      <c r="H24" s="48">
        <f>VLOOKUP(F24,$A$23:$B$23,2,TRUE)</f>
        <v>500</v>
      </c>
      <c r="I24" s="45">
        <f t="shared" si="1"/>
        <v>0</v>
      </c>
      <c r="J24" s="47"/>
      <c r="K24" s="18"/>
      <c r="L24" s="42" t="s">
        <v>40</v>
      </c>
      <c r="M24" s="38">
        <f>SUMIF(F24:F387,"Plastik bening",G24:G387)</f>
        <v>1</v>
      </c>
      <c r="N24" s="18"/>
    </row>
    <row r="25" ht="15.75" customHeight="1">
      <c r="A25" s="30" t="s">
        <v>42</v>
      </c>
      <c r="B25" s="31">
        <v>1000.0</v>
      </c>
      <c r="C25" s="39"/>
      <c r="D25" s="47"/>
      <c r="E25" s="47"/>
      <c r="F25" s="42" t="s">
        <v>41</v>
      </c>
      <c r="G25" s="43"/>
      <c r="H25" s="48">
        <f>VLOOKUP(F25,$A$24:$B$24,2,TRUE)</f>
        <v>200</v>
      </c>
      <c r="I25" s="45">
        <f t="shared" si="1"/>
        <v>0</v>
      </c>
      <c r="J25" s="47"/>
      <c r="K25" s="18"/>
      <c r="L25" s="42" t="s">
        <v>41</v>
      </c>
      <c r="M25" s="38">
        <f>SUMIF(F25:F388,"Plastik Warna",G25:G388)</f>
        <v>0</v>
      </c>
      <c r="N25" s="18"/>
    </row>
    <row r="26" ht="15.75" customHeight="1">
      <c r="A26" s="30" t="s">
        <v>17</v>
      </c>
      <c r="B26" s="31">
        <v>300.0</v>
      </c>
      <c r="C26" s="39"/>
      <c r="D26" s="47"/>
      <c r="E26" s="47"/>
      <c r="F26" s="42" t="s">
        <v>42</v>
      </c>
      <c r="G26" s="43"/>
      <c r="H26" s="48">
        <f>VLOOKUP(F26,$A$25:$B$25,2,TRUE)</f>
        <v>1000</v>
      </c>
      <c r="I26" s="45">
        <f t="shared" si="1"/>
        <v>0</v>
      </c>
      <c r="J26" s="47"/>
      <c r="K26" s="18"/>
      <c r="L26" s="42" t="s">
        <v>42</v>
      </c>
      <c r="M26" s="38">
        <f>SUMIF(F26:F389,"Selang",G26:G389)</f>
        <v>0</v>
      </c>
      <c r="N26" s="18"/>
    </row>
    <row r="27" ht="15.75" customHeight="1">
      <c r="A27" s="30" t="s">
        <v>43</v>
      </c>
      <c r="B27" s="31">
        <v>100.0</v>
      </c>
      <c r="C27" s="39"/>
      <c r="D27" s="47"/>
      <c r="E27" s="47"/>
      <c r="F27" s="42" t="s">
        <v>17</v>
      </c>
      <c r="G27" s="43"/>
      <c r="H27" s="48">
        <f>VLOOKUP(F27,$A$26:$B$26,2,TRUE)</f>
        <v>300</v>
      </c>
      <c r="I27" s="45">
        <f t="shared" si="1"/>
        <v>0</v>
      </c>
      <c r="J27" s="47"/>
      <c r="K27" s="18"/>
      <c r="L27" s="42" t="s">
        <v>17</v>
      </c>
      <c r="M27" s="38">
        <f>SUMIF(F27:F390,"Beling",G27:G390)</f>
        <v>15.5</v>
      </c>
      <c r="N27" s="18"/>
    </row>
    <row r="28" ht="15.75" customHeight="1">
      <c r="A28" s="30" t="s">
        <v>59</v>
      </c>
      <c r="B28" s="31">
        <v>500.0</v>
      </c>
      <c r="C28" s="39"/>
      <c r="D28" s="47"/>
      <c r="E28" s="47"/>
      <c r="F28" s="42" t="s">
        <v>43</v>
      </c>
      <c r="G28" s="43"/>
      <c r="H28" s="48">
        <f>VLOOKUP(F28,$A$27:$B$27,2,TRUE)</f>
        <v>100</v>
      </c>
      <c r="I28" s="45">
        <f t="shared" si="1"/>
        <v>0</v>
      </c>
      <c r="J28" s="47"/>
      <c r="K28" s="18"/>
      <c r="L28" s="42" t="s">
        <v>43</v>
      </c>
      <c r="M28" s="38">
        <f>SUMIF(F28:F391,"Pecahan",G28:G391)</f>
        <v>2.5</v>
      </c>
      <c r="N28" s="18"/>
    </row>
    <row r="29" ht="15.75" customHeight="1">
      <c r="A29" s="30" t="s">
        <v>13</v>
      </c>
      <c r="B29" s="49">
        <v>1500.0</v>
      </c>
      <c r="C29" s="39"/>
      <c r="D29" s="47"/>
      <c r="E29" s="47"/>
      <c r="F29" s="42" t="s">
        <v>59</v>
      </c>
      <c r="G29" s="43"/>
      <c r="H29" s="48">
        <f>VLOOKUP(F29,$A$28:$B$28,2,TRUE)</f>
        <v>500</v>
      </c>
      <c r="I29" s="45">
        <f t="shared" si="1"/>
        <v>0</v>
      </c>
      <c r="J29" s="47"/>
      <c r="K29" s="18"/>
      <c r="L29" s="42" t="s">
        <v>59</v>
      </c>
      <c r="M29" s="38">
        <f>SUMIF(F29:F392,"Sendal/Sepatu",G29:G392)</f>
        <v>0</v>
      </c>
      <c r="N29" s="18"/>
    </row>
    <row r="30" ht="15.75" customHeight="1">
      <c r="A30" s="30" t="s">
        <v>19</v>
      </c>
      <c r="B30" s="31">
        <v>4000.0</v>
      </c>
      <c r="C30" s="39"/>
      <c r="D30" s="47"/>
      <c r="E30" s="47"/>
      <c r="F30" s="42" t="s">
        <v>13</v>
      </c>
      <c r="G30" s="43"/>
      <c r="H30" s="48">
        <f>VLOOKUP(F30,$A$29:$B$29,2,TRUE)</f>
        <v>1500</v>
      </c>
      <c r="I30" s="45">
        <f t="shared" si="1"/>
        <v>0</v>
      </c>
      <c r="J30" s="47"/>
      <c r="K30" s="18"/>
      <c r="L30" s="42" t="s">
        <v>13</v>
      </c>
      <c r="M30" s="38">
        <f>SUMIF(F30:F393,"Paku",G30:G393)</f>
        <v>0</v>
      </c>
      <c r="N30" s="18"/>
    </row>
    <row r="31" ht="15.75" customHeight="1">
      <c r="A31" s="30" t="s">
        <v>60</v>
      </c>
      <c r="B31" s="31">
        <v>500.0</v>
      </c>
      <c r="C31" s="39"/>
      <c r="D31" s="47"/>
      <c r="E31" s="47"/>
      <c r="F31" s="42" t="s">
        <v>19</v>
      </c>
      <c r="G31" s="43"/>
      <c r="H31" s="48">
        <f>VLOOKUP(F31,$A$30:$B$30,2,TRUE)</f>
        <v>4000</v>
      </c>
      <c r="I31" s="45">
        <f t="shared" si="1"/>
        <v>0</v>
      </c>
      <c r="J31" s="47"/>
      <c r="K31" s="18"/>
      <c r="L31" s="42" t="s">
        <v>19</v>
      </c>
      <c r="M31" s="38">
        <f>SUMIF(F31:F394,"Minyak Jelantah",G31:G394)</f>
        <v>11</v>
      </c>
      <c r="N31" s="18"/>
    </row>
    <row r="32" ht="15.75" customHeight="1">
      <c r="A32" s="39"/>
      <c r="B32" s="39"/>
      <c r="C32" s="39"/>
      <c r="D32" s="7"/>
      <c r="E32" s="7"/>
      <c r="F32" s="42" t="s">
        <v>61</v>
      </c>
      <c r="G32" s="43"/>
      <c r="H32" s="48">
        <f>VLOOKUP(F32,$A$31:$B$31,2,TRUE)</f>
        <v>500</v>
      </c>
      <c r="I32" s="45">
        <f t="shared" si="1"/>
        <v>0</v>
      </c>
      <c r="J32" s="7"/>
      <c r="K32" s="18"/>
      <c r="L32" s="42" t="s">
        <v>60</v>
      </c>
      <c r="M32" s="38">
        <f>SUMIF(F32:F395,"Lainnya",G32:G395)</f>
        <v>0</v>
      </c>
      <c r="N32" s="18"/>
    </row>
    <row r="33" ht="15.75" customHeight="1">
      <c r="A33" s="39"/>
      <c r="B33" s="39"/>
      <c r="C33" s="39"/>
      <c r="D33" s="40">
        <v>2.0</v>
      </c>
      <c r="E33" s="41" t="s">
        <v>73</v>
      </c>
      <c r="F33" s="42" t="s">
        <v>21</v>
      </c>
      <c r="G33" s="43"/>
      <c r="H33" s="50">
        <f>VLOOKUP(F33,$A$4:$B$4,2,TRUE)</f>
        <v>5000</v>
      </c>
      <c r="I33" s="45">
        <f t="shared" si="1"/>
        <v>0</v>
      </c>
      <c r="J33" s="46">
        <f>SUM(I33:I60)</f>
        <v>6000</v>
      </c>
      <c r="K33" s="18"/>
      <c r="L33" s="18"/>
      <c r="M33" s="18"/>
      <c r="N33" s="18"/>
    </row>
    <row r="34" ht="15.75" customHeight="1">
      <c r="A34" s="39"/>
      <c r="B34" s="39"/>
      <c r="C34" s="39"/>
      <c r="D34" s="47"/>
      <c r="E34" s="47"/>
      <c r="F34" s="42" t="s">
        <v>56</v>
      </c>
      <c r="G34" s="43"/>
      <c r="H34" s="50">
        <f>VLOOKUP(F34,$A$5:$B$5,2,TRUE)</f>
        <v>3000</v>
      </c>
      <c r="I34" s="45">
        <f t="shared" si="1"/>
        <v>0</v>
      </c>
      <c r="J34" s="47"/>
      <c r="K34" s="18"/>
      <c r="L34" s="18"/>
      <c r="M34" s="18"/>
      <c r="N34" s="18"/>
    </row>
    <row r="35" ht="15.75" customHeight="1">
      <c r="A35" s="39"/>
      <c r="B35" s="39"/>
      <c r="C35" s="39"/>
      <c r="D35" s="47"/>
      <c r="E35" s="47"/>
      <c r="F35" s="42" t="s">
        <v>58</v>
      </c>
      <c r="G35" s="43"/>
      <c r="H35" s="50">
        <f>VLOOKUP(F35,$A$6:$B$6,2,TRUE)</f>
        <v>1000</v>
      </c>
      <c r="I35" s="45">
        <f t="shared" si="1"/>
        <v>0</v>
      </c>
      <c r="J35" s="47"/>
      <c r="K35" s="18"/>
      <c r="L35" s="18"/>
      <c r="M35" s="18"/>
      <c r="N35" s="18"/>
    </row>
    <row r="36" ht="15.75" customHeight="1">
      <c r="A36" s="39"/>
      <c r="B36" s="39"/>
      <c r="C36" s="39"/>
      <c r="D36" s="47"/>
      <c r="E36" s="47"/>
      <c r="F36" s="42" t="s">
        <v>24</v>
      </c>
      <c r="G36" s="43"/>
      <c r="H36" s="50">
        <f>VLOOKUP(F36,$A$7:$B$7,2,TRUE)</f>
        <v>2800</v>
      </c>
      <c r="I36" s="45">
        <f t="shared" si="1"/>
        <v>0</v>
      </c>
      <c r="J36" s="47"/>
      <c r="K36" s="18"/>
      <c r="L36" s="18"/>
      <c r="M36" s="18"/>
      <c r="N36" s="18"/>
    </row>
    <row r="37" ht="15.75" customHeight="1">
      <c r="A37" s="39"/>
      <c r="B37" s="39"/>
      <c r="C37" s="39"/>
      <c r="D37" s="47"/>
      <c r="E37" s="47"/>
      <c r="F37" s="42" t="s">
        <v>25</v>
      </c>
      <c r="G37" s="43"/>
      <c r="H37" s="50">
        <f>VLOOKUP(F37,$A$8:$B$8,2,TRUE)</f>
        <v>3500</v>
      </c>
      <c r="I37" s="45">
        <f t="shared" si="1"/>
        <v>0</v>
      </c>
      <c r="J37" s="47"/>
      <c r="K37" s="18"/>
      <c r="L37" s="18"/>
      <c r="M37" s="18"/>
      <c r="N37" s="18"/>
    </row>
    <row r="38" ht="15.75" customHeight="1">
      <c r="A38" s="39"/>
      <c r="B38" s="39"/>
      <c r="C38" s="39"/>
      <c r="D38" s="47"/>
      <c r="E38" s="47"/>
      <c r="F38" s="42" t="s">
        <v>26</v>
      </c>
      <c r="G38" s="43"/>
      <c r="H38" s="50">
        <f>VLOOKUP(F38,$A$9:$B$9,2,TRUE)</f>
        <v>1000</v>
      </c>
      <c r="I38" s="45">
        <f t="shared" si="1"/>
        <v>0</v>
      </c>
      <c r="J38" s="47"/>
      <c r="K38" s="18"/>
      <c r="L38" s="18"/>
      <c r="M38" s="18"/>
      <c r="N38" s="18"/>
    </row>
    <row r="39" ht="15.75" customHeight="1">
      <c r="A39" s="39"/>
      <c r="B39" s="39"/>
      <c r="C39" s="39"/>
      <c r="D39" s="47"/>
      <c r="E39" s="47"/>
      <c r="F39" s="42" t="s">
        <v>27</v>
      </c>
      <c r="G39" s="43">
        <v>3.0</v>
      </c>
      <c r="H39" s="50">
        <f>VLOOKUP(F39,$A$10:$B$10,2,TRUE)</f>
        <v>2000</v>
      </c>
      <c r="I39" s="45">
        <f t="shared" si="1"/>
        <v>6000</v>
      </c>
      <c r="J39" s="47"/>
      <c r="K39" s="18"/>
      <c r="L39" s="18"/>
      <c r="M39" s="18"/>
      <c r="N39" s="18"/>
    </row>
    <row r="40" ht="15.75" customHeight="1">
      <c r="A40" s="39"/>
      <c r="B40" s="39"/>
      <c r="C40" s="39"/>
      <c r="D40" s="47"/>
      <c r="E40" s="47"/>
      <c r="F40" s="42" t="s">
        <v>28</v>
      </c>
      <c r="G40" s="43"/>
      <c r="H40" s="50">
        <f>VLOOKUP(F40,$A$11:$B$11,2,TRUE)</f>
        <v>2000</v>
      </c>
      <c r="I40" s="45">
        <f t="shared" si="1"/>
        <v>0</v>
      </c>
      <c r="J40" s="47"/>
      <c r="K40" s="18"/>
      <c r="L40" s="18"/>
      <c r="M40" s="18"/>
      <c r="N40" s="18"/>
    </row>
    <row r="41" ht="15.75" customHeight="1">
      <c r="A41" s="39"/>
      <c r="B41" s="39"/>
      <c r="C41" s="39"/>
      <c r="D41" s="47"/>
      <c r="E41" s="47"/>
      <c r="F41" s="42" t="s">
        <v>29</v>
      </c>
      <c r="G41" s="43"/>
      <c r="H41" s="50">
        <f>VLOOKUP(F41,$A$12:$B$12,2,TRUE)</f>
        <v>1300</v>
      </c>
      <c r="I41" s="45">
        <f t="shared" si="1"/>
        <v>0</v>
      </c>
      <c r="J41" s="47"/>
      <c r="K41" s="18"/>
      <c r="L41" s="18"/>
      <c r="M41" s="18"/>
      <c r="N41" s="18"/>
    </row>
    <row r="42" ht="15.75" customHeight="1">
      <c r="A42" s="39"/>
      <c r="B42" s="39"/>
      <c r="C42" s="39"/>
      <c r="D42" s="47"/>
      <c r="E42" s="47"/>
      <c r="F42" s="42" t="s">
        <v>30</v>
      </c>
      <c r="G42" s="43"/>
      <c r="H42" s="50">
        <f>VLOOKUP(F42,$A$13:$B$13,2,TRUE)</f>
        <v>1000</v>
      </c>
      <c r="I42" s="45">
        <f t="shared" si="1"/>
        <v>0</v>
      </c>
      <c r="J42" s="47"/>
      <c r="K42" s="18"/>
      <c r="L42" s="18"/>
      <c r="M42" s="18"/>
      <c r="N42" s="18"/>
    </row>
    <row r="43" ht="15.75" customHeight="1">
      <c r="A43" s="39"/>
      <c r="B43" s="39"/>
      <c r="C43" s="39"/>
      <c r="D43" s="47"/>
      <c r="E43" s="47"/>
      <c r="F43" s="42" t="s">
        <v>31</v>
      </c>
      <c r="G43" s="43"/>
      <c r="H43" s="50">
        <f>VLOOKUP(F43,$A$14:$B$14,2,TRUE)</f>
        <v>400</v>
      </c>
      <c r="I43" s="45">
        <f t="shared" si="1"/>
        <v>0</v>
      </c>
      <c r="J43" s="47"/>
      <c r="K43" s="18"/>
      <c r="L43" s="18"/>
      <c r="M43" s="18"/>
      <c r="N43" s="18"/>
    </row>
    <row r="44" ht="15.75" customHeight="1">
      <c r="A44" s="39"/>
      <c r="B44" s="39"/>
      <c r="C44" s="39"/>
      <c r="D44" s="47"/>
      <c r="E44" s="47"/>
      <c r="F44" s="42" t="s">
        <v>32</v>
      </c>
      <c r="G44" s="43"/>
      <c r="H44" s="50">
        <f>VLOOKUP(F44,$A$15:$B$15,2,TRUE)</f>
        <v>7500</v>
      </c>
      <c r="I44" s="45">
        <f t="shared" si="1"/>
        <v>0</v>
      </c>
      <c r="J44" s="47"/>
      <c r="K44" s="18"/>
      <c r="L44" s="18"/>
      <c r="M44" s="18"/>
      <c r="N44" s="18"/>
    </row>
    <row r="45" ht="15.75" customHeight="1">
      <c r="A45" s="39"/>
      <c r="B45" s="39"/>
      <c r="C45" s="39"/>
      <c r="D45" s="47"/>
      <c r="E45" s="47"/>
      <c r="F45" s="42" t="s">
        <v>33</v>
      </c>
      <c r="G45" s="43"/>
      <c r="H45" s="50">
        <f>VLOOKUP(F45,$A$16:$B$16,2,TRUE)</f>
        <v>2000</v>
      </c>
      <c r="I45" s="45">
        <f t="shared" si="1"/>
        <v>0</v>
      </c>
      <c r="J45" s="47"/>
      <c r="K45" s="18"/>
      <c r="L45" s="18"/>
      <c r="M45" s="18"/>
      <c r="N45" s="18"/>
    </row>
    <row r="46" ht="15.75" customHeight="1">
      <c r="A46" s="39"/>
      <c r="B46" s="39"/>
      <c r="C46" s="39"/>
      <c r="D46" s="47"/>
      <c r="E46" s="47"/>
      <c r="F46" s="42" t="s">
        <v>34</v>
      </c>
      <c r="G46" s="43"/>
      <c r="H46" s="50">
        <f>VLOOKUP(F46,$A$17:$B$17,2,TRUE)</f>
        <v>800</v>
      </c>
      <c r="I46" s="45">
        <f t="shared" si="1"/>
        <v>0</v>
      </c>
      <c r="J46" s="47"/>
      <c r="K46" s="18"/>
      <c r="L46" s="18"/>
      <c r="M46" s="18"/>
      <c r="N46" s="18"/>
    </row>
    <row r="47" ht="15.75" customHeight="1">
      <c r="A47" s="39"/>
      <c r="B47" s="39"/>
      <c r="C47" s="39"/>
      <c r="D47" s="47"/>
      <c r="E47" s="47"/>
      <c r="F47" s="42" t="s">
        <v>35</v>
      </c>
      <c r="G47" s="43"/>
      <c r="H47" s="50">
        <f>VLOOKUP(F47,$A$18:$B$18,2,TRUE)</f>
        <v>5000</v>
      </c>
      <c r="I47" s="45">
        <f t="shared" si="1"/>
        <v>0</v>
      </c>
      <c r="J47" s="47"/>
      <c r="K47" s="18"/>
      <c r="L47" s="18"/>
      <c r="M47" s="18"/>
      <c r="N47" s="18"/>
    </row>
    <row r="48" ht="15.75" customHeight="1">
      <c r="A48" s="39"/>
      <c r="B48" s="39"/>
      <c r="C48" s="39"/>
      <c r="D48" s="47"/>
      <c r="E48" s="47"/>
      <c r="F48" s="42" t="s">
        <v>36</v>
      </c>
      <c r="G48" s="43"/>
      <c r="H48" s="50">
        <f>VLOOKUP(F48,$A$19:$B$19,2,TRUE)</f>
        <v>2700</v>
      </c>
      <c r="I48" s="45">
        <f t="shared" si="1"/>
        <v>0</v>
      </c>
      <c r="J48" s="47"/>
      <c r="K48" s="18"/>
      <c r="L48" s="18"/>
      <c r="M48" s="18"/>
      <c r="N48" s="18"/>
    </row>
    <row r="49" ht="15.75" customHeight="1">
      <c r="A49" s="39"/>
      <c r="B49" s="39"/>
      <c r="C49" s="39"/>
      <c r="D49" s="47"/>
      <c r="E49" s="47"/>
      <c r="F49" s="42" t="s">
        <v>37</v>
      </c>
      <c r="G49" s="43"/>
      <c r="H49" s="50">
        <f>VLOOKUP(F49,$A$20:$B$20,2,TRUE)</f>
        <v>50000</v>
      </c>
      <c r="I49" s="45">
        <f t="shared" si="1"/>
        <v>0</v>
      </c>
      <c r="J49" s="47"/>
      <c r="K49" s="18"/>
      <c r="L49" s="18"/>
      <c r="M49" s="18"/>
      <c r="N49" s="18"/>
    </row>
    <row r="50" ht="15.75" customHeight="1">
      <c r="A50" s="39"/>
      <c r="B50" s="39"/>
      <c r="C50" s="39"/>
      <c r="D50" s="47"/>
      <c r="E50" s="47"/>
      <c r="F50" s="42" t="s">
        <v>38</v>
      </c>
      <c r="G50" s="43"/>
      <c r="H50" s="50">
        <f>VLOOKUP(F50,$A$21:$B$21,2,TRUE)</f>
        <v>10000</v>
      </c>
      <c r="I50" s="45">
        <f t="shared" si="1"/>
        <v>0</v>
      </c>
      <c r="J50" s="47"/>
      <c r="K50" s="18"/>
      <c r="L50" s="18"/>
      <c r="M50" s="18"/>
      <c r="N50" s="18"/>
    </row>
    <row r="51" ht="15.75" customHeight="1">
      <c r="A51" s="39"/>
      <c r="B51" s="39"/>
      <c r="C51" s="39"/>
      <c r="D51" s="47"/>
      <c r="E51" s="47"/>
      <c r="F51" s="42" t="s">
        <v>39</v>
      </c>
      <c r="G51" s="43"/>
      <c r="H51" s="50">
        <f>VLOOKUP(F51,$A$22:$B$22,2,TRUE)</f>
        <v>1000</v>
      </c>
      <c r="I51" s="45">
        <f t="shared" si="1"/>
        <v>0</v>
      </c>
      <c r="J51" s="47"/>
      <c r="K51" s="18"/>
      <c r="L51" s="18"/>
      <c r="M51" s="18"/>
      <c r="N51" s="18"/>
    </row>
    <row r="52" ht="15.75" customHeight="1">
      <c r="A52" s="39"/>
      <c r="B52" s="39"/>
      <c r="C52" s="39"/>
      <c r="D52" s="47"/>
      <c r="E52" s="47"/>
      <c r="F52" s="42" t="s">
        <v>40</v>
      </c>
      <c r="G52" s="43"/>
      <c r="H52" s="50">
        <f>VLOOKUP(F52,$A$23:$B$23,2,TRUE)</f>
        <v>500</v>
      </c>
      <c r="I52" s="45">
        <f t="shared" si="1"/>
        <v>0</v>
      </c>
      <c r="J52" s="47"/>
      <c r="K52" s="18"/>
      <c r="L52" s="18"/>
      <c r="M52" s="18"/>
      <c r="N52" s="18"/>
    </row>
    <row r="53" ht="15.75" customHeight="1">
      <c r="A53" s="39"/>
      <c r="B53" s="39"/>
      <c r="C53" s="39"/>
      <c r="D53" s="47"/>
      <c r="E53" s="47"/>
      <c r="F53" s="42" t="s">
        <v>41</v>
      </c>
      <c r="G53" s="43"/>
      <c r="H53" s="50">
        <f>VLOOKUP(F53,$A$24:$B$24,2,TRUE)</f>
        <v>200</v>
      </c>
      <c r="I53" s="45">
        <f t="shared" si="1"/>
        <v>0</v>
      </c>
      <c r="J53" s="47"/>
      <c r="K53" s="18"/>
      <c r="L53" s="18"/>
      <c r="M53" s="18"/>
      <c r="N53" s="18"/>
    </row>
    <row r="54" ht="15.75" customHeight="1">
      <c r="A54" s="39"/>
      <c r="B54" s="39"/>
      <c r="C54" s="39"/>
      <c r="D54" s="47"/>
      <c r="E54" s="47"/>
      <c r="F54" s="42" t="s">
        <v>42</v>
      </c>
      <c r="G54" s="43"/>
      <c r="H54" s="50">
        <f>VLOOKUP(F54,$A$25:$B$25,2,TRUE)</f>
        <v>1000</v>
      </c>
      <c r="I54" s="45">
        <f t="shared" si="1"/>
        <v>0</v>
      </c>
      <c r="J54" s="47"/>
      <c r="K54" s="18"/>
      <c r="L54" s="18"/>
      <c r="M54" s="18"/>
      <c r="N54" s="18"/>
    </row>
    <row r="55" ht="15.75" customHeight="1">
      <c r="A55" s="39"/>
      <c r="B55" s="39"/>
      <c r="C55" s="39"/>
      <c r="D55" s="47"/>
      <c r="E55" s="47"/>
      <c r="F55" s="42" t="s">
        <v>17</v>
      </c>
      <c r="G55" s="43"/>
      <c r="H55" s="50">
        <f>VLOOKUP(F55,$A$26:$B$26,2,TRUE)</f>
        <v>300</v>
      </c>
      <c r="I55" s="45">
        <f t="shared" si="1"/>
        <v>0</v>
      </c>
      <c r="J55" s="47"/>
      <c r="K55" s="18"/>
      <c r="L55" s="18"/>
      <c r="M55" s="18"/>
      <c r="N55" s="18"/>
    </row>
    <row r="56" ht="15.75" customHeight="1">
      <c r="A56" s="39"/>
      <c r="B56" s="39"/>
      <c r="C56" s="39"/>
      <c r="D56" s="47"/>
      <c r="E56" s="47"/>
      <c r="F56" s="42" t="s">
        <v>43</v>
      </c>
      <c r="G56" s="43"/>
      <c r="H56" s="50">
        <f>VLOOKUP(F56,$A$27:$B$27,2,TRUE)</f>
        <v>100</v>
      </c>
      <c r="I56" s="45">
        <f t="shared" si="1"/>
        <v>0</v>
      </c>
      <c r="J56" s="47"/>
      <c r="K56" s="18"/>
      <c r="L56" s="18"/>
      <c r="M56" s="18"/>
      <c r="N56" s="18"/>
    </row>
    <row r="57" ht="15.75" customHeight="1">
      <c r="A57" s="39"/>
      <c r="B57" s="39"/>
      <c r="C57" s="39"/>
      <c r="D57" s="47"/>
      <c r="E57" s="47"/>
      <c r="F57" s="42" t="s">
        <v>59</v>
      </c>
      <c r="G57" s="43"/>
      <c r="H57" s="50">
        <f>VLOOKUP(F57,$A$28:$B$28,2,TRUE)</f>
        <v>500</v>
      </c>
      <c r="I57" s="45">
        <f t="shared" si="1"/>
        <v>0</v>
      </c>
      <c r="J57" s="47"/>
      <c r="K57" s="18"/>
      <c r="L57" s="18"/>
      <c r="M57" s="18"/>
      <c r="N57" s="18"/>
    </row>
    <row r="58" ht="15.75" customHeight="1">
      <c r="A58" s="39"/>
      <c r="B58" s="39"/>
      <c r="C58" s="39"/>
      <c r="D58" s="47"/>
      <c r="E58" s="47"/>
      <c r="F58" s="42" t="s">
        <v>13</v>
      </c>
      <c r="G58" s="43"/>
      <c r="H58" s="51">
        <f>VLOOKUP(F58,$A$29:$B$29,2,TRUE)</f>
        <v>1500</v>
      </c>
      <c r="I58" s="45">
        <f t="shared" si="1"/>
        <v>0</v>
      </c>
      <c r="J58" s="47"/>
      <c r="K58" s="18"/>
      <c r="L58" s="18"/>
      <c r="M58" s="18"/>
      <c r="N58" s="18"/>
    </row>
    <row r="59" ht="15.75" customHeight="1">
      <c r="A59" s="39"/>
      <c r="B59" s="39"/>
      <c r="C59" s="39"/>
      <c r="D59" s="47"/>
      <c r="E59" s="47"/>
      <c r="F59" s="42" t="s">
        <v>19</v>
      </c>
      <c r="G59" s="43"/>
      <c r="H59" s="50">
        <f>VLOOKUP(F59,$A$30:$B$30,2,TRUE)</f>
        <v>4000</v>
      </c>
      <c r="I59" s="45">
        <f t="shared" si="1"/>
        <v>0</v>
      </c>
      <c r="J59" s="47"/>
      <c r="K59" s="18"/>
      <c r="L59" s="18"/>
      <c r="M59" s="18"/>
      <c r="N59" s="18"/>
    </row>
    <row r="60" ht="15.75" customHeight="1">
      <c r="A60" s="39"/>
      <c r="B60" s="39"/>
      <c r="C60" s="39"/>
      <c r="D60" s="7"/>
      <c r="E60" s="7"/>
      <c r="F60" s="42" t="s">
        <v>60</v>
      </c>
      <c r="G60" s="43"/>
      <c r="H60" s="50">
        <f>VLOOKUP(F60,$A$31:$B$31,2,TRUE)</f>
        <v>500</v>
      </c>
      <c r="I60" s="45">
        <f t="shared" si="1"/>
        <v>0</v>
      </c>
      <c r="J60" s="7"/>
      <c r="K60" s="18"/>
      <c r="L60" s="18"/>
      <c r="M60" s="18"/>
      <c r="N60" s="18"/>
    </row>
    <row r="61" ht="15.75" customHeight="1">
      <c r="A61" s="39"/>
      <c r="B61" s="39"/>
      <c r="C61" s="39"/>
      <c r="D61" s="40">
        <v>3.0</v>
      </c>
      <c r="E61" s="41" t="s">
        <v>74</v>
      </c>
      <c r="F61" s="42" t="s">
        <v>21</v>
      </c>
      <c r="G61" s="43"/>
      <c r="H61" s="50">
        <f>VLOOKUP(F61,$A$4:$B$4,2,TRUE)</f>
        <v>5000</v>
      </c>
      <c r="I61" s="45">
        <f t="shared" si="1"/>
        <v>0</v>
      </c>
      <c r="J61" s="46">
        <f>SUM(I61:I88)</f>
        <v>7750</v>
      </c>
      <c r="K61" s="18"/>
      <c r="L61" s="18"/>
      <c r="M61" s="18"/>
      <c r="N61" s="18"/>
    </row>
    <row r="62" ht="15.75" customHeight="1">
      <c r="A62" s="39"/>
      <c r="B62" s="39"/>
      <c r="C62" s="39"/>
      <c r="D62" s="47"/>
      <c r="E62" s="47"/>
      <c r="F62" s="42" t="s">
        <v>56</v>
      </c>
      <c r="G62" s="43">
        <v>1.0</v>
      </c>
      <c r="H62" s="50">
        <f>VLOOKUP(F62,$A$5:$B$5,2,TRUE)</f>
        <v>3000</v>
      </c>
      <c r="I62" s="45">
        <f t="shared" si="1"/>
        <v>3000</v>
      </c>
      <c r="J62" s="47"/>
      <c r="K62" s="18"/>
      <c r="L62" s="18"/>
      <c r="M62" s="18"/>
      <c r="N62" s="18"/>
    </row>
    <row r="63" ht="15.75" customHeight="1">
      <c r="A63" s="39"/>
      <c r="B63" s="39"/>
      <c r="C63" s="39"/>
      <c r="D63" s="47"/>
      <c r="E63" s="47"/>
      <c r="F63" s="42" t="s">
        <v>58</v>
      </c>
      <c r="G63" s="43"/>
      <c r="H63" s="50">
        <f>VLOOKUP(F63,$A$6:$B$6,2,TRUE)</f>
        <v>1000</v>
      </c>
      <c r="I63" s="45">
        <f t="shared" si="1"/>
        <v>0</v>
      </c>
      <c r="J63" s="47"/>
      <c r="K63" s="18"/>
      <c r="L63" s="18"/>
      <c r="M63" s="18"/>
      <c r="N63" s="18"/>
    </row>
    <row r="64" ht="15.75" customHeight="1">
      <c r="A64" s="39"/>
      <c r="B64" s="39"/>
      <c r="C64" s="39"/>
      <c r="D64" s="47"/>
      <c r="E64" s="47"/>
      <c r="F64" s="42" t="s">
        <v>24</v>
      </c>
      <c r="G64" s="43"/>
      <c r="H64" s="50">
        <f>VLOOKUP(F64,$A$7:$B$7,2,TRUE)</f>
        <v>2800</v>
      </c>
      <c r="I64" s="45">
        <f t="shared" si="1"/>
        <v>0</v>
      </c>
      <c r="J64" s="47"/>
      <c r="K64" s="18"/>
      <c r="L64" s="18"/>
      <c r="M64" s="18"/>
      <c r="N64" s="18"/>
    </row>
    <row r="65" ht="15.75" customHeight="1">
      <c r="A65" s="39"/>
      <c r="B65" s="39"/>
      <c r="C65" s="39"/>
      <c r="D65" s="47"/>
      <c r="E65" s="47"/>
      <c r="F65" s="42" t="s">
        <v>25</v>
      </c>
      <c r="G65" s="43">
        <v>0.5</v>
      </c>
      <c r="H65" s="50">
        <f>VLOOKUP(F65,$A$8:$B$8,2,TRUE)</f>
        <v>3500</v>
      </c>
      <c r="I65" s="45">
        <f t="shared" si="1"/>
        <v>1750</v>
      </c>
      <c r="J65" s="47"/>
      <c r="K65" s="18"/>
      <c r="L65" s="18"/>
      <c r="M65" s="18"/>
      <c r="N65" s="18"/>
    </row>
    <row r="66" ht="15.75" customHeight="1">
      <c r="A66" s="39"/>
      <c r="B66" s="39"/>
      <c r="C66" s="39"/>
      <c r="D66" s="47"/>
      <c r="E66" s="47"/>
      <c r="F66" s="42" t="s">
        <v>26</v>
      </c>
      <c r="G66" s="43">
        <v>1.0</v>
      </c>
      <c r="H66" s="50">
        <f>VLOOKUP(F66,$A$9:$B$9,2,TRUE)</f>
        <v>1000</v>
      </c>
      <c r="I66" s="45">
        <f t="shared" si="1"/>
        <v>1000</v>
      </c>
      <c r="J66" s="47"/>
      <c r="K66" s="18"/>
      <c r="L66" s="18"/>
      <c r="M66" s="18"/>
      <c r="N66" s="18"/>
    </row>
    <row r="67" ht="15.75" customHeight="1">
      <c r="A67" s="39"/>
      <c r="B67" s="39"/>
      <c r="C67" s="39"/>
      <c r="D67" s="47"/>
      <c r="E67" s="47"/>
      <c r="F67" s="42" t="s">
        <v>27</v>
      </c>
      <c r="G67" s="43"/>
      <c r="H67" s="50">
        <f>VLOOKUP(F67,$A$10:$B$10,2,TRUE)</f>
        <v>2000</v>
      </c>
      <c r="I67" s="45">
        <f t="shared" si="1"/>
        <v>0</v>
      </c>
      <c r="J67" s="47"/>
      <c r="K67" s="18"/>
      <c r="L67" s="18"/>
      <c r="M67" s="18"/>
      <c r="N67" s="18"/>
    </row>
    <row r="68" ht="15.75" customHeight="1">
      <c r="A68" s="39"/>
      <c r="B68" s="39"/>
      <c r="C68" s="39"/>
      <c r="D68" s="47"/>
      <c r="E68" s="47"/>
      <c r="F68" s="42" t="s">
        <v>28</v>
      </c>
      <c r="G68" s="43"/>
      <c r="H68" s="50">
        <f>VLOOKUP(F68,$A$11:$B$11,2,TRUE)</f>
        <v>2000</v>
      </c>
      <c r="I68" s="45">
        <f t="shared" si="1"/>
        <v>0</v>
      </c>
      <c r="J68" s="47"/>
      <c r="K68" s="18"/>
      <c r="L68" s="18"/>
      <c r="M68" s="18"/>
      <c r="N68" s="18"/>
    </row>
    <row r="69" ht="15.75" customHeight="1">
      <c r="A69" s="39"/>
      <c r="B69" s="39"/>
      <c r="C69" s="39"/>
      <c r="D69" s="47"/>
      <c r="E69" s="47"/>
      <c r="F69" s="42" t="s">
        <v>29</v>
      </c>
      <c r="G69" s="43"/>
      <c r="H69" s="50">
        <f>VLOOKUP(F69,$A$12:$B$12,2,TRUE)</f>
        <v>1300</v>
      </c>
      <c r="I69" s="45">
        <f t="shared" si="1"/>
        <v>0</v>
      </c>
      <c r="J69" s="47"/>
      <c r="K69" s="18"/>
      <c r="L69" s="18"/>
      <c r="M69" s="18"/>
      <c r="N69" s="18"/>
    </row>
    <row r="70" ht="15.75" customHeight="1">
      <c r="A70" s="39"/>
      <c r="B70" s="39"/>
      <c r="C70" s="39"/>
      <c r="D70" s="47"/>
      <c r="E70" s="47"/>
      <c r="F70" s="42" t="s">
        <v>30</v>
      </c>
      <c r="G70" s="43"/>
      <c r="H70" s="50">
        <f>VLOOKUP(F70,$A$13:$B$13,2,TRUE)</f>
        <v>1000</v>
      </c>
      <c r="I70" s="45">
        <f t="shared" si="1"/>
        <v>0</v>
      </c>
      <c r="J70" s="47"/>
      <c r="K70" s="18"/>
      <c r="L70" s="18"/>
      <c r="M70" s="18"/>
      <c r="N70" s="18"/>
    </row>
    <row r="71" ht="15.75" customHeight="1">
      <c r="A71" s="39"/>
      <c r="B71" s="39"/>
      <c r="C71" s="39"/>
      <c r="D71" s="47"/>
      <c r="E71" s="47"/>
      <c r="F71" s="42" t="s">
        <v>31</v>
      </c>
      <c r="G71" s="43"/>
      <c r="H71" s="50">
        <f>VLOOKUP(F71,$A$14:$B$14,2,TRUE)</f>
        <v>400</v>
      </c>
      <c r="I71" s="45">
        <f t="shared" si="1"/>
        <v>0</v>
      </c>
      <c r="J71" s="47"/>
      <c r="K71" s="18"/>
      <c r="L71" s="18"/>
      <c r="M71" s="18"/>
      <c r="N71" s="18"/>
    </row>
    <row r="72" ht="15.75" customHeight="1">
      <c r="A72" s="39"/>
      <c r="B72" s="39"/>
      <c r="C72" s="39"/>
      <c r="D72" s="47"/>
      <c r="E72" s="47"/>
      <c r="F72" s="42" t="s">
        <v>32</v>
      </c>
      <c r="G72" s="43"/>
      <c r="H72" s="50">
        <f>VLOOKUP(F72,$A$15:$B$15,2,TRUE)</f>
        <v>7500</v>
      </c>
      <c r="I72" s="45">
        <f t="shared" si="1"/>
        <v>0</v>
      </c>
      <c r="J72" s="47"/>
      <c r="K72" s="18"/>
      <c r="L72" s="18"/>
      <c r="M72" s="18"/>
      <c r="N72" s="18"/>
    </row>
    <row r="73" ht="15.75" customHeight="1">
      <c r="A73" s="39"/>
      <c r="B73" s="39"/>
      <c r="C73" s="39"/>
      <c r="D73" s="47"/>
      <c r="E73" s="47"/>
      <c r="F73" s="42" t="s">
        <v>33</v>
      </c>
      <c r="G73" s="43"/>
      <c r="H73" s="50">
        <f>VLOOKUP(F73,$A$16:$B$16,2,TRUE)</f>
        <v>2000</v>
      </c>
      <c r="I73" s="45">
        <f t="shared" si="1"/>
        <v>0</v>
      </c>
      <c r="J73" s="47"/>
      <c r="K73" s="18"/>
      <c r="L73" s="18"/>
      <c r="M73" s="18"/>
      <c r="N73" s="18"/>
    </row>
    <row r="74" ht="15.75" customHeight="1">
      <c r="A74" s="39"/>
      <c r="B74" s="39"/>
      <c r="C74" s="39"/>
      <c r="D74" s="47"/>
      <c r="E74" s="47"/>
      <c r="F74" s="42" t="s">
        <v>34</v>
      </c>
      <c r="G74" s="43"/>
      <c r="H74" s="50">
        <f>VLOOKUP(F74,$A$17:$B$17,2,TRUE)</f>
        <v>800</v>
      </c>
      <c r="I74" s="45">
        <f t="shared" si="1"/>
        <v>0</v>
      </c>
      <c r="J74" s="47"/>
      <c r="K74" s="18"/>
      <c r="L74" s="18"/>
      <c r="M74" s="18"/>
      <c r="N74" s="18"/>
    </row>
    <row r="75" ht="15.75" customHeight="1">
      <c r="A75" s="39"/>
      <c r="B75" s="39"/>
      <c r="C75" s="39"/>
      <c r="D75" s="47"/>
      <c r="E75" s="47"/>
      <c r="F75" s="42" t="s">
        <v>35</v>
      </c>
      <c r="G75" s="43"/>
      <c r="H75" s="50">
        <f>VLOOKUP(F75,$A$18:$B$18,2,TRUE)</f>
        <v>5000</v>
      </c>
      <c r="I75" s="45">
        <f t="shared" si="1"/>
        <v>0</v>
      </c>
      <c r="J75" s="47"/>
      <c r="K75" s="18"/>
      <c r="L75" s="18"/>
      <c r="M75" s="18"/>
      <c r="N75" s="18"/>
    </row>
    <row r="76" ht="15.75" customHeight="1">
      <c r="A76" s="39"/>
      <c r="B76" s="39"/>
      <c r="C76" s="39"/>
      <c r="D76" s="47"/>
      <c r="E76" s="47"/>
      <c r="F76" s="42" t="s">
        <v>36</v>
      </c>
      <c r="G76" s="43"/>
      <c r="H76" s="50">
        <f>VLOOKUP(F76,$A$19:$B$19,2,TRUE)</f>
        <v>2700</v>
      </c>
      <c r="I76" s="45">
        <f t="shared" si="1"/>
        <v>0</v>
      </c>
      <c r="J76" s="47"/>
      <c r="K76" s="18"/>
      <c r="L76" s="18"/>
      <c r="M76" s="18"/>
      <c r="N76" s="18"/>
    </row>
    <row r="77" ht="15.75" customHeight="1">
      <c r="A77" s="39"/>
      <c r="B77" s="39"/>
      <c r="C77" s="39"/>
      <c r="D77" s="47"/>
      <c r="E77" s="47"/>
      <c r="F77" s="42" t="s">
        <v>37</v>
      </c>
      <c r="G77" s="43"/>
      <c r="H77" s="50">
        <f>VLOOKUP(F77,$A$20:$B$20,2,TRUE)</f>
        <v>50000</v>
      </c>
      <c r="I77" s="45">
        <f t="shared" si="1"/>
        <v>0</v>
      </c>
      <c r="J77" s="47"/>
      <c r="K77" s="18"/>
      <c r="L77" s="18"/>
      <c r="M77" s="18"/>
      <c r="N77" s="18"/>
    </row>
    <row r="78" ht="15.75" customHeight="1">
      <c r="A78" s="39"/>
      <c r="B78" s="39"/>
      <c r="C78" s="39"/>
      <c r="D78" s="47"/>
      <c r="E78" s="47"/>
      <c r="F78" s="42" t="s">
        <v>38</v>
      </c>
      <c r="G78" s="43"/>
      <c r="H78" s="50">
        <f>VLOOKUP(F78,$A$21:$B$21,2,TRUE)</f>
        <v>10000</v>
      </c>
      <c r="I78" s="45">
        <f t="shared" si="1"/>
        <v>0</v>
      </c>
      <c r="J78" s="47"/>
      <c r="K78" s="18"/>
      <c r="L78" s="18"/>
      <c r="M78" s="18"/>
      <c r="N78" s="18"/>
    </row>
    <row r="79" ht="15.75" customHeight="1">
      <c r="A79" s="39"/>
      <c r="B79" s="39"/>
      <c r="C79" s="39"/>
      <c r="D79" s="47"/>
      <c r="E79" s="47"/>
      <c r="F79" s="42" t="s">
        <v>39</v>
      </c>
      <c r="G79" s="43"/>
      <c r="H79" s="50">
        <f>VLOOKUP(F79,$A$22:$B$22,2,TRUE)</f>
        <v>1000</v>
      </c>
      <c r="I79" s="45">
        <f t="shared" si="1"/>
        <v>0</v>
      </c>
      <c r="J79" s="47"/>
      <c r="K79" s="18"/>
      <c r="L79" s="18"/>
      <c r="M79" s="18"/>
      <c r="N79" s="18"/>
    </row>
    <row r="80" ht="15.75" customHeight="1">
      <c r="A80" s="39"/>
      <c r="B80" s="39"/>
      <c r="C80" s="39"/>
      <c r="D80" s="47"/>
      <c r="E80" s="47"/>
      <c r="F80" s="42" t="s">
        <v>40</v>
      </c>
      <c r="G80" s="43"/>
      <c r="H80" s="50">
        <f>VLOOKUP(F80,$A$23:$B$23,2,TRUE)</f>
        <v>500</v>
      </c>
      <c r="I80" s="45">
        <f t="shared" si="1"/>
        <v>0</v>
      </c>
      <c r="J80" s="47"/>
      <c r="K80" s="18"/>
      <c r="L80" s="18"/>
      <c r="M80" s="18"/>
      <c r="N80" s="18"/>
    </row>
    <row r="81" ht="15.75" customHeight="1">
      <c r="A81" s="39"/>
      <c r="B81" s="39"/>
      <c r="C81" s="39"/>
      <c r="D81" s="47"/>
      <c r="E81" s="47"/>
      <c r="F81" s="42" t="s">
        <v>41</v>
      </c>
      <c r="G81" s="43"/>
      <c r="H81" s="50">
        <f>VLOOKUP(F81,$A$24:$B$24,2,TRUE)</f>
        <v>200</v>
      </c>
      <c r="I81" s="45">
        <f t="shared" si="1"/>
        <v>0</v>
      </c>
      <c r="J81" s="47"/>
      <c r="K81" s="18"/>
      <c r="L81" s="18"/>
      <c r="M81" s="18"/>
      <c r="N81" s="18"/>
    </row>
    <row r="82" ht="15.75" customHeight="1">
      <c r="A82" s="39"/>
      <c r="B82" s="39"/>
      <c r="C82" s="39"/>
      <c r="D82" s="47"/>
      <c r="E82" s="47"/>
      <c r="F82" s="42" t="s">
        <v>42</v>
      </c>
      <c r="G82" s="43"/>
      <c r="H82" s="50">
        <f>VLOOKUP(F82,$A$25:$B$25,2,TRUE)</f>
        <v>1000</v>
      </c>
      <c r="I82" s="45">
        <f t="shared" si="1"/>
        <v>0</v>
      </c>
      <c r="J82" s="47"/>
      <c r="K82" s="18"/>
      <c r="L82" s="18"/>
      <c r="M82" s="18"/>
      <c r="N82" s="18"/>
    </row>
    <row r="83" ht="15.75" customHeight="1">
      <c r="A83" s="39"/>
      <c r="B83" s="39"/>
      <c r="C83" s="39"/>
      <c r="D83" s="47"/>
      <c r="E83" s="47"/>
      <c r="F83" s="42" t="s">
        <v>17</v>
      </c>
      <c r="G83" s="43"/>
      <c r="H83" s="50">
        <f>VLOOKUP(F83,$A$26:$B$26,2,TRUE)</f>
        <v>300</v>
      </c>
      <c r="I83" s="45">
        <f t="shared" si="1"/>
        <v>0</v>
      </c>
      <c r="J83" s="47"/>
      <c r="K83" s="18"/>
      <c r="L83" s="18"/>
      <c r="M83" s="18"/>
      <c r="N83" s="18"/>
    </row>
    <row r="84" ht="15.75" customHeight="1">
      <c r="A84" s="39"/>
      <c r="B84" s="39"/>
      <c r="C84" s="39"/>
      <c r="D84" s="47"/>
      <c r="E84" s="47"/>
      <c r="F84" s="42" t="s">
        <v>43</v>
      </c>
      <c r="G84" s="43"/>
      <c r="H84" s="50">
        <f>VLOOKUP(F84,$A$27:$B$27,2,TRUE)</f>
        <v>100</v>
      </c>
      <c r="I84" s="45">
        <f t="shared" si="1"/>
        <v>0</v>
      </c>
      <c r="J84" s="47"/>
      <c r="K84" s="18"/>
      <c r="L84" s="18"/>
      <c r="M84" s="18"/>
      <c r="N84" s="18"/>
    </row>
    <row r="85" ht="15.75" customHeight="1">
      <c r="A85" s="39"/>
      <c r="B85" s="39"/>
      <c r="C85" s="39"/>
      <c r="D85" s="47"/>
      <c r="E85" s="47"/>
      <c r="F85" s="42" t="s">
        <v>59</v>
      </c>
      <c r="G85" s="43"/>
      <c r="H85" s="50">
        <f>VLOOKUP(F85,$A$28:$B$28,2,TRUE)</f>
        <v>500</v>
      </c>
      <c r="I85" s="45">
        <f t="shared" si="1"/>
        <v>0</v>
      </c>
      <c r="J85" s="47"/>
      <c r="K85" s="18"/>
      <c r="L85" s="18"/>
      <c r="M85" s="18"/>
      <c r="N85" s="18"/>
    </row>
    <row r="86" ht="15.75" customHeight="1">
      <c r="A86" s="39"/>
      <c r="B86" s="39"/>
      <c r="C86" s="39"/>
      <c r="D86" s="47"/>
      <c r="E86" s="47"/>
      <c r="F86" s="42" t="s">
        <v>13</v>
      </c>
      <c r="G86" s="43"/>
      <c r="H86" s="50">
        <f>VLOOKUP(F86,$A$29:$B$29,2,TRUE)</f>
        <v>1500</v>
      </c>
      <c r="I86" s="45">
        <f t="shared" si="1"/>
        <v>0</v>
      </c>
      <c r="J86" s="47"/>
      <c r="K86" s="18"/>
      <c r="L86" s="18"/>
      <c r="M86" s="18"/>
      <c r="N86" s="18"/>
    </row>
    <row r="87" ht="15.75" customHeight="1">
      <c r="A87" s="39"/>
      <c r="B87" s="39"/>
      <c r="C87" s="39"/>
      <c r="D87" s="47"/>
      <c r="E87" s="47"/>
      <c r="F87" s="42" t="s">
        <v>19</v>
      </c>
      <c r="G87" s="43">
        <v>0.5</v>
      </c>
      <c r="H87" s="50">
        <f>VLOOKUP(F87,$A$30:$B$30,2,TRUE)</f>
        <v>4000</v>
      </c>
      <c r="I87" s="45">
        <f t="shared" si="1"/>
        <v>2000</v>
      </c>
      <c r="J87" s="47"/>
      <c r="K87" s="18"/>
      <c r="L87" s="18"/>
      <c r="M87" s="18"/>
      <c r="N87" s="18"/>
    </row>
    <row r="88" ht="15.75" customHeight="1">
      <c r="A88" s="39"/>
      <c r="B88" s="39"/>
      <c r="C88" s="39"/>
      <c r="D88" s="7"/>
      <c r="E88" s="7"/>
      <c r="F88" s="42" t="s">
        <v>60</v>
      </c>
      <c r="G88" s="43"/>
      <c r="H88" s="50">
        <f>VLOOKUP(F88,$A$31:$B$31,2,TRUE)</f>
        <v>500</v>
      </c>
      <c r="I88" s="45">
        <f t="shared" si="1"/>
        <v>0</v>
      </c>
      <c r="J88" s="7"/>
      <c r="K88" s="18"/>
      <c r="L88" s="18"/>
      <c r="M88" s="18"/>
      <c r="N88" s="18"/>
    </row>
    <row r="89" ht="15.75" customHeight="1">
      <c r="A89" s="39"/>
      <c r="B89" s="39"/>
      <c r="C89" s="39"/>
      <c r="D89" s="40">
        <v>4.0</v>
      </c>
      <c r="E89" s="41" t="s">
        <v>75</v>
      </c>
      <c r="F89" s="42" t="s">
        <v>21</v>
      </c>
      <c r="G89" s="43"/>
      <c r="H89" s="50">
        <f>VLOOKUP(F89,$A$4:$B$4,2,TRUE)</f>
        <v>5000</v>
      </c>
      <c r="I89" s="45">
        <f t="shared" si="1"/>
        <v>0</v>
      </c>
      <c r="J89" s="46">
        <f>SUM(I89:I116)</f>
        <v>4000</v>
      </c>
      <c r="K89" s="18"/>
      <c r="L89" s="18"/>
      <c r="M89" s="18"/>
      <c r="N89" s="18"/>
    </row>
    <row r="90" ht="15.75" customHeight="1">
      <c r="A90" s="39"/>
      <c r="B90" s="39"/>
      <c r="C90" s="39"/>
      <c r="D90" s="47"/>
      <c r="E90" s="47"/>
      <c r="F90" s="42" t="s">
        <v>56</v>
      </c>
      <c r="G90" s="43"/>
      <c r="H90" s="50">
        <f>VLOOKUP(F90,$A$5:$B$5,2,TRUE)</f>
        <v>3000</v>
      </c>
      <c r="I90" s="45">
        <f t="shared" si="1"/>
        <v>0</v>
      </c>
      <c r="J90" s="47"/>
      <c r="K90" s="18"/>
      <c r="L90" s="18"/>
      <c r="M90" s="18"/>
      <c r="N90" s="18"/>
    </row>
    <row r="91" ht="15.75" customHeight="1">
      <c r="A91" s="39"/>
      <c r="B91" s="39"/>
      <c r="C91" s="39"/>
      <c r="D91" s="47"/>
      <c r="E91" s="47"/>
      <c r="F91" s="42" t="s">
        <v>58</v>
      </c>
      <c r="G91" s="43"/>
      <c r="H91" s="50">
        <f>VLOOKUP(F91,$A$6:$B$6,2,TRUE)</f>
        <v>1000</v>
      </c>
      <c r="I91" s="45">
        <f t="shared" si="1"/>
        <v>0</v>
      </c>
      <c r="J91" s="47"/>
      <c r="K91" s="18"/>
      <c r="L91" s="18"/>
      <c r="M91" s="18"/>
      <c r="N91" s="18"/>
    </row>
    <row r="92" ht="15.75" customHeight="1">
      <c r="A92" s="39"/>
      <c r="B92" s="39"/>
      <c r="C92" s="39"/>
      <c r="D92" s="47"/>
      <c r="E92" s="47"/>
      <c r="F92" s="42" t="s">
        <v>24</v>
      </c>
      <c r="G92" s="43"/>
      <c r="H92" s="50">
        <f>VLOOKUP(F92,$A$7:$B$7,2,TRUE)</f>
        <v>2800</v>
      </c>
      <c r="I92" s="45">
        <f t="shared" si="1"/>
        <v>0</v>
      </c>
      <c r="J92" s="47"/>
      <c r="K92" s="18"/>
      <c r="L92" s="18"/>
      <c r="M92" s="18"/>
      <c r="N92" s="18"/>
    </row>
    <row r="93" ht="15.75" customHeight="1">
      <c r="A93" s="39"/>
      <c r="B93" s="39"/>
      <c r="C93" s="39"/>
      <c r="D93" s="47"/>
      <c r="E93" s="47"/>
      <c r="F93" s="42" t="s">
        <v>25</v>
      </c>
      <c r="G93" s="43"/>
      <c r="H93" s="50">
        <f>VLOOKUP(F93,$A$8:$B$8,2,TRUE)</f>
        <v>3500</v>
      </c>
      <c r="I93" s="45">
        <f t="shared" si="1"/>
        <v>0</v>
      </c>
      <c r="J93" s="47"/>
      <c r="K93" s="18"/>
      <c r="L93" s="18"/>
      <c r="M93" s="18"/>
      <c r="N93" s="18"/>
    </row>
    <row r="94" ht="15.75" customHeight="1">
      <c r="A94" s="39"/>
      <c r="B94" s="39"/>
      <c r="C94" s="39"/>
      <c r="D94" s="47"/>
      <c r="E94" s="47"/>
      <c r="F94" s="42" t="s">
        <v>26</v>
      </c>
      <c r="G94" s="43"/>
      <c r="H94" s="50">
        <f>VLOOKUP(F94,$A$9:$B$9,2,TRUE)</f>
        <v>1000</v>
      </c>
      <c r="I94" s="45">
        <f t="shared" si="1"/>
        <v>0</v>
      </c>
      <c r="J94" s="47"/>
      <c r="K94" s="18"/>
      <c r="L94" s="18"/>
      <c r="M94" s="18"/>
      <c r="N94" s="18"/>
    </row>
    <row r="95" ht="15.75" customHeight="1">
      <c r="A95" s="39"/>
      <c r="B95" s="39"/>
      <c r="C95" s="39"/>
      <c r="D95" s="47"/>
      <c r="E95" s="47"/>
      <c r="F95" s="42" t="s">
        <v>27</v>
      </c>
      <c r="G95" s="43">
        <v>2.0</v>
      </c>
      <c r="H95" s="50">
        <f>VLOOKUP(F95,$A$10:$B$10,2,TRUE)</f>
        <v>2000</v>
      </c>
      <c r="I95" s="45">
        <f t="shared" si="1"/>
        <v>4000</v>
      </c>
      <c r="J95" s="47"/>
      <c r="K95" s="18"/>
      <c r="L95" s="18"/>
      <c r="M95" s="18"/>
      <c r="N95" s="18"/>
    </row>
    <row r="96" ht="15.75" customHeight="1">
      <c r="A96" s="39"/>
      <c r="B96" s="39"/>
      <c r="C96" s="39"/>
      <c r="D96" s="47"/>
      <c r="E96" s="47"/>
      <c r="F96" s="42" t="s">
        <v>28</v>
      </c>
      <c r="G96" s="43"/>
      <c r="H96" s="50">
        <f>VLOOKUP(F96,$A$11:$B$11,2,TRUE)</f>
        <v>2000</v>
      </c>
      <c r="I96" s="45">
        <f t="shared" si="1"/>
        <v>0</v>
      </c>
      <c r="J96" s="47"/>
      <c r="K96" s="18"/>
      <c r="L96" s="18"/>
      <c r="M96" s="18"/>
      <c r="N96" s="18"/>
    </row>
    <row r="97" ht="15.75" customHeight="1">
      <c r="A97" s="39"/>
      <c r="B97" s="39"/>
      <c r="C97" s="39"/>
      <c r="D97" s="47"/>
      <c r="E97" s="47"/>
      <c r="F97" s="42" t="s">
        <v>29</v>
      </c>
      <c r="G97" s="43"/>
      <c r="H97" s="50">
        <f>VLOOKUP(F97,$A$12:$B$12,2,TRUE)</f>
        <v>1300</v>
      </c>
      <c r="I97" s="45">
        <f t="shared" si="1"/>
        <v>0</v>
      </c>
      <c r="J97" s="47"/>
      <c r="K97" s="18"/>
      <c r="L97" s="18"/>
      <c r="M97" s="18"/>
      <c r="N97" s="18"/>
    </row>
    <row r="98" ht="15.75" customHeight="1">
      <c r="A98" s="39"/>
      <c r="B98" s="39"/>
      <c r="C98" s="39"/>
      <c r="D98" s="47"/>
      <c r="E98" s="47"/>
      <c r="F98" s="42" t="s">
        <v>30</v>
      </c>
      <c r="G98" s="43"/>
      <c r="H98" s="50">
        <f>VLOOKUP(F98,$A$13:$B$13,2,TRUE)</f>
        <v>1000</v>
      </c>
      <c r="I98" s="45">
        <f t="shared" si="1"/>
        <v>0</v>
      </c>
      <c r="J98" s="47"/>
      <c r="K98" s="18"/>
      <c r="L98" s="18"/>
      <c r="M98" s="18"/>
      <c r="N98" s="18"/>
    </row>
    <row r="99" ht="15.75" customHeight="1">
      <c r="A99" s="39"/>
      <c r="B99" s="39"/>
      <c r="C99" s="39"/>
      <c r="D99" s="47"/>
      <c r="E99" s="47"/>
      <c r="F99" s="42" t="s">
        <v>31</v>
      </c>
      <c r="G99" s="43"/>
      <c r="H99" s="50">
        <f>VLOOKUP(F99,$A$14:$B$14,2,TRUE)</f>
        <v>400</v>
      </c>
      <c r="I99" s="45">
        <f t="shared" si="1"/>
        <v>0</v>
      </c>
      <c r="J99" s="47"/>
      <c r="K99" s="18"/>
      <c r="L99" s="18"/>
      <c r="M99" s="18"/>
      <c r="N99" s="18"/>
    </row>
    <row r="100" ht="15.75" customHeight="1">
      <c r="A100" s="39"/>
      <c r="B100" s="39"/>
      <c r="C100" s="39"/>
      <c r="D100" s="47"/>
      <c r="E100" s="47"/>
      <c r="F100" s="42" t="s">
        <v>32</v>
      </c>
      <c r="G100" s="43"/>
      <c r="H100" s="50">
        <f>VLOOKUP(F100,$A$15:$B$15,2,TRUE)</f>
        <v>7500</v>
      </c>
      <c r="I100" s="45">
        <f t="shared" si="1"/>
        <v>0</v>
      </c>
      <c r="J100" s="47"/>
      <c r="K100" s="18"/>
      <c r="L100" s="18"/>
      <c r="M100" s="18"/>
      <c r="N100" s="18"/>
    </row>
    <row r="101" ht="15.75" customHeight="1">
      <c r="A101" s="39"/>
      <c r="B101" s="39"/>
      <c r="C101" s="39"/>
      <c r="D101" s="47"/>
      <c r="E101" s="47"/>
      <c r="F101" s="42" t="s">
        <v>33</v>
      </c>
      <c r="G101" s="43"/>
      <c r="H101" s="50">
        <f>VLOOKUP(F101,$A$16:$B$16,2,TRUE)</f>
        <v>2000</v>
      </c>
      <c r="I101" s="45">
        <f t="shared" si="1"/>
        <v>0</v>
      </c>
      <c r="J101" s="47"/>
      <c r="K101" s="18"/>
      <c r="L101" s="18"/>
      <c r="M101" s="18"/>
      <c r="N101" s="18"/>
    </row>
    <row r="102" ht="15.75" customHeight="1">
      <c r="A102" s="39"/>
      <c r="B102" s="39"/>
      <c r="C102" s="39"/>
      <c r="D102" s="47"/>
      <c r="E102" s="47"/>
      <c r="F102" s="42" t="s">
        <v>34</v>
      </c>
      <c r="G102" s="43"/>
      <c r="H102" s="50">
        <f>VLOOKUP(F102,$A$17:$B$17,2,TRUE)</f>
        <v>800</v>
      </c>
      <c r="I102" s="45">
        <f t="shared" si="1"/>
        <v>0</v>
      </c>
      <c r="J102" s="47"/>
      <c r="K102" s="18"/>
      <c r="L102" s="18"/>
      <c r="M102" s="18"/>
      <c r="N102" s="18"/>
    </row>
    <row r="103" ht="15.75" customHeight="1">
      <c r="A103" s="39"/>
      <c r="B103" s="39"/>
      <c r="C103" s="39"/>
      <c r="D103" s="47"/>
      <c r="E103" s="47"/>
      <c r="F103" s="42" t="s">
        <v>35</v>
      </c>
      <c r="G103" s="43"/>
      <c r="H103" s="50">
        <f>VLOOKUP(F103,$A$18:$B$18,2,TRUE)</f>
        <v>5000</v>
      </c>
      <c r="I103" s="45">
        <f t="shared" si="1"/>
        <v>0</v>
      </c>
      <c r="J103" s="47"/>
      <c r="K103" s="18"/>
      <c r="L103" s="18"/>
      <c r="M103" s="18"/>
      <c r="N103" s="18"/>
    </row>
    <row r="104" ht="15.75" customHeight="1">
      <c r="A104" s="39"/>
      <c r="B104" s="39"/>
      <c r="C104" s="39"/>
      <c r="D104" s="47"/>
      <c r="E104" s="47"/>
      <c r="F104" s="42" t="s">
        <v>36</v>
      </c>
      <c r="G104" s="43"/>
      <c r="H104" s="50">
        <f>VLOOKUP(F104,$A$19:$B$19,2,TRUE)</f>
        <v>2700</v>
      </c>
      <c r="I104" s="45">
        <f t="shared" si="1"/>
        <v>0</v>
      </c>
      <c r="J104" s="47"/>
      <c r="K104" s="18"/>
      <c r="L104" s="18"/>
      <c r="M104" s="18"/>
      <c r="N104" s="18"/>
    </row>
    <row r="105" ht="15.75" customHeight="1">
      <c r="A105" s="39"/>
      <c r="B105" s="39"/>
      <c r="C105" s="39"/>
      <c r="D105" s="47"/>
      <c r="E105" s="47"/>
      <c r="F105" s="42" t="s">
        <v>37</v>
      </c>
      <c r="G105" s="43"/>
      <c r="H105" s="50">
        <f>VLOOKUP(F105,$A$20:$B$20,2,TRUE)</f>
        <v>50000</v>
      </c>
      <c r="I105" s="45">
        <f t="shared" si="1"/>
        <v>0</v>
      </c>
      <c r="J105" s="47"/>
      <c r="K105" s="18"/>
      <c r="L105" s="18"/>
      <c r="M105" s="18"/>
      <c r="N105" s="18"/>
    </row>
    <row r="106" ht="15.75" customHeight="1">
      <c r="A106" s="39"/>
      <c r="B106" s="39"/>
      <c r="C106" s="39"/>
      <c r="D106" s="47"/>
      <c r="E106" s="47"/>
      <c r="F106" s="42" t="s">
        <v>38</v>
      </c>
      <c r="G106" s="43"/>
      <c r="H106" s="50">
        <f>VLOOKUP(F106,$A$21:$B$21,2,TRUE)</f>
        <v>10000</v>
      </c>
      <c r="I106" s="45">
        <f t="shared" si="1"/>
        <v>0</v>
      </c>
      <c r="J106" s="47"/>
      <c r="K106" s="18"/>
      <c r="L106" s="18"/>
      <c r="M106" s="18"/>
      <c r="N106" s="18"/>
    </row>
    <row r="107" ht="15.75" customHeight="1">
      <c r="A107" s="39"/>
      <c r="B107" s="39"/>
      <c r="C107" s="39"/>
      <c r="D107" s="47"/>
      <c r="E107" s="47"/>
      <c r="F107" s="42" t="s">
        <v>39</v>
      </c>
      <c r="G107" s="43"/>
      <c r="H107" s="50">
        <f>VLOOKUP(F107,$A$22:$B$22,2,TRUE)</f>
        <v>1000</v>
      </c>
      <c r="I107" s="45">
        <f t="shared" si="1"/>
        <v>0</v>
      </c>
      <c r="J107" s="47"/>
      <c r="K107" s="18"/>
      <c r="L107" s="18"/>
      <c r="M107" s="18"/>
      <c r="N107" s="18"/>
    </row>
    <row r="108" ht="15.75" customHeight="1">
      <c r="A108" s="39"/>
      <c r="B108" s="39"/>
      <c r="C108" s="39"/>
      <c r="D108" s="47"/>
      <c r="E108" s="47"/>
      <c r="F108" s="42" t="s">
        <v>40</v>
      </c>
      <c r="G108" s="43"/>
      <c r="H108" s="50">
        <f>VLOOKUP(F108,$A$23:$B$23,2,TRUE)</f>
        <v>500</v>
      </c>
      <c r="I108" s="45">
        <f t="shared" si="1"/>
        <v>0</v>
      </c>
      <c r="J108" s="47"/>
      <c r="K108" s="18"/>
      <c r="L108" s="18"/>
      <c r="M108" s="18"/>
      <c r="N108" s="18"/>
    </row>
    <row r="109" ht="15.75" customHeight="1">
      <c r="A109" s="39"/>
      <c r="B109" s="39"/>
      <c r="C109" s="39"/>
      <c r="D109" s="47"/>
      <c r="E109" s="47"/>
      <c r="F109" s="42" t="s">
        <v>41</v>
      </c>
      <c r="G109" s="43"/>
      <c r="H109" s="50">
        <f>VLOOKUP(F109,$A$24:$B$24,2,TRUE)</f>
        <v>200</v>
      </c>
      <c r="I109" s="45">
        <f t="shared" si="1"/>
        <v>0</v>
      </c>
      <c r="J109" s="47"/>
      <c r="K109" s="18"/>
      <c r="L109" s="18"/>
      <c r="M109" s="18"/>
      <c r="N109" s="18"/>
    </row>
    <row r="110" ht="15.75" customHeight="1">
      <c r="A110" s="39"/>
      <c r="B110" s="39"/>
      <c r="C110" s="39"/>
      <c r="D110" s="47"/>
      <c r="E110" s="47"/>
      <c r="F110" s="42" t="s">
        <v>42</v>
      </c>
      <c r="G110" s="43"/>
      <c r="H110" s="50">
        <f>VLOOKUP(F110,$A$25:$B$25,2,TRUE)</f>
        <v>1000</v>
      </c>
      <c r="I110" s="45">
        <f t="shared" si="1"/>
        <v>0</v>
      </c>
      <c r="J110" s="47"/>
      <c r="K110" s="18"/>
      <c r="L110" s="18"/>
      <c r="M110" s="18"/>
      <c r="N110" s="18"/>
    </row>
    <row r="111" ht="15.75" customHeight="1">
      <c r="A111" s="39"/>
      <c r="B111" s="39"/>
      <c r="C111" s="39"/>
      <c r="D111" s="47"/>
      <c r="E111" s="47"/>
      <c r="F111" s="42" t="s">
        <v>17</v>
      </c>
      <c r="G111" s="43"/>
      <c r="H111" s="50">
        <f>VLOOKUP(F111,$A$26:$B$26,2,TRUE)</f>
        <v>300</v>
      </c>
      <c r="I111" s="45">
        <f t="shared" si="1"/>
        <v>0</v>
      </c>
      <c r="J111" s="47"/>
      <c r="K111" s="18"/>
      <c r="L111" s="18"/>
      <c r="M111" s="18"/>
      <c r="N111" s="18"/>
    </row>
    <row r="112" ht="15.75" customHeight="1">
      <c r="A112" s="39"/>
      <c r="B112" s="39"/>
      <c r="C112" s="39"/>
      <c r="D112" s="47"/>
      <c r="E112" s="47"/>
      <c r="F112" s="42" t="s">
        <v>43</v>
      </c>
      <c r="G112" s="43"/>
      <c r="H112" s="50">
        <f>VLOOKUP(F112,$A$27:$B$27,2,TRUE)</f>
        <v>100</v>
      </c>
      <c r="I112" s="45">
        <f t="shared" si="1"/>
        <v>0</v>
      </c>
      <c r="J112" s="47"/>
      <c r="K112" s="18"/>
      <c r="L112" s="18"/>
      <c r="M112" s="18"/>
      <c r="N112" s="18"/>
    </row>
    <row r="113" ht="15.75" customHeight="1">
      <c r="A113" s="39"/>
      <c r="B113" s="39"/>
      <c r="C113" s="39"/>
      <c r="D113" s="47"/>
      <c r="E113" s="47"/>
      <c r="F113" s="42" t="s">
        <v>59</v>
      </c>
      <c r="G113" s="43"/>
      <c r="H113" s="50">
        <f>VLOOKUP(F113,$A$28:$B$28,2,TRUE)</f>
        <v>500</v>
      </c>
      <c r="I113" s="45">
        <f t="shared" si="1"/>
        <v>0</v>
      </c>
      <c r="J113" s="47"/>
      <c r="K113" s="18"/>
      <c r="L113" s="18"/>
      <c r="M113" s="18"/>
      <c r="N113" s="18"/>
    </row>
    <row r="114" ht="15.75" customHeight="1">
      <c r="A114" s="39"/>
      <c r="B114" s="39"/>
      <c r="C114" s="39"/>
      <c r="D114" s="47"/>
      <c r="E114" s="47"/>
      <c r="F114" s="42" t="s">
        <v>13</v>
      </c>
      <c r="G114" s="43"/>
      <c r="H114" s="50">
        <f>VLOOKUP(F114,$A$29:$B$29,2,TRUE)</f>
        <v>1500</v>
      </c>
      <c r="I114" s="45">
        <f t="shared" si="1"/>
        <v>0</v>
      </c>
      <c r="J114" s="47"/>
      <c r="K114" s="18"/>
      <c r="L114" s="18"/>
      <c r="M114" s="18"/>
      <c r="N114" s="18"/>
    </row>
    <row r="115" ht="15.75" customHeight="1">
      <c r="A115" s="39"/>
      <c r="B115" s="39"/>
      <c r="C115" s="39"/>
      <c r="D115" s="47"/>
      <c r="E115" s="47"/>
      <c r="F115" s="42" t="s">
        <v>19</v>
      </c>
      <c r="G115" s="43"/>
      <c r="H115" s="50">
        <f>VLOOKUP(F115,$A$30:$B$30,2,TRUE)</f>
        <v>4000</v>
      </c>
      <c r="I115" s="45">
        <f t="shared" si="1"/>
        <v>0</v>
      </c>
      <c r="J115" s="47"/>
      <c r="K115" s="18"/>
      <c r="L115" s="18"/>
      <c r="M115" s="18"/>
      <c r="N115" s="18"/>
    </row>
    <row r="116" ht="15.75" customHeight="1">
      <c r="A116" s="39"/>
      <c r="B116" s="39"/>
      <c r="C116" s="39"/>
      <c r="D116" s="7"/>
      <c r="E116" s="7"/>
      <c r="F116" s="42" t="s">
        <v>60</v>
      </c>
      <c r="G116" s="43"/>
      <c r="H116" s="50">
        <f>VLOOKUP(F116,$A$31:$B$31,2,TRUE)</f>
        <v>500</v>
      </c>
      <c r="I116" s="45">
        <f t="shared" si="1"/>
        <v>0</v>
      </c>
      <c r="J116" s="7"/>
      <c r="K116" s="18"/>
      <c r="L116" s="18"/>
      <c r="M116" s="18"/>
      <c r="N116" s="18"/>
    </row>
    <row r="117" ht="15.75" customHeight="1">
      <c r="A117" s="39"/>
      <c r="B117" s="39"/>
      <c r="C117" s="39"/>
      <c r="D117" s="40">
        <v>5.0</v>
      </c>
      <c r="E117" s="41" t="s">
        <v>76</v>
      </c>
      <c r="F117" s="42" t="s">
        <v>21</v>
      </c>
      <c r="G117" s="43"/>
      <c r="H117" s="50">
        <f>VLOOKUP(F117,$A$4:$B$4,2,TRUE)</f>
        <v>5000</v>
      </c>
      <c r="I117" s="45">
        <f t="shared" si="1"/>
        <v>0</v>
      </c>
      <c r="J117" s="46">
        <f>SUM(I117:I144)</f>
        <v>40400</v>
      </c>
      <c r="K117" s="18"/>
      <c r="L117" s="18"/>
      <c r="M117" s="18"/>
      <c r="N117" s="18"/>
    </row>
    <row r="118" ht="15.75" customHeight="1">
      <c r="A118" s="39"/>
      <c r="B118" s="39"/>
      <c r="C118" s="39"/>
      <c r="D118" s="47"/>
      <c r="E118" s="47"/>
      <c r="F118" s="42" t="s">
        <v>56</v>
      </c>
      <c r="G118" s="43"/>
      <c r="H118" s="50">
        <f>VLOOKUP(F118,$A$5:$B$5,2,TRUE)</f>
        <v>3000</v>
      </c>
      <c r="I118" s="45">
        <f t="shared" si="1"/>
        <v>0</v>
      </c>
      <c r="J118" s="47"/>
      <c r="K118" s="18"/>
      <c r="L118" s="18"/>
      <c r="M118" s="18"/>
      <c r="N118" s="18"/>
    </row>
    <row r="119" ht="15.75" customHeight="1">
      <c r="A119" s="39"/>
      <c r="B119" s="39"/>
      <c r="C119" s="39"/>
      <c r="D119" s="47"/>
      <c r="E119" s="47"/>
      <c r="F119" s="42" t="s">
        <v>58</v>
      </c>
      <c r="G119" s="43"/>
      <c r="H119" s="50">
        <f>VLOOKUP(F119,$A$6:$B$6,2,TRUE)</f>
        <v>1000</v>
      </c>
      <c r="I119" s="45">
        <f t="shared" si="1"/>
        <v>0</v>
      </c>
      <c r="J119" s="47"/>
      <c r="K119" s="18"/>
      <c r="L119" s="18"/>
      <c r="M119" s="18"/>
      <c r="N119" s="18"/>
    </row>
    <row r="120" ht="15.75" customHeight="1">
      <c r="A120" s="39"/>
      <c r="B120" s="39"/>
      <c r="C120" s="39"/>
      <c r="D120" s="47"/>
      <c r="E120" s="47"/>
      <c r="F120" s="42" t="s">
        <v>24</v>
      </c>
      <c r="G120" s="43"/>
      <c r="H120" s="50">
        <f>VLOOKUP(F120,$A$7:$B$7,2,TRUE)</f>
        <v>2800</v>
      </c>
      <c r="I120" s="45">
        <f t="shared" si="1"/>
        <v>0</v>
      </c>
      <c r="J120" s="47"/>
      <c r="K120" s="18"/>
      <c r="L120" s="18"/>
      <c r="M120" s="18"/>
      <c r="N120" s="18"/>
    </row>
    <row r="121" ht="15.75" customHeight="1">
      <c r="A121" s="39"/>
      <c r="B121" s="39"/>
      <c r="C121" s="39"/>
      <c r="D121" s="47"/>
      <c r="E121" s="47"/>
      <c r="F121" s="42" t="s">
        <v>25</v>
      </c>
      <c r="G121" s="43"/>
      <c r="H121" s="50">
        <f>VLOOKUP(F121,$A$8:$B$8,2,TRUE)</f>
        <v>3500</v>
      </c>
      <c r="I121" s="45">
        <f t="shared" si="1"/>
        <v>0</v>
      </c>
      <c r="J121" s="47"/>
      <c r="K121" s="18"/>
      <c r="L121" s="18"/>
      <c r="M121" s="18"/>
      <c r="N121" s="18"/>
    </row>
    <row r="122" ht="15.75" customHeight="1">
      <c r="A122" s="39"/>
      <c r="B122" s="39"/>
      <c r="C122" s="39"/>
      <c r="D122" s="47"/>
      <c r="E122" s="47"/>
      <c r="F122" s="42" t="s">
        <v>26</v>
      </c>
      <c r="G122" s="43"/>
      <c r="H122" s="50">
        <f>VLOOKUP(F122,$A$9:$B$9,2,TRUE)</f>
        <v>1000</v>
      </c>
      <c r="I122" s="45">
        <f t="shared" si="1"/>
        <v>0</v>
      </c>
      <c r="J122" s="47"/>
      <c r="K122" s="18"/>
      <c r="L122" s="18"/>
      <c r="M122" s="18"/>
      <c r="N122" s="18"/>
    </row>
    <row r="123" ht="15.75" customHeight="1">
      <c r="A123" s="39"/>
      <c r="B123" s="39"/>
      <c r="C123" s="39"/>
      <c r="D123" s="47"/>
      <c r="E123" s="47"/>
      <c r="F123" s="42" t="s">
        <v>27</v>
      </c>
      <c r="G123" s="43">
        <v>7.0</v>
      </c>
      <c r="H123" s="50">
        <f>VLOOKUP(F123,$A$10:$B$10,2,TRUE)</f>
        <v>2000</v>
      </c>
      <c r="I123" s="45">
        <f t="shared" si="1"/>
        <v>14000</v>
      </c>
      <c r="J123" s="47"/>
      <c r="K123" s="18"/>
      <c r="L123" s="18"/>
      <c r="M123" s="18"/>
      <c r="N123" s="18"/>
    </row>
    <row r="124" ht="15.75" customHeight="1">
      <c r="A124" s="39"/>
      <c r="B124" s="39"/>
      <c r="C124" s="39"/>
      <c r="D124" s="47"/>
      <c r="E124" s="47"/>
      <c r="F124" s="42" t="s">
        <v>28</v>
      </c>
      <c r="G124" s="43"/>
      <c r="H124" s="50">
        <f>VLOOKUP(F124,$A$11:$B$11,2,TRUE)</f>
        <v>2000</v>
      </c>
      <c r="I124" s="45">
        <f t="shared" si="1"/>
        <v>0</v>
      </c>
      <c r="J124" s="47"/>
      <c r="K124" s="18"/>
      <c r="L124" s="18"/>
      <c r="M124" s="18"/>
      <c r="N124" s="18"/>
    </row>
    <row r="125" ht="15.75" customHeight="1">
      <c r="A125" s="39"/>
      <c r="B125" s="39"/>
      <c r="C125" s="39"/>
      <c r="D125" s="47"/>
      <c r="E125" s="47"/>
      <c r="F125" s="42" t="s">
        <v>29</v>
      </c>
      <c r="G125" s="43"/>
      <c r="H125" s="50">
        <f>VLOOKUP(F125,$A$12:$B$12,2,TRUE)</f>
        <v>1300</v>
      </c>
      <c r="I125" s="45">
        <f t="shared" si="1"/>
        <v>0</v>
      </c>
      <c r="J125" s="47"/>
      <c r="K125" s="18"/>
      <c r="L125" s="18"/>
      <c r="M125" s="18"/>
      <c r="N125" s="18"/>
    </row>
    <row r="126" ht="15.75" customHeight="1">
      <c r="A126" s="39"/>
      <c r="B126" s="39"/>
      <c r="C126" s="39"/>
      <c r="D126" s="47"/>
      <c r="E126" s="47"/>
      <c r="F126" s="42" t="s">
        <v>30</v>
      </c>
      <c r="G126" s="43"/>
      <c r="H126" s="50">
        <f>VLOOKUP(F126,$A$13:$B$13,2,TRUE)</f>
        <v>1000</v>
      </c>
      <c r="I126" s="45">
        <f t="shared" si="1"/>
        <v>0</v>
      </c>
      <c r="J126" s="47"/>
      <c r="K126" s="18"/>
      <c r="L126" s="18"/>
      <c r="M126" s="18"/>
      <c r="N126" s="18"/>
    </row>
    <row r="127" ht="15.75" customHeight="1">
      <c r="A127" s="39"/>
      <c r="B127" s="39"/>
      <c r="C127" s="39"/>
      <c r="D127" s="47"/>
      <c r="E127" s="47"/>
      <c r="F127" s="42" t="s">
        <v>31</v>
      </c>
      <c r="G127" s="43"/>
      <c r="H127" s="50">
        <f>VLOOKUP(F127,$A$14:$B$14,2,TRUE)</f>
        <v>400</v>
      </c>
      <c r="I127" s="45">
        <f t="shared" si="1"/>
        <v>0</v>
      </c>
      <c r="J127" s="47"/>
      <c r="K127" s="18"/>
      <c r="L127" s="18"/>
      <c r="M127" s="18"/>
      <c r="N127" s="18"/>
    </row>
    <row r="128" ht="15.75" customHeight="1">
      <c r="A128" s="39"/>
      <c r="B128" s="39"/>
      <c r="C128" s="39"/>
      <c r="D128" s="47"/>
      <c r="E128" s="47"/>
      <c r="F128" s="42" t="s">
        <v>32</v>
      </c>
      <c r="G128" s="43"/>
      <c r="H128" s="50">
        <f>VLOOKUP(F128,$A$15:$B$15,2,TRUE)</f>
        <v>7500</v>
      </c>
      <c r="I128" s="45">
        <f t="shared" si="1"/>
        <v>0</v>
      </c>
      <c r="J128" s="47"/>
      <c r="K128" s="18"/>
      <c r="L128" s="18"/>
      <c r="M128" s="18"/>
      <c r="N128" s="18"/>
    </row>
    <row r="129" ht="15.75" customHeight="1">
      <c r="A129" s="39"/>
      <c r="B129" s="39"/>
      <c r="C129" s="39"/>
      <c r="D129" s="47"/>
      <c r="E129" s="47"/>
      <c r="F129" s="42" t="s">
        <v>33</v>
      </c>
      <c r="G129" s="43"/>
      <c r="H129" s="50">
        <f>VLOOKUP(F129,$A$16:$B$16,2,TRUE)</f>
        <v>2000</v>
      </c>
      <c r="I129" s="45">
        <f t="shared" si="1"/>
        <v>0</v>
      </c>
      <c r="J129" s="47"/>
      <c r="K129" s="18"/>
      <c r="L129" s="18"/>
      <c r="M129" s="18"/>
      <c r="N129" s="18"/>
    </row>
    <row r="130" ht="15.75" customHeight="1">
      <c r="A130" s="39"/>
      <c r="B130" s="39"/>
      <c r="C130" s="39"/>
      <c r="D130" s="47"/>
      <c r="E130" s="47"/>
      <c r="F130" s="42" t="s">
        <v>34</v>
      </c>
      <c r="G130" s="43"/>
      <c r="H130" s="50">
        <f>VLOOKUP(F130,$A$17:$B$17,2,TRUE)</f>
        <v>800</v>
      </c>
      <c r="I130" s="45">
        <f t="shared" si="1"/>
        <v>0</v>
      </c>
      <c r="J130" s="47"/>
      <c r="K130" s="18"/>
      <c r="L130" s="18"/>
      <c r="M130" s="18"/>
      <c r="N130" s="18"/>
    </row>
    <row r="131" ht="15.75" customHeight="1">
      <c r="A131" s="39"/>
      <c r="B131" s="39"/>
      <c r="C131" s="39"/>
      <c r="D131" s="47"/>
      <c r="E131" s="47"/>
      <c r="F131" s="42" t="s">
        <v>35</v>
      </c>
      <c r="G131" s="43"/>
      <c r="H131" s="50">
        <f>VLOOKUP(F131,$A$18:$B$18,2,TRUE)</f>
        <v>5000</v>
      </c>
      <c r="I131" s="45">
        <f t="shared" si="1"/>
        <v>0</v>
      </c>
      <c r="J131" s="47"/>
      <c r="K131" s="18"/>
      <c r="L131" s="18"/>
      <c r="M131" s="18"/>
      <c r="N131" s="18"/>
    </row>
    <row r="132" ht="15.75" customHeight="1">
      <c r="A132" s="39"/>
      <c r="B132" s="39"/>
      <c r="C132" s="39"/>
      <c r="D132" s="47"/>
      <c r="E132" s="47"/>
      <c r="F132" s="42" t="s">
        <v>36</v>
      </c>
      <c r="G132" s="43"/>
      <c r="H132" s="50">
        <f>VLOOKUP(F132,$A$19:$B$19,2,TRUE)</f>
        <v>2700</v>
      </c>
      <c r="I132" s="45">
        <f t="shared" si="1"/>
        <v>0</v>
      </c>
      <c r="J132" s="47"/>
      <c r="K132" s="18"/>
      <c r="L132" s="18"/>
      <c r="M132" s="18"/>
      <c r="N132" s="18"/>
    </row>
    <row r="133" ht="15.75" customHeight="1">
      <c r="A133" s="39"/>
      <c r="B133" s="39"/>
      <c r="C133" s="39"/>
      <c r="D133" s="47"/>
      <c r="E133" s="47"/>
      <c r="F133" s="42" t="s">
        <v>37</v>
      </c>
      <c r="G133" s="43"/>
      <c r="H133" s="50">
        <f>VLOOKUP(F133,$A$20:$B$20,2,TRUE)</f>
        <v>50000</v>
      </c>
      <c r="I133" s="45">
        <f t="shared" si="1"/>
        <v>0</v>
      </c>
      <c r="J133" s="47"/>
      <c r="K133" s="18"/>
      <c r="L133" s="18"/>
      <c r="M133" s="18"/>
      <c r="N133" s="18"/>
    </row>
    <row r="134" ht="15.75" customHeight="1">
      <c r="A134" s="39"/>
      <c r="B134" s="39"/>
      <c r="C134" s="39"/>
      <c r="D134" s="47"/>
      <c r="E134" s="47"/>
      <c r="F134" s="42" t="s">
        <v>38</v>
      </c>
      <c r="G134" s="43"/>
      <c r="H134" s="50">
        <f>VLOOKUP(F134,$A$21:$B$21,2,TRUE)</f>
        <v>10000</v>
      </c>
      <c r="I134" s="45">
        <f t="shared" si="1"/>
        <v>0</v>
      </c>
      <c r="J134" s="47"/>
      <c r="K134" s="18"/>
      <c r="L134" s="18"/>
      <c r="M134" s="18"/>
      <c r="N134" s="18"/>
    </row>
    <row r="135" ht="15.75" customHeight="1">
      <c r="A135" s="39"/>
      <c r="B135" s="39"/>
      <c r="C135" s="39"/>
      <c r="D135" s="47"/>
      <c r="E135" s="47"/>
      <c r="F135" s="42" t="s">
        <v>39</v>
      </c>
      <c r="G135" s="43"/>
      <c r="H135" s="50">
        <f>VLOOKUP(F135,$A$22:$B$22,2,TRUE)</f>
        <v>1000</v>
      </c>
      <c r="I135" s="45">
        <f t="shared" si="1"/>
        <v>0</v>
      </c>
      <c r="J135" s="47"/>
      <c r="K135" s="18"/>
      <c r="L135" s="18"/>
      <c r="M135" s="18"/>
      <c r="N135" s="18"/>
    </row>
    <row r="136" ht="15.75" customHeight="1">
      <c r="A136" s="39"/>
      <c r="B136" s="39"/>
      <c r="C136" s="39"/>
      <c r="D136" s="47"/>
      <c r="E136" s="47"/>
      <c r="F136" s="42" t="s">
        <v>40</v>
      </c>
      <c r="G136" s="43"/>
      <c r="H136" s="50">
        <f>VLOOKUP(F136,$A$23:$B$23,2,TRUE)</f>
        <v>500</v>
      </c>
      <c r="I136" s="45">
        <f t="shared" si="1"/>
        <v>0</v>
      </c>
      <c r="J136" s="47"/>
      <c r="K136" s="18"/>
      <c r="L136" s="18"/>
      <c r="M136" s="18"/>
      <c r="N136" s="18"/>
    </row>
    <row r="137" ht="15.75" customHeight="1">
      <c r="A137" s="39"/>
      <c r="B137" s="39"/>
      <c r="C137" s="39"/>
      <c r="D137" s="47"/>
      <c r="E137" s="47"/>
      <c r="F137" s="42" t="s">
        <v>41</v>
      </c>
      <c r="G137" s="43"/>
      <c r="H137" s="50">
        <f>VLOOKUP(F137,$A$24:$B$24,2,TRUE)</f>
        <v>200</v>
      </c>
      <c r="I137" s="45">
        <f t="shared" si="1"/>
        <v>0</v>
      </c>
      <c r="J137" s="47"/>
      <c r="K137" s="18"/>
      <c r="L137" s="18"/>
      <c r="M137" s="18"/>
      <c r="N137" s="18"/>
    </row>
    <row r="138" ht="15.75" customHeight="1">
      <c r="A138" s="39"/>
      <c r="B138" s="39"/>
      <c r="C138" s="39"/>
      <c r="D138" s="47"/>
      <c r="E138" s="47"/>
      <c r="F138" s="42" t="s">
        <v>42</v>
      </c>
      <c r="G138" s="43"/>
      <c r="H138" s="50">
        <f>VLOOKUP(F138,$A$25:$B$25,2,TRUE)</f>
        <v>1000</v>
      </c>
      <c r="I138" s="45">
        <f t="shared" si="1"/>
        <v>0</v>
      </c>
      <c r="J138" s="47"/>
      <c r="K138" s="18"/>
      <c r="L138" s="18"/>
      <c r="M138" s="18"/>
      <c r="N138" s="18"/>
    </row>
    <row r="139" ht="15.75" customHeight="1">
      <c r="A139" s="39"/>
      <c r="B139" s="39"/>
      <c r="C139" s="39"/>
      <c r="D139" s="47"/>
      <c r="E139" s="47"/>
      <c r="F139" s="42" t="s">
        <v>17</v>
      </c>
      <c r="G139" s="43">
        <v>8.0</v>
      </c>
      <c r="H139" s="50">
        <f>VLOOKUP(F139,$A$26:$B$26,2,TRUE)</f>
        <v>300</v>
      </c>
      <c r="I139" s="45">
        <f t="shared" si="1"/>
        <v>2400</v>
      </c>
      <c r="J139" s="47"/>
      <c r="K139" s="18"/>
      <c r="L139" s="18"/>
      <c r="M139" s="18"/>
      <c r="N139" s="18"/>
    </row>
    <row r="140" ht="15.75" customHeight="1">
      <c r="A140" s="39"/>
      <c r="B140" s="39"/>
      <c r="C140" s="39"/>
      <c r="D140" s="47"/>
      <c r="E140" s="47"/>
      <c r="F140" s="42" t="s">
        <v>43</v>
      </c>
      <c r="G140" s="43"/>
      <c r="H140" s="50">
        <f>VLOOKUP(F140,$A$27:$B$27,2,TRUE)</f>
        <v>100</v>
      </c>
      <c r="I140" s="45">
        <f t="shared" si="1"/>
        <v>0</v>
      </c>
      <c r="J140" s="47"/>
      <c r="K140" s="18"/>
      <c r="L140" s="18"/>
      <c r="M140" s="18"/>
      <c r="N140" s="18"/>
    </row>
    <row r="141" ht="15.75" customHeight="1">
      <c r="A141" s="39"/>
      <c r="B141" s="39"/>
      <c r="C141" s="39"/>
      <c r="D141" s="47"/>
      <c r="E141" s="47"/>
      <c r="F141" s="42" t="s">
        <v>59</v>
      </c>
      <c r="G141" s="43"/>
      <c r="H141" s="50">
        <f>VLOOKUP(F141,$A$28:$B$28,2,TRUE)</f>
        <v>500</v>
      </c>
      <c r="I141" s="45">
        <f t="shared" si="1"/>
        <v>0</v>
      </c>
      <c r="J141" s="47"/>
      <c r="K141" s="18"/>
      <c r="L141" s="18"/>
      <c r="M141" s="18"/>
      <c r="N141" s="18"/>
    </row>
    <row r="142" ht="15.75" customHeight="1">
      <c r="A142" s="39"/>
      <c r="B142" s="39"/>
      <c r="C142" s="39"/>
      <c r="D142" s="47"/>
      <c r="E142" s="47"/>
      <c r="F142" s="42" t="s">
        <v>13</v>
      </c>
      <c r="G142" s="43"/>
      <c r="H142" s="50">
        <f>VLOOKUP(F142,$A$29:$B$29,2,TRUE)</f>
        <v>1500</v>
      </c>
      <c r="I142" s="45">
        <f t="shared" si="1"/>
        <v>0</v>
      </c>
      <c r="J142" s="47"/>
      <c r="K142" s="18"/>
      <c r="L142" s="18"/>
      <c r="M142" s="18"/>
      <c r="N142" s="18"/>
    </row>
    <row r="143" ht="15.75" customHeight="1">
      <c r="A143" s="39"/>
      <c r="B143" s="39"/>
      <c r="C143" s="39"/>
      <c r="D143" s="47"/>
      <c r="E143" s="47"/>
      <c r="F143" s="42" t="s">
        <v>19</v>
      </c>
      <c r="G143" s="43">
        <v>6.0</v>
      </c>
      <c r="H143" s="50">
        <f>VLOOKUP(F143,$A$30:$B$30,2,TRUE)</f>
        <v>4000</v>
      </c>
      <c r="I143" s="45">
        <f t="shared" si="1"/>
        <v>24000</v>
      </c>
      <c r="J143" s="47"/>
      <c r="K143" s="18"/>
      <c r="L143" s="18"/>
      <c r="M143" s="18"/>
      <c r="N143" s="18"/>
    </row>
    <row r="144" ht="15.75" customHeight="1">
      <c r="A144" s="39"/>
      <c r="B144" s="39"/>
      <c r="C144" s="39"/>
      <c r="D144" s="7"/>
      <c r="E144" s="7"/>
      <c r="F144" s="42" t="s">
        <v>20</v>
      </c>
      <c r="G144" s="43">
        <v>6.5</v>
      </c>
      <c r="H144" s="50">
        <v>0.0</v>
      </c>
      <c r="I144" s="45">
        <f t="shared" si="1"/>
        <v>0</v>
      </c>
      <c r="J144" s="7"/>
      <c r="K144" s="18"/>
      <c r="L144" s="18"/>
      <c r="M144" s="18"/>
      <c r="N144" s="18"/>
    </row>
    <row r="145" ht="15.75" customHeight="1">
      <c r="A145" s="39"/>
      <c r="B145" s="39"/>
      <c r="C145" s="39"/>
      <c r="D145" s="40">
        <v>6.0</v>
      </c>
      <c r="E145" s="41" t="s">
        <v>77</v>
      </c>
      <c r="F145" s="42" t="s">
        <v>21</v>
      </c>
      <c r="G145" s="43"/>
      <c r="H145" s="50">
        <f>VLOOKUP(F145,$A$4:$B$4,2,TRUE)</f>
        <v>5000</v>
      </c>
      <c r="I145" s="45">
        <f t="shared" si="1"/>
        <v>0</v>
      </c>
      <c r="J145" s="46">
        <f>SUM(I145:I172)</f>
        <v>33450</v>
      </c>
      <c r="K145" s="18"/>
      <c r="L145" s="18"/>
      <c r="M145" s="18"/>
      <c r="N145" s="18"/>
    </row>
    <row r="146" ht="15.75" customHeight="1">
      <c r="A146" s="39"/>
      <c r="B146" s="39"/>
      <c r="C146" s="39"/>
      <c r="D146" s="47"/>
      <c r="E146" s="47"/>
      <c r="F146" s="42" t="s">
        <v>56</v>
      </c>
      <c r="G146" s="43"/>
      <c r="H146" s="50">
        <f>VLOOKUP(F146,$A$5:$B$5,2,TRUE)</f>
        <v>3000</v>
      </c>
      <c r="I146" s="45">
        <f t="shared" si="1"/>
        <v>0</v>
      </c>
      <c r="J146" s="47"/>
      <c r="K146" s="18"/>
      <c r="L146" s="18"/>
      <c r="M146" s="18"/>
      <c r="N146" s="18"/>
    </row>
    <row r="147" ht="15.75" customHeight="1">
      <c r="A147" s="39"/>
      <c r="B147" s="39"/>
      <c r="C147" s="39"/>
      <c r="D147" s="47"/>
      <c r="E147" s="47"/>
      <c r="F147" s="42" t="s">
        <v>58</v>
      </c>
      <c r="G147" s="43"/>
      <c r="H147" s="50">
        <f>VLOOKUP(F147,$A$6:$B$6,2,TRUE)</f>
        <v>1000</v>
      </c>
      <c r="I147" s="45">
        <f t="shared" si="1"/>
        <v>0</v>
      </c>
      <c r="J147" s="47"/>
      <c r="K147" s="18"/>
      <c r="L147" s="18"/>
      <c r="M147" s="18"/>
      <c r="N147" s="18"/>
    </row>
    <row r="148" ht="15.75" customHeight="1">
      <c r="A148" s="39"/>
      <c r="B148" s="39"/>
      <c r="C148" s="39"/>
      <c r="D148" s="47"/>
      <c r="E148" s="47"/>
      <c r="F148" s="42" t="s">
        <v>24</v>
      </c>
      <c r="G148" s="43"/>
      <c r="H148" s="50">
        <f>VLOOKUP(F148,$A$7:$B$7,2,TRUE)</f>
        <v>2800</v>
      </c>
      <c r="I148" s="45">
        <f t="shared" si="1"/>
        <v>0</v>
      </c>
      <c r="J148" s="47"/>
      <c r="K148" s="18"/>
      <c r="L148" s="18"/>
      <c r="M148" s="18"/>
      <c r="N148" s="18"/>
    </row>
    <row r="149" ht="15.75" customHeight="1">
      <c r="A149" s="39"/>
      <c r="B149" s="39"/>
      <c r="C149" s="39"/>
      <c r="D149" s="47"/>
      <c r="E149" s="47"/>
      <c r="F149" s="42" t="s">
        <v>25</v>
      </c>
      <c r="G149" s="43"/>
      <c r="H149" s="50">
        <f>VLOOKUP(F149,$A$8:$B$8,2,TRUE)</f>
        <v>3500</v>
      </c>
      <c r="I149" s="45">
        <f t="shared" si="1"/>
        <v>0</v>
      </c>
      <c r="J149" s="47"/>
      <c r="K149" s="18"/>
      <c r="L149" s="18"/>
      <c r="M149" s="18"/>
      <c r="N149" s="18"/>
    </row>
    <row r="150" ht="15.75" customHeight="1">
      <c r="A150" s="39"/>
      <c r="B150" s="39"/>
      <c r="C150" s="39"/>
      <c r="D150" s="47"/>
      <c r="E150" s="47"/>
      <c r="F150" s="42" t="s">
        <v>26</v>
      </c>
      <c r="G150" s="43"/>
      <c r="H150" s="50">
        <f>VLOOKUP(F150,$A$9:$B$9,2,TRUE)</f>
        <v>1000</v>
      </c>
      <c r="I150" s="45">
        <f t="shared" si="1"/>
        <v>0</v>
      </c>
      <c r="J150" s="47"/>
      <c r="K150" s="18"/>
      <c r="L150" s="18"/>
      <c r="M150" s="18"/>
      <c r="N150" s="18"/>
    </row>
    <row r="151" ht="15.75" customHeight="1">
      <c r="A151" s="39"/>
      <c r="B151" s="39"/>
      <c r="C151" s="39"/>
      <c r="D151" s="47"/>
      <c r="E151" s="47"/>
      <c r="F151" s="42" t="s">
        <v>27</v>
      </c>
      <c r="G151" s="43">
        <v>8.0</v>
      </c>
      <c r="H151" s="50">
        <f>VLOOKUP(F151,$A$10:$B$10,2,TRUE)</f>
        <v>2000</v>
      </c>
      <c r="I151" s="45">
        <f t="shared" si="1"/>
        <v>16000</v>
      </c>
      <c r="J151" s="47"/>
      <c r="K151" s="18"/>
      <c r="L151" s="18"/>
      <c r="M151" s="18"/>
      <c r="N151" s="18"/>
    </row>
    <row r="152" ht="15.75" customHeight="1">
      <c r="A152" s="39"/>
      <c r="B152" s="39"/>
      <c r="C152" s="39"/>
      <c r="D152" s="47"/>
      <c r="E152" s="47"/>
      <c r="F152" s="42" t="s">
        <v>28</v>
      </c>
      <c r="G152" s="43">
        <v>5.0</v>
      </c>
      <c r="H152" s="50">
        <f>VLOOKUP(F152,$A$11:$B$11,2,TRUE)</f>
        <v>2000</v>
      </c>
      <c r="I152" s="45">
        <f t="shared" si="1"/>
        <v>10000</v>
      </c>
      <c r="J152" s="47"/>
      <c r="K152" s="18"/>
      <c r="L152" s="18"/>
      <c r="M152" s="18"/>
      <c r="N152" s="18"/>
    </row>
    <row r="153" ht="15.75" customHeight="1">
      <c r="A153" s="39"/>
      <c r="B153" s="39"/>
      <c r="C153" s="39"/>
      <c r="D153" s="47"/>
      <c r="E153" s="47"/>
      <c r="F153" s="42" t="s">
        <v>29</v>
      </c>
      <c r="G153" s="43"/>
      <c r="H153" s="50">
        <f>VLOOKUP(F153,$A$12:$B$12,2,TRUE)</f>
        <v>1300</v>
      </c>
      <c r="I153" s="45">
        <f t="shared" si="1"/>
        <v>0</v>
      </c>
      <c r="J153" s="47"/>
      <c r="K153" s="18"/>
      <c r="L153" s="18"/>
      <c r="M153" s="18"/>
      <c r="N153" s="18"/>
    </row>
    <row r="154" ht="15.75" customHeight="1">
      <c r="A154" s="39"/>
      <c r="B154" s="39"/>
      <c r="C154" s="39"/>
      <c r="D154" s="47"/>
      <c r="E154" s="47"/>
      <c r="F154" s="42" t="s">
        <v>30</v>
      </c>
      <c r="G154" s="43"/>
      <c r="H154" s="50">
        <f>VLOOKUP(F154,$A$13:$B$13,2,TRUE)</f>
        <v>1000</v>
      </c>
      <c r="I154" s="45">
        <f t="shared" si="1"/>
        <v>0</v>
      </c>
      <c r="J154" s="47"/>
      <c r="K154" s="18"/>
      <c r="L154" s="18"/>
      <c r="M154" s="18"/>
      <c r="N154" s="18"/>
    </row>
    <row r="155" ht="15.75" customHeight="1">
      <c r="A155" s="39"/>
      <c r="B155" s="39"/>
      <c r="C155" s="39"/>
      <c r="D155" s="47"/>
      <c r="E155" s="47"/>
      <c r="F155" s="42" t="s">
        <v>31</v>
      </c>
      <c r="G155" s="43">
        <v>2.0</v>
      </c>
      <c r="H155" s="50">
        <f>VLOOKUP(F155,$A$14:$B$14,2,TRUE)</f>
        <v>400</v>
      </c>
      <c r="I155" s="45">
        <f t="shared" si="1"/>
        <v>800</v>
      </c>
      <c r="J155" s="47"/>
      <c r="K155" s="18"/>
      <c r="L155" s="18"/>
      <c r="M155" s="18"/>
      <c r="N155" s="18"/>
    </row>
    <row r="156" ht="15.75" customHeight="1">
      <c r="A156" s="39"/>
      <c r="B156" s="39"/>
      <c r="C156" s="39"/>
      <c r="D156" s="47"/>
      <c r="E156" s="47"/>
      <c r="F156" s="42" t="s">
        <v>32</v>
      </c>
      <c r="G156" s="43"/>
      <c r="H156" s="50">
        <f>VLOOKUP(F156,$A$15:$B$15,2,TRUE)</f>
        <v>7500</v>
      </c>
      <c r="I156" s="45">
        <f t="shared" si="1"/>
        <v>0</v>
      </c>
      <c r="J156" s="47"/>
      <c r="K156" s="18"/>
      <c r="L156" s="18"/>
      <c r="M156" s="18"/>
      <c r="N156" s="18"/>
    </row>
    <row r="157" ht="15.75" customHeight="1">
      <c r="A157" s="39"/>
      <c r="B157" s="39"/>
      <c r="C157" s="39"/>
      <c r="D157" s="47"/>
      <c r="E157" s="47"/>
      <c r="F157" s="42" t="s">
        <v>33</v>
      </c>
      <c r="G157" s="43"/>
      <c r="H157" s="50">
        <f>VLOOKUP(F157,$A$16:$B$16,2,TRUE)</f>
        <v>2000</v>
      </c>
      <c r="I157" s="45">
        <f t="shared" si="1"/>
        <v>0</v>
      </c>
      <c r="J157" s="47"/>
      <c r="K157" s="18"/>
      <c r="L157" s="18"/>
      <c r="M157" s="18"/>
      <c r="N157" s="18"/>
    </row>
    <row r="158" ht="15.75" customHeight="1">
      <c r="A158" s="39"/>
      <c r="B158" s="39"/>
      <c r="C158" s="39"/>
      <c r="D158" s="47"/>
      <c r="E158" s="47"/>
      <c r="F158" s="42" t="s">
        <v>34</v>
      </c>
      <c r="G158" s="43"/>
      <c r="H158" s="50">
        <f>VLOOKUP(F158,$A$17:$B$17,2,TRUE)</f>
        <v>800</v>
      </c>
      <c r="I158" s="45">
        <f t="shared" si="1"/>
        <v>0</v>
      </c>
      <c r="J158" s="47"/>
      <c r="K158" s="18"/>
      <c r="L158" s="18"/>
      <c r="M158" s="18"/>
      <c r="N158" s="18"/>
    </row>
    <row r="159" ht="15.75" customHeight="1">
      <c r="A159" s="39"/>
      <c r="B159" s="39"/>
      <c r="C159" s="39"/>
      <c r="D159" s="47"/>
      <c r="E159" s="47"/>
      <c r="F159" s="42" t="s">
        <v>35</v>
      </c>
      <c r="G159" s="43">
        <v>1.0</v>
      </c>
      <c r="H159" s="50">
        <f>VLOOKUP(F159,$A$18:$B$18,2,TRUE)</f>
        <v>5000</v>
      </c>
      <c r="I159" s="45">
        <f t="shared" si="1"/>
        <v>5000</v>
      </c>
      <c r="J159" s="47"/>
      <c r="K159" s="18"/>
      <c r="L159" s="18"/>
      <c r="M159" s="18"/>
      <c r="N159" s="18"/>
    </row>
    <row r="160" ht="15.75" customHeight="1">
      <c r="A160" s="39"/>
      <c r="B160" s="39"/>
      <c r="C160" s="39"/>
      <c r="D160" s="47"/>
      <c r="E160" s="47"/>
      <c r="F160" s="42" t="s">
        <v>36</v>
      </c>
      <c r="G160" s="43"/>
      <c r="H160" s="50">
        <f>VLOOKUP(F160,$A$19:$B$19,2,TRUE)</f>
        <v>2700</v>
      </c>
      <c r="I160" s="45">
        <f t="shared" si="1"/>
        <v>0</v>
      </c>
      <c r="J160" s="47"/>
      <c r="K160" s="18"/>
      <c r="L160" s="18"/>
      <c r="M160" s="18"/>
      <c r="N160" s="18"/>
    </row>
    <row r="161" ht="15.75" customHeight="1">
      <c r="A161" s="39"/>
      <c r="B161" s="39"/>
      <c r="C161" s="39"/>
      <c r="D161" s="47"/>
      <c r="E161" s="47"/>
      <c r="F161" s="42" t="s">
        <v>37</v>
      </c>
      <c r="G161" s="43"/>
      <c r="H161" s="50">
        <f>VLOOKUP(F161,$A$20:$B$20,2,TRUE)</f>
        <v>50000</v>
      </c>
      <c r="I161" s="45">
        <f t="shared" si="1"/>
        <v>0</v>
      </c>
      <c r="J161" s="47"/>
      <c r="K161" s="18"/>
      <c r="L161" s="18"/>
      <c r="M161" s="18"/>
      <c r="N161" s="18"/>
    </row>
    <row r="162" ht="15.75" customHeight="1">
      <c r="A162" s="39"/>
      <c r="B162" s="39"/>
      <c r="C162" s="39"/>
      <c r="D162" s="47"/>
      <c r="E162" s="47"/>
      <c r="F162" s="42" t="s">
        <v>38</v>
      </c>
      <c r="G162" s="43"/>
      <c r="H162" s="50">
        <f>VLOOKUP(F162,$A$21:$B$21,2,TRUE)</f>
        <v>10000</v>
      </c>
      <c r="I162" s="45">
        <f t="shared" si="1"/>
        <v>0</v>
      </c>
      <c r="J162" s="47"/>
      <c r="K162" s="18"/>
      <c r="L162" s="18"/>
      <c r="M162" s="18"/>
      <c r="N162" s="18"/>
    </row>
    <row r="163" ht="15.75" customHeight="1">
      <c r="A163" s="39"/>
      <c r="B163" s="39"/>
      <c r="C163" s="39"/>
      <c r="D163" s="47"/>
      <c r="E163" s="47"/>
      <c r="F163" s="42" t="s">
        <v>39</v>
      </c>
      <c r="G163" s="43"/>
      <c r="H163" s="50">
        <f>VLOOKUP(F163,$A$22:$B$22,2,TRUE)</f>
        <v>1000</v>
      </c>
      <c r="I163" s="45">
        <f t="shared" si="1"/>
        <v>0</v>
      </c>
      <c r="J163" s="47"/>
      <c r="K163" s="18"/>
      <c r="L163" s="18"/>
      <c r="M163" s="18"/>
      <c r="N163" s="18"/>
    </row>
    <row r="164" ht="15.75" customHeight="1">
      <c r="A164" s="39"/>
      <c r="B164" s="39"/>
      <c r="C164" s="39"/>
      <c r="D164" s="47"/>
      <c r="E164" s="47"/>
      <c r="F164" s="42" t="s">
        <v>40</v>
      </c>
      <c r="G164" s="43"/>
      <c r="H164" s="50">
        <f>VLOOKUP(F164,$A$23:$B$23,2,TRUE)</f>
        <v>500</v>
      </c>
      <c r="I164" s="45">
        <f t="shared" si="1"/>
        <v>0</v>
      </c>
      <c r="J164" s="47"/>
      <c r="K164" s="18"/>
      <c r="L164" s="18"/>
      <c r="M164" s="18"/>
      <c r="N164" s="18"/>
    </row>
    <row r="165" ht="15.75" customHeight="1">
      <c r="A165" s="39"/>
      <c r="B165" s="39"/>
      <c r="C165" s="39"/>
      <c r="D165" s="47"/>
      <c r="E165" s="47"/>
      <c r="F165" s="42" t="s">
        <v>41</v>
      </c>
      <c r="G165" s="43"/>
      <c r="H165" s="50">
        <f>VLOOKUP(F165,$A$24:$B$24,2,TRUE)</f>
        <v>200</v>
      </c>
      <c r="I165" s="45">
        <f t="shared" si="1"/>
        <v>0</v>
      </c>
      <c r="J165" s="47"/>
      <c r="K165" s="18"/>
      <c r="L165" s="18"/>
      <c r="M165" s="18"/>
      <c r="N165" s="18"/>
    </row>
    <row r="166" ht="15.75" customHeight="1">
      <c r="A166" s="39"/>
      <c r="B166" s="39"/>
      <c r="C166" s="39"/>
      <c r="D166" s="47"/>
      <c r="E166" s="47"/>
      <c r="F166" s="42" t="s">
        <v>42</v>
      </c>
      <c r="G166" s="43"/>
      <c r="H166" s="50">
        <f>VLOOKUP(F166,$A$25:$B$25,2,TRUE)</f>
        <v>1000</v>
      </c>
      <c r="I166" s="45">
        <f t="shared" si="1"/>
        <v>0</v>
      </c>
      <c r="J166" s="47"/>
      <c r="K166" s="18"/>
      <c r="L166" s="18"/>
      <c r="M166" s="18"/>
      <c r="N166" s="18"/>
    </row>
    <row r="167" ht="15.75" customHeight="1">
      <c r="A167" s="39"/>
      <c r="B167" s="39"/>
      <c r="C167" s="39"/>
      <c r="D167" s="47"/>
      <c r="E167" s="47"/>
      <c r="F167" s="42" t="s">
        <v>17</v>
      </c>
      <c r="G167" s="43">
        <v>5.5</v>
      </c>
      <c r="H167" s="50">
        <f>VLOOKUP(F167,$A$26:$B$26,2,TRUE)</f>
        <v>300</v>
      </c>
      <c r="I167" s="45">
        <f t="shared" si="1"/>
        <v>1650</v>
      </c>
      <c r="J167" s="47"/>
      <c r="K167" s="18"/>
      <c r="L167" s="18"/>
      <c r="M167" s="18"/>
      <c r="N167" s="18"/>
    </row>
    <row r="168" ht="15.75" customHeight="1">
      <c r="A168" s="39"/>
      <c r="B168" s="39"/>
      <c r="C168" s="39"/>
      <c r="D168" s="47"/>
      <c r="E168" s="47"/>
      <c r="F168" s="42" t="s">
        <v>43</v>
      </c>
      <c r="G168" s="43"/>
      <c r="H168" s="50">
        <f>VLOOKUP(F168,$A$27:$B$27,2,TRUE)</f>
        <v>100</v>
      </c>
      <c r="I168" s="45">
        <f t="shared" si="1"/>
        <v>0</v>
      </c>
      <c r="J168" s="47"/>
      <c r="K168" s="18"/>
      <c r="L168" s="18"/>
      <c r="M168" s="18"/>
      <c r="N168" s="18"/>
    </row>
    <row r="169" ht="15.75" customHeight="1">
      <c r="A169" s="39"/>
      <c r="B169" s="39"/>
      <c r="C169" s="39"/>
      <c r="D169" s="47"/>
      <c r="E169" s="47"/>
      <c r="F169" s="42" t="s">
        <v>59</v>
      </c>
      <c r="G169" s="43"/>
      <c r="H169" s="50">
        <f>VLOOKUP(F169,$A$28:$B$28,2,TRUE)</f>
        <v>500</v>
      </c>
      <c r="I169" s="45">
        <f t="shared" si="1"/>
        <v>0</v>
      </c>
      <c r="J169" s="47"/>
      <c r="K169" s="18"/>
      <c r="L169" s="18"/>
      <c r="M169" s="18"/>
      <c r="N169" s="18"/>
    </row>
    <row r="170" ht="15.75" customHeight="1">
      <c r="A170" s="39"/>
      <c r="B170" s="39"/>
      <c r="C170" s="39"/>
      <c r="D170" s="47"/>
      <c r="E170" s="47"/>
      <c r="F170" s="42" t="s">
        <v>13</v>
      </c>
      <c r="G170" s="43"/>
      <c r="H170" s="50">
        <f>VLOOKUP(F170,$A$29:$B$29,2,TRUE)</f>
        <v>1500</v>
      </c>
      <c r="I170" s="45">
        <f t="shared" si="1"/>
        <v>0</v>
      </c>
      <c r="J170" s="47"/>
      <c r="K170" s="18"/>
      <c r="L170" s="18"/>
      <c r="M170" s="18"/>
      <c r="N170" s="18"/>
    </row>
    <row r="171" ht="15.75" customHeight="1">
      <c r="A171" s="39"/>
      <c r="B171" s="39"/>
      <c r="C171" s="39"/>
      <c r="D171" s="47"/>
      <c r="E171" s="47"/>
      <c r="F171" s="42" t="s">
        <v>19</v>
      </c>
      <c r="G171" s="43"/>
      <c r="H171" s="50">
        <f>VLOOKUP(F171,$A$30:$B$30,2,TRUE)</f>
        <v>4000</v>
      </c>
      <c r="I171" s="45">
        <f t="shared" si="1"/>
        <v>0</v>
      </c>
      <c r="J171" s="47"/>
      <c r="K171" s="18"/>
      <c r="L171" s="18"/>
      <c r="M171" s="18"/>
      <c r="N171" s="18"/>
    </row>
    <row r="172" ht="15.75" customHeight="1">
      <c r="A172" s="39"/>
      <c r="B172" s="39"/>
      <c r="C172" s="39"/>
      <c r="D172" s="7"/>
      <c r="E172" s="7"/>
      <c r="F172" s="42" t="s">
        <v>20</v>
      </c>
      <c r="G172" s="43">
        <v>8.5</v>
      </c>
      <c r="H172" s="50">
        <v>0.0</v>
      </c>
      <c r="I172" s="45">
        <f t="shared" si="1"/>
        <v>0</v>
      </c>
      <c r="J172" s="7"/>
      <c r="K172" s="18"/>
      <c r="L172" s="18"/>
      <c r="M172" s="18"/>
      <c r="N172" s="18"/>
    </row>
    <row r="173" ht="15.75" customHeight="1">
      <c r="A173" s="39"/>
      <c r="B173" s="39"/>
      <c r="C173" s="39"/>
      <c r="D173" s="40">
        <v>7.0</v>
      </c>
      <c r="E173" s="41" t="s">
        <v>78</v>
      </c>
      <c r="F173" s="42" t="s">
        <v>21</v>
      </c>
      <c r="G173" s="43"/>
      <c r="H173" s="50">
        <f>VLOOKUP(F173,$A$4:$B$4,2,TRUE)</f>
        <v>5000</v>
      </c>
      <c r="I173" s="45">
        <f t="shared" si="1"/>
        <v>0</v>
      </c>
      <c r="J173" s="46">
        <f>SUM(I173:I200)</f>
        <v>4600</v>
      </c>
      <c r="K173" s="18"/>
      <c r="L173" s="18"/>
      <c r="M173" s="18"/>
      <c r="N173" s="18"/>
    </row>
    <row r="174" ht="15.75" customHeight="1">
      <c r="A174" s="39"/>
      <c r="B174" s="39"/>
      <c r="C174" s="39"/>
      <c r="D174" s="47"/>
      <c r="E174" s="47"/>
      <c r="F174" s="42" t="s">
        <v>56</v>
      </c>
      <c r="G174" s="43"/>
      <c r="H174" s="50">
        <f>VLOOKUP(F174,$A$5:$B$5,2,TRUE)</f>
        <v>3000</v>
      </c>
      <c r="I174" s="45">
        <f t="shared" si="1"/>
        <v>0</v>
      </c>
      <c r="J174" s="47"/>
      <c r="K174" s="18"/>
      <c r="L174" s="18"/>
      <c r="M174" s="18"/>
      <c r="N174" s="18"/>
    </row>
    <row r="175" ht="15.75" customHeight="1">
      <c r="A175" s="39"/>
      <c r="B175" s="39"/>
      <c r="C175" s="39"/>
      <c r="D175" s="47"/>
      <c r="E175" s="47"/>
      <c r="F175" s="42" t="s">
        <v>58</v>
      </c>
      <c r="G175" s="43"/>
      <c r="H175" s="50">
        <f>VLOOKUP(F175,$A$6:$B$6,2,TRUE)</f>
        <v>1000</v>
      </c>
      <c r="I175" s="45">
        <f t="shared" si="1"/>
        <v>0</v>
      </c>
      <c r="J175" s="47"/>
      <c r="K175" s="18"/>
      <c r="L175" s="18"/>
      <c r="M175" s="18"/>
      <c r="N175" s="18"/>
    </row>
    <row r="176" ht="15.75" customHeight="1">
      <c r="A176" s="39"/>
      <c r="B176" s="39"/>
      <c r="C176" s="39"/>
      <c r="D176" s="47"/>
      <c r="E176" s="47"/>
      <c r="F176" s="42" t="s">
        <v>24</v>
      </c>
      <c r="G176" s="43"/>
      <c r="H176" s="50">
        <f>VLOOKUP(F176,$A$7:$B$7,2,TRUE)</f>
        <v>2800</v>
      </c>
      <c r="I176" s="45">
        <f t="shared" si="1"/>
        <v>0</v>
      </c>
      <c r="J176" s="47"/>
      <c r="K176" s="18"/>
      <c r="L176" s="18"/>
      <c r="M176" s="18"/>
      <c r="N176" s="18"/>
    </row>
    <row r="177" ht="15.75" customHeight="1">
      <c r="A177" s="39"/>
      <c r="B177" s="39"/>
      <c r="C177" s="39"/>
      <c r="D177" s="47"/>
      <c r="E177" s="47"/>
      <c r="F177" s="42" t="s">
        <v>25</v>
      </c>
      <c r="G177" s="43"/>
      <c r="H177" s="50">
        <f>VLOOKUP(F177,$A$8:$B$8,2,TRUE)</f>
        <v>3500</v>
      </c>
      <c r="I177" s="45">
        <f t="shared" si="1"/>
        <v>0</v>
      </c>
      <c r="J177" s="47"/>
      <c r="K177" s="18"/>
      <c r="L177" s="18"/>
      <c r="M177" s="18"/>
      <c r="N177" s="18"/>
    </row>
    <row r="178" ht="15.75" customHeight="1">
      <c r="A178" s="39"/>
      <c r="B178" s="39"/>
      <c r="C178" s="39"/>
      <c r="D178" s="47"/>
      <c r="E178" s="47"/>
      <c r="F178" s="42" t="s">
        <v>26</v>
      </c>
      <c r="G178" s="43"/>
      <c r="H178" s="50">
        <f>VLOOKUP(F178,$A$9:$B$9,2,TRUE)</f>
        <v>1000</v>
      </c>
      <c r="I178" s="45">
        <f t="shared" si="1"/>
        <v>0</v>
      </c>
      <c r="J178" s="47"/>
      <c r="K178" s="18"/>
      <c r="L178" s="18"/>
      <c r="M178" s="18"/>
      <c r="N178" s="18"/>
    </row>
    <row r="179" ht="15.75" customHeight="1">
      <c r="A179" s="39"/>
      <c r="B179" s="39"/>
      <c r="C179" s="39"/>
      <c r="D179" s="47"/>
      <c r="E179" s="47"/>
      <c r="F179" s="42" t="s">
        <v>27</v>
      </c>
      <c r="G179" s="43">
        <v>2.0</v>
      </c>
      <c r="H179" s="50">
        <f>VLOOKUP(F179,$A$10:$B$10,2,TRUE)</f>
        <v>2000</v>
      </c>
      <c r="I179" s="45">
        <f t="shared" si="1"/>
        <v>4000</v>
      </c>
      <c r="J179" s="47"/>
      <c r="K179" s="18"/>
      <c r="L179" s="18"/>
      <c r="M179" s="18"/>
      <c r="N179" s="18"/>
    </row>
    <row r="180" ht="15.75" customHeight="1">
      <c r="A180" s="39"/>
      <c r="B180" s="39"/>
      <c r="C180" s="39"/>
      <c r="D180" s="47"/>
      <c r="E180" s="47"/>
      <c r="F180" s="42" t="s">
        <v>28</v>
      </c>
      <c r="G180" s="43"/>
      <c r="H180" s="50">
        <f>VLOOKUP(F180,$A$11:$B$11,2,TRUE)</f>
        <v>2000</v>
      </c>
      <c r="I180" s="45">
        <f t="shared" si="1"/>
        <v>0</v>
      </c>
      <c r="J180" s="47"/>
      <c r="K180" s="18"/>
      <c r="L180" s="18"/>
      <c r="M180" s="18"/>
      <c r="N180" s="18"/>
    </row>
    <row r="181" ht="15.75" customHeight="1">
      <c r="A181" s="39"/>
      <c r="B181" s="39"/>
      <c r="C181" s="39"/>
      <c r="D181" s="47"/>
      <c r="E181" s="47"/>
      <c r="F181" s="42" t="s">
        <v>29</v>
      </c>
      <c r="G181" s="43"/>
      <c r="H181" s="50">
        <f>VLOOKUP(F181,$A$12:$B$12,2,TRUE)</f>
        <v>1300</v>
      </c>
      <c r="I181" s="45">
        <f t="shared" si="1"/>
        <v>0</v>
      </c>
      <c r="J181" s="47"/>
      <c r="K181" s="18"/>
      <c r="L181" s="18"/>
      <c r="M181" s="18"/>
      <c r="N181" s="18"/>
    </row>
    <row r="182" ht="15.75" customHeight="1">
      <c r="A182" s="39"/>
      <c r="B182" s="39"/>
      <c r="C182" s="39"/>
      <c r="D182" s="47"/>
      <c r="E182" s="47"/>
      <c r="F182" s="42" t="s">
        <v>30</v>
      </c>
      <c r="G182" s="43"/>
      <c r="H182" s="50">
        <f>VLOOKUP(F182,$A$13:$B$13,2,TRUE)</f>
        <v>1000</v>
      </c>
      <c r="I182" s="45">
        <f t="shared" si="1"/>
        <v>0</v>
      </c>
      <c r="J182" s="47"/>
      <c r="K182" s="18"/>
      <c r="L182" s="18"/>
      <c r="M182" s="18"/>
      <c r="N182" s="18"/>
    </row>
    <row r="183" ht="15.75" customHeight="1">
      <c r="A183" s="39"/>
      <c r="B183" s="39"/>
      <c r="C183" s="39"/>
      <c r="D183" s="47"/>
      <c r="E183" s="47"/>
      <c r="F183" s="42" t="s">
        <v>31</v>
      </c>
      <c r="G183" s="43"/>
      <c r="H183" s="50">
        <f>VLOOKUP(F183,$A$14:$B$14,2,TRUE)</f>
        <v>400</v>
      </c>
      <c r="I183" s="45">
        <f t="shared" si="1"/>
        <v>0</v>
      </c>
      <c r="J183" s="47"/>
      <c r="K183" s="18"/>
      <c r="L183" s="18"/>
      <c r="M183" s="18"/>
      <c r="N183" s="18"/>
    </row>
    <row r="184" ht="15.75" customHeight="1">
      <c r="A184" s="39"/>
      <c r="B184" s="39"/>
      <c r="C184" s="39"/>
      <c r="D184" s="47"/>
      <c r="E184" s="47"/>
      <c r="F184" s="42" t="s">
        <v>32</v>
      </c>
      <c r="G184" s="43"/>
      <c r="H184" s="50">
        <f>VLOOKUP(F184,$A$15:$B$15,2,TRUE)</f>
        <v>7500</v>
      </c>
      <c r="I184" s="45">
        <f t="shared" si="1"/>
        <v>0</v>
      </c>
      <c r="J184" s="47"/>
      <c r="K184" s="18"/>
      <c r="L184" s="18"/>
      <c r="M184" s="18"/>
      <c r="N184" s="18"/>
    </row>
    <row r="185" ht="15.75" customHeight="1">
      <c r="A185" s="39"/>
      <c r="B185" s="39"/>
      <c r="C185" s="39"/>
      <c r="D185" s="47"/>
      <c r="E185" s="47"/>
      <c r="F185" s="42" t="s">
        <v>33</v>
      </c>
      <c r="G185" s="43"/>
      <c r="H185" s="50">
        <f>VLOOKUP(F185,$A$16:$B$16,2,TRUE)</f>
        <v>2000</v>
      </c>
      <c r="I185" s="45">
        <f t="shared" si="1"/>
        <v>0</v>
      </c>
      <c r="J185" s="47"/>
      <c r="K185" s="18"/>
      <c r="L185" s="18"/>
      <c r="M185" s="18"/>
      <c r="N185" s="18"/>
    </row>
    <row r="186" ht="15.75" customHeight="1">
      <c r="A186" s="39"/>
      <c r="B186" s="39"/>
      <c r="C186" s="39"/>
      <c r="D186" s="47"/>
      <c r="E186" s="47"/>
      <c r="F186" s="42" t="s">
        <v>34</v>
      </c>
      <c r="G186" s="43"/>
      <c r="H186" s="50">
        <f>VLOOKUP(F186,$A$17:$B$17,2,TRUE)</f>
        <v>800</v>
      </c>
      <c r="I186" s="45">
        <f t="shared" si="1"/>
        <v>0</v>
      </c>
      <c r="J186" s="47"/>
      <c r="K186" s="18"/>
      <c r="L186" s="18"/>
      <c r="M186" s="18"/>
      <c r="N186" s="18"/>
    </row>
    <row r="187" ht="15.75" customHeight="1">
      <c r="A187" s="39"/>
      <c r="B187" s="39"/>
      <c r="C187" s="39"/>
      <c r="D187" s="47"/>
      <c r="E187" s="47"/>
      <c r="F187" s="42" t="s">
        <v>35</v>
      </c>
      <c r="G187" s="43"/>
      <c r="H187" s="50">
        <f>VLOOKUP(F187,$A$18:$B$18,2,TRUE)</f>
        <v>5000</v>
      </c>
      <c r="I187" s="45">
        <f t="shared" si="1"/>
        <v>0</v>
      </c>
      <c r="J187" s="47"/>
      <c r="K187" s="18"/>
      <c r="L187" s="18"/>
      <c r="M187" s="18"/>
      <c r="N187" s="18"/>
    </row>
    <row r="188" ht="15.75" customHeight="1">
      <c r="A188" s="39"/>
      <c r="B188" s="39"/>
      <c r="C188" s="39"/>
      <c r="D188" s="47"/>
      <c r="E188" s="47"/>
      <c r="F188" s="42" t="s">
        <v>36</v>
      </c>
      <c r="G188" s="43"/>
      <c r="H188" s="50">
        <f>VLOOKUP(F188,$A$19:$B$19,2,TRUE)</f>
        <v>2700</v>
      </c>
      <c r="I188" s="45">
        <f t="shared" si="1"/>
        <v>0</v>
      </c>
      <c r="J188" s="47"/>
      <c r="K188" s="18"/>
      <c r="L188" s="18"/>
      <c r="M188" s="18"/>
      <c r="N188" s="18"/>
    </row>
    <row r="189" ht="15.75" customHeight="1">
      <c r="A189" s="39"/>
      <c r="B189" s="39"/>
      <c r="C189" s="39"/>
      <c r="D189" s="47"/>
      <c r="E189" s="47"/>
      <c r="F189" s="42" t="s">
        <v>37</v>
      </c>
      <c r="G189" s="43"/>
      <c r="H189" s="50">
        <f>VLOOKUP(F189,$A$20:$B$20,2,TRUE)</f>
        <v>50000</v>
      </c>
      <c r="I189" s="45">
        <f t="shared" si="1"/>
        <v>0</v>
      </c>
      <c r="J189" s="47"/>
      <c r="K189" s="18"/>
      <c r="L189" s="18"/>
      <c r="M189" s="18"/>
      <c r="N189" s="18"/>
    </row>
    <row r="190" ht="15.75" customHeight="1">
      <c r="A190" s="39"/>
      <c r="B190" s="39"/>
      <c r="C190" s="39"/>
      <c r="D190" s="47"/>
      <c r="E190" s="47"/>
      <c r="F190" s="42" t="s">
        <v>38</v>
      </c>
      <c r="G190" s="43"/>
      <c r="H190" s="50">
        <f>VLOOKUP(F190,$A$21:$B$21,2,TRUE)</f>
        <v>10000</v>
      </c>
      <c r="I190" s="45">
        <f t="shared" si="1"/>
        <v>0</v>
      </c>
      <c r="J190" s="47"/>
      <c r="K190" s="18"/>
      <c r="L190" s="18"/>
      <c r="M190" s="18"/>
      <c r="N190" s="18"/>
    </row>
    <row r="191" ht="15.75" customHeight="1">
      <c r="A191" s="39"/>
      <c r="B191" s="39"/>
      <c r="C191" s="39"/>
      <c r="D191" s="47"/>
      <c r="E191" s="47"/>
      <c r="F191" s="42" t="s">
        <v>39</v>
      </c>
      <c r="G191" s="43"/>
      <c r="H191" s="50">
        <f>VLOOKUP(F191,$A$22:$B$22,2,TRUE)</f>
        <v>1000</v>
      </c>
      <c r="I191" s="45">
        <f t="shared" si="1"/>
        <v>0</v>
      </c>
      <c r="J191" s="47"/>
      <c r="K191" s="18"/>
      <c r="L191" s="18"/>
      <c r="M191" s="18"/>
      <c r="N191" s="18"/>
    </row>
    <row r="192" ht="15.75" customHeight="1">
      <c r="A192" s="39"/>
      <c r="B192" s="39"/>
      <c r="C192" s="39"/>
      <c r="D192" s="47"/>
      <c r="E192" s="47"/>
      <c r="F192" s="42" t="s">
        <v>40</v>
      </c>
      <c r="G192" s="43"/>
      <c r="H192" s="50">
        <f>VLOOKUP(F192,$A$23:$B$23,2,TRUE)</f>
        <v>500</v>
      </c>
      <c r="I192" s="45">
        <f t="shared" si="1"/>
        <v>0</v>
      </c>
      <c r="J192" s="47"/>
      <c r="K192" s="18"/>
      <c r="L192" s="18"/>
      <c r="M192" s="18"/>
      <c r="N192" s="18"/>
    </row>
    <row r="193" ht="15.75" customHeight="1">
      <c r="A193" s="39"/>
      <c r="B193" s="39"/>
      <c r="C193" s="39"/>
      <c r="D193" s="47"/>
      <c r="E193" s="47"/>
      <c r="F193" s="42" t="s">
        <v>41</v>
      </c>
      <c r="G193" s="43"/>
      <c r="H193" s="50">
        <f>VLOOKUP(F193,$A$24:$B$24,2,TRUE)</f>
        <v>200</v>
      </c>
      <c r="I193" s="45">
        <f t="shared" si="1"/>
        <v>0</v>
      </c>
      <c r="J193" s="47"/>
      <c r="K193" s="18"/>
      <c r="L193" s="18"/>
      <c r="M193" s="18"/>
      <c r="N193" s="18"/>
    </row>
    <row r="194" ht="15.75" customHeight="1">
      <c r="A194" s="39"/>
      <c r="B194" s="39"/>
      <c r="C194" s="39"/>
      <c r="D194" s="47"/>
      <c r="E194" s="47"/>
      <c r="F194" s="42" t="s">
        <v>42</v>
      </c>
      <c r="G194" s="43"/>
      <c r="H194" s="50">
        <f>VLOOKUP(F194,$A$25:$B$25,2,TRUE)</f>
        <v>1000</v>
      </c>
      <c r="I194" s="45">
        <f t="shared" si="1"/>
        <v>0</v>
      </c>
      <c r="J194" s="47"/>
      <c r="K194" s="18"/>
      <c r="L194" s="18"/>
      <c r="M194" s="18"/>
      <c r="N194" s="18"/>
    </row>
    <row r="195" ht="15.75" customHeight="1">
      <c r="A195" s="39"/>
      <c r="B195" s="39"/>
      <c r="C195" s="39"/>
      <c r="D195" s="47"/>
      <c r="E195" s="47"/>
      <c r="F195" s="42" t="s">
        <v>17</v>
      </c>
      <c r="G195" s="43">
        <v>2.0</v>
      </c>
      <c r="H195" s="50">
        <f>VLOOKUP(F195,$A$26:$B$26,2,TRUE)</f>
        <v>300</v>
      </c>
      <c r="I195" s="45">
        <f t="shared" si="1"/>
        <v>600</v>
      </c>
      <c r="J195" s="47"/>
      <c r="K195" s="18"/>
      <c r="L195" s="18"/>
      <c r="M195" s="18"/>
      <c r="N195" s="18"/>
    </row>
    <row r="196" ht="15.75" customHeight="1">
      <c r="A196" s="39"/>
      <c r="B196" s="39"/>
      <c r="C196" s="39"/>
      <c r="D196" s="47"/>
      <c r="E196" s="47"/>
      <c r="F196" s="42" t="s">
        <v>43</v>
      </c>
      <c r="G196" s="43"/>
      <c r="H196" s="50">
        <f>VLOOKUP(F196,$A$27:$B$27,2,TRUE)</f>
        <v>100</v>
      </c>
      <c r="I196" s="45">
        <f t="shared" si="1"/>
        <v>0</v>
      </c>
      <c r="J196" s="47"/>
      <c r="K196" s="18"/>
      <c r="L196" s="18"/>
      <c r="M196" s="18"/>
      <c r="N196" s="18"/>
    </row>
    <row r="197" ht="15.75" customHeight="1">
      <c r="A197" s="39"/>
      <c r="B197" s="39"/>
      <c r="C197" s="39"/>
      <c r="D197" s="47"/>
      <c r="E197" s="47"/>
      <c r="F197" s="42" t="s">
        <v>59</v>
      </c>
      <c r="G197" s="43"/>
      <c r="H197" s="50">
        <f>VLOOKUP(F197,$A$28:$B$28,2,TRUE)</f>
        <v>500</v>
      </c>
      <c r="I197" s="45">
        <f t="shared" si="1"/>
        <v>0</v>
      </c>
      <c r="J197" s="47"/>
      <c r="K197" s="18"/>
      <c r="L197" s="18"/>
      <c r="M197" s="18"/>
      <c r="N197" s="18"/>
    </row>
    <row r="198" ht="15.75" customHeight="1">
      <c r="A198" s="39"/>
      <c r="B198" s="39"/>
      <c r="C198" s="39"/>
      <c r="D198" s="47"/>
      <c r="E198" s="47"/>
      <c r="F198" s="42" t="s">
        <v>13</v>
      </c>
      <c r="G198" s="43"/>
      <c r="H198" s="50">
        <f>VLOOKUP(F198,$A$29:$B$29,2,TRUE)</f>
        <v>1500</v>
      </c>
      <c r="I198" s="45">
        <f t="shared" si="1"/>
        <v>0</v>
      </c>
      <c r="J198" s="47"/>
      <c r="K198" s="18"/>
      <c r="L198" s="18"/>
      <c r="M198" s="18"/>
      <c r="N198" s="18"/>
    </row>
    <row r="199" ht="15.75" customHeight="1">
      <c r="A199" s="39"/>
      <c r="B199" s="39"/>
      <c r="C199" s="39"/>
      <c r="D199" s="47"/>
      <c r="E199" s="47"/>
      <c r="F199" s="42" t="s">
        <v>19</v>
      </c>
      <c r="G199" s="43"/>
      <c r="H199" s="50">
        <f>VLOOKUP(F199,$A$30:$B$30,2,TRUE)</f>
        <v>4000</v>
      </c>
      <c r="I199" s="45">
        <f t="shared" si="1"/>
        <v>0</v>
      </c>
      <c r="J199" s="47"/>
      <c r="K199" s="18"/>
      <c r="L199" s="18"/>
      <c r="M199" s="18"/>
      <c r="N199" s="18"/>
    </row>
    <row r="200" ht="15.75" customHeight="1">
      <c r="A200" s="39"/>
      <c r="B200" s="39"/>
      <c r="C200" s="39"/>
      <c r="D200" s="7"/>
      <c r="E200" s="7"/>
      <c r="F200" s="42" t="s">
        <v>20</v>
      </c>
      <c r="G200" s="43">
        <v>1.5</v>
      </c>
      <c r="H200" s="50">
        <v>0.0</v>
      </c>
      <c r="I200" s="45">
        <f t="shared" si="1"/>
        <v>0</v>
      </c>
      <c r="J200" s="7"/>
      <c r="K200" s="18"/>
      <c r="L200" s="18"/>
      <c r="M200" s="18"/>
      <c r="N200" s="18"/>
    </row>
    <row r="201" ht="15.75" customHeight="1">
      <c r="A201" s="39"/>
      <c r="B201" s="39"/>
      <c r="C201" s="39"/>
      <c r="D201" s="40">
        <v>8.0</v>
      </c>
      <c r="E201" s="41" t="s">
        <v>79</v>
      </c>
      <c r="F201" s="42" t="s">
        <v>21</v>
      </c>
      <c r="G201" s="43"/>
      <c r="H201" s="50">
        <f>VLOOKUP(F201,$A$4:$B$4,2,TRUE)</f>
        <v>5000</v>
      </c>
      <c r="I201" s="45">
        <f t="shared" si="1"/>
        <v>0</v>
      </c>
      <c r="J201" s="46">
        <f>SUM(I201:I228)</f>
        <v>17000</v>
      </c>
      <c r="K201" s="18"/>
      <c r="L201" s="18"/>
      <c r="M201" s="18"/>
      <c r="N201" s="18"/>
    </row>
    <row r="202" ht="15.75" customHeight="1">
      <c r="A202" s="39"/>
      <c r="B202" s="39"/>
      <c r="C202" s="39"/>
      <c r="D202" s="47"/>
      <c r="E202" s="47"/>
      <c r="F202" s="42" t="s">
        <v>56</v>
      </c>
      <c r="G202" s="43">
        <v>2.5</v>
      </c>
      <c r="H202" s="50">
        <f>VLOOKUP(F202,$A$5:$B$5,2,TRUE)</f>
        <v>3000</v>
      </c>
      <c r="I202" s="45">
        <f t="shared" si="1"/>
        <v>7500</v>
      </c>
      <c r="J202" s="47"/>
      <c r="K202" s="18"/>
      <c r="L202" s="18"/>
      <c r="M202" s="18"/>
      <c r="N202" s="18"/>
    </row>
    <row r="203" ht="15.75" customHeight="1">
      <c r="A203" s="39"/>
      <c r="B203" s="39"/>
      <c r="C203" s="39"/>
      <c r="D203" s="47"/>
      <c r="E203" s="47"/>
      <c r="F203" s="42" t="s">
        <v>58</v>
      </c>
      <c r="G203" s="43"/>
      <c r="H203" s="50">
        <f>VLOOKUP(F203,$A$6:$B$6,2,TRUE)</f>
        <v>1000</v>
      </c>
      <c r="I203" s="45">
        <f t="shared" si="1"/>
        <v>0</v>
      </c>
      <c r="J203" s="47"/>
      <c r="K203" s="18"/>
      <c r="L203" s="18"/>
      <c r="M203" s="18"/>
      <c r="N203" s="18"/>
    </row>
    <row r="204" ht="15.75" customHeight="1">
      <c r="A204" s="39"/>
      <c r="B204" s="39"/>
      <c r="C204" s="39"/>
      <c r="D204" s="47"/>
      <c r="E204" s="47"/>
      <c r="F204" s="42" t="s">
        <v>24</v>
      </c>
      <c r="G204" s="43"/>
      <c r="H204" s="50">
        <f>VLOOKUP(F204,$A$7:$B$7,2,TRUE)</f>
        <v>2800</v>
      </c>
      <c r="I204" s="45">
        <f t="shared" si="1"/>
        <v>0</v>
      </c>
      <c r="J204" s="47"/>
      <c r="K204" s="18"/>
      <c r="L204" s="18"/>
      <c r="M204" s="18"/>
      <c r="N204" s="18"/>
    </row>
    <row r="205" ht="15.75" customHeight="1">
      <c r="A205" s="39"/>
      <c r="B205" s="39"/>
      <c r="C205" s="39"/>
      <c r="D205" s="47"/>
      <c r="E205" s="47"/>
      <c r="F205" s="42" t="s">
        <v>25</v>
      </c>
      <c r="G205" s="43"/>
      <c r="H205" s="50">
        <f>VLOOKUP(F205,$A$8:$B$8,2,TRUE)</f>
        <v>3500</v>
      </c>
      <c r="I205" s="45">
        <f t="shared" si="1"/>
        <v>0</v>
      </c>
      <c r="J205" s="47"/>
      <c r="K205" s="18"/>
      <c r="L205" s="18"/>
      <c r="M205" s="18"/>
      <c r="N205" s="18"/>
    </row>
    <row r="206" ht="15.75" customHeight="1">
      <c r="A206" s="39"/>
      <c r="B206" s="39"/>
      <c r="C206" s="39"/>
      <c r="D206" s="47"/>
      <c r="E206" s="47"/>
      <c r="F206" s="42" t="s">
        <v>26</v>
      </c>
      <c r="G206" s="43"/>
      <c r="H206" s="50">
        <f>VLOOKUP(F206,$A$9:$B$9,2,TRUE)</f>
        <v>1000</v>
      </c>
      <c r="I206" s="45">
        <f t="shared" si="1"/>
        <v>0</v>
      </c>
      <c r="J206" s="47"/>
      <c r="K206" s="18"/>
      <c r="L206" s="18"/>
      <c r="M206" s="18"/>
      <c r="N206" s="18"/>
    </row>
    <row r="207" ht="15.75" customHeight="1">
      <c r="A207" s="39"/>
      <c r="B207" s="39"/>
      <c r="C207" s="39"/>
      <c r="D207" s="47"/>
      <c r="E207" s="47"/>
      <c r="F207" s="42" t="s">
        <v>27</v>
      </c>
      <c r="G207" s="43"/>
      <c r="H207" s="50">
        <f>VLOOKUP(F207,$A$10:$B$10,2,TRUE)</f>
        <v>2000</v>
      </c>
      <c r="I207" s="45">
        <f t="shared" si="1"/>
        <v>0</v>
      </c>
      <c r="J207" s="47"/>
      <c r="K207" s="18"/>
      <c r="L207" s="18"/>
      <c r="M207" s="18"/>
      <c r="N207" s="18"/>
    </row>
    <row r="208" ht="15.75" customHeight="1">
      <c r="A208" s="39"/>
      <c r="B208" s="39"/>
      <c r="C208" s="39"/>
      <c r="D208" s="47"/>
      <c r="E208" s="47"/>
      <c r="F208" s="42" t="s">
        <v>28</v>
      </c>
      <c r="G208" s="43"/>
      <c r="H208" s="50">
        <f>VLOOKUP(F208,$A$11:$B$11,2,TRUE)</f>
        <v>2000</v>
      </c>
      <c r="I208" s="45">
        <f t="shared" si="1"/>
        <v>0</v>
      </c>
      <c r="J208" s="47"/>
      <c r="K208" s="18"/>
      <c r="L208" s="18"/>
      <c r="M208" s="18"/>
      <c r="N208" s="18"/>
    </row>
    <row r="209" ht="15.75" customHeight="1">
      <c r="A209" s="39"/>
      <c r="B209" s="39"/>
      <c r="C209" s="39"/>
      <c r="D209" s="47"/>
      <c r="E209" s="47"/>
      <c r="F209" s="42" t="s">
        <v>29</v>
      </c>
      <c r="G209" s="43"/>
      <c r="H209" s="50">
        <f>VLOOKUP(F209,$A$12:$B$12,2,TRUE)</f>
        <v>1300</v>
      </c>
      <c r="I209" s="45">
        <f t="shared" si="1"/>
        <v>0</v>
      </c>
      <c r="J209" s="47"/>
      <c r="K209" s="18"/>
      <c r="L209" s="18"/>
      <c r="M209" s="18"/>
      <c r="N209" s="18"/>
    </row>
    <row r="210" ht="15.75" customHeight="1">
      <c r="A210" s="39"/>
      <c r="B210" s="39"/>
      <c r="C210" s="39"/>
      <c r="D210" s="47"/>
      <c r="E210" s="47"/>
      <c r="F210" s="42" t="s">
        <v>30</v>
      </c>
      <c r="G210" s="43">
        <v>9.5</v>
      </c>
      <c r="H210" s="50">
        <f>VLOOKUP(F210,$A$13:$B$13,2,TRUE)</f>
        <v>1000</v>
      </c>
      <c r="I210" s="45">
        <f t="shared" si="1"/>
        <v>9500</v>
      </c>
      <c r="J210" s="47"/>
      <c r="K210" s="18"/>
      <c r="L210" s="18"/>
      <c r="M210" s="18"/>
      <c r="N210" s="18"/>
    </row>
    <row r="211" ht="15.75" customHeight="1">
      <c r="A211" s="39"/>
      <c r="B211" s="39"/>
      <c r="C211" s="39"/>
      <c r="D211" s="47"/>
      <c r="E211" s="47"/>
      <c r="F211" s="42" t="s">
        <v>31</v>
      </c>
      <c r="G211" s="43"/>
      <c r="H211" s="50">
        <f>VLOOKUP(F211,$A$14:$B$14,2,TRUE)</f>
        <v>400</v>
      </c>
      <c r="I211" s="45">
        <f t="shared" si="1"/>
        <v>0</v>
      </c>
      <c r="J211" s="47"/>
      <c r="K211" s="18"/>
      <c r="L211" s="18"/>
      <c r="M211" s="18"/>
      <c r="N211" s="18"/>
    </row>
    <row r="212" ht="15.75" customHeight="1">
      <c r="A212" s="39"/>
      <c r="B212" s="39"/>
      <c r="C212" s="39"/>
      <c r="D212" s="47"/>
      <c r="E212" s="47"/>
      <c r="F212" s="42" t="s">
        <v>32</v>
      </c>
      <c r="G212" s="43"/>
      <c r="H212" s="50">
        <f>VLOOKUP(F212,$A$15:$B$15,2,TRUE)</f>
        <v>7500</v>
      </c>
      <c r="I212" s="45">
        <f t="shared" si="1"/>
        <v>0</v>
      </c>
      <c r="J212" s="47"/>
      <c r="K212" s="18"/>
      <c r="L212" s="18"/>
      <c r="M212" s="18"/>
      <c r="N212" s="18"/>
    </row>
    <row r="213" ht="15.75" customHeight="1">
      <c r="A213" s="39"/>
      <c r="B213" s="39"/>
      <c r="C213" s="39"/>
      <c r="D213" s="47"/>
      <c r="E213" s="47"/>
      <c r="F213" s="42" t="s">
        <v>33</v>
      </c>
      <c r="G213" s="43"/>
      <c r="H213" s="50">
        <f>VLOOKUP(F213,$A$16:$B$16,2,TRUE)</f>
        <v>2000</v>
      </c>
      <c r="I213" s="45">
        <f t="shared" si="1"/>
        <v>0</v>
      </c>
      <c r="J213" s="47"/>
      <c r="K213" s="18"/>
      <c r="L213" s="18"/>
      <c r="M213" s="18"/>
      <c r="N213" s="18"/>
    </row>
    <row r="214" ht="15.75" customHeight="1">
      <c r="A214" s="39"/>
      <c r="B214" s="39"/>
      <c r="C214" s="39"/>
      <c r="D214" s="47"/>
      <c r="E214" s="47"/>
      <c r="F214" s="42" t="s">
        <v>34</v>
      </c>
      <c r="G214" s="43"/>
      <c r="H214" s="50">
        <f>VLOOKUP(F214,$A$17:$B$17,2,TRUE)</f>
        <v>800</v>
      </c>
      <c r="I214" s="45">
        <f t="shared" si="1"/>
        <v>0</v>
      </c>
      <c r="J214" s="47"/>
      <c r="K214" s="18"/>
      <c r="L214" s="18"/>
      <c r="M214" s="18"/>
      <c r="N214" s="18"/>
    </row>
    <row r="215" ht="15.75" customHeight="1">
      <c r="A215" s="39"/>
      <c r="B215" s="39"/>
      <c r="C215" s="39"/>
      <c r="D215" s="47"/>
      <c r="E215" s="47"/>
      <c r="F215" s="42" t="s">
        <v>35</v>
      </c>
      <c r="G215" s="43"/>
      <c r="H215" s="50">
        <f>VLOOKUP(F215,$A$18:$B$18,2,TRUE)</f>
        <v>5000</v>
      </c>
      <c r="I215" s="45">
        <f t="shared" si="1"/>
        <v>0</v>
      </c>
      <c r="J215" s="47"/>
      <c r="K215" s="18"/>
      <c r="L215" s="18"/>
      <c r="M215" s="18"/>
      <c r="N215" s="18"/>
    </row>
    <row r="216" ht="15.75" customHeight="1">
      <c r="A216" s="39"/>
      <c r="B216" s="39"/>
      <c r="C216" s="39"/>
      <c r="D216" s="47"/>
      <c r="E216" s="47"/>
      <c r="F216" s="42" t="s">
        <v>36</v>
      </c>
      <c r="G216" s="43"/>
      <c r="H216" s="50">
        <f>VLOOKUP(F216,$A$19:$B$19,2,TRUE)</f>
        <v>2700</v>
      </c>
      <c r="I216" s="45">
        <f t="shared" si="1"/>
        <v>0</v>
      </c>
      <c r="J216" s="47"/>
      <c r="K216" s="18"/>
      <c r="L216" s="18"/>
      <c r="M216" s="18"/>
      <c r="N216" s="18"/>
    </row>
    <row r="217" ht="15.75" customHeight="1">
      <c r="A217" s="39"/>
      <c r="B217" s="39"/>
      <c r="C217" s="39"/>
      <c r="D217" s="47"/>
      <c r="E217" s="47"/>
      <c r="F217" s="42" t="s">
        <v>37</v>
      </c>
      <c r="G217" s="43"/>
      <c r="H217" s="50">
        <f>VLOOKUP(F217,$A$20:$B$20,2,TRUE)</f>
        <v>50000</v>
      </c>
      <c r="I217" s="45">
        <f t="shared" si="1"/>
        <v>0</v>
      </c>
      <c r="J217" s="47"/>
      <c r="K217" s="18"/>
      <c r="L217" s="18"/>
      <c r="M217" s="18"/>
      <c r="N217" s="18"/>
    </row>
    <row r="218" ht="15.75" customHeight="1">
      <c r="A218" s="39"/>
      <c r="B218" s="39"/>
      <c r="C218" s="39"/>
      <c r="D218" s="47"/>
      <c r="E218" s="47"/>
      <c r="F218" s="42" t="s">
        <v>38</v>
      </c>
      <c r="G218" s="43"/>
      <c r="H218" s="50">
        <f>VLOOKUP(F218,$A$21:$B$21,2,TRUE)</f>
        <v>10000</v>
      </c>
      <c r="I218" s="45">
        <f t="shared" si="1"/>
        <v>0</v>
      </c>
      <c r="J218" s="47"/>
      <c r="K218" s="18"/>
      <c r="L218" s="18"/>
      <c r="M218" s="18"/>
      <c r="N218" s="18"/>
    </row>
    <row r="219" ht="15.75" customHeight="1">
      <c r="A219" s="39"/>
      <c r="B219" s="39"/>
      <c r="C219" s="39"/>
      <c r="D219" s="47"/>
      <c r="E219" s="47"/>
      <c r="F219" s="42" t="s">
        <v>39</v>
      </c>
      <c r="G219" s="43"/>
      <c r="H219" s="50">
        <f>VLOOKUP(F219,$A$22:$B$22,2,TRUE)</f>
        <v>1000</v>
      </c>
      <c r="I219" s="45">
        <f t="shared" si="1"/>
        <v>0</v>
      </c>
      <c r="J219" s="47"/>
      <c r="K219" s="18"/>
      <c r="L219" s="18"/>
      <c r="M219" s="18"/>
      <c r="N219" s="18"/>
    </row>
    <row r="220" ht="15.75" customHeight="1">
      <c r="A220" s="39"/>
      <c r="B220" s="39"/>
      <c r="C220" s="39"/>
      <c r="D220" s="47"/>
      <c r="E220" s="47"/>
      <c r="F220" s="42" t="s">
        <v>40</v>
      </c>
      <c r="G220" s="43"/>
      <c r="H220" s="50">
        <f>VLOOKUP(F220,$A$23:$B$23,2,TRUE)</f>
        <v>500</v>
      </c>
      <c r="I220" s="45">
        <f t="shared" si="1"/>
        <v>0</v>
      </c>
      <c r="J220" s="47"/>
      <c r="K220" s="18"/>
      <c r="L220" s="18"/>
      <c r="M220" s="18"/>
      <c r="N220" s="18"/>
    </row>
    <row r="221" ht="15.75" customHeight="1">
      <c r="A221" s="39"/>
      <c r="B221" s="39"/>
      <c r="C221" s="39"/>
      <c r="D221" s="47"/>
      <c r="E221" s="47"/>
      <c r="F221" s="42" t="s">
        <v>41</v>
      </c>
      <c r="G221" s="43"/>
      <c r="H221" s="50">
        <f>VLOOKUP(F221,$A$24:$B$24,2,TRUE)</f>
        <v>200</v>
      </c>
      <c r="I221" s="45">
        <f t="shared" si="1"/>
        <v>0</v>
      </c>
      <c r="J221" s="47"/>
      <c r="K221" s="18"/>
      <c r="L221" s="18"/>
      <c r="M221" s="18"/>
      <c r="N221" s="18"/>
    </row>
    <row r="222" ht="15.75" customHeight="1">
      <c r="A222" s="39"/>
      <c r="B222" s="39"/>
      <c r="C222" s="39"/>
      <c r="D222" s="47"/>
      <c r="E222" s="47"/>
      <c r="F222" s="42" t="s">
        <v>42</v>
      </c>
      <c r="G222" s="43"/>
      <c r="H222" s="50">
        <f>VLOOKUP(F222,$A$25:$B$25,2,TRUE)</f>
        <v>1000</v>
      </c>
      <c r="I222" s="45">
        <f t="shared" si="1"/>
        <v>0</v>
      </c>
      <c r="J222" s="47"/>
      <c r="K222" s="18"/>
      <c r="L222" s="18"/>
      <c r="M222" s="18"/>
      <c r="N222" s="18"/>
    </row>
    <row r="223" ht="15.75" customHeight="1">
      <c r="A223" s="39"/>
      <c r="B223" s="39"/>
      <c r="C223" s="39"/>
      <c r="D223" s="47"/>
      <c r="E223" s="47"/>
      <c r="F223" s="42" t="s">
        <v>17</v>
      </c>
      <c r="G223" s="43"/>
      <c r="H223" s="50">
        <f>VLOOKUP(F223,$A$26:$B$26,2,TRUE)</f>
        <v>300</v>
      </c>
      <c r="I223" s="45">
        <f t="shared" si="1"/>
        <v>0</v>
      </c>
      <c r="J223" s="47"/>
      <c r="K223" s="18"/>
      <c r="L223" s="18"/>
      <c r="M223" s="18"/>
      <c r="N223" s="18"/>
    </row>
    <row r="224" ht="15.75" customHeight="1">
      <c r="A224" s="39"/>
      <c r="B224" s="39"/>
      <c r="C224" s="39"/>
      <c r="D224" s="47"/>
      <c r="E224" s="47"/>
      <c r="F224" s="42" t="s">
        <v>43</v>
      </c>
      <c r="G224" s="43"/>
      <c r="H224" s="50">
        <f>VLOOKUP(F224,$A$27:$B$27,2,TRUE)</f>
        <v>100</v>
      </c>
      <c r="I224" s="45">
        <f t="shared" si="1"/>
        <v>0</v>
      </c>
      <c r="J224" s="47"/>
      <c r="K224" s="18"/>
      <c r="L224" s="18"/>
      <c r="M224" s="18"/>
      <c r="N224" s="18"/>
    </row>
    <row r="225" ht="15.75" customHeight="1">
      <c r="A225" s="39"/>
      <c r="B225" s="39"/>
      <c r="C225" s="39"/>
      <c r="D225" s="47"/>
      <c r="E225" s="47"/>
      <c r="F225" s="42" t="s">
        <v>59</v>
      </c>
      <c r="G225" s="43"/>
      <c r="H225" s="50">
        <f>VLOOKUP(F225,$A$28:$B$28,2,TRUE)</f>
        <v>500</v>
      </c>
      <c r="I225" s="45">
        <f t="shared" si="1"/>
        <v>0</v>
      </c>
      <c r="J225" s="47"/>
      <c r="K225" s="18"/>
      <c r="L225" s="18"/>
      <c r="M225" s="18"/>
      <c r="N225" s="18"/>
    </row>
    <row r="226" ht="15.75" customHeight="1">
      <c r="A226" s="39"/>
      <c r="B226" s="39"/>
      <c r="C226" s="39"/>
      <c r="D226" s="47"/>
      <c r="E226" s="47"/>
      <c r="F226" s="42" t="s">
        <v>13</v>
      </c>
      <c r="G226" s="43"/>
      <c r="H226" s="50">
        <f>VLOOKUP(F226,$A$29:$B$29,2,TRUE)</f>
        <v>1500</v>
      </c>
      <c r="I226" s="45">
        <f t="shared" si="1"/>
        <v>0</v>
      </c>
      <c r="J226" s="47"/>
      <c r="K226" s="18"/>
      <c r="L226" s="18"/>
      <c r="M226" s="18"/>
      <c r="N226" s="18"/>
    </row>
    <row r="227" ht="15.75" customHeight="1">
      <c r="A227" s="39"/>
      <c r="B227" s="39"/>
      <c r="C227" s="39"/>
      <c r="D227" s="47"/>
      <c r="E227" s="47"/>
      <c r="F227" s="42" t="s">
        <v>19</v>
      </c>
      <c r="G227" s="43"/>
      <c r="H227" s="50">
        <f>VLOOKUP(F227,$A$30:$B$30,2,TRUE)</f>
        <v>4000</v>
      </c>
      <c r="I227" s="45">
        <f t="shared" si="1"/>
        <v>0</v>
      </c>
      <c r="J227" s="47"/>
      <c r="K227" s="18"/>
      <c r="L227" s="18"/>
      <c r="M227" s="18"/>
      <c r="N227" s="18"/>
    </row>
    <row r="228" ht="15.75" customHeight="1">
      <c r="A228" s="39"/>
      <c r="B228" s="39"/>
      <c r="C228" s="39"/>
      <c r="D228" s="7"/>
      <c r="E228" s="7"/>
      <c r="F228" s="42" t="s">
        <v>20</v>
      </c>
      <c r="G228" s="43">
        <v>1.5</v>
      </c>
      <c r="H228" s="50">
        <v>0.0</v>
      </c>
      <c r="I228" s="45">
        <f t="shared" si="1"/>
        <v>0</v>
      </c>
      <c r="J228" s="7"/>
      <c r="K228" s="18"/>
      <c r="L228" s="18"/>
      <c r="M228" s="18"/>
      <c r="N228" s="18"/>
    </row>
    <row r="229" ht="15.75" customHeight="1">
      <c r="A229" s="39"/>
      <c r="B229" s="39"/>
      <c r="C229" s="39"/>
      <c r="D229" s="40">
        <v>9.0</v>
      </c>
      <c r="E229" s="41" t="s">
        <v>80</v>
      </c>
      <c r="F229" s="42" t="s">
        <v>21</v>
      </c>
      <c r="G229" s="43"/>
      <c r="H229" s="50">
        <f>VLOOKUP(F229,$A$4:$B$4,2,TRUE)</f>
        <v>5000</v>
      </c>
      <c r="I229" s="45">
        <f t="shared" si="1"/>
        <v>0</v>
      </c>
      <c r="J229" s="46">
        <f>SUM(I229:I256)</f>
        <v>14000</v>
      </c>
      <c r="K229" s="18"/>
      <c r="L229" s="18"/>
      <c r="M229" s="18"/>
      <c r="N229" s="18"/>
    </row>
    <row r="230" ht="15.75" customHeight="1">
      <c r="A230" s="39"/>
      <c r="B230" s="39"/>
      <c r="C230" s="39"/>
      <c r="D230" s="47"/>
      <c r="E230" s="47"/>
      <c r="F230" s="42" t="s">
        <v>56</v>
      </c>
      <c r="G230" s="43"/>
      <c r="H230" s="50">
        <f>VLOOKUP(F230,$A$5:$B$5,2,TRUE)</f>
        <v>3000</v>
      </c>
      <c r="I230" s="45">
        <f t="shared" si="1"/>
        <v>0</v>
      </c>
      <c r="J230" s="47"/>
      <c r="K230" s="18"/>
      <c r="L230" s="18"/>
      <c r="M230" s="18"/>
      <c r="N230" s="18"/>
    </row>
    <row r="231" ht="15.75" customHeight="1">
      <c r="A231" s="39"/>
      <c r="B231" s="39"/>
      <c r="C231" s="39"/>
      <c r="D231" s="47"/>
      <c r="E231" s="47"/>
      <c r="F231" s="42" t="s">
        <v>58</v>
      </c>
      <c r="G231" s="43"/>
      <c r="H231" s="50">
        <f>VLOOKUP(F231,$A$6:$B$6,2,TRUE)</f>
        <v>1000</v>
      </c>
      <c r="I231" s="45">
        <f t="shared" si="1"/>
        <v>0</v>
      </c>
      <c r="J231" s="47"/>
      <c r="K231" s="18"/>
      <c r="L231" s="18"/>
      <c r="M231" s="18"/>
      <c r="N231" s="18"/>
    </row>
    <row r="232" ht="15.75" customHeight="1">
      <c r="A232" s="39"/>
      <c r="B232" s="39"/>
      <c r="C232" s="39"/>
      <c r="D232" s="47"/>
      <c r="E232" s="47"/>
      <c r="F232" s="42" t="s">
        <v>24</v>
      </c>
      <c r="G232" s="43"/>
      <c r="H232" s="50">
        <f>VLOOKUP(F232,$A$7:$B$7,2,TRUE)</f>
        <v>2800</v>
      </c>
      <c r="I232" s="45">
        <f t="shared" si="1"/>
        <v>0</v>
      </c>
      <c r="J232" s="47"/>
      <c r="K232" s="18"/>
      <c r="L232" s="18"/>
      <c r="M232" s="18"/>
      <c r="N232" s="18"/>
    </row>
    <row r="233" ht="15.75" customHeight="1">
      <c r="A233" s="39"/>
      <c r="B233" s="39"/>
      <c r="C233" s="39"/>
      <c r="D233" s="47"/>
      <c r="E233" s="47"/>
      <c r="F233" s="42" t="s">
        <v>25</v>
      </c>
      <c r="G233" s="43"/>
      <c r="H233" s="50">
        <f>VLOOKUP(F233,$A$8:$B$8,2,TRUE)</f>
        <v>3500</v>
      </c>
      <c r="I233" s="45">
        <f t="shared" si="1"/>
        <v>0</v>
      </c>
      <c r="J233" s="47"/>
      <c r="K233" s="18"/>
      <c r="L233" s="18"/>
      <c r="M233" s="18"/>
      <c r="N233" s="18"/>
    </row>
    <row r="234" ht="15.75" customHeight="1">
      <c r="A234" s="39"/>
      <c r="B234" s="39"/>
      <c r="C234" s="39"/>
      <c r="D234" s="47"/>
      <c r="E234" s="47"/>
      <c r="F234" s="42" t="s">
        <v>26</v>
      </c>
      <c r="G234" s="43"/>
      <c r="H234" s="50">
        <f>VLOOKUP(F234,$A$9:$B$9,2,TRUE)</f>
        <v>1000</v>
      </c>
      <c r="I234" s="45">
        <f t="shared" si="1"/>
        <v>0</v>
      </c>
      <c r="J234" s="47"/>
      <c r="K234" s="18"/>
      <c r="L234" s="18"/>
      <c r="M234" s="18"/>
      <c r="N234" s="18"/>
    </row>
    <row r="235" ht="15.75" customHeight="1">
      <c r="A235" s="39"/>
      <c r="B235" s="39"/>
      <c r="C235" s="39"/>
      <c r="D235" s="47"/>
      <c r="E235" s="47"/>
      <c r="F235" s="42" t="s">
        <v>27</v>
      </c>
      <c r="G235" s="43">
        <v>3.0</v>
      </c>
      <c r="H235" s="50">
        <f>VLOOKUP(F235,$A$10:$B$10,2,TRUE)</f>
        <v>2000</v>
      </c>
      <c r="I235" s="45">
        <f t="shared" si="1"/>
        <v>6000</v>
      </c>
      <c r="J235" s="47"/>
      <c r="K235" s="18"/>
      <c r="L235" s="18"/>
      <c r="M235" s="18"/>
      <c r="N235" s="18"/>
    </row>
    <row r="236" ht="15.75" customHeight="1">
      <c r="A236" s="39"/>
      <c r="B236" s="39"/>
      <c r="C236" s="39"/>
      <c r="D236" s="47"/>
      <c r="E236" s="47"/>
      <c r="F236" s="42" t="s">
        <v>28</v>
      </c>
      <c r="G236" s="43">
        <v>4.0</v>
      </c>
      <c r="H236" s="50">
        <f>VLOOKUP(F236,$A$11:$B$11,2,TRUE)</f>
        <v>2000</v>
      </c>
      <c r="I236" s="45">
        <f t="shared" si="1"/>
        <v>8000</v>
      </c>
      <c r="J236" s="47"/>
      <c r="K236" s="18"/>
      <c r="L236" s="18"/>
      <c r="M236" s="18"/>
      <c r="N236" s="18"/>
    </row>
    <row r="237" ht="15.75" customHeight="1">
      <c r="A237" s="39"/>
      <c r="B237" s="39"/>
      <c r="C237" s="39"/>
      <c r="D237" s="47"/>
      <c r="E237" s="47"/>
      <c r="F237" s="42" t="s">
        <v>29</v>
      </c>
      <c r="G237" s="43"/>
      <c r="H237" s="50">
        <f>VLOOKUP(F237,$A$12:$B$12,2,TRUE)</f>
        <v>1300</v>
      </c>
      <c r="I237" s="45">
        <f t="shared" si="1"/>
        <v>0</v>
      </c>
      <c r="J237" s="47"/>
      <c r="K237" s="18"/>
      <c r="L237" s="18"/>
      <c r="M237" s="18"/>
      <c r="N237" s="18"/>
    </row>
    <row r="238" ht="15.75" customHeight="1">
      <c r="A238" s="39"/>
      <c r="B238" s="39"/>
      <c r="C238" s="39"/>
      <c r="D238" s="47"/>
      <c r="E238" s="47"/>
      <c r="F238" s="42" t="s">
        <v>30</v>
      </c>
      <c r="G238" s="43"/>
      <c r="H238" s="50">
        <f>VLOOKUP(F238,$A$13:$B$13,2,TRUE)</f>
        <v>1000</v>
      </c>
      <c r="I238" s="45">
        <f t="shared" si="1"/>
        <v>0</v>
      </c>
      <c r="J238" s="47"/>
      <c r="K238" s="18"/>
      <c r="L238" s="18"/>
      <c r="M238" s="18"/>
      <c r="N238" s="18"/>
    </row>
    <row r="239" ht="15.75" customHeight="1">
      <c r="A239" s="39"/>
      <c r="B239" s="39"/>
      <c r="C239" s="39"/>
      <c r="D239" s="47"/>
      <c r="E239" s="47"/>
      <c r="F239" s="42" t="s">
        <v>31</v>
      </c>
      <c r="G239" s="43"/>
      <c r="H239" s="50">
        <f>VLOOKUP(F239,$A$14:$B$14,2,TRUE)</f>
        <v>400</v>
      </c>
      <c r="I239" s="45">
        <f t="shared" si="1"/>
        <v>0</v>
      </c>
      <c r="J239" s="47"/>
      <c r="K239" s="18"/>
      <c r="L239" s="18"/>
      <c r="M239" s="18"/>
      <c r="N239" s="18"/>
    </row>
    <row r="240" ht="15.75" customHeight="1">
      <c r="A240" s="39"/>
      <c r="B240" s="39"/>
      <c r="C240" s="39"/>
      <c r="D240" s="47"/>
      <c r="E240" s="47"/>
      <c r="F240" s="42" t="s">
        <v>32</v>
      </c>
      <c r="G240" s="43"/>
      <c r="H240" s="50">
        <f>VLOOKUP(F240,$A$15:$B$15,2,TRUE)</f>
        <v>7500</v>
      </c>
      <c r="I240" s="45">
        <f t="shared" si="1"/>
        <v>0</v>
      </c>
      <c r="J240" s="47"/>
      <c r="K240" s="18"/>
      <c r="L240" s="18"/>
      <c r="M240" s="18"/>
      <c r="N240" s="18"/>
    </row>
    <row r="241" ht="15.75" customHeight="1">
      <c r="A241" s="39"/>
      <c r="B241" s="39"/>
      <c r="C241" s="39"/>
      <c r="D241" s="47"/>
      <c r="E241" s="47"/>
      <c r="F241" s="42" t="s">
        <v>33</v>
      </c>
      <c r="G241" s="43"/>
      <c r="H241" s="50">
        <f>VLOOKUP(F241,$A$16:$B$16,2,TRUE)</f>
        <v>2000</v>
      </c>
      <c r="I241" s="45">
        <f t="shared" si="1"/>
        <v>0</v>
      </c>
      <c r="J241" s="47"/>
      <c r="K241" s="18"/>
      <c r="L241" s="18"/>
      <c r="M241" s="18"/>
      <c r="N241" s="18"/>
    </row>
    <row r="242" ht="15.75" customHeight="1">
      <c r="A242" s="39"/>
      <c r="B242" s="39"/>
      <c r="C242" s="39"/>
      <c r="D242" s="47"/>
      <c r="E242" s="47"/>
      <c r="F242" s="42" t="s">
        <v>34</v>
      </c>
      <c r="G242" s="43"/>
      <c r="H242" s="50">
        <f>VLOOKUP(F242,$A$17:$B$17,2,TRUE)</f>
        <v>800</v>
      </c>
      <c r="I242" s="45">
        <f t="shared" si="1"/>
        <v>0</v>
      </c>
      <c r="J242" s="47"/>
      <c r="K242" s="18"/>
      <c r="L242" s="18"/>
      <c r="M242" s="18"/>
      <c r="N242" s="18"/>
    </row>
    <row r="243" ht="15.75" customHeight="1">
      <c r="A243" s="39"/>
      <c r="B243" s="39"/>
      <c r="C243" s="39"/>
      <c r="D243" s="47"/>
      <c r="E243" s="47"/>
      <c r="F243" s="42" t="s">
        <v>35</v>
      </c>
      <c r="G243" s="43"/>
      <c r="H243" s="50">
        <f>VLOOKUP(F243,$A$18:$B$18,2,TRUE)</f>
        <v>5000</v>
      </c>
      <c r="I243" s="45">
        <f t="shared" si="1"/>
        <v>0</v>
      </c>
      <c r="J243" s="47"/>
      <c r="K243" s="18"/>
      <c r="L243" s="18"/>
      <c r="M243" s="18"/>
      <c r="N243" s="18"/>
    </row>
    <row r="244" ht="15.75" customHeight="1">
      <c r="A244" s="39"/>
      <c r="B244" s="39"/>
      <c r="C244" s="39"/>
      <c r="D244" s="47"/>
      <c r="E244" s="47"/>
      <c r="F244" s="42" t="s">
        <v>36</v>
      </c>
      <c r="G244" s="43"/>
      <c r="H244" s="50">
        <f>VLOOKUP(F244,$A$19:$B$19,2,TRUE)</f>
        <v>2700</v>
      </c>
      <c r="I244" s="45">
        <f t="shared" si="1"/>
        <v>0</v>
      </c>
      <c r="J244" s="47"/>
      <c r="K244" s="18"/>
      <c r="L244" s="18"/>
      <c r="M244" s="18"/>
      <c r="N244" s="18"/>
    </row>
    <row r="245" ht="15.75" customHeight="1">
      <c r="A245" s="39"/>
      <c r="B245" s="39"/>
      <c r="C245" s="39"/>
      <c r="D245" s="47"/>
      <c r="E245" s="47"/>
      <c r="F245" s="42" t="s">
        <v>37</v>
      </c>
      <c r="G245" s="43"/>
      <c r="H245" s="50">
        <f>VLOOKUP(F245,$A$20:$B$20,2,TRUE)</f>
        <v>50000</v>
      </c>
      <c r="I245" s="45">
        <f t="shared" si="1"/>
        <v>0</v>
      </c>
      <c r="J245" s="47"/>
      <c r="K245" s="18"/>
      <c r="L245" s="18"/>
      <c r="M245" s="18"/>
      <c r="N245" s="18"/>
    </row>
    <row r="246" ht="15.75" customHeight="1">
      <c r="A246" s="39"/>
      <c r="B246" s="39"/>
      <c r="C246" s="39"/>
      <c r="D246" s="47"/>
      <c r="E246" s="47"/>
      <c r="F246" s="42" t="s">
        <v>38</v>
      </c>
      <c r="G246" s="43"/>
      <c r="H246" s="50">
        <f>VLOOKUP(F246,$A$21:$B$21,2,TRUE)</f>
        <v>10000</v>
      </c>
      <c r="I246" s="45">
        <f t="shared" si="1"/>
        <v>0</v>
      </c>
      <c r="J246" s="47"/>
      <c r="K246" s="18"/>
      <c r="L246" s="18"/>
      <c r="M246" s="18"/>
      <c r="N246" s="18"/>
    </row>
    <row r="247" ht="15.75" customHeight="1">
      <c r="A247" s="39"/>
      <c r="B247" s="39"/>
      <c r="C247" s="39"/>
      <c r="D247" s="47"/>
      <c r="E247" s="47"/>
      <c r="F247" s="42" t="s">
        <v>39</v>
      </c>
      <c r="G247" s="43"/>
      <c r="H247" s="50">
        <f>VLOOKUP(F247,$A$22:$B$22,2,TRUE)</f>
        <v>1000</v>
      </c>
      <c r="I247" s="45">
        <f t="shared" si="1"/>
        <v>0</v>
      </c>
      <c r="J247" s="47"/>
      <c r="K247" s="18"/>
      <c r="L247" s="18"/>
      <c r="M247" s="18"/>
      <c r="N247" s="18"/>
    </row>
    <row r="248" ht="15.75" customHeight="1">
      <c r="A248" s="39"/>
      <c r="B248" s="39"/>
      <c r="C248" s="39"/>
      <c r="D248" s="47"/>
      <c r="E248" s="47"/>
      <c r="F248" s="42" t="s">
        <v>40</v>
      </c>
      <c r="G248" s="43"/>
      <c r="H248" s="50">
        <f>VLOOKUP(F248,$A$23:$B$23,2,TRUE)</f>
        <v>500</v>
      </c>
      <c r="I248" s="45">
        <f t="shared" si="1"/>
        <v>0</v>
      </c>
      <c r="J248" s="47"/>
      <c r="K248" s="18"/>
      <c r="L248" s="18"/>
      <c r="M248" s="18"/>
      <c r="N248" s="18"/>
    </row>
    <row r="249" ht="15.75" customHeight="1">
      <c r="A249" s="39"/>
      <c r="B249" s="39"/>
      <c r="C249" s="39"/>
      <c r="D249" s="47"/>
      <c r="E249" s="47"/>
      <c r="F249" s="42" t="s">
        <v>41</v>
      </c>
      <c r="G249" s="43"/>
      <c r="H249" s="50">
        <f>VLOOKUP(F249,$A$24:$B$24,2,TRUE)</f>
        <v>200</v>
      </c>
      <c r="I249" s="45">
        <f t="shared" si="1"/>
        <v>0</v>
      </c>
      <c r="J249" s="47"/>
      <c r="K249" s="18"/>
      <c r="L249" s="18"/>
      <c r="M249" s="18"/>
      <c r="N249" s="18"/>
    </row>
    <row r="250" ht="15.75" customHeight="1">
      <c r="A250" s="39"/>
      <c r="B250" s="39"/>
      <c r="C250" s="39"/>
      <c r="D250" s="47"/>
      <c r="E250" s="47"/>
      <c r="F250" s="42" t="s">
        <v>42</v>
      </c>
      <c r="G250" s="43"/>
      <c r="H250" s="50">
        <f>VLOOKUP(F250,$A$25:$B$25,2,TRUE)</f>
        <v>1000</v>
      </c>
      <c r="I250" s="45">
        <f t="shared" si="1"/>
        <v>0</v>
      </c>
      <c r="J250" s="47"/>
      <c r="K250" s="18"/>
      <c r="L250" s="18"/>
      <c r="M250" s="18"/>
      <c r="N250" s="18"/>
    </row>
    <row r="251" ht="15.75" customHeight="1">
      <c r="A251" s="39"/>
      <c r="B251" s="39"/>
      <c r="C251" s="39"/>
      <c r="D251" s="47"/>
      <c r="E251" s="47"/>
      <c r="F251" s="42" t="s">
        <v>17</v>
      </c>
      <c r="G251" s="43"/>
      <c r="H251" s="50">
        <f>VLOOKUP(F251,$A$26:$B$26,2,TRUE)</f>
        <v>300</v>
      </c>
      <c r="I251" s="45">
        <f t="shared" si="1"/>
        <v>0</v>
      </c>
      <c r="J251" s="47"/>
      <c r="K251" s="18"/>
      <c r="L251" s="18"/>
      <c r="M251" s="18"/>
      <c r="N251" s="18"/>
    </row>
    <row r="252" ht="15.75" customHeight="1">
      <c r="A252" s="39"/>
      <c r="B252" s="39"/>
      <c r="C252" s="39"/>
      <c r="D252" s="47"/>
      <c r="E252" s="47"/>
      <c r="F252" s="42" t="s">
        <v>43</v>
      </c>
      <c r="G252" s="43"/>
      <c r="H252" s="50">
        <f>VLOOKUP(F252,$A$27:$B$27,2,TRUE)</f>
        <v>100</v>
      </c>
      <c r="I252" s="45">
        <f t="shared" si="1"/>
        <v>0</v>
      </c>
      <c r="J252" s="47"/>
      <c r="K252" s="18"/>
      <c r="L252" s="18"/>
      <c r="M252" s="18"/>
      <c r="N252" s="18"/>
    </row>
    <row r="253" ht="15.75" customHeight="1">
      <c r="A253" s="39"/>
      <c r="B253" s="39"/>
      <c r="C253" s="39"/>
      <c r="D253" s="47"/>
      <c r="E253" s="47"/>
      <c r="F253" s="42" t="s">
        <v>59</v>
      </c>
      <c r="G253" s="43"/>
      <c r="H253" s="50">
        <f>VLOOKUP(F253,$A$28:$B$28,2,TRUE)</f>
        <v>500</v>
      </c>
      <c r="I253" s="45">
        <f t="shared" si="1"/>
        <v>0</v>
      </c>
      <c r="J253" s="47"/>
      <c r="K253" s="18"/>
      <c r="L253" s="18"/>
      <c r="M253" s="18"/>
      <c r="N253" s="18"/>
    </row>
    <row r="254" ht="15.75" customHeight="1">
      <c r="A254" s="39"/>
      <c r="B254" s="39"/>
      <c r="C254" s="39"/>
      <c r="D254" s="47"/>
      <c r="E254" s="47"/>
      <c r="F254" s="42" t="s">
        <v>13</v>
      </c>
      <c r="G254" s="43"/>
      <c r="H254" s="50">
        <f>VLOOKUP(F254,$A$29:$B$29,2,TRUE)</f>
        <v>1500</v>
      </c>
      <c r="I254" s="45">
        <f t="shared" si="1"/>
        <v>0</v>
      </c>
      <c r="J254" s="47"/>
      <c r="K254" s="18"/>
      <c r="L254" s="18"/>
      <c r="M254" s="18"/>
      <c r="N254" s="18"/>
    </row>
    <row r="255" ht="15.75" customHeight="1">
      <c r="A255" s="39"/>
      <c r="B255" s="39"/>
      <c r="C255" s="39"/>
      <c r="D255" s="47"/>
      <c r="E255" s="47"/>
      <c r="F255" s="42" t="s">
        <v>19</v>
      </c>
      <c r="G255" s="43"/>
      <c r="H255" s="50">
        <f>VLOOKUP(F255,$A$30:$B$30,2,TRUE)</f>
        <v>4000</v>
      </c>
      <c r="I255" s="45">
        <f t="shared" si="1"/>
        <v>0</v>
      </c>
      <c r="J255" s="47"/>
      <c r="K255" s="18"/>
      <c r="L255" s="18"/>
      <c r="M255" s="18"/>
      <c r="N255" s="18"/>
    </row>
    <row r="256" ht="15.75" customHeight="1">
      <c r="A256" s="39"/>
      <c r="B256" s="39"/>
      <c r="C256" s="39"/>
      <c r="D256" s="7"/>
      <c r="E256" s="7"/>
      <c r="F256" s="42" t="s">
        <v>20</v>
      </c>
      <c r="G256" s="43">
        <v>0.5</v>
      </c>
      <c r="H256" s="50">
        <v>0.0</v>
      </c>
      <c r="I256" s="45">
        <f t="shared" si="1"/>
        <v>0</v>
      </c>
      <c r="J256" s="7"/>
      <c r="K256" s="18"/>
      <c r="L256" s="18"/>
      <c r="M256" s="18"/>
      <c r="N256" s="18"/>
    </row>
    <row r="257" ht="15.75" customHeight="1">
      <c r="A257" s="39"/>
      <c r="B257" s="39"/>
      <c r="C257" s="39"/>
      <c r="D257" s="40">
        <v>10.0</v>
      </c>
      <c r="E257" s="41" t="s">
        <v>81</v>
      </c>
      <c r="F257" s="42" t="s">
        <v>21</v>
      </c>
      <c r="G257" s="43"/>
      <c r="H257" s="50">
        <f>VLOOKUP(F257,$A$4:$B$4,2,TRUE)</f>
        <v>5000</v>
      </c>
      <c r="I257" s="45">
        <f t="shared" si="1"/>
        <v>0</v>
      </c>
      <c r="J257" s="46">
        <f>SUM(I257:I284)</f>
        <v>8000</v>
      </c>
      <c r="K257" s="18"/>
      <c r="L257" s="18"/>
      <c r="M257" s="18"/>
      <c r="N257" s="18"/>
    </row>
    <row r="258" ht="15.75" customHeight="1">
      <c r="A258" s="39"/>
      <c r="B258" s="39"/>
      <c r="C258" s="39"/>
      <c r="D258" s="47"/>
      <c r="E258" s="47"/>
      <c r="F258" s="42" t="s">
        <v>56</v>
      </c>
      <c r="G258" s="43">
        <v>2.5</v>
      </c>
      <c r="H258" s="50">
        <f>VLOOKUP(F258,$A$5:$B$5,2,TRUE)</f>
        <v>3000</v>
      </c>
      <c r="I258" s="45">
        <f t="shared" si="1"/>
        <v>7500</v>
      </c>
      <c r="J258" s="47"/>
      <c r="K258" s="18"/>
      <c r="L258" s="18"/>
      <c r="M258" s="18"/>
      <c r="N258" s="18"/>
    </row>
    <row r="259" ht="15.75" customHeight="1">
      <c r="A259" s="39"/>
      <c r="B259" s="39"/>
      <c r="C259" s="39"/>
      <c r="D259" s="47"/>
      <c r="E259" s="47"/>
      <c r="F259" s="42" t="s">
        <v>58</v>
      </c>
      <c r="G259" s="43"/>
      <c r="H259" s="50">
        <f>VLOOKUP(F259,$A$6:$B$6,2,TRUE)</f>
        <v>1000</v>
      </c>
      <c r="I259" s="45">
        <f t="shared" si="1"/>
        <v>0</v>
      </c>
      <c r="J259" s="47"/>
      <c r="K259" s="18"/>
      <c r="L259" s="18"/>
      <c r="M259" s="18"/>
      <c r="N259" s="18"/>
    </row>
    <row r="260" ht="15.75" customHeight="1">
      <c r="A260" s="39"/>
      <c r="B260" s="39"/>
      <c r="C260" s="39"/>
      <c r="D260" s="47"/>
      <c r="E260" s="47"/>
      <c r="F260" s="42" t="s">
        <v>24</v>
      </c>
      <c r="G260" s="43"/>
      <c r="H260" s="50">
        <f>VLOOKUP(F260,$A$7:$B$7,2,TRUE)</f>
        <v>2800</v>
      </c>
      <c r="I260" s="45">
        <f t="shared" si="1"/>
        <v>0</v>
      </c>
      <c r="J260" s="47"/>
      <c r="K260" s="18"/>
      <c r="L260" s="18"/>
      <c r="M260" s="18"/>
      <c r="N260" s="18"/>
    </row>
    <row r="261" ht="15.75" customHeight="1">
      <c r="A261" s="39"/>
      <c r="B261" s="39"/>
      <c r="C261" s="39"/>
      <c r="D261" s="47"/>
      <c r="E261" s="47"/>
      <c r="F261" s="42" t="s">
        <v>25</v>
      </c>
      <c r="G261" s="43"/>
      <c r="H261" s="50">
        <f>VLOOKUP(F261,$A$8:$B$8,2,TRUE)</f>
        <v>3500</v>
      </c>
      <c r="I261" s="45">
        <f t="shared" si="1"/>
        <v>0</v>
      </c>
      <c r="J261" s="47"/>
      <c r="K261" s="18"/>
      <c r="L261" s="18"/>
      <c r="M261" s="18"/>
      <c r="N261" s="18"/>
    </row>
    <row r="262" ht="15.75" customHeight="1">
      <c r="A262" s="39"/>
      <c r="B262" s="39"/>
      <c r="C262" s="39"/>
      <c r="D262" s="47"/>
      <c r="E262" s="47"/>
      <c r="F262" s="42" t="s">
        <v>26</v>
      </c>
      <c r="G262" s="43"/>
      <c r="H262" s="50">
        <f>VLOOKUP(F262,$A$9:$B$9,2,TRUE)</f>
        <v>1000</v>
      </c>
      <c r="I262" s="45">
        <f t="shared" si="1"/>
        <v>0</v>
      </c>
      <c r="J262" s="47"/>
      <c r="K262" s="18"/>
      <c r="L262" s="18"/>
      <c r="M262" s="18"/>
      <c r="N262" s="18"/>
    </row>
    <row r="263" ht="15.75" customHeight="1">
      <c r="A263" s="39"/>
      <c r="B263" s="39"/>
      <c r="C263" s="39"/>
      <c r="D263" s="47"/>
      <c r="E263" s="47"/>
      <c r="F263" s="42" t="s">
        <v>27</v>
      </c>
      <c r="G263" s="43"/>
      <c r="H263" s="50">
        <f>VLOOKUP(F263,$A$10:$B$10,2,TRUE)</f>
        <v>2000</v>
      </c>
      <c r="I263" s="45">
        <f t="shared" si="1"/>
        <v>0</v>
      </c>
      <c r="J263" s="47"/>
      <c r="K263" s="18"/>
      <c r="L263" s="18"/>
      <c r="M263" s="18"/>
      <c r="N263" s="18"/>
    </row>
    <row r="264" ht="15.75" customHeight="1">
      <c r="A264" s="39"/>
      <c r="B264" s="39"/>
      <c r="C264" s="39"/>
      <c r="D264" s="47"/>
      <c r="E264" s="47"/>
      <c r="F264" s="42" t="s">
        <v>28</v>
      </c>
      <c r="G264" s="43"/>
      <c r="H264" s="50">
        <f>VLOOKUP(F264,$A$11:$B$11,2,TRUE)</f>
        <v>2000</v>
      </c>
      <c r="I264" s="45">
        <f t="shared" si="1"/>
        <v>0</v>
      </c>
      <c r="J264" s="47"/>
      <c r="K264" s="18"/>
      <c r="L264" s="18"/>
      <c r="M264" s="18"/>
      <c r="N264" s="18"/>
    </row>
    <row r="265" ht="15.75" customHeight="1">
      <c r="A265" s="39"/>
      <c r="B265" s="39"/>
      <c r="C265" s="39"/>
      <c r="D265" s="47"/>
      <c r="E265" s="47"/>
      <c r="F265" s="42" t="s">
        <v>29</v>
      </c>
      <c r="G265" s="43"/>
      <c r="H265" s="50">
        <f>VLOOKUP(F265,$A$12:$B$12,2,TRUE)</f>
        <v>1300</v>
      </c>
      <c r="I265" s="45">
        <f t="shared" si="1"/>
        <v>0</v>
      </c>
      <c r="J265" s="47"/>
      <c r="K265" s="18"/>
      <c r="L265" s="18"/>
      <c r="M265" s="18"/>
      <c r="N265" s="18"/>
    </row>
    <row r="266" ht="15.75" customHeight="1">
      <c r="A266" s="39"/>
      <c r="B266" s="39"/>
      <c r="C266" s="39"/>
      <c r="D266" s="47"/>
      <c r="E266" s="47"/>
      <c r="F266" s="42" t="s">
        <v>30</v>
      </c>
      <c r="G266" s="43"/>
      <c r="H266" s="50">
        <f>VLOOKUP(F266,$A$13:$B$13,2,TRUE)</f>
        <v>1000</v>
      </c>
      <c r="I266" s="45">
        <f t="shared" si="1"/>
        <v>0</v>
      </c>
      <c r="J266" s="47"/>
      <c r="K266" s="18"/>
      <c r="L266" s="18"/>
      <c r="M266" s="18"/>
      <c r="N266" s="18"/>
    </row>
    <row r="267" ht="15.75" customHeight="1">
      <c r="A267" s="39"/>
      <c r="B267" s="39"/>
      <c r="C267" s="39"/>
      <c r="D267" s="47"/>
      <c r="E267" s="47"/>
      <c r="F267" s="42" t="s">
        <v>31</v>
      </c>
      <c r="G267" s="43"/>
      <c r="H267" s="50">
        <f>VLOOKUP(F267,$A$14:$B$14,2,TRUE)</f>
        <v>400</v>
      </c>
      <c r="I267" s="45">
        <f t="shared" si="1"/>
        <v>0</v>
      </c>
      <c r="J267" s="47"/>
      <c r="K267" s="18"/>
      <c r="L267" s="18"/>
      <c r="M267" s="18"/>
      <c r="N267" s="18"/>
    </row>
    <row r="268" ht="15.75" customHeight="1">
      <c r="A268" s="39"/>
      <c r="B268" s="39"/>
      <c r="C268" s="39"/>
      <c r="D268" s="47"/>
      <c r="E268" s="47"/>
      <c r="F268" s="42" t="s">
        <v>32</v>
      </c>
      <c r="G268" s="43"/>
      <c r="H268" s="50">
        <f>VLOOKUP(F268,$A$15:$B$15,2,TRUE)</f>
        <v>7500</v>
      </c>
      <c r="I268" s="45">
        <f t="shared" si="1"/>
        <v>0</v>
      </c>
      <c r="J268" s="47"/>
      <c r="K268" s="18"/>
      <c r="L268" s="18"/>
      <c r="M268" s="18"/>
      <c r="N268" s="18"/>
    </row>
    <row r="269" ht="15.75" customHeight="1">
      <c r="A269" s="39"/>
      <c r="B269" s="39"/>
      <c r="C269" s="39"/>
      <c r="D269" s="47"/>
      <c r="E269" s="47"/>
      <c r="F269" s="42" t="s">
        <v>33</v>
      </c>
      <c r="G269" s="43"/>
      <c r="H269" s="50">
        <f>VLOOKUP(F269,$A$16:$B$16,2,TRUE)</f>
        <v>2000</v>
      </c>
      <c r="I269" s="45">
        <f t="shared" si="1"/>
        <v>0</v>
      </c>
      <c r="J269" s="47"/>
      <c r="K269" s="18"/>
      <c r="L269" s="18"/>
      <c r="M269" s="18"/>
      <c r="N269" s="18"/>
    </row>
    <row r="270" ht="15.75" customHeight="1">
      <c r="A270" s="39"/>
      <c r="B270" s="39"/>
      <c r="C270" s="39"/>
      <c r="D270" s="47"/>
      <c r="E270" s="47"/>
      <c r="F270" s="42" t="s">
        <v>34</v>
      </c>
      <c r="G270" s="43"/>
      <c r="H270" s="50">
        <f>VLOOKUP(F270,$A$17:$B$17,2,TRUE)</f>
        <v>800</v>
      </c>
      <c r="I270" s="45">
        <f t="shared" si="1"/>
        <v>0</v>
      </c>
      <c r="J270" s="47"/>
      <c r="K270" s="18"/>
      <c r="L270" s="18"/>
      <c r="M270" s="18"/>
      <c r="N270" s="18"/>
    </row>
    <row r="271" ht="15.75" customHeight="1">
      <c r="A271" s="39"/>
      <c r="B271" s="39"/>
      <c r="C271" s="39"/>
      <c r="D271" s="47"/>
      <c r="E271" s="47"/>
      <c r="F271" s="42" t="s">
        <v>35</v>
      </c>
      <c r="G271" s="43"/>
      <c r="H271" s="50">
        <f>VLOOKUP(F271,$A$18:$B$18,2,TRUE)</f>
        <v>5000</v>
      </c>
      <c r="I271" s="45">
        <f t="shared" si="1"/>
        <v>0</v>
      </c>
      <c r="J271" s="47"/>
      <c r="K271" s="18"/>
      <c r="L271" s="18"/>
      <c r="M271" s="18"/>
      <c r="N271" s="18"/>
    </row>
    <row r="272" ht="15.75" customHeight="1">
      <c r="A272" s="39"/>
      <c r="B272" s="39"/>
      <c r="C272" s="39"/>
      <c r="D272" s="47"/>
      <c r="E272" s="47"/>
      <c r="F272" s="42" t="s">
        <v>36</v>
      </c>
      <c r="G272" s="43"/>
      <c r="H272" s="50">
        <f>VLOOKUP(F272,$A$19:$B$19,2,TRUE)</f>
        <v>2700</v>
      </c>
      <c r="I272" s="45">
        <f t="shared" si="1"/>
        <v>0</v>
      </c>
      <c r="J272" s="47"/>
      <c r="K272" s="18"/>
      <c r="L272" s="18"/>
      <c r="M272" s="18"/>
      <c r="N272" s="18"/>
    </row>
    <row r="273" ht="15.75" customHeight="1">
      <c r="A273" s="39"/>
      <c r="B273" s="39"/>
      <c r="C273" s="39"/>
      <c r="D273" s="47"/>
      <c r="E273" s="47"/>
      <c r="F273" s="42" t="s">
        <v>37</v>
      </c>
      <c r="G273" s="43"/>
      <c r="H273" s="50">
        <f>VLOOKUP(F273,$A$20:$B$20,2,TRUE)</f>
        <v>50000</v>
      </c>
      <c r="I273" s="45">
        <f t="shared" si="1"/>
        <v>0</v>
      </c>
      <c r="J273" s="47"/>
      <c r="K273" s="18"/>
      <c r="L273" s="18"/>
      <c r="M273" s="18"/>
      <c r="N273" s="18"/>
    </row>
    <row r="274" ht="15.75" customHeight="1">
      <c r="A274" s="39"/>
      <c r="B274" s="39"/>
      <c r="C274" s="39"/>
      <c r="D274" s="47"/>
      <c r="E274" s="47"/>
      <c r="F274" s="42" t="s">
        <v>38</v>
      </c>
      <c r="G274" s="43"/>
      <c r="H274" s="50">
        <f>VLOOKUP(F274,$A$21:$B$21,2,TRUE)</f>
        <v>10000</v>
      </c>
      <c r="I274" s="45">
        <f t="shared" si="1"/>
        <v>0</v>
      </c>
      <c r="J274" s="47"/>
      <c r="K274" s="18"/>
      <c r="L274" s="18"/>
      <c r="M274" s="18"/>
      <c r="N274" s="18"/>
    </row>
    <row r="275" ht="15.75" customHeight="1">
      <c r="A275" s="39"/>
      <c r="B275" s="39"/>
      <c r="C275" s="39"/>
      <c r="D275" s="47"/>
      <c r="E275" s="47"/>
      <c r="F275" s="42" t="s">
        <v>39</v>
      </c>
      <c r="G275" s="43"/>
      <c r="H275" s="50">
        <f>VLOOKUP(F275,$A$22:$B$22,2,TRUE)</f>
        <v>1000</v>
      </c>
      <c r="I275" s="45">
        <f t="shared" si="1"/>
        <v>0</v>
      </c>
      <c r="J275" s="47"/>
      <c r="K275" s="18"/>
      <c r="L275" s="18"/>
      <c r="M275" s="18"/>
      <c r="N275" s="18"/>
    </row>
    <row r="276" ht="15.75" customHeight="1">
      <c r="A276" s="39"/>
      <c r="B276" s="39"/>
      <c r="C276" s="39"/>
      <c r="D276" s="47"/>
      <c r="E276" s="47"/>
      <c r="F276" s="42" t="s">
        <v>40</v>
      </c>
      <c r="G276" s="43">
        <v>1.0</v>
      </c>
      <c r="H276" s="50">
        <f>VLOOKUP(F276,$A$23:$B$23,2,TRUE)</f>
        <v>500</v>
      </c>
      <c r="I276" s="45">
        <f t="shared" si="1"/>
        <v>500</v>
      </c>
      <c r="J276" s="47"/>
      <c r="K276" s="18"/>
      <c r="L276" s="18"/>
      <c r="M276" s="18"/>
      <c r="N276" s="18"/>
    </row>
    <row r="277" ht="15.75" customHeight="1">
      <c r="A277" s="39"/>
      <c r="B277" s="39"/>
      <c r="C277" s="39"/>
      <c r="D277" s="47"/>
      <c r="E277" s="47"/>
      <c r="F277" s="42" t="s">
        <v>41</v>
      </c>
      <c r="G277" s="43"/>
      <c r="H277" s="50">
        <f>VLOOKUP(F277,$A$24:$B$24,2,TRUE)</f>
        <v>200</v>
      </c>
      <c r="I277" s="45">
        <f t="shared" si="1"/>
        <v>0</v>
      </c>
      <c r="J277" s="47"/>
      <c r="K277" s="18"/>
      <c r="L277" s="18"/>
      <c r="M277" s="18"/>
      <c r="N277" s="18"/>
    </row>
    <row r="278" ht="15.75" customHeight="1">
      <c r="A278" s="39"/>
      <c r="B278" s="39"/>
      <c r="C278" s="39"/>
      <c r="D278" s="47"/>
      <c r="E278" s="47"/>
      <c r="F278" s="42" t="s">
        <v>42</v>
      </c>
      <c r="G278" s="43"/>
      <c r="H278" s="50">
        <f>VLOOKUP(F278,$A$25:$B$25,2,TRUE)</f>
        <v>1000</v>
      </c>
      <c r="I278" s="45">
        <f t="shared" si="1"/>
        <v>0</v>
      </c>
      <c r="J278" s="47"/>
      <c r="K278" s="18"/>
      <c r="L278" s="18"/>
      <c r="M278" s="18"/>
      <c r="N278" s="18"/>
    </row>
    <row r="279" ht="15.75" customHeight="1">
      <c r="A279" s="39"/>
      <c r="B279" s="39"/>
      <c r="C279" s="39"/>
      <c r="D279" s="47"/>
      <c r="E279" s="47"/>
      <c r="F279" s="42" t="s">
        <v>17</v>
      </c>
      <c r="G279" s="43"/>
      <c r="H279" s="50">
        <f>VLOOKUP(F279,$A$26:$B$26,2,TRUE)</f>
        <v>300</v>
      </c>
      <c r="I279" s="45">
        <f t="shared" si="1"/>
        <v>0</v>
      </c>
      <c r="J279" s="47"/>
      <c r="K279" s="18"/>
      <c r="L279" s="18"/>
      <c r="M279" s="18"/>
      <c r="N279" s="18"/>
    </row>
    <row r="280" ht="15.75" customHeight="1">
      <c r="A280" s="39"/>
      <c r="B280" s="39"/>
      <c r="C280" s="39"/>
      <c r="D280" s="47"/>
      <c r="E280" s="47"/>
      <c r="F280" s="42" t="s">
        <v>43</v>
      </c>
      <c r="G280" s="43"/>
      <c r="H280" s="50">
        <f>VLOOKUP(F280,$A$27:$B$27,2,TRUE)</f>
        <v>100</v>
      </c>
      <c r="I280" s="45">
        <f t="shared" si="1"/>
        <v>0</v>
      </c>
      <c r="J280" s="47"/>
      <c r="K280" s="18"/>
      <c r="L280" s="18"/>
      <c r="M280" s="18"/>
      <c r="N280" s="18"/>
    </row>
    <row r="281" ht="15.75" customHeight="1">
      <c r="A281" s="39"/>
      <c r="B281" s="39"/>
      <c r="C281" s="39"/>
      <c r="D281" s="47"/>
      <c r="E281" s="47"/>
      <c r="F281" s="42" t="s">
        <v>59</v>
      </c>
      <c r="G281" s="43"/>
      <c r="H281" s="50">
        <f>VLOOKUP(F281,$A$28:$B$28,2,TRUE)</f>
        <v>500</v>
      </c>
      <c r="I281" s="45">
        <f t="shared" si="1"/>
        <v>0</v>
      </c>
      <c r="J281" s="47"/>
      <c r="K281" s="18"/>
      <c r="L281" s="18"/>
      <c r="M281" s="18"/>
      <c r="N281" s="18"/>
    </row>
    <row r="282" ht="15.75" customHeight="1">
      <c r="A282" s="39"/>
      <c r="B282" s="39"/>
      <c r="C282" s="39"/>
      <c r="D282" s="47"/>
      <c r="E282" s="47"/>
      <c r="F282" s="42" t="s">
        <v>13</v>
      </c>
      <c r="G282" s="43"/>
      <c r="H282" s="50">
        <f>VLOOKUP(F282,$A$29:$B$29,2,TRUE)</f>
        <v>1500</v>
      </c>
      <c r="I282" s="45">
        <f t="shared" si="1"/>
        <v>0</v>
      </c>
      <c r="J282" s="47"/>
      <c r="K282" s="18"/>
      <c r="L282" s="18"/>
      <c r="M282" s="18"/>
      <c r="N282" s="18"/>
    </row>
    <row r="283" ht="15.75" customHeight="1">
      <c r="A283" s="39"/>
      <c r="B283" s="39"/>
      <c r="C283" s="39"/>
      <c r="D283" s="47"/>
      <c r="E283" s="47"/>
      <c r="F283" s="42" t="s">
        <v>19</v>
      </c>
      <c r="G283" s="43"/>
      <c r="H283" s="50">
        <f>VLOOKUP(F283,$A$30:$B$30,2,TRUE)</f>
        <v>4000</v>
      </c>
      <c r="I283" s="45">
        <f t="shared" si="1"/>
        <v>0</v>
      </c>
      <c r="J283" s="47"/>
      <c r="K283" s="18"/>
      <c r="L283" s="18"/>
      <c r="M283" s="18"/>
      <c r="N283" s="18"/>
    </row>
    <row r="284" ht="15.75" customHeight="1">
      <c r="A284" s="39"/>
      <c r="B284" s="39"/>
      <c r="C284" s="39"/>
      <c r="D284" s="7"/>
      <c r="E284" s="7"/>
      <c r="F284" s="42" t="s">
        <v>20</v>
      </c>
      <c r="G284" s="43">
        <v>0.5</v>
      </c>
      <c r="H284" s="50">
        <v>0.0</v>
      </c>
      <c r="I284" s="45">
        <f t="shared" si="1"/>
        <v>0</v>
      </c>
      <c r="J284" s="7"/>
      <c r="K284" s="18"/>
      <c r="L284" s="18"/>
      <c r="M284" s="18"/>
      <c r="N284" s="18"/>
    </row>
    <row r="285" ht="15.75" customHeight="1">
      <c r="A285" s="39"/>
      <c r="B285" s="39"/>
      <c r="C285" s="39"/>
      <c r="D285" s="40">
        <v>11.0</v>
      </c>
      <c r="E285" s="41" t="s">
        <v>82</v>
      </c>
      <c r="F285" s="42" t="s">
        <v>21</v>
      </c>
      <c r="G285" s="43"/>
      <c r="H285" s="50">
        <f>VLOOKUP(F285,$A$4:$B$4,2,TRUE)</f>
        <v>5000</v>
      </c>
      <c r="I285" s="45">
        <f t="shared" si="1"/>
        <v>0</v>
      </c>
      <c r="J285" s="46">
        <f>SUM(I285:I312)</f>
        <v>35000</v>
      </c>
      <c r="K285" s="18"/>
      <c r="L285" s="18"/>
      <c r="M285" s="18"/>
      <c r="N285" s="18"/>
    </row>
    <row r="286" ht="15.75" customHeight="1">
      <c r="A286" s="39"/>
      <c r="B286" s="39"/>
      <c r="C286" s="39"/>
      <c r="D286" s="47"/>
      <c r="E286" s="47"/>
      <c r="F286" s="42" t="s">
        <v>56</v>
      </c>
      <c r="G286" s="43">
        <v>4.0</v>
      </c>
      <c r="H286" s="50">
        <f>VLOOKUP(F286,$A$5:$B$5,2,TRUE)</f>
        <v>3000</v>
      </c>
      <c r="I286" s="45">
        <f t="shared" si="1"/>
        <v>12000</v>
      </c>
      <c r="J286" s="47"/>
      <c r="K286" s="18"/>
      <c r="L286" s="18"/>
      <c r="M286" s="18"/>
      <c r="N286" s="18"/>
    </row>
    <row r="287" ht="15.75" customHeight="1">
      <c r="A287" s="39"/>
      <c r="B287" s="39"/>
      <c r="C287" s="39"/>
      <c r="D287" s="47"/>
      <c r="E287" s="47"/>
      <c r="F287" s="42" t="s">
        <v>58</v>
      </c>
      <c r="G287" s="43"/>
      <c r="H287" s="50">
        <f>VLOOKUP(F287,$A$6:$B$6,2,TRUE)</f>
        <v>1000</v>
      </c>
      <c r="I287" s="45">
        <f t="shared" si="1"/>
        <v>0</v>
      </c>
      <c r="J287" s="47"/>
      <c r="K287" s="18"/>
      <c r="L287" s="18"/>
      <c r="M287" s="18"/>
      <c r="N287" s="18"/>
    </row>
    <row r="288" ht="15.75" customHeight="1">
      <c r="A288" s="39"/>
      <c r="B288" s="39"/>
      <c r="C288" s="39"/>
      <c r="D288" s="47"/>
      <c r="E288" s="47"/>
      <c r="F288" s="42" t="s">
        <v>24</v>
      </c>
      <c r="G288" s="43"/>
      <c r="H288" s="50">
        <f>VLOOKUP(F288,$A$7:$B$7,2,TRUE)</f>
        <v>2800</v>
      </c>
      <c r="I288" s="45">
        <f t="shared" si="1"/>
        <v>0</v>
      </c>
      <c r="J288" s="47"/>
      <c r="K288" s="18"/>
      <c r="L288" s="18"/>
      <c r="M288" s="18"/>
      <c r="N288" s="18"/>
    </row>
    <row r="289" ht="15.75" customHeight="1">
      <c r="A289" s="39"/>
      <c r="B289" s="39"/>
      <c r="C289" s="39"/>
      <c r="D289" s="47"/>
      <c r="E289" s="47"/>
      <c r="F289" s="42" t="s">
        <v>25</v>
      </c>
      <c r="G289" s="43"/>
      <c r="H289" s="50">
        <f>VLOOKUP(F289,$A$8:$B$8,2,TRUE)</f>
        <v>3500</v>
      </c>
      <c r="I289" s="45">
        <f t="shared" si="1"/>
        <v>0</v>
      </c>
      <c r="J289" s="47"/>
      <c r="K289" s="18"/>
      <c r="L289" s="18"/>
      <c r="M289" s="18"/>
      <c r="N289" s="18"/>
    </row>
    <row r="290" ht="15.75" customHeight="1">
      <c r="A290" s="39"/>
      <c r="B290" s="39"/>
      <c r="C290" s="39"/>
      <c r="D290" s="47"/>
      <c r="E290" s="47"/>
      <c r="F290" s="42" t="s">
        <v>26</v>
      </c>
      <c r="G290" s="43"/>
      <c r="H290" s="50">
        <f>VLOOKUP(F290,$A$9:$B$9,2,TRUE)</f>
        <v>1000</v>
      </c>
      <c r="I290" s="45">
        <f t="shared" si="1"/>
        <v>0</v>
      </c>
      <c r="J290" s="47"/>
      <c r="K290" s="18"/>
      <c r="L290" s="18"/>
      <c r="M290" s="18"/>
      <c r="N290" s="18"/>
    </row>
    <row r="291" ht="15.75" customHeight="1">
      <c r="A291" s="39"/>
      <c r="B291" s="39"/>
      <c r="C291" s="39"/>
      <c r="D291" s="47"/>
      <c r="E291" s="47"/>
      <c r="F291" s="42" t="s">
        <v>27</v>
      </c>
      <c r="G291" s="43"/>
      <c r="H291" s="50">
        <f>VLOOKUP(F291,$A$10:$B$10,2,TRUE)</f>
        <v>2000</v>
      </c>
      <c r="I291" s="45">
        <f t="shared" si="1"/>
        <v>0</v>
      </c>
      <c r="J291" s="47"/>
      <c r="K291" s="18"/>
      <c r="L291" s="18"/>
      <c r="M291" s="18"/>
      <c r="N291" s="18"/>
    </row>
    <row r="292" ht="15.75" customHeight="1">
      <c r="A292" s="39"/>
      <c r="B292" s="39"/>
      <c r="C292" s="39"/>
      <c r="D292" s="47"/>
      <c r="E292" s="47"/>
      <c r="F292" s="42" t="s">
        <v>28</v>
      </c>
      <c r="G292" s="43"/>
      <c r="H292" s="50">
        <f>VLOOKUP(F292,$A$11:$B$11,2,TRUE)</f>
        <v>2000</v>
      </c>
      <c r="I292" s="45">
        <f t="shared" si="1"/>
        <v>0</v>
      </c>
      <c r="J292" s="47"/>
      <c r="K292" s="18"/>
      <c r="L292" s="18"/>
      <c r="M292" s="18"/>
      <c r="N292" s="18"/>
    </row>
    <row r="293" ht="15.75" customHeight="1">
      <c r="A293" s="39"/>
      <c r="B293" s="39"/>
      <c r="C293" s="39"/>
      <c r="D293" s="47"/>
      <c r="E293" s="47"/>
      <c r="F293" s="42" t="s">
        <v>29</v>
      </c>
      <c r="G293" s="43"/>
      <c r="H293" s="50">
        <f>VLOOKUP(F293,$A$12:$B$12,2,TRUE)</f>
        <v>1300</v>
      </c>
      <c r="I293" s="45">
        <f t="shared" si="1"/>
        <v>0</v>
      </c>
      <c r="J293" s="47"/>
      <c r="K293" s="18"/>
      <c r="L293" s="18"/>
      <c r="M293" s="18"/>
      <c r="N293" s="18"/>
    </row>
    <row r="294" ht="15.75" customHeight="1">
      <c r="A294" s="39"/>
      <c r="B294" s="39"/>
      <c r="C294" s="39"/>
      <c r="D294" s="47"/>
      <c r="E294" s="47"/>
      <c r="F294" s="42" t="s">
        <v>30</v>
      </c>
      <c r="G294" s="43"/>
      <c r="H294" s="50">
        <f>VLOOKUP(F294,$A$13:$B$13,2,TRUE)</f>
        <v>1000</v>
      </c>
      <c r="I294" s="45">
        <f t="shared" si="1"/>
        <v>0</v>
      </c>
      <c r="J294" s="47"/>
      <c r="K294" s="18"/>
      <c r="L294" s="18"/>
      <c r="M294" s="18"/>
      <c r="N294" s="18"/>
    </row>
    <row r="295" ht="15.75" customHeight="1">
      <c r="A295" s="39"/>
      <c r="B295" s="39"/>
      <c r="C295" s="39"/>
      <c r="D295" s="47"/>
      <c r="E295" s="47"/>
      <c r="F295" s="42" t="s">
        <v>31</v>
      </c>
      <c r="G295" s="43"/>
      <c r="H295" s="50">
        <f>VLOOKUP(F295,$A$14:$B$14,2,TRUE)</f>
        <v>400</v>
      </c>
      <c r="I295" s="45">
        <f t="shared" si="1"/>
        <v>0</v>
      </c>
      <c r="J295" s="47"/>
      <c r="K295" s="18"/>
      <c r="L295" s="18"/>
      <c r="M295" s="18"/>
      <c r="N295" s="18"/>
    </row>
    <row r="296" ht="15.75" customHeight="1">
      <c r="A296" s="39"/>
      <c r="B296" s="39"/>
      <c r="C296" s="39"/>
      <c r="D296" s="47"/>
      <c r="E296" s="47"/>
      <c r="F296" s="42" t="s">
        <v>32</v>
      </c>
      <c r="G296" s="43"/>
      <c r="H296" s="50">
        <f>VLOOKUP(F296,$A$15:$B$15,2,TRUE)</f>
        <v>7500</v>
      </c>
      <c r="I296" s="45">
        <f t="shared" si="1"/>
        <v>0</v>
      </c>
      <c r="J296" s="47"/>
      <c r="K296" s="18"/>
      <c r="L296" s="18"/>
      <c r="M296" s="18"/>
      <c r="N296" s="18"/>
    </row>
    <row r="297" ht="15.75" customHeight="1">
      <c r="A297" s="39"/>
      <c r="B297" s="39"/>
      <c r="C297" s="39"/>
      <c r="D297" s="47"/>
      <c r="E297" s="47"/>
      <c r="F297" s="42" t="s">
        <v>33</v>
      </c>
      <c r="G297" s="43"/>
      <c r="H297" s="50">
        <f>VLOOKUP(F297,$A$16:$B$16,2,TRUE)</f>
        <v>2000</v>
      </c>
      <c r="I297" s="45">
        <f t="shared" si="1"/>
        <v>0</v>
      </c>
      <c r="J297" s="47"/>
      <c r="K297" s="18"/>
      <c r="L297" s="18"/>
      <c r="M297" s="18"/>
      <c r="N297" s="18"/>
    </row>
    <row r="298" ht="15.75" customHeight="1">
      <c r="A298" s="39"/>
      <c r="B298" s="39"/>
      <c r="C298" s="39"/>
      <c r="D298" s="47"/>
      <c r="E298" s="47"/>
      <c r="F298" s="42" t="s">
        <v>34</v>
      </c>
      <c r="G298" s="43"/>
      <c r="H298" s="50">
        <f>VLOOKUP(F298,$A$17:$B$17,2,TRUE)</f>
        <v>800</v>
      </c>
      <c r="I298" s="45">
        <f t="shared" si="1"/>
        <v>0</v>
      </c>
      <c r="J298" s="47"/>
      <c r="K298" s="18"/>
      <c r="L298" s="18"/>
      <c r="M298" s="18"/>
      <c r="N298" s="18"/>
    </row>
    <row r="299" ht="15.75" customHeight="1">
      <c r="A299" s="39"/>
      <c r="B299" s="39"/>
      <c r="C299" s="39"/>
      <c r="D299" s="47"/>
      <c r="E299" s="47"/>
      <c r="F299" s="42" t="s">
        <v>35</v>
      </c>
      <c r="G299" s="43">
        <v>1.0</v>
      </c>
      <c r="H299" s="50">
        <f>VLOOKUP(F299,$A$18:$B$18,2,TRUE)</f>
        <v>5000</v>
      </c>
      <c r="I299" s="45">
        <f t="shared" si="1"/>
        <v>5000</v>
      </c>
      <c r="J299" s="47"/>
      <c r="K299" s="18"/>
      <c r="L299" s="18"/>
      <c r="M299" s="18"/>
      <c r="N299" s="18"/>
    </row>
    <row r="300" ht="15.75" customHeight="1">
      <c r="A300" s="39"/>
      <c r="B300" s="39"/>
      <c r="C300" s="39"/>
      <c r="D300" s="47"/>
      <c r="E300" s="47"/>
      <c r="F300" s="42" t="s">
        <v>36</v>
      </c>
      <c r="G300" s="43"/>
      <c r="H300" s="50">
        <f>VLOOKUP(F300,$A$19:$B$19,2,TRUE)</f>
        <v>2700</v>
      </c>
      <c r="I300" s="45">
        <f t="shared" si="1"/>
        <v>0</v>
      </c>
      <c r="J300" s="47"/>
      <c r="K300" s="18"/>
      <c r="L300" s="18"/>
      <c r="M300" s="18"/>
      <c r="N300" s="18"/>
    </row>
    <row r="301" ht="15.75" customHeight="1">
      <c r="A301" s="39"/>
      <c r="B301" s="39"/>
      <c r="C301" s="39"/>
      <c r="D301" s="47"/>
      <c r="E301" s="47"/>
      <c r="F301" s="42" t="s">
        <v>37</v>
      </c>
      <c r="G301" s="43"/>
      <c r="H301" s="50">
        <f>VLOOKUP(F301,$A$20:$B$20,2,TRUE)</f>
        <v>50000</v>
      </c>
      <c r="I301" s="45">
        <f t="shared" si="1"/>
        <v>0</v>
      </c>
      <c r="J301" s="47"/>
      <c r="K301" s="18"/>
      <c r="L301" s="18"/>
      <c r="M301" s="18"/>
      <c r="N301" s="18"/>
    </row>
    <row r="302" ht="15.75" customHeight="1">
      <c r="A302" s="39"/>
      <c r="B302" s="39"/>
      <c r="C302" s="39"/>
      <c r="D302" s="47"/>
      <c r="E302" s="47"/>
      <c r="F302" s="42" t="s">
        <v>38</v>
      </c>
      <c r="G302" s="43"/>
      <c r="H302" s="50">
        <f>VLOOKUP(F302,$A$21:$B$21,2,TRUE)</f>
        <v>10000</v>
      </c>
      <c r="I302" s="45">
        <f t="shared" si="1"/>
        <v>0</v>
      </c>
      <c r="J302" s="47"/>
      <c r="K302" s="18"/>
      <c r="L302" s="18"/>
      <c r="M302" s="18"/>
      <c r="N302" s="18"/>
    </row>
    <row r="303" ht="15.75" customHeight="1">
      <c r="A303" s="39"/>
      <c r="B303" s="39"/>
      <c r="C303" s="39"/>
      <c r="D303" s="47"/>
      <c r="E303" s="47"/>
      <c r="F303" s="42" t="s">
        <v>39</v>
      </c>
      <c r="G303" s="43"/>
      <c r="H303" s="50">
        <f>VLOOKUP(F303,$A$22:$B$22,2,TRUE)</f>
        <v>1000</v>
      </c>
      <c r="I303" s="45">
        <f t="shared" si="1"/>
        <v>0</v>
      </c>
      <c r="J303" s="47"/>
      <c r="K303" s="18"/>
      <c r="L303" s="18"/>
      <c r="M303" s="18"/>
      <c r="N303" s="18"/>
    </row>
    <row r="304" ht="15.75" customHeight="1">
      <c r="A304" s="39"/>
      <c r="B304" s="39"/>
      <c r="C304" s="39"/>
      <c r="D304" s="47"/>
      <c r="E304" s="47"/>
      <c r="F304" s="42" t="s">
        <v>40</v>
      </c>
      <c r="G304" s="43"/>
      <c r="H304" s="50">
        <f>VLOOKUP(F304,$A$23:$B$23,2,TRUE)</f>
        <v>500</v>
      </c>
      <c r="I304" s="45">
        <f t="shared" si="1"/>
        <v>0</v>
      </c>
      <c r="J304" s="47"/>
      <c r="K304" s="18"/>
      <c r="L304" s="18"/>
      <c r="M304" s="18"/>
      <c r="N304" s="18"/>
    </row>
    <row r="305" ht="15.75" customHeight="1">
      <c r="A305" s="39"/>
      <c r="B305" s="39"/>
      <c r="C305" s="39"/>
      <c r="D305" s="47"/>
      <c r="E305" s="47"/>
      <c r="F305" s="42" t="s">
        <v>41</v>
      </c>
      <c r="G305" s="43"/>
      <c r="H305" s="50">
        <f>VLOOKUP(F305,$A$24:$B$24,2,TRUE)</f>
        <v>200</v>
      </c>
      <c r="I305" s="45">
        <f t="shared" si="1"/>
        <v>0</v>
      </c>
      <c r="J305" s="47"/>
      <c r="K305" s="18"/>
      <c r="L305" s="18"/>
      <c r="M305" s="18"/>
      <c r="N305" s="18"/>
    </row>
    <row r="306" ht="15.75" customHeight="1">
      <c r="A306" s="39"/>
      <c r="B306" s="39"/>
      <c r="C306" s="39"/>
      <c r="D306" s="47"/>
      <c r="E306" s="47"/>
      <c r="F306" s="42" t="s">
        <v>42</v>
      </c>
      <c r="G306" s="43"/>
      <c r="H306" s="50">
        <f>VLOOKUP(F306,$A$25:$B$25,2,TRUE)</f>
        <v>1000</v>
      </c>
      <c r="I306" s="45">
        <f t="shared" si="1"/>
        <v>0</v>
      </c>
      <c r="J306" s="47"/>
      <c r="K306" s="18"/>
      <c r="L306" s="18"/>
      <c r="M306" s="18"/>
      <c r="N306" s="18"/>
    </row>
    <row r="307" ht="15.75" customHeight="1">
      <c r="A307" s="39"/>
      <c r="B307" s="39"/>
      <c r="C307" s="39"/>
      <c r="D307" s="47"/>
      <c r="E307" s="47"/>
      <c r="F307" s="42" t="s">
        <v>17</v>
      </c>
      <c r="G307" s="43"/>
      <c r="H307" s="50">
        <f>VLOOKUP(F307,$A$26:$B$26,2,TRUE)</f>
        <v>300</v>
      </c>
      <c r="I307" s="45">
        <f t="shared" si="1"/>
        <v>0</v>
      </c>
      <c r="J307" s="47"/>
      <c r="K307" s="18"/>
      <c r="L307" s="18"/>
      <c r="M307" s="18"/>
      <c r="N307" s="18"/>
    </row>
    <row r="308" ht="15.75" customHeight="1">
      <c r="A308" s="39"/>
      <c r="B308" s="39"/>
      <c r="C308" s="39"/>
      <c r="D308" s="47"/>
      <c r="E308" s="47"/>
      <c r="F308" s="42" t="s">
        <v>43</v>
      </c>
      <c r="G308" s="43"/>
      <c r="H308" s="50">
        <f>VLOOKUP(F308,$A$27:$B$27,2,TRUE)</f>
        <v>100</v>
      </c>
      <c r="I308" s="45">
        <f t="shared" si="1"/>
        <v>0</v>
      </c>
      <c r="J308" s="47"/>
      <c r="K308" s="18"/>
      <c r="L308" s="18"/>
      <c r="M308" s="18"/>
      <c r="N308" s="18"/>
    </row>
    <row r="309" ht="15.75" customHeight="1">
      <c r="A309" s="39"/>
      <c r="B309" s="39"/>
      <c r="C309" s="39"/>
      <c r="D309" s="47"/>
      <c r="E309" s="47"/>
      <c r="F309" s="42" t="s">
        <v>59</v>
      </c>
      <c r="G309" s="43"/>
      <c r="H309" s="50">
        <f>VLOOKUP(F309,$A$28:$B$28,2,TRUE)</f>
        <v>500</v>
      </c>
      <c r="I309" s="45">
        <f t="shared" si="1"/>
        <v>0</v>
      </c>
      <c r="J309" s="47"/>
      <c r="K309" s="18"/>
      <c r="L309" s="18"/>
      <c r="M309" s="18"/>
      <c r="N309" s="18"/>
    </row>
    <row r="310" ht="15.75" customHeight="1">
      <c r="A310" s="39"/>
      <c r="B310" s="39"/>
      <c r="C310" s="39"/>
      <c r="D310" s="47"/>
      <c r="E310" s="47"/>
      <c r="F310" s="42" t="s">
        <v>13</v>
      </c>
      <c r="G310" s="43"/>
      <c r="H310" s="50">
        <f>VLOOKUP(F310,$A$29:$B$29,2,TRUE)</f>
        <v>1500</v>
      </c>
      <c r="I310" s="45">
        <f t="shared" si="1"/>
        <v>0</v>
      </c>
      <c r="J310" s="47"/>
      <c r="K310" s="18"/>
      <c r="L310" s="18"/>
      <c r="M310" s="18"/>
      <c r="N310" s="18"/>
    </row>
    <row r="311" ht="15.75" customHeight="1">
      <c r="A311" s="39"/>
      <c r="B311" s="39"/>
      <c r="C311" s="39"/>
      <c r="D311" s="47"/>
      <c r="E311" s="47"/>
      <c r="F311" s="42" t="s">
        <v>19</v>
      </c>
      <c r="G311" s="43">
        <v>4.5</v>
      </c>
      <c r="H311" s="50">
        <f>VLOOKUP(F311,$A$30:$B$30,2,TRUE)</f>
        <v>4000</v>
      </c>
      <c r="I311" s="45">
        <f t="shared" si="1"/>
        <v>18000</v>
      </c>
      <c r="J311" s="47"/>
      <c r="K311" s="18"/>
      <c r="L311" s="18"/>
      <c r="M311" s="18"/>
      <c r="N311" s="18"/>
    </row>
    <row r="312" ht="15.75" customHeight="1">
      <c r="A312" s="39"/>
      <c r="B312" s="39"/>
      <c r="C312" s="39"/>
      <c r="D312" s="7"/>
      <c r="E312" s="7"/>
      <c r="F312" s="42" t="s">
        <v>20</v>
      </c>
      <c r="G312" s="43">
        <v>6.5</v>
      </c>
      <c r="H312" s="50">
        <v>0.0</v>
      </c>
      <c r="I312" s="45">
        <f t="shared" si="1"/>
        <v>0</v>
      </c>
      <c r="J312" s="7"/>
      <c r="K312" s="18"/>
      <c r="L312" s="18"/>
      <c r="M312" s="18"/>
      <c r="N312" s="18"/>
    </row>
    <row r="313" ht="15.75" customHeight="1">
      <c r="A313" s="39"/>
      <c r="B313" s="39"/>
      <c r="C313" s="39"/>
      <c r="D313" s="40">
        <v>12.0</v>
      </c>
      <c r="E313" s="41" t="s">
        <v>83</v>
      </c>
      <c r="F313" s="42" t="s">
        <v>21</v>
      </c>
      <c r="G313" s="43"/>
      <c r="H313" s="50">
        <f>VLOOKUP(F313,$A$4:$B$4,2,TRUE)</f>
        <v>5000</v>
      </c>
      <c r="I313" s="45">
        <f t="shared" si="1"/>
        <v>0</v>
      </c>
      <c r="J313" s="46">
        <f>SUM(I313:I340)</f>
        <v>8650</v>
      </c>
      <c r="K313" s="18"/>
      <c r="L313" s="18"/>
      <c r="M313" s="18"/>
      <c r="N313" s="18"/>
    </row>
    <row r="314" ht="15.75" customHeight="1">
      <c r="A314" s="39"/>
      <c r="B314" s="39"/>
      <c r="C314" s="39"/>
      <c r="D314" s="47"/>
      <c r="E314" s="47"/>
      <c r="F314" s="42" t="s">
        <v>56</v>
      </c>
      <c r="G314" s="43"/>
      <c r="H314" s="50">
        <f>VLOOKUP(F314,$A$5:$B$5,2,TRUE)</f>
        <v>3000</v>
      </c>
      <c r="I314" s="45">
        <f t="shared" si="1"/>
        <v>0</v>
      </c>
      <c r="J314" s="47"/>
      <c r="K314" s="18"/>
      <c r="L314" s="18"/>
      <c r="M314" s="18"/>
      <c r="N314" s="18"/>
    </row>
    <row r="315" ht="15.75" customHeight="1">
      <c r="A315" s="39"/>
      <c r="B315" s="39"/>
      <c r="C315" s="39"/>
      <c r="D315" s="47"/>
      <c r="E315" s="47"/>
      <c r="F315" s="42" t="s">
        <v>58</v>
      </c>
      <c r="G315" s="43"/>
      <c r="H315" s="50">
        <f>VLOOKUP(F315,$A$6:$B$6,2,TRUE)</f>
        <v>1000</v>
      </c>
      <c r="I315" s="45">
        <f t="shared" si="1"/>
        <v>0</v>
      </c>
      <c r="J315" s="47"/>
      <c r="K315" s="18"/>
      <c r="L315" s="18"/>
      <c r="M315" s="18"/>
      <c r="N315" s="18"/>
    </row>
    <row r="316" ht="15.75" customHeight="1">
      <c r="A316" s="39"/>
      <c r="B316" s="39"/>
      <c r="C316" s="39"/>
      <c r="D316" s="47"/>
      <c r="E316" s="47"/>
      <c r="F316" s="42" t="s">
        <v>24</v>
      </c>
      <c r="G316" s="43"/>
      <c r="H316" s="50">
        <f>VLOOKUP(F316,$A$7:$B$7,2,TRUE)</f>
        <v>2800</v>
      </c>
      <c r="I316" s="45">
        <f t="shared" si="1"/>
        <v>0</v>
      </c>
      <c r="J316" s="47"/>
      <c r="K316" s="18"/>
      <c r="L316" s="18"/>
      <c r="M316" s="18"/>
      <c r="N316" s="18"/>
    </row>
    <row r="317" ht="15.75" customHeight="1">
      <c r="A317" s="39"/>
      <c r="B317" s="39"/>
      <c r="C317" s="39"/>
      <c r="D317" s="47"/>
      <c r="E317" s="47"/>
      <c r="F317" s="42" t="s">
        <v>25</v>
      </c>
      <c r="G317" s="43"/>
      <c r="H317" s="50">
        <f>VLOOKUP(F317,$A$8:$B$8,2,TRUE)</f>
        <v>3500</v>
      </c>
      <c r="I317" s="45">
        <f t="shared" si="1"/>
        <v>0</v>
      </c>
      <c r="J317" s="47"/>
      <c r="K317" s="18"/>
      <c r="L317" s="18"/>
      <c r="M317" s="18"/>
      <c r="N317" s="18"/>
    </row>
    <row r="318" ht="15.75" customHeight="1">
      <c r="A318" s="39"/>
      <c r="B318" s="39"/>
      <c r="C318" s="39"/>
      <c r="D318" s="47"/>
      <c r="E318" s="47"/>
      <c r="F318" s="42" t="s">
        <v>26</v>
      </c>
      <c r="G318" s="43"/>
      <c r="H318" s="50">
        <f>VLOOKUP(F318,$A$9:$B$9,2,TRUE)</f>
        <v>1000</v>
      </c>
      <c r="I318" s="45">
        <f t="shared" si="1"/>
        <v>0</v>
      </c>
      <c r="J318" s="47"/>
      <c r="K318" s="18"/>
      <c r="L318" s="18"/>
      <c r="M318" s="18"/>
      <c r="N318" s="18"/>
    </row>
    <row r="319" ht="15.75" customHeight="1">
      <c r="A319" s="39"/>
      <c r="B319" s="39"/>
      <c r="C319" s="39"/>
      <c r="D319" s="47"/>
      <c r="E319" s="47"/>
      <c r="F319" s="42" t="s">
        <v>27</v>
      </c>
      <c r="G319" s="43">
        <v>4.0</v>
      </c>
      <c r="H319" s="50">
        <f>VLOOKUP(F319,$A$10:$B$10,2,TRUE)</f>
        <v>2000</v>
      </c>
      <c r="I319" s="45">
        <f t="shared" si="1"/>
        <v>8000</v>
      </c>
      <c r="J319" s="47"/>
      <c r="K319" s="18"/>
      <c r="L319" s="18"/>
      <c r="M319" s="18"/>
      <c r="N319" s="18"/>
    </row>
    <row r="320" ht="15.75" customHeight="1">
      <c r="A320" s="39"/>
      <c r="B320" s="39"/>
      <c r="C320" s="39"/>
      <c r="D320" s="47"/>
      <c r="E320" s="47"/>
      <c r="F320" s="42" t="s">
        <v>28</v>
      </c>
      <c r="G320" s="43"/>
      <c r="H320" s="50">
        <f>VLOOKUP(F320,$A$11:$B$11,2,TRUE)</f>
        <v>2000</v>
      </c>
      <c r="I320" s="45">
        <f t="shared" si="1"/>
        <v>0</v>
      </c>
      <c r="J320" s="47"/>
      <c r="K320" s="18"/>
      <c r="L320" s="18"/>
      <c r="M320" s="18"/>
      <c r="N320" s="18"/>
    </row>
    <row r="321" ht="15.75" customHeight="1">
      <c r="A321" s="39"/>
      <c r="B321" s="39"/>
      <c r="C321" s="39"/>
      <c r="D321" s="47"/>
      <c r="E321" s="47"/>
      <c r="F321" s="42" t="s">
        <v>29</v>
      </c>
      <c r="G321" s="43"/>
      <c r="H321" s="50">
        <f>VLOOKUP(F321,$A$12:$B$12,2,TRUE)</f>
        <v>1300</v>
      </c>
      <c r="I321" s="45">
        <f t="shared" si="1"/>
        <v>0</v>
      </c>
      <c r="J321" s="47"/>
      <c r="K321" s="18"/>
      <c r="L321" s="18"/>
      <c r="M321" s="18"/>
      <c r="N321" s="18"/>
    </row>
    <row r="322" ht="15.75" customHeight="1">
      <c r="A322" s="39"/>
      <c r="B322" s="39"/>
      <c r="C322" s="39"/>
      <c r="D322" s="47"/>
      <c r="E322" s="47"/>
      <c r="F322" s="42" t="s">
        <v>30</v>
      </c>
      <c r="G322" s="43"/>
      <c r="H322" s="50">
        <f>VLOOKUP(F322,$A$13:$B$13,2,TRUE)</f>
        <v>1000</v>
      </c>
      <c r="I322" s="45">
        <f t="shared" si="1"/>
        <v>0</v>
      </c>
      <c r="J322" s="47"/>
      <c r="K322" s="18"/>
      <c r="L322" s="18"/>
      <c r="M322" s="18"/>
      <c r="N322" s="18"/>
    </row>
    <row r="323" ht="15.75" customHeight="1">
      <c r="A323" s="39"/>
      <c r="B323" s="39"/>
      <c r="C323" s="39"/>
      <c r="D323" s="47"/>
      <c r="E323" s="47"/>
      <c r="F323" s="42" t="s">
        <v>31</v>
      </c>
      <c r="G323" s="43">
        <v>1.0</v>
      </c>
      <c r="H323" s="50">
        <f>VLOOKUP(F323,$A$14:$B$14,2,TRUE)</f>
        <v>400</v>
      </c>
      <c r="I323" s="45">
        <f t="shared" si="1"/>
        <v>400</v>
      </c>
      <c r="J323" s="47"/>
      <c r="K323" s="18"/>
      <c r="L323" s="18"/>
      <c r="M323" s="18"/>
      <c r="N323" s="18"/>
    </row>
    <row r="324" ht="15.75" customHeight="1">
      <c r="A324" s="39"/>
      <c r="B324" s="39"/>
      <c r="C324" s="39"/>
      <c r="D324" s="47"/>
      <c r="E324" s="47"/>
      <c r="F324" s="42" t="s">
        <v>32</v>
      </c>
      <c r="G324" s="43"/>
      <c r="H324" s="50">
        <f>VLOOKUP(F324,$A$15:$B$15,2,TRUE)</f>
        <v>7500</v>
      </c>
      <c r="I324" s="45">
        <f t="shared" si="1"/>
        <v>0</v>
      </c>
      <c r="J324" s="47"/>
      <c r="K324" s="18"/>
      <c r="L324" s="18"/>
      <c r="M324" s="18"/>
      <c r="N324" s="18"/>
    </row>
    <row r="325" ht="15.75" customHeight="1">
      <c r="A325" s="39"/>
      <c r="B325" s="39"/>
      <c r="C325" s="39"/>
      <c r="D325" s="47"/>
      <c r="E325" s="47"/>
      <c r="F325" s="42" t="s">
        <v>33</v>
      </c>
      <c r="G325" s="43"/>
      <c r="H325" s="50">
        <f>VLOOKUP(F325,$A$16:$B$16,2,TRUE)</f>
        <v>2000</v>
      </c>
      <c r="I325" s="45">
        <f t="shared" si="1"/>
        <v>0</v>
      </c>
      <c r="J325" s="47"/>
      <c r="K325" s="18"/>
      <c r="L325" s="18"/>
      <c r="M325" s="18"/>
      <c r="N325" s="18"/>
    </row>
    <row r="326" ht="15.75" customHeight="1">
      <c r="A326" s="39"/>
      <c r="B326" s="39"/>
      <c r="C326" s="39"/>
      <c r="D326" s="47"/>
      <c r="E326" s="47"/>
      <c r="F326" s="42" t="s">
        <v>34</v>
      </c>
      <c r="G326" s="43"/>
      <c r="H326" s="50">
        <f>VLOOKUP(F326,$A$17:$B$17,2,TRUE)</f>
        <v>800</v>
      </c>
      <c r="I326" s="45">
        <f t="shared" si="1"/>
        <v>0</v>
      </c>
      <c r="J326" s="47"/>
      <c r="K326" s="18"/>
      <c r="L326" s="18"/>
      <c r="M326" s="18"/>
      <c r="N326" s="18"/>
    </row>
    <row r="327" ht="15.75" customHeight="1">
      <c r="A327" s="39"/>
      <c r="B327" s="39"/>
      <c r="C327" s="39"/>
      <c r="D327" s="47"/>
      <c r="E327" s="47"/>
      <c r="F327" s="42" t="s">
        <v>35</v>
      </c>
      <c r="G327" s="43"/>
      <c r="H327" s="50">
        <f>VLOOKUP(F327,$A$18:$B$18,2,TRUE)</f>
        <v>5000</v>
      </c>
      <c r="I327" s="45">
        <f t="shared" si="1"/>
        <v>0</v>
      </c>
      <c r="J327" s="47"/>
      <c r="K327" s="18"/>
      <c r="L327" s="18"/>
      <c r="M327" s="18"/>
      <c r="N327" s="18"/>
    </row>
    <row r="328" ht="15.75" customHeight="1">
      <c r="A328" s="39"/>
      <c r="B328" s="39"/>
      <c r="C328" s="39"/>
      <c r="D328" s="47"/>
      <c r="E328" s="47"/>
      <c r="F328" s="42" t="s">
        <v>36</v>
      </c>
      <c r="G328" s="43"/>
      <c r="H328" s="50">
        <f>VLOOKUP(F328,$A$19:$B$19,2,TRUE)</f>
        <v>2700</v>
      </c>
      <c r="I328" s="45">
        <f t="shared" si="1"/>
        <v>0</v>
      </c>
      <c r="J328" s="47"/>
      <c r="K328" s="18"/>
      <c r="L328" s="18"/>
      <c r="M328" s="18"/>
      <c r="N328" s="18"/>
    </row>
    <row r="329" ht="15.75" customHeight="1">
      <c r="A329" s="39"/>
      <c r="B329" s="39"/>
      <c r="C329" s="39"/>
      <c r="D329" s="47"/>
      <c r="E329" s="47"/>
      <c r="F329" s="42" t="s">
        <v>37</v>
      </c>
      <c r="G329" s="43"/>
      <c r="H329" s="50">
        <f>VLOOKUP(F329,$A$20:$B$20,2,TRUE)</f>
        <v>50000</v>
      </c>
      <c r="I329" s="45">
        <f t="shared" si="1"/>
        <v>0</v>
      </c>
      <c r="J329" s="47"/>
      <c r="K329" s="18"/>
      <c r="L329" s="18"/>
      <c r="M329" s="18"/>
      <c r="N329" s="18"/>
    </row>
    <row r="330" ht="15.75" customHeight="1">
      <c r="A330" s="39"/>
      <c r="B330" s="39"/>
      <c r="C330" s="39"/>
      <c r="D330" s="47"/>
      <c r="E330" s="47"/>
      <c r="F330" s="42" t="s">
        <v>38</v>
      </c>
      <c r="G330" s="43"/>
      <c r="H330" s="50">
        <f>VLOOKUP(F330,$A$21:$B$21,2,TRUE)</f>
        <v>10000</v>
      </c>
      <c r="I330" s="45">
        <f t="shared" si="1"/>
        <v>0</v>
      </c>
      <c r="J330" s="47"/>
      <c r="K330" s="18"/>
      <c r="L330" s="18"/>
      <c r="M330" s="18"/>
      <c r="N330" s="18"/>
    </row>
    <row r="331" ht="15.75" customHeight="1">
      <c r="A331" s="39"/>
      <c r="B331" s="39"/>
      <c r="C331" s="39"/>
      <c r="D331" s="47"/>
      <c r="E331" s="47"/>
      <c r="F331" s="42" t="s">
        <v>39</v>
      </c>
      <c r="G331" s="43"/>
      <c r="H331" s="50">
        <f>VLOOKUP(F331,$A$22:$B$22,2,TRUE)</f>
        <v>1000</v>
      </c>
      <c r="I331" s="45">
        <f t="shared" si="1"/>
        <v>0</v>
      </c>
      <c r="J331" s="47"/>
      <c r="K331" s="18"/>
      <c r="L331" s="18"/>
      <c r="M331" s="18"/>
      <c r="N331" s="18"/>
    </row>
    <row r="332" ht="15.75" customHeight="1">
      <c r="A332" s="39"/>
      <c r="B332" s="39"/>
      <c r="C332" s="39"/>
      <c r="D332" s="47"/>
      <c r="E332" s="47"/>
      <c r="F332" s="42" t="s">
        <v>40</v>
      </c>
      <c r="G332" s="43"/>
      <c r="H332" s="50">
        <f>VLOOKUP(F332,$A$23:$B$23,2,TRUE)</f>
        <v>500</v>
      </c>
      <c r="I332" s="45">
        <f t="shared" si="1"/>
        <v>0</v>
      </c>
      <c r="J332" s="47"/>
      <c r="K332" s="18"/>
      <c r="L332" s="18"/>
      <c r="M332" s="18"/>
      <c r="N332" s="18"/>
    </row>
    <row r="333" ht="15.75" customHeight="1">
      <c r="A333" s="39"/>
      <c r="B333" s="39"/>
      <c r="C333" s="39"/>
      <c r="D333" s="47"/>
      <c r="E333" s="47"/>
      <c r="F333" s="42" t="s">
        <v>41</v>
      </c>
      <c r="G333" s="43"/>
      <c r="H333" s="50">
        <f>VLOOKUP(F333,$A$24:$B$24,2,TRUE)</f>
        <v>200</v>
      </c>
      <c r="I333" s="45">
        <f t="shared" si="1"/>
        <v>0</v>
      </c>
      <c r="J333" s="47"/>
      <c r="K333" s="18"/>
      <c r="L333" s="18"/>
      <c r="M333" s="18"/>
      <c r="N333" s="18"/>
    </row>
    <row r="334" ht="15.75" customHeight="1">
      <c r="A334" s="39"/>
      <c r="B334" s="39"/>
      <c r="C334" s="39"/>
      <c r="D334" s="47"/>
      <c r="E334" s="47"/>
      <c r="F334" s="42" t="s">
        <v>42</v>
      </c>
      <c r="G334" s="43"/>
      <c r="H334" s="50">
        <f>VLOOKUP(F334,$A$25:$B$25,2,TRUE)</f>
        <v>1000</v>
      </c>
      <c r="I334" s="45">
        <f t="shared" si="1"/>
        <v>0</v>
      </c>
      <c r="J334" s="47"/>
      <c r="K334" s="18"/>
      <c r="L334" s="18"/>
      <c r="M334" s="18"/>
      <c r="N334" s="18"/>
    </row>
    <row r="335" ht="15.75" customHeight="1">
      <c r="A335" s="39"/>
      <c r="B335" s="39"/>
      <c r="C335" s="39"/>
      <c r="D335" s="47"/>
      <c r="E335" s="47"/>
      <c r="F335" s="42" t="s">
        <v>17</v>
      </c>
      <c r="G335" s="43"/>
      <c r="H335" s="50">
        <f>VLOOKUP(F335,$A$26:$B$26,2,TRUE)</f>
        <v>300</v>
      </c>
      <c r="I335" s="45">
        <f t="shared" si="1"/>
        <v>0</v>
      </c>
      <c r="J335" s="47"/>
      <c r="K335" s="18"/>
      <c r="L335" s="18"/>
      <c r="M335" s="18"/>
      <c r="N335" s="18"/>
    </row>
    <row r="336" ht="15.75" customHeight="1">
      <c r="A336" s="39"/>
      <c r="B336" s="39"/>
      <c r="C336" s="39"/>
      <c r="D336" s="47"/>
      <c r="E336" s="47"/>
      <c r="F336" s="42" t="s">
        <v>43</v>
      </c>
      <c r="G336" s="43">
        <v>2.5</v>
      </c>
      <c r="H336" s="50">
        <f>VLOOKUP(F336,$A$27:$B$27,2,TRUE)</f>
        <v>100</v>
      </c>
      <c r="I336" s="45">
        <f t="shared" si="1"/>
        <v>250</v>
      </c>
      <c r="J336" s="47"/>
      <c r="K336" s="18"/>
      <c r="L336" s="18"/>
      <c r="M336" s="18"/>
      <c r="N336" s="18"/>
    </row>
    <row r="337" ht="15.75" customHeight="1">
      <c r="A337" s="39"/>
      <c r="B337" s="39"/>
      <c r="C337" s="39"/>
      <c r="D337" s="47"/>
      <c r="E337" s="47"/>
      <c r="F337" s="42" t="s">
        <v>59</v>
      </c>
      <c r="G337" s="43"/>
      <c r="H337" s="50">
        <f>VLOOKUP(F337,$A$28:$B$28,2,TRUE)</f>
        <v>500</v>
      </c>
      <c r="I337" s="45">
        <f t="shared" si="1"/>
        <v>0</v>
      </c>
      <c r="J337" s="47"/>
      <c r="K337" s="18"/>
      <c r="L337" s="18"/>
      <c r="M337" s="18"/>
      <c r="N337" s="18"/>
    </row>
    <row r="338" ht="15.75" customHeight="1">
      <c r="A338" s="39"/>
      <c r="B338" s="39"/>
      <c r="C338" s="39"/>
      <c r="D338" s="47"/>
      <c r="E338" s="47"/>
      <c r="F338" s="42" t="s">
        <v>13</v>
      </c>
      <c r="G338" s="43"/>
      <c r="H338" s="50">
        <f>VLOOKUP(F338,$A$29:$B$29,2,TRUE)</f>
        <v>1500</v>
      </c>
      <c r="I338" s="45">
        <f t="shared" si="1"/>
        <v>0</v>
      </c>
      <c r="J338" s="47"/>
      <c r="K338" s="18"/>
      <c r="L338" s="18"/>
      <c r="M338" s="18"/>
      <c r="N338" s="18"/>
    </row>
    <row r="339" ht="15.75" customHeight="1">
      <c r="A339" s="39"/>
      <c r="B339" s="39"/>
      <c r="C339" s="39"/>
      <c r="D339" s="47"/>
      <c r="E339" s="47"/>
      <c r="F339" s="42" t="s">
        <v>19</v>
      </c>
      <c r="G339" s="43"/>
      <c r="H339" s="50">
        <f>VLOOKUP(F339,$A$30:$B$30,2,TRUE)</f>
        <v>4000</v>
      </c>
      <c r="I339" s="45">
        <f t="shared" si="1"/>
        <v>0</v>
      </c>
      <c r="J339" s="47"/>
      <c r="K339" s="18"/>
      <c r="L339" s="18"/>
      <c r="M339" s="18"/>
      <c r="N339" s="18"/>
    </row>
    <row r="340" ht="15.75" customHeight="1">
      <c r="A340" s="39"/>
      <c r="B340" s="39"/>
      <c r="C340" s="39"/>
      <c r="D340" s="7"/>
      <c r="E340" s="7"/>
      <c r="F340" s="42" t="s">
        <v>63</v>
      </c>
      <c r="G340" s="43">
        <v>2.5</v>
      </c>
      <c r="H340" s="50">
        <v>0.0</v>
      </c>
      <c r="I340" s="45">
        <f t="shared" si="1"/>
        <v>0</v>
      </c>
      <c r="J340" s="7"/>
      <c r="K340" s="18"/>
      <c r="L340" s="18"/>
      <c r="M340" s="18"/>
      <c r="N340" s="18"/>
    </row>
    <row r="341" ht="15.75" customHeight="1">
      <c r="A341" s="39"/>
      <c r="B341" s="39"/>
      <c r="C341" s="39"/>
      <c r="D341" s="40">
        <v>13.0</v>
      </c>
      <c r="E341" s="57" t="s">
        <v>84</v>
      </c>
      <c r="F341" s="42" t="s">
        <v>21</v>
      </c>
      <c r="G341" s="43"/>
      <c r="H341" s="50">
        <f>VLOOKUP(F341,$A$4:$B$4,2,TRUE)</f>
        <v>5000</v>
      </c>
      <c r="I341" s="45">
        <f t="shared" si="1"/>
        <v>0</v>
      </c>
      <c r="J341" s="46">
        <f>SUM(I341:I368)</f>
        <v>600</v>
      </c>
      <c r="K341" s="18"/>
      <c r="L341" s="18"/>
      <c r="M341" s="18"/>
      <c r="N341" s="18"/>
    </row>
    <row r="342" ht="15.75" customHeight="1">
      <c r="A342" s="39"/>
      <c r="B342" s="39"/>
      <c r="C342" s="39"/>
      <c r="D342" s="47"/>
      <c r="E342" s="47"/>
      <c r="F342" s="42" t="s">
        <v>56</v>
      </c>
      <c r="G342" s="43"/>
      <c r="H342" s="50">
        <f>VLOOKUP(F342,$A$5:$B$5,2,TRUE)</f>
        <v>3000</v>
      </c>
      <c r="I342" s="45">
        <f t="shared" si="1"/>
        <v>0</v>
      </c>
      <c r="J342" s="47"/>
      <c r="K342" s="18"/>
      <c r="L342" s="18"/>
      <c r="M342" s="18"/>
      <c r="N342" s="18"/>
    </row>
    <row r="343" ht="15.75" customHeight="1">
      <c r="A343" s="39"/>
      <c r="B343" s="39"/>
      <c r="C343" s="39"/>
      <c r="D343" s="47"/>
      <c r="E343" s="47"/>
      <c r="F343" s="42" t="s">
        <v>58</v>
      </c>
      <c r="G343" s="43"/>
      <c r="H343" s="50">
        <f>VLOOKUP(F343,$A$6:$B$6,2,TRUE)</f>
        <v>1000</v>
      </c>
      <c r="I343" s="45">
        <f t="shared" si="1"/>
        <v>0</v>
      </c>
      <c r="J343" s="47"/>
      <c r="K343" s="18"/>
      <c r="L343" s="18"/>
      <c r="M343" s="18"/>
      <c r="N343" s="18"/>
    </row>
    <row r="344" ht="15.75" customHeight="1">
      <c r="A344" s="39"/>
      <c r="B344" s="39"/>
      <c r="C344" s="39"/>
      <c r="D344" s="47"/>
      <c r="E344" s="47"/>
      <c r="F344" s="42" t="s">
        <v>24</v>
      </c>
      <c r="G344" s="43"/>
      <c r="H344" s="50">
        <f>VLOOKUP(F344,$A$7:$B$7,2,TRUE)</f>
        <v>2800</v>
      </c>
      <c r="I344" s="45">
        <f t="shared" si="1"/>
        <v>0</v>
      </c>
      <c r="J344" s="47"/>
      <c r="K344" s="18"/>
      <c r="L344" s="18"/>
      <c r="M344" s="18"/>
      <c r="N344" s="18"/>
    </row>
    <row r="345" ht="15.75" customHeight="1">
      <c r="A345" s="39"/>
      <c r="B345" s="39"/>
      <c r="C345" s="39"/>
      <c r="D345" s="47"/>
      <c r="E345" s="47"/>
      <c r="F345" s="42" t="s">
        <v>25</v>
      </c>
      <c r="G345" s="43"/>
      <c r="H345" s="50">
        <f>VLOOKUP(F345,$A$8:$B$8,2,TRUE)</f>
        <v>3500</v>
      </c>
      <c r="I345" s="45">
        <f t="shared" si="1"/>
        <v>0</v>
      </c>
      <c r="J345" s="47"/>
      <c r="K345" s="18"/>
      <c r="L345" s="18"/>
      <c r="M345" s="18"/>
      <c r="N345" s="18"/>
    </row>
    <row r="346" ht="15.75" customHeight="1">
      <c r="A346" s="39"/>
      <c r="B346" s="39"/>
      <c r="C346" s="39"/>
      <c r="D346" s="47"/>
      <c r="E346" s="47"/>
      <c r="F346" s="42" t="s">
        <v>26</v>
      </c>
      <c r="G346" s="43"/>
      <c r="H346" s="50">
        <f>VLOOKUP(F346,$A$9:$B$9,2,TRUE)</f>
        <v>1000</v>
      </c>
      <c r="I346" s="45">
        <f t="shared" si="1"/>
        <v>0</v>
      </c>
      <c r="J346" s="47"/>
      <c r="K346" s="18"/>
      <c r="L346" s="18"/>
      <c r="M346" s="18"/>
      <c r="N346" s="18"/>
    </row>
    <row r="347" ht="15.75" customHeight="1">
      <c r="A347" s="39"/>
      <c r="B347" s="39"/>
      <c r="C347" s="39"/>
      <c r="D347" s="47"/>
      <c r="E347" s="47"/>
      <c r="F347" s="42" t="s">
        <v>27</v>
      </c>
      <c r="G347" s="43"/>
      <c r="H347" s="50">
        <f>VLOOKUP(F347,$A$10:$B$10,2,TRUE)</f>
        <v>2000</v>
      </c>
      <c r="I347" s="45">
        <f t="shared" si="1"/>
        <v>0</v>
      </c>
      <c r="J347" s="47"/>
      <c r="K347" s="18"/>
      <c r="L347" s="18"/>
      <c r="M347" s="18"/>
      <c r="N347" s="18"/>
    </row>
    <row r="348" ht="15.75" customHeight="1">
      <c r="A348" s="39"/>
      <c r="B348" s="39"/>
      <c r="C348" s="39"/>
      <c r="D348" s="47"/>
      <c r="E348" s="47"/>
      <c r="F348" s="42" t="s">
        <v>28</v>
      </c>
      <c r="G348" s="43"/>
      <c r="H348" s="50">
        <f>VLOOKUP(F348,$A$11:$B$11,2,TRUE)</f>
        <v>2000</v>
      </c>
      <c r="I348" s="45">
        <f t="shared" si="1"/>
        <v>0</v>
      </c>
      <c r="J348" s="47"/>
      <c r="K348" s="18"/>
      <c r="L348" s="18"/>
      <c r="M348" s="18"/>
      <c r="N348" s="18"/>
    </row>
    <row r="349" ht="15.75" customHeight="1">
      <c r="A349" s="39"/>
      <c r="B349" s="39"/>
      <c r="C349" s="39"/>
      <c r="D349" s="47"/>
      <c r="E349" s="47"/>
      <c r="F349" s="42" t="s">
        <v>29</v>
      </c>
      <c r="G349" s="43"/>
      <c r="H349" s="50">
        <f>VLOOKUP(F349,$A$12:$B$12,2,TRUE)</f>
        <v>1300</v>
      </c>
      <c r="I349" s="45">
        <f t="shared" si="1"/>
        <v>0</v>
      </c>
      <c r="J349" s="47"/>
      <c r="K349" s="18"/>
      <c r="L349" s="18"/>
      <c r="M349" s="18"/>
      <c r="N349" s="18"/>
    </row>
    <row r="350" ht="15.75" customHeight="1">
      <c r="A350" s="39"/>
      <c r="B350" s="39"/>
      <c r="C350" s="39"/>
      <c r="D350" s="47"/>
      <c r="E350" s="47"/>
      <c r="F350" s="42" t="s">
        <v>30</v>
      </c>
      <c r="G350" s="43"/>
      <c r="H350" s="50">
        <f>VLOOKUP(F350,$A$13:$B$13,2,TRUE)</f>
        <v>1000</v>
      </c>
      <c r="I350" s="45">
        <f t="shared" si="1"/>
        <v>0</v>
      </c>
      <c r="J350" s="47"/>
      <c r="K350" s="18"/>
      <c r="L350" s="18"/>
      <c r="M350" s="18"/>
      <c r="N350" s="18"/>
    </row>
    <row r="351" ht="15.75" customHeight="1">
      <c r="A351" s="39"/>
      <c r="B351" s="39"/>
      <c r="C351" s="39"/>
      <c r="D351" s="47"/>
      <c r="E351" s="47"/>
      <c r="F351" s="42" t="s">
        <v>31</v>
      </c>
      <c r="G351" s="43">
        <v>1.5</v>
      </c>
      <c r="H351" s="50">
        <f>VLOOKUP(F351,$A$14:$B$14,2,TRUE)</f>
        <v>400</v>
      </c>
      <c r="I351" s="45">
        <f t="shared" si="1"/>
        <v>600</v>
      </c>
      <c r="J351" s="47"/>
      <c r="K351" s="18"/>
      <c r="L351" s="18"/>
      <c r="M351" s="18"/>
      <c r="N351" s="18"/>
    </row>
    <row r="352" ht="15.75" customHeight="1">
      <c r="A352" s="39"/>
      <c r="B352" s="39"/>
      <c r="C352" s="39"/>
      <c r="D352" s="47"/>
      <c r="E352" s="47"/>
      <c r="F352" s="42" t="s">
        <v>32</v>
      </c>
      <c r="G352" s="43"/>
      <c r="H352" s="50">
        <f>VLOOKUP(F352,$A$15:$B$15,2,TRUE)</f>
        <v>7500</v>
      </c>
      <c r="I352" s="45">
        <f t="shared" si="1"/>
        <v>0</v>
      </c>
      <c r="J352" s="47"/>
      <c r="K352" s="18"/>
      <c r="L352" s="18"/>
      <c r="M352" s="18"/>
      <c r="N352" s="18"/>
    </row>
    <row r="353" ht="15.75" customHeight="1">
      <c r="A353" s="39"/>
      <c r="B353" s="39"/>
      <c r="C353" s="39"/>
      <c r="D353" s="47"/>
      <c r="E353" s="47"/>
      <c r="F353" s="42" t="s">
        <v>33</v>
      </c>
      <c r="G353" s="43"/>
      <c r="H353" s="50">
        <f>VLOOKUP(F353,$A$16:$B$16,2,TRUE)</f>
        <v>2000</v>
      </c>
      <c r="I353" s="45">
        <f t="shared" si="1"/>
        <v>0</v>
      </c>
      <c r="J353" s="47"/>
      <c r="K353" s="18"/>
      <c r="L353" s="18"/>
      <c r="M353" s="18"/>
      <c r="N353" s="18"/>
    </row>
    <row r="354" ht="15.75" customHeight="1">
      <c r="A354" s="39"/>
      <c r="B354" s="39"/>
      <c r="C354" s="39"/>
      <c r="D354" s="47"/>
      <c r="E354" s="47"/>
      <c r="F354" s="42" t="s">
        <v>34</v>
      </c>
      <c r="G354" s="43"/>
      <c r="H354" s="50">
        <f>VLOOKUP(F354,$A$17:$B$17,2,TRUE)</f>
        <v>800</v>
      </c>
      <c r="I354" s="45">
        <f t="shared" si="1"/>
        <v>0</v>
      </c>
      <c r="J354" s="47"/>
      <c r="K354" s="18"/>
      <c r="L354" s="18"/>
      <c r="M354" s="18"/>
      <c r="N354" s="18"/>
    </row>
    <row r="355" ht="15.75" customHeight="1">
      <c r="A355" s="39"/>
      <c r="B355" s="39"/>
      <c r="C355" s="39"/>
      <c r="D355" s="47"/>
      <c r="E355" s="47"/>
      <c r="F355" s="42" t="s">
        <v>35</v>
      </c>
      <c r="G355" s="43"/>
      <c r="H355" s="50">
        <f>VLOOKUP(F355,$A$18:$B$18,2,TRUE)</f>
        <v>5000</v>
      </c>
      <c r="I355" s="45">
        <f t="shared" si="1"/>
        <v>0</v>
      </c>
      <c r="J355" s="47"/>
      <c r="K355" s="18"/>
      <c r="L355" s="18"/>
      <c r="M355" s="18"/>
      <c r="N355" s="18"/>
    </row>
    <row r="356" ht="15.75" customHeight="1">
      <c r="A356" s="39"/>
      <c r="B356" s="39"/>
      <c r="C356" s="39"/>
      <c r="D356" s="47"/>
      <c r="E356" s="47"/>
      <c r="F356" s="42" t="s">
        <v>36</v>
      </c>
      <c r="G356" s="43"/>
      <c r="H356" s="50">
        <f>VLOOKUP(F356,$A$19:$B$19,2,TRUE)</f>
        <v>2700</v>
      </c>
      <c r="I356" s="45">
        <f t="shared" si="1"/>
        <v>0</v>
      </c>
      <c r="J356" s="47"/>
      <c r="K356" s="18"/>
      <c r="L356" s="18"/>
      <c r="M356" s="18"/>
      <c r="N356" s="18"/>
    </row>
    <row r="357" ht="15.75" customHeight="1">
      <c r="A357" s="39"/>
      <c r="B357" s="39"/>
      <c r="C357" s="39"/>
      <c r="D357" s="47"/>
      <c r="E357" s="47"/>
      <c r="F357" s="42" t="s">
        <v>37</v>
      </c>
      <c r="G357" s="43"/>
      <c r="H357" s="50">
        <f>VLOOKUP(F357,$A$20:$B$20,2,TRUE)</f>
        <v>50000</v>
      </c>
      <c r="I357" s="45">
        <f t="shared" si="1"/>
        <v>0</v>
      </c>
      <c r="J357" s="47"/>
      <c r="K357" s="18"/>
      <c r="L357" s="18"/>
      <c r="M357" s="18"/>
      <c r="N357" s="18"/>
    </row>
    <row r="358" ht="15.75" customHeight="1">
      <c r="A358" s="39"/>
      <c r="B358" s="39"/>
      <c r="C358" s="39"/>
      <c r="D358" s="47"/>
      <c r="E358" s="47"/>
      <c r="F358" s="42" t="s">
        <v>38</v>
      </c>
      <c r="G358" s="43"/>
      <c r="H358" s="50">
        <f>VLOOKUP(F358,$A$21:$B$21,2,TRUE)</f>
        <v>10000</v>
      </c>
      <c r="I358" s="45">
        <f t="shared" si="1"/>
        <v>0</v>
      </c>
      <c r="J358" s="47"/>
      <c r="K358" s="18"/>
      <c r="L358" s="18"/>
      <c r="M358" s="18"/>
      <c r="N358" s="18"/>
    </row>
    <row r="359" ht="15.75" customHeight="1">
      <c r="A359" s="39"/>
      <c r="B359" s="39"/>
      <c r="C359" s="39"/>
      <c r="D359" s="47"/>
      <c r="E359" s="47"/>
      <c r="F359" s="42" t="s">
        <v>39</v>
      </c>
      <c r="G359" s="43"/>
      <c r="H359" s="50">
        <f>VLOOKUP(F359,$A$22:$B$22,2,TRUE)</f>
        <v>1000</v>
      </c>
      <c r="I359" s="45">
        <f t="shared" si="1"/>
        <v>0</v>
      </c>
      <c r="J359" s="47"/>
      <c r="K359" s="18"/>
      <c r="L359" s="18"/>
      <c r="M359" s="18"/>
      <c r="N359" s="18"/>
    </row>
    <row r="360" ht="15.75" customHeight="1">
      <c r="A360" s="39"/>
      <c r="B360" s="39"/>
      <c r="C360" s="39"/>
      <c r="D360" s="47"/>
      <c r="E360" s="47"/>
      <c r="F360" s="42" t="s">
        <v>40</v>
      </c>
      <c r="G360" s="43"/>
      <c r="H360" s="50">
        <f>VLOOKUP(F360,$A$23:$B$23,2,TRUE)</f>
        <v>500</v>
      </c>
      <c r="I360" s="45">
        <f t="shared" si="1"/>
        <v>0</v>
      </c>
      <c r="J360" s="47"/>
      <c r="K360" s="18"/>
      <c r="L360" s="18"/>
      <c r="M360" s="18"/>
      <c r="N360" s="58"/>
    </row>
    <row r="361" ht="15.75" customHeight="1">
      <c r="A361" s="39"/>
      <c r="B361" s="39"/>
      <c r="C361" s="39"/>
      <c r="D361" s="47"/>
      <c r="E361" s="47"/>
      <c r="F361" s="42" t="s">
        <v>41</v>
      </c>
      <c r="G361" s="43"/>
      <c r="H361" s="50">
        <f>VLOOKUP(F361,$A$24:$B$24,2,TRUE)</f>
        <v>200</v>
      </c>
      <c r="I361" s="45">
        <f t="shared" si="1"/>
        <v>0</v>
      </c>
      <c r="J361" s="47"/>
      <c r="K361" s="18"/>
      <c r="L361" s="18"/>
      <c r="M361" s="18"/>
      <c r="N361" s="58"/>
    </row>
    <row r="362" ht="15.75" customHeight="1">
      <c r="A362" s="39"/>
      <c r="B362" s="39"/>
      <c r="C362" s="39"/>
      <c r="D362" s="47"/>
      <c r="E362" s="47"/>
      <c r="F362" s="42" t="s">
        <v>42</v>
      </c>
      <c r="G362" s="43"/>
      <c r="H362" s="50">
        <f>VLOOKUP(F362,$A$25:$B$25,2,TRUE)</f>
        <v>1000</v>
      </c>
      <c r="I362" s="45">
        <f t="shared" si="1"/>
        <v>0</v>
      </c>
      <c r="J362" s="47"/>
      <c r="K362" s="18"/>
      <c r="L362" s="18"/>
      <c r="M362" s="18"/>
      <c r="N362" s="58"/>
    </row>
    <row r="363" ht="15.75" customHeight="1">
      <c r="A363" s="39"/>
      <c r="B363" s="39"/>
      <c r="C363" s="39"/>
      <c r="D363" s="47"/>
      <c r="E363" s="47"/>
      <c r="F363" s="42" t="s">
        <v>17</v>
      </c>
      <c r="G363" s="43"/>
      <c r="H363" s="50">
        <f>VLOOKUP(F363,$A$26:$B$26,2,TRUE)</f>
        <v>300</v>
      </c>
      <c r="I363" s="45">
        <f t="shared" si="1"/>
        <v>0</v>
      </c>
      <c r="J363" s="47"/>
      <c r="K363" s="18"/>
      <c r="L363" s="18"/>
      <c r="M363" s="18"/>
      <c r="N363" s="58"/>
    </row>
    <row r="364" ht="15.75" customHeight="1">
      <c r="A364" s="39"/>
      <c r="B364" s="39"/>
      <c r="C364" s="39"/>
      <c r="D364" s="47"/>
      <c r="E364" s="47"/>
      <c r="F364" s="42" t="s">
        <v>43</v>
      </c>
      <c r="G364" s="43"/>
      <c r="H364" s="50">
        <f>VLOOKUP(F364,$A$27:$B$27,2,TRUE)</f>
        <v>100</v>
      </c>
      <c r="I364" s="45">
        <f t="shared" si="1"/>
        <v>0</v>
      </c>
      <c r="J364" s="47"/>
      <c r="K364" s="18"/>
      <c r="L364" s="18"/>
      <c r="M364" s="18"/>
      <c r="N364" s="58"/>
    </row>
    <row r="365" ht="15.75" customHeight="1">
      <c r="A365" s="39"/>
      <c r="B365" s="39"/>
      <c r="C365" s="39"/>
      <c r="D365" s="47"/>
      <c r="E365" s="47"/>
      <c r="F365" s="42" t="s">
        <v>59</v>
      </c>
      <c r="G365" s="43"/>
      <c r="H365" s="50">
        <f>VLOOKUP(F365,$A$28:$B$28,2,TRUE)</f>
        <v>500</v>
      </c>
      <c r="I365" s="45">
        <f t="shared" si="1"/>
        <v>0</v>
      </c>
      <c r="J365" s="47"/>
      <c r="K365" s="18"/>
      <c r="L365" s="18"/>
      <c r="M365" s="18"/>
      <c r="N365" s="58"/>
    </row>
    <row r="366" ht="15.75" customHeight="1">
      <c r="A366" s="39"/>
      <c r="B366" s="39"/>
      <c r="C366" s="39"/>
      <c r="D366" s="47"/>
      <c r="E366" s="47"/>
      <c r="F366" s="42" t="s">
        <v>13</v>
      </c>
      <c r="G366" s="43"/>
      <c r="H366" s="50">
        <f>VLOOKUP(F366,$A$29:$B$29,2,TRUE)</f>
        <v>1500</v>
      </c>
      <c r="I366" s="45">
        <f t="shared" si="1"/>
        <v>0</v>
      </c>
      <c r="J366" s="47"/>
      <c r="K366" s="18"/>
      <c r="L366" s="18"/>
      <c r="M366" s="18"/>
      <c r="N366" s="58"/>
    </row>
    <row r="367" ht="15.75" customHeight="1">
      <c r="A367" s="39"/>
      <c r="B367" s="39"/>
      <c r="C367" s="39"/>
      <c r="D367" s="47"/>
      <c r="E367" s="47"/>
      <c r="F367" s="42" t="s">
        <v>19</v>
      </c>
      <c r="G367" s="43"/>
      <c r="H367" s="50">
        <f>VLOOKUP(F367,$A$30:$B$30,2,TRUE)</f>
        <v>4000</v>
      </c>
      <c r="I367" s="45">
        <f t="shared" si="1"/>
        <v>0</v>
      </c>
      <c r="J367" s="47"/>
      <c r="K367" s="18"/>
      <c r="L367" s="18"/>
      <c r="M367" s="18"/>
      <c r="N367" s="58"/>
    </row>
    <row r="368" ht="15.75" customHeight="1">
      <c r="A368" s="39"/>
      <c r="B368" s="39"/>
      <c r="C368" s="39"/>
      <c r="D368" s="7"/>
      <c r="E368" s="7"/>
      <c r="F368" s="42" t="s">
        <v>63</v>
      </c>
      <c r="G368" s="43">
        <v>4.5</v>
      </c>
      <c r="H368" s="50">
        <v>0.0</v>
      </c>
      <c r="I368" s="45">
        <f t="shared" si="1"/>
        <v>0</v>
      </c>
      <c r="J368" s="7"/>
      <c r="K368" s="18"/>
      <c r="L368" s="18"/>
      <c r="M368" s="18"/>
      <c r="N368" s="18"/>
    </row>
    <row r="369" ht="15.75" customHeight="1">
      <c r="A369" s="39"/>
      <c r="B369" s="39"/>
      <c r="C369" s="39"/>
      <c r="D369" s="52" t="s">
        <v>70</v>
      </c>
      <c r="E369" s="53"/>
      <c r="F369" s="53"/>
      <c r="G369" s="53"/>
      <c r="H369" s="53"/>
      <c r="I369" s="45">
        <f t="shared" si="1"/>
        <v>0</v>
      </c>
      <c r="J369" s="54">
        <f>SUM(J5:J368)</f>
        <v>199750</v>
      </c>
      <c r="K369" s="18"/>
      <c r="L369" s="18"/>
      <c r="M369" s="18"/>
      <c r="N369" s="18"/>
    </row>
    <row r="370" ht="15.75" customHeight="1">
      <c r="A370" s="39"/>
      <c r="B370" s="39"/>
      <c r="C370" s="39"/>
      <c r="D370" s="52" t="s">
        <v>71</v>
      </c>
      <c r="E370" s="53"/>
      <c r="F370" s="53"/>
      <c r="G370" s="53"/>
      <c r="H370" s="53"/>
      <c r="I370" s="45">
        <f t="shared" si="1"/>
        <v>0</v>
      </c>
      <c r="J370" s="54">
        <f>J369*5%</f>
        <v>9987.5</v>
      </c>
      <c r="K370" s="18"/>
      <c r="L370" s="18"/>
      <c r="M370" s="18"/>
      <c r="N370" s="18"/>
    </row>
    <row r="371" ht="15.75" customHeight="1">
      <c r="A371" s="16"/>
      <c r="B371" s="16"/>
      <c r="C371" s="16"/>
      <c r="D371" s="16"/>
      <c r="E371" s="55"/>
      <c r="F371" s="18"/>
      <c r="G371" s="18"/>
      <c r="H371" s="18"/>
      <c r="I371" s="18"/>
      <c r="J371" s="19"/>
      <c r="K371" s="18"/>
      <c r="L371" s="18"/>
      <c r="M371" s="18"/>
      <c r="N371" s="18"/>
    </row>
    <row r="372" ht="15.75" customHeight="1">
      <c r="A372" s="16"/>
      <c r="B372" s="16"/>
      <c r="C372" s="16"/>
      <c r="D372" s="16"/>
      <c r="E372" s="17"/>
      <c r="F372" s="18"/>
      <c r="G372" s="18"/>
      <c r="H372" s="18"/>
      <c r="I372" s="18"/>
      <c r="J372" s="19"/>
      <c r="K372" s="18"/>
      <c r="L372" s="18"/>
      <c r="M372" s="18"/>
      <c r="N372" s="18"/>
    </row>
    <row r="373" ht="15.75" customHeight="1">
      <c r="A373" s="16"/>
      <c r="B373" s="16"/>
      <c r="C373" s="16"/>
      <c r="D373" s="16"/>
      <c r="E373" s="17"/>
      <c r="F373" s="18"/>
      <c r="G373" s="18"/>
      <c r="H373" s="18"/>
      <c r="I373" s="18"/>
      <c r="J373" s="19"/>
      <c r="K373" s="18"/>
      <c r="L373" s="18"/>
      <c r="M373" s="18"/>
      <c r="N373" s="18"/>
    </row>
    <row r="374" ht="15.75" customHeight="1">
      <c r="A374" s="16"/>
      <c r="B374" s="16"/>
      <c r="C374" s="16"/>
      <c r="D374" s="16"/>
      <c r="E374" s="17"/>
      <c r="F374" s="18"/>
      <c r="G374" s="18"/>
      <c r="H374" s="58">
        <v>1.946723E7</v>
      </c>
      <c r="I374" s="18">
        <f>H374-H375</f>
        <v>13378880</v>
      </c>
      <c r="J374" s="19"/>
      <c r="K374" s="18"/>
      <c r="L374" s="18"/>
      <c r="M374" s="18"/>
      <c r="N374" s="18"/>
    </row>
    <row r="375" ht="15.75" customHeight="1">
      <c r="A375" s="16"/>
      <c r="B375" s="16"/>
      <c r="C375" s="16"/>
      <c r="D375" s="16"/>
      <c r="E375" s="17"/>
      <c r="F375" s="18"/>
      <c r="G375" s="18"/>
      <c r="H375" s="58">
        <v>6088350.0</v>
      </c>
      <c r="I375" s="18"/>
      <c r="J375" s="19"/>
      <c r="K375" s="18"/>
      <c r="L375" s="18"/>
      <c r="M375" s="18"/>
      <c r="N375" s="18"/>
    </row>
    <row r="376" ht="15.75" customHeight="1">
      <c r="A376" s="16"/>
      <c r="B376" s="16"/>
      <c r="C376" s="16"/>
      <c r="D376" s="16"/>
      <c r="E376" s="17"/>
      <c r="F376" s="18"/>
      <c r="G376" s="18"/>
      <c r="H376" s="18"/>
      <c r="I376" s="18"/>
      <c r="J376" s="19"/>
      <c r="K376" s="18"/>
      <c r="L376" s="18"/>
      <c r="M376" s="18"/>
      <c r="N376" s="18"/>
    </row>
    <row r="377" ht="15.75" customHeight="1">
      <c r="A377" s="16"/>
      <c r="B377" s="16"/>
      <c r="C377" s="16"/>
      <c r="D377" s="16"/>
      <c r="E377" s="17"/>
      <c r="F377" s="18"/>
      <c r="G377" s="18"/>
      <c r="H377" s="18"/>
      <c r="I377" s="18"/>
      <c r="J377" s="19"/>
      <c r="K377" s="18"/>
      <c r="L377" s="18"/>
      <c r="M377" s="18"/>
      <c r="N377" s="18"/>
    </row>
    <row r="378" ht="15.75" customHeight="1">
      <c r="A378" s="16"/>
      <c r="B378" s="16"/>
      <c r="C378" s="16"/>
      <c r="D378" s="16"/>
      <c r="E378" s="17"/>
      <c r="F378" s="18"/>
      <c r="G378" s="18"/>
      <c r="H378" s="18"/>
      <c r="I378" s="18"/>
      <c r="J378" s="19"/>
      <c r="K378" s="18"/>
      <c r="L378" s="18"/>
      <c r="M378" s="18"/>
      <c r="N378" s="18"/>
    </row>
    <row r="379" ht="15.75" customHeight="1">
      <c r="A379" s="16"/>
      <c r="B379" s="16"/>
      <c r="C379" s="16"/>
      <c r="D379" s="16"/>
      <c r="E379" s="17"/>
      <c r="J379" s="19"/>
    </row>
    <row r="380" ht="15.75" customHeight="1">
      <c r="A380" s="16"/>
      <c r="B380" s="16"/>
      <c r="C380" s="16"/>
      <c r="D380" s="16"/>
      <c r="E380" s="17"/>
      <c r="J380" s="19"/>
    </row>
    <row r="381" ht="15.75" customHeight="1">
      <c r="A381" s="16"/>
      <c r="B381" s="16"/>
      <c r="C381" s="16"/>
      <c r="D381" s="16"/>
      <c r="E381" s="17"/>
      <c r="J381" s="19"/>
    </row>
    <row r="382" ht="15.75" customHeight="1">
      <c r="A382" s="16"/>
      <c r="B382" s="16"/>
      <c r="C382" s="16"/>
      <c r="D382" s="16"/>
      <c r="E382" s="17"/>
      <c r="J382" s="19"/>
    </row>
    <row r="383" ht="15.75" customHeight="1">
      <c r="A383" s="16"/>
      <c r="B383" s="16"/>
      <c r="C383" s="16"/>
      <c r="D383" s="16"/>
      <c r="E383" s="17"/>
      <c r="J383" s="19"/>
    </row>
    <row r="384" ht="15.75" customHeight="1">
      <c r="A384" s="16"/>
      <c r="B384" s="16"/>
      <c r="C384" s="16"/>
      <c r="D384" s="16"/>
      <c r="E384" s="17"/>
      <c r="J384" s="19"/>
    </row>
    <row r="385" ht="15.75" customHeight="1">
      <c r="A385" s="16"/>
      <c r="B385" s="16"/>
      <c r="C385" s="16"/>
      <c r="D385" s="16"/>
      <c r="E385" s="17"/>
      <c r="J385" s="19"/>
    </row>
    <row r="386" ht="15.75" customHeight="1">
      <c r="A386" s="16"/>
      <c r="B386" s="16"/>
      <c r="C386" s="16"/>
      <c r="D386" s="16"/>
      <c r="E386" s="17"/>
      <c r="J386" s="19"/>
    </row>
    <row r="387" ht="15.75" customHeight="1">
      <c r="A387" s="16"/>
      <c r="B387" s="16"/>
      <c r="C387" s="16"/>
      <c r="D387" s="16"/>
      <c r="E387" s="17"/>
      <c r="J387" s="19"/>
    </row>
    <row r="388" ht="15.75" customHeight="1">
      <c r="A388" s="16"/>
      <c r="B388" s="16"/>
      <c r="C388" s="16"/>
      <c r="D388" s="16"/>
      <c r="E388" s="17"/>
      <c r="J388" s="19"/>
    </row>
    <row r="389" ht="15.75" customHeight="1">
      <c r="A389" s="16"/>
      <c r="B389" s="16"/>
      <c r="C389" s="16"/>
      <c r="D389" s="16"/>
      <c r="E389" s="17"/>
      <c r="J389" s="19"/>
    </row>
    <row r="390" ht="15.75" customHeight="1">
      <c r="A390" s="16"/>
      <c r="B390" s="16"/>
      <c r="C390" s="16"/>
      <c r="D390" s="16"/>
      <c r="E390" s="17"/>
      <c r="J390" s="19"/>
    </row>
    <row r="391" ht="15.75" customHeight="1">
      <c r="A391" s="16"/>
      <c r="B391" s="16"/>
      <c r="C391" s="16"/>
      <c r="D391" s="16"/>
      <c r="E391" s="17"/>
      <c r="J391" s="19"/>
    </row>
    <row r="392" ht="15.75" customHeight="1">
      <c r="A392" s="16"/>
      <c r="B392" s="16"/>
      <c r="C392" s="16"/>
      <c r="D392" s="16"/>
      <c r="E392" s="17"/>
      <c r="J392" s="19"/>
    </row>
    <row r="393" ht="15.75" customHeight="1">
      <c r="A393" s="16"/>
      <c r="B393" s="16"/>
      <c r="C393" s="16"/>
      <c r="D393" s="16"/>
      <c r="E393" s="17"/>
      <c r="J393" s="19"/>
    </row>
    <row r="394" ht="15.75" customHeight="1">
      <c r="A394" s="16"/>
      <c r="B394" s="16"/>
      <c r="C394" s="16"/>
      <c r="D394" s="16"/>
      <c r="E394" s="17"/>
      <c r="J394" s="19"/>
    </row>
    <row r="395" ht="15.75" customHeight="1">
      <c r="A395" s="16"/>
      <c r="B395" s="16"/>
      <c r="C395" s="16"/>
      <c r="D395" s="16"/>
      <c r="E395" s="17"/>
      <c r="J395" s="19"/>
    </row>
    <row r="396" ht="15.75" customHeight="1">
      <c r="A396" s="16"/>
      <c r="B396" s="16"/>
      <c r="C396" s="16"/>
      <c r="D396" s="16"/>
      <c r="E396" s="17"/>
      <c r="J396" s="19"/>
    </row>
    <row r="397" ht="15.75" customHeight="1">
      <c r="A397" s="16"/>
      <c r="B397" s="16"/>
      <c r="C397" s="16"/>
      <c r="D397" s="16"/>
      <c r="E397" s="17"/>
      <c r="J397" s="19"/>
    </row>
    <row r="398" ht="15.75" customHeight="1">
      <c r="A398" s="16"/>
      <c r="B398" s="16"/>
      <c r="C398" s="16"/>
      <c r="D398" s="16"/>
      <c r="E398" s="17"/>
      <c r="J398" s="19"/>
    </row>
    <row r="399" ht="15.75" customHeight="1">
      <c r="A399" s="16"/>
      <c r="B399" s="16"/>
      <c r="C399" s="16"/>
      <c r="D399" s="16"/>
      <c r="E399" s="17"/>
      <c r="J399" s="19"/>
    </row>
    <row r="400" ht="15.75" customHeight="1">
      <c r="A400" s="16"/>
      <c r="B400" s="16"/>
      <c r="C400" s="16"/>
      <c r="D400" s="16"/>
      <c r="E400" s="17"/>
      <c r="J400" s="19"/>
    </row>
    <row r="401" ht="15.75" customHeight="1">
      <c r="A401" s="16"/>
      <c r="B401" s="16"/>
      <c r="C401" s="16"/>
      <c r="D401" s="16"/>
      <c r="E401" s="17"/>
      <c r="J401" s="19"/>
    </row>
    <row r="402" ht="15.75" customHeight="1">
      <c r="A402" s="16"/>
      <c r="B402" s="16"/>
      <c r="C402" s="16"/>
      <c r="D402" s="16"/>
      <c r="E402" s="17"/>
      <c r="J402" s="19"/>
    </row>
    <row r="403" ht="15.75" customHeight="1">
      <c r="A403" s="16"/>
      <c r="B403" s="16"/>
      <c r="C403" s="16"/>
      <c r="D403" s="16"/>
      <c r="E403" s="17"/>
      <c r="J403" s="19"/>
    </row>
    <row r="404" ht="15.75" customHeight="1">
      <c r="A404" s="16"/>
      <c r="B404" s="16"/>
      <c r="C404" s="16"/>
      <c r="D404" s="16"/>
      <c r="E404" s="17"/>
      <c r="J404" s="19"/>
    </row>
    <row r="405" ht="15.75" customHeight="1">
      <c r="A405" s="16"/>
      <c r="B405" s="16"/>
      <c r="C405" s="16"/>
      <c r="D405" s="16"/>
      <c r="E405" s="17"/>
      <c r="J405" s="19"/>
    </row>
    <row r="406" ht="15.75" customHeight="1">
      <c r="A406" s="16"/>
      <c r="B406" s="16"/>
      <c r="C406" s="16"/>
      <c r="D406" s="16"/>
      <c r="E406" s="17"/>
      <c r="J406" s="19"/>
    </row>
    <row r="407" ht="15.75" customHeight="1">
      <c r="A407" s="16"/>
      <c r="B407" s="16"/>
      <c r="C407" s="16"/>
      <c r="D407" s="16"/>
      <c r="E407" s="17"/>
      <c r="J407" s="19"/>
    </row>
    <row r="408" ht="15.75" customHeight="1">
      <c r="A408" s="16"/>
      <c r="B408" s="16"/>
      <c r="C408" s="16"/>
      <c r="D408" s="16"/>
      <c r="E408" s="17"/>
      <c r="J408" s="19"/>
    </row>
    <row r="409" ht="15.75" customHeight="1">
      <c r="A409" s="16"/>
      <c r="B409" s="16"/>
      <c r="C409" s="16"/>
      <c r="D409" s="16"/>
      <c r="E409" s="17"/>
      <c r="J409" s="19"/>
    </row>
    <row r="410" ht="15.75" customHeight="1">
      <c r="A410" s="16"/>
      <c r="B410" s="16"/>
      <c r="C410" s="16"/>
      <c r="D410" s="16"/>
      <c r="E410" s="17"/>
      <c r="J410" s="19"/>
    </row>
    <row r="411" ht="15.75" customHeight="1">
      <c r="A411" s="16"/>
      <c r="B411" s="16"/>
      <c r="C411" s="16"/>
      <c r="D411" s="16"/>
      <c r="E411" s="17"/>
      <c r="J411" s="19"/>
    </row>
    <row r="412" ht="15.75" customHeight="1">
      <c r="A412" s="16"/>
      <c r="B412" s="16"/>
      <c r="C412" s="16"/>
      <c r="D412" s="16"/>
      <c r="E412" s="17"/>
      <c r="J412" s="19"/>
    </row>
    <row r="413" ht="15.75" customHeight="1">
      <c r="A413" s="16"/>
      <c r="B413" s="16"/>
      <c r="C413" s="16"/>
      <c r="D413" s="16"/>
      <c r="E413" s="17"/>
      <c r="J413" s="19"/>
    </row>
    <row r="414" ht="15.75" customHeight="1">
      <c r="A414" s="16"/>
      <c r="B414" s="16"/>
      <c r="C414" s="16"/>
      <c r="D414" s="16"/>
      <c r="E414" s="17"/>
      <c r="J414" s="19"/>
    </row>
    <row r="415" ht="15.75" customHeight="1">
      <c r="A415" s="16"/>
      <c r="B415" s="16"/>
      <c r="C415" s="16"/>
      <c r="D415" s="16"/>
      <c r="E415" s="17"/>
      <c r="J415" s="19"/>
    </row>
    <row r="416" ht="15.75" customHeight="1">
      <c r="A416" s="16"/>
      <c r="B416" s="16"/>
      <c r="C416" s="16"/>
      <c r="D416" s="16"/>
      <c r="E416" s="17"/>
      <c r="J416" s="19"/>
    </row>
    <row r="417" ht="15.75" customHeight="1">
      <c r="A417" s="16"/>
      <c r="B417" s="16"/>
      <c r="C417" s="16"/>
      <c r="D417" s="16"/>
      <c r="E417" s="17"/>
      <c r="J417" s="19"/>
    </row>
    <row r="418" ht="15.75" customHeight="1">
      <c r="A418" s="16"/>
      <c r="B418" s="16"/>
      <c r="C418" s="16"/>
      <c r="D418" s="16"/>
      <c r="E418" s="17"/>
      <c r="J418" s="19"/>
    </row>
    <row r="419" ht="15.75" customHeight="1">
      <c r="A419" s="16"/>
      <c r="B419" s="16"/>
      <c r="C419" s="16"/>
      <c r="D419" s="16"/>
      <c r="E419" s="17"/>
      <c r="J419" s="19"/>
    </row>
    <row r="420" ht="15.75" customHeight="1">
      <c r="A420" s="16"/>
      <c r="B420" s="16"/>
      <c r="C420" s="16"/>
      <c r="D420" s="16"/>
      <c r="E420" s="17"/>
      <c r="J420" s="19"/>
    </row>
    <row r="421" ht="15.75" customHeight="1">
      <c r="A421" s="16"/>
      <c r="B421" s="16"/>
      <c r="C421" s="16"/>
      <c r="D421" s="16"/>
      <c r="E421" s="17"/>
      <c r="J421" s="19"/>
    </row>
    <row r="422" ht="15.75" customHeight="1">
      <c r="A422" s="16"/>
      <c r="B422" s="16"/>
      <c r="C422" s="16"/>
      <c r="D422" s="16"/>
      <c r="E422" s="17"/>
      <c r="J422" s="19"/>
    </row>
    <row r="423" ht="15.75" customHeight="1">
      <c r="A423" s="16"/>
      <c r="B423" s="16"/>
      <c r="C423" s="16"/>
      <c r="D423" s="16"/>
      <c r="E423" s="17"/>
      <c r="J423" s="19"/>
    </row>
    <row r="424" ht="15.75" customHeight="1">
      <c r="A424" s="16"/>
      <c r="B424" s="16"/>
      <c r="C424" s="16"/>
      <c r="D424" s="16"/>
      <c r="E424" s="17"/>
      <c r="J424" s="19"/>
    </row>
    <row r="425" ht="15.75" customHeight="1">
      <c r="A425" s="16"/>
      <c r="B425" s="16"/>
      <c r="C425" s="16"/>
      <c r="D425" s="16"/>
      <c r="E425" s="17"/>
      <c r="J425" s="19"/>
    </row>
    <row r="426" ht="15.75" customHeight="1">
      <c r="A426" s="16"/>
      <c r="B426" s="16"/>
      <c r="C426" s="16"/>
      <c r="D426" s="16"/>
      <c r="E426" s="17"/>
      <c r="J426" s="19"/>
    </row>
    <row r="427" ht="15.75" customHeight="1">
      <c r="A427" s="16"/>
      <c r="B427" s="16"/>
      <c r="C427" s="16"/>
      <c r="D427" s="16"/>
      <c r="E427" s="17"/>
      <c r="J427" s="19"/>
    </row>
    <row r="428" ht="15.75" customHeight="1">
      <c r="A428" s="16"/>
      <c r="B428" s="16"/>
      <c r="C428" s="16"/>
      <c r="D428" s="16"/>
      <c r="E428" s="17"/>
      <c r="J428" s="19"/>
    </row>
    <row r="429" ht="15.75" customHeight="1">
      <c r="A429" s="16"/>
      <c r="B429" s="16"/>
      <c r="C429" s="16"/>
      <c r="D429" s="16"/>
      <c r="E429" s="17"/>
      <c r="J429" s="19"/>
    </row>
    <row r="430" ht="15.75" customHeight="1">
      <c r="A430" s="16"/>
      <c r="B430" s="16"/>
      <c r="C430" s="16"/>
      <c r="D430" s="16"/>
      <c r="E430" s="17"/>
      <c r="J430" s="19"/>
    </row>
    <row r="431" ht="15.75" customHeight="1">
      <c r="A431" s="16"/>
      <c r="B431" s="16"/>
      <c r="C431" s="16"/>
      <c r="D431" s="16"/>
      <c r="E431" s="17"/>
      <c r="J431" s="19"/>
    </row>
    <row r="432" ht="15.75" customHeight="1">
      <c r="A432" s="16"/>
      <c r="B432" s="16"/>
      <c r="C432" s="16"/>
      <c r="D432" s="16"/>
      <c r="E432" s="17"/>
      <c r="J432" s="19"/>
    </row>
    <row r="433" ht="15.75" customHeight="1">
      <c r="A433" s="16"/>
      <c r="B433" s="16"/>
      <c r="C433" s="16"/>
      <c r="D433" s="16"/>
      <c r="E433" s="17"/>
      <c r="J433" s="19"/>
    </row>
    <row r="434" ht="15.75" customHeight="1">
      <c r="A434" s="16"/>
      <c r="B434" s="16"/>
      <c r="C434" s="16"/>
      <c r="D434" s="16"/>
      <c r="E434" s="17"/>
      <c r="J434" s="19"/>
    </row>
    <row r="435" ht="15.75" customHeight="1">
      <c r="A435" s="16"/>
      <c r="B435" s="16"/>
      <c r="C435" s="16"/>
      <c r="D435" s="16"/>
      <c r="E435" s="17"/>
      <c r="J435" s="19"/>
    </row>
    <row r="436" ht="15.75" customHeight="1">
      <c r="A436" s="16"/>
      <c r="B436" s="16"/>
      <c r="C436" s="16"/>
      <c r="D436" s="16"/>
      <c r="E436" s="17"/>
      <c r="J436" s="19"/>
    </row>
    <row r="437" ht="15.75" customHeight="1">
      <c r="A437" s="16"/>
      <c r="B437" s="16"/>
      <c r="C437" s="16"/>
      <c r="D437" s="16"/>
      <c r="E437" s="17"/>
      <c r="J437" s="19"/>
    </row>
    <row r="438" ht="15.75" customHeight="1">
      <c r="A438" s="16"/>
      <c r="B438" s="16"/>
      <c r="C438" s="16"/>
      <c r="D438" s="16"/>
      <c r="E438" s="17"/>
      <c r="J438" s="19"/>
    </row>
    <row r="439" ht="15.75" customHeight="1">
      <c r="A439" s="16"/>
      <c r="B439" s="16"/>
      <c r="C439" s="16"/>
      <c r="D439" s="16"/>
      <c r="E439" s="17"/>
      <c r="J439" s="19"/>
    </row>
    <row r="440" ht="15.75" customHeight="1">
      <c r="A440" s="16"/>
      <c r="B440" s="16"/>
      <c r="C440" s="16"/>
      <c r="D440" s="16"/>
      <c r="E440" s="17"/>
      <c r="J440" s="19"/>
    </row>
    <row r="441" ht="15.75" customHeight="1">
      <c r="A441" s="16"/>
      <c r="B441" s="16"/>
      <c r="C441" s="16"/>
      <c r="D441" s="16"/>
      <c r="E441" s="17"/>
      <c r="J441" s="19"/>
    </row>
    <row r="442" ht="15.75" customHeight="1">
      <c r="A442" s="16"/>
      <c r="B442" s="16"/>
      <c r="C442" s="16"/>
      <c r="D442" s="16"/>
      <c r="E442" s="17"/>
      <c r="J442" s="19"/>
    </row>
    <row r="443" ht="15.75" customHeight="1">
      <c r="A443" s="16"/>
      <c r="B443" s="16"/>
      <c r="C443" s="16"/>
      <c r="D443" s="16"/>
      <c r="E443" s="17"/>
      <c r="J443" s="19"/>
    </row>
    <row r="444" ht="15.75" customHeight="1">
      <c r="A444" s="16"/>
      <c r="B444" s="16"/>
      <c r="C444" s="16"/>
      <c r="D444" s="16"/>
      <c r="E444" s="17"/>
      <c r="J444" s="19"/>
    </row>
    <row r="445" ht="15.75" customHeight="1">
      <c r="A445" s="16"/>
      <c r="B445" s="16"/>
      <c r="C445" s="16"/>
      <c r="D445" s="16"/>
      <c r="E445" s="17"/>
      <c r="J445" s="19"/>
    </row>
    <row r="446" ht="15.75" customHeight="1">
      <c r="A446" s="16"/>
      <c r="B446" s="16"/>
      <c r="C446" s="16"/>
      <c r="D446" s="16"/>
      <c r="E446" s="17"/>
      <c r="J446" s="19"/>
    </row>
    <row r="447" ht="15.75" customHeight="1">
      <c r="A447" s="16"/>
      <c r="B447" s="16"/>
      <c r="C447" s="16"/>
      <c r="D447" s="16"/>
      <c r="E447" s="17"/>
      <c r="J447" s="19"/>
    </row>
    <row r="448" ht="15.75" customHeight="1">
      <c r="A448" s="16"/>
      <c r="B448" s="16"/>
      <c r="C448" s="16"/>
      <c r="D448" s="16"/>
      <c r="E448" s="17"/>
      <c r="J448" s="19"/>
    </row>
    <row r="449" ht="15.75" customHeight="1">
      <c r="A449" s="16"/>
      <c r="B449" s="16"/>
      <c r="C449" s="16"/>
      <c r="D449" s="16"/>
      <c r="E449" s="17"/>
      <c r="J449" s="19"/>
    </row>
    <row r="450" ht="15.75" customHeight="1">
      <c r="A450" s="16"/>
      <c r="B450" s="16"/>
      <c r="C450" s="16"/>
      <c r="D450" s="16"/>
      <c r="E450" s="17"/>
      <c r="J450" s="19"/>
    </row>
    <row r="451" ht="15.75" customHeight="1">
      <c r="A451" s="16"/>
      <c r="B451" s="16"/>
      <c r="C451" s="16"/>
      <c r="D451" s="16"/>
      <c r="E451" s="17"/>
      <c r="J451" s="19"/>
    </row>
    <row r="452" ht="15.75" customHeight="1">
      <c r="A452" s="16"/>
      <c r="B452" s="16"/>
      <c r="C452" s="16"/>
      <c r="D452" s="16"/>
      <c r="E452" s="17"/>
      <c r="J452" s="19"/>
    </row>
    <row r="453" ht="15.75" customHeight="1">
      <c r="A453" s="16"/>
      <c r="B453" s="16"/>
      <c r="C453" s="16"/>
      <c r="D453" s="16"/>
      <c r="E453" s="17"/>
      <c r="J453" s="19"/>
    </row>
    <row r="454" ht="15.75" customHeight="1">
      <c r="A454" s="16"/>
      <c r="B454" s="16"/>
      <c r="C454" s="16"/>
      <c r="D454" s="16"/>
      <c r="E454" s="17"/>
      <c r="J454" s="19"/>
    </row>
    <row r="455" ht="15.75" customHeight="1">
      <c r="A455" s="16"/>
      <c r="B455" s="16"/>
      <c r="C455" s="16"/>
      <c r="D455" s="16"/>
      <c r="E455" s="17"/>
      <c r="J455" s="19"/>
    </row>
    <row r="456" ht="15.75" customHeight="1">
      <c r="A456" s="16"/>
      <c r="B456" s="16"/>
      <c r="C456" s="16"/>
      <c r="D456" s="16"/>
      <c r="E456" s="17"/>
      <c r="J456" s="19"/>
    </row>
    <row r="457" ht="15.75" customHeight="1">
      <c r="A457" s="16"/>
      <c r="B457" s="16"/>
      <c r="C457" s="16"/>
      <c r="D457" s="16"/>
      <c r="E457" s="17"/>
      <c r="J457" s="19"/>
    </row>
    <row r="458" ht="15.75" customHeight="1">
      <c r="A458" s="16"/>
      <c r="B458" s="16"/>
      <c r="C458" s="16"/>
      <c r="D458" s="16"/>
      <c r="E458" s="17"/>
      <c r="J458" s="19"/>
    </row>
    <row r="459" ht="15.75" customHeight="1">
      <c r="A459" s="16"/>
      <c r="B459" s="16"/>
      <c r="C459" s="16"/>
      <c r="D459" s="16"/>
      <c r="E459" s="17"/>
      <c r="J459" s="19"/>
    </row>
    <row r="460" ht="15.75" customHeight="1">
      <c r="A460" s="16"/>
      <c r="B460" s="16"/>
      <c r="C460" s="16"/>
      <c r="D460" s="16"/>
      <c r="E460" s="17"/>
      <c r="J460" s="19"/>
    </row>
    <row r="461" ht="15.75" customHeight="1">
      <c r="A461" s="16"/>
      <c r="B461" s="16"/>
      <c r="C461" s="16"/>
      <c r="D461" s="16"/>
      <c r="E461" s="17"/>
      <c r="J461" s="19"/>
    </row>
    <row r="462" ht="15.75" customHeight="1">
      <c r="A462" s="16"/>
      <c r="B462" s="16"/>
      <c r="C462" s="16"/>
      <c r="D462" s="16"/>
      <c r="E462" s="17"/>
      <c r="J462" s="19"/>
    </row>
    <row r="463" ht="15.75" customHeight="1">
      <c r="A463" s="16"/>
      <c r="B463" s="16"/>
      <c r="C463" s="16"/>
      <c r="D463" s="16"/>
      <c r="E463" s="17"/>
      <c r="J463" s="19"/>
    </row>
    <row r="464" ht="15.75" customHeight="1">
      <c r="A464" s="16"/>
      <c r="B464" s="16"/>
      <c r="C464" s="16"/>
      <c r="D464" s="16"/>
      <c r="E464" s="17"/>
      <c r="J464" s="19"/>
    </row>
    <row r="465" ht="15.75" customHeight="1">
      <c r="A465" s="16"/>
      <c r="B465" s="16"/>
      <c r="C465" s="16"/>
      <c r="D465" s="16"/>
      <c r="E465" s="17"/>
      <c r="J465" s="19"/>
    </row>
    <row r="466" ht="15.75" customHeight="1">
      <c r="A466" s="16"/>
      <c r="B466" s="16"/>
      <c r="C466" s="16"/>
      <c r="D466" s="16"/>
      <c r="E466" s="17"/>
      <c r="J466" s="19"/>
    </row>
    <row r="467" ht="15.75" customHeight="1">
      <c r="A467" s="16"/>
      <c r="B467" s="16"/>
      <c r="C467" s="16"/>
      <c r="D467" s="16"/>
      <c r="E467" s="17"/>
      <c r="J467" s="19"/>
    </row>
    <row r="468" ht="15.75" customHeight="1">
      <c r="A468" s="16"/>
      <c r="B468" s="16"/>
      <c r="C468" s="16"/>
      <c r="D468" s="16"/>
      <c r="E468" s="17"/>
      <c r="J468" s="19"/>
    </row>
    <row r="469" ht="15.75" customHeight="1">
      <c r="A469" s="16"/>
      <c r="B469" s="16"/>
      <c r="C469" s="16"/>
      <c r="D469" s="16"/>
      <c r="E469" s="17"/>
      <c r="J469" s="19"/>
    </row>
    <row r="470" ht="15.75" customHeight="1">
      <c r="A470" s="16"/>
      <c r="B470" s="16"/>
      <c r="C470" s="16"/>
      <c r="D470" s="16"/>
      <c r="E470" s="17"/>
      <c r="J470" s="19"/>
    </row>
    <row r="471" ht="15.75" customHeight="1">
      <c r="A471" s="16"/>
      <c r="B471" s="16"/>
      <c r="C471" s="16"/>
      <c r="D471" s="16"/>
      <c r="E471" s="17"/>
      <c r="J471" s="19"/>
    </row>
    <row r="472" ht="15.75" customHeight="1">
      <c r="A472" s="16"/>
      <c r="B472" s="16"/>
      <c r="C472" s="16"/>
      <c r="D472" s="16"/>
      <c r="E472" s="17"/>
      <c r="J472" s="19"/>
    </row>
    <row r="473" ht="15.75" customHeight="1">
      <c r="A473" s="16"/>
      <c r="B473" s="16"/>
      <c r="C473" s="16"/>
      <c r="D473" s="16"/>
      <c r="E473" s="17"/>
      <c r="J473" s="19"/>
    </row>
    <row r="474" ht="15.75" customHeight="1">
      <c r="A474" s="16"/>
      <c r="B474" s="16"/>
      <c r="C474" s="16"/>
      <c r="D474" s="16"/>
      <c r="E474" s="17"/>
      <c r="J474" s="19"/>
    </row>
    <row r="475" ht="15.75" customHeight="1">
      <c r="A475" s="16"/>
      <c r="B475" s="16"/>
      <c r="C475" s="16"/>
      <c r="D475" s="16"/>
      <c r="E475" s="17"/>
      <c r="J475" s="19"/>
    </row>
    <row r="476" ht="15.75" customHeight="1">
      <c r="A476" s="16"/>
      <c r="B476" s="16"/>
      <c r="C476" s="16"/>
      <c r="D476" s="16"/>
      <c r="E476" s="17"/>
      <c r="J476" s="19"/>
    </row>
    <row r="477" ht="15.75" customHeight="1">
      <c r="A477" s="16"/>
      <c r="B477" s="16"/>
      <c r="C477" s="16"/>
      <c r="D477" s="16"/>
      <c r="E477" s="17"/>
      <c r="J477" s="19"/>
    </row>
    <row r="478" ht="15.75" customHeight="1">
      <c r="A478" s="16"/>
      <c r="B478" s="16"/>
      <c r="C478" s="16"/>
      <c r="D478" s="16"/>
      <c r="E478" s="17"/>
      <c r="J478" s="19"/>
    </row>
    <row r="479" ht="15.75" customHeight="1">
      <c r="A479" s="16"/>
      <c r="B479" s="16"/>
      <c r="C479" s="16"/>
      <c r="D479" s="16"/>
      <c r="E479" s="17"/>
      <c r="J479" s="19"/>
    </row>
    <row r="480" ht="15.75" customHeight="1">
      <c r="A480" s="16"/>
      <c r="B480" s="16"/>
      <c r="C480" s="16"/>
      <c r="D480" s="16"/>
      <c r="E480" s="17"/>
      <c r="J480" s="19"/>
    </row>
    <row r="481" ht="15.75" customHeight="1">
      <c r="A481" s="16"/>
      <c r="B481" s="16"/>
      <c r="C481" s="16"/>
      <c r="D481" s="16"/>
      <c r="E481" s="17"/>
      <c r="J481" s="19"/>
    </row>
    <row r="482" ht="15.75" customHeight="1">
      <c r="A482" s="16"/>
      <c r="B482" s="16"/>
      <c r="C482" s="16"/>
      <c r="D482" s="16"/>
      <c r="E482" s="17"/>
      <c r="J482" s="19"/>
    </row>
    <row r="483" ht="15.75" customHeight="1">
      <c r="A483" s="16"/>
      <c r="B483" s="16"/>
      <c r="C483" s="16"/>
      <c r="D483" s="16"/>
      <c r="E483" s="17"/>
      <c r="J483" s="19"/>
    </row>
    <row r="484" ht="15.75" customHeight="1">
      <c r="A484" s="16"/>
      <c r="B484" s="16"/>
      <c r="C484" s="16"/>
      <c r="D484" s="16"/>
      <c r="E484" s="17"/>
      <c r="J484" s="19"/>
    </row>
    <row r="485" ht="15.75" customHeight="1">
      <c r="A485" s="16"/>
      <c r="B485" s="16"/>
      <c r="C485" s="16"/>
      <c r="D485" s="16"/>
      <c r="E485" s="17"/>
      <c r="J485" s="19"/>
    </row>
    <row r="486" ht="15.75" customHeight="1">
      <c r="A486" s="16"/>
      <c r="B486" s="16"/>
      <c r="C486" s="16"/>
      <c r="D486" s="16"/>
      <c r="E486" s="17"/>
      <c r="J486" s="19"/>
    </row>
    <row r="487" ht="15.75" customHeight="1">
      <c r="A487" s="16"/>
      <c r="B487" s="16"/>
      <c r="C487" s="16"/>
      <c r="D487" s="16"/>
      <c r="E487" s="17"/>
      <c r="J487" s="19"/>
    </row>
    <row r="488" ht="15.75" customHeight="1">
      <c r="A488" s="16"/>
      <c r="B488" s="16"/>
      <c r="C488" s="16"/>
      <c r="D488" s="16"/>
      <c r="E488" s="17"/>
      <c r="J488" s="19"/>
    </row>
    <row r="489" ht="15.75" customHeight="1">
      <c r="A489" s="16"/>
      <c r="B489" s="16"/>
      <c r="C489" s="16"/>
      <c r="D489" s="16"/>
      <c r="E489" s="17"/>
      <c r="J489" s="19"/>
    </row>
    <row r="490" ht="15.75" customHeight="1">
      <c r="A490" s="16"/>
      <c r="B490" s="16"/>
      <c r="C490" s="16"/>
      <c r="D490" s="16"/>
      <c r="E490" s="17"/>
      <c r="J490" s="19"/>
    </row>
    <row r="491" ht="15.75" customHeight="1">
      <c r="A491" s="16"/>
      <c r="B491" s="16"/>
      <c r="C491" s="16"/>
      <c r="D491" s="16"/>
      <c r="E491" s="17"/>
      <c r="J491" s="19"/>
    </row>
    <row r="492" ht="15.75" customHeight="1">
      <c r="A492" s="16"/>
      <c r="B492" s="16"/>
      <c r="C492" s="16"/>
      <c r="D492" s="16"/>
      <c r="E492" s="17"/>
      <c r="J492" s="19"/>
    </row>
    <row r="493" ht="15.75" customHeight="1">
      <c r="A493" s="16"/>
      <c r="B493" s="16"/>
      <c r="C493" s="16"/>
      <c r="D493" s="16"/>
      <c r="E493" s="17"/>
      <c r="J493" s="19"/>
    </row>
    <row r="494" ht="15.75" customHeight="1">
      <c r="A494" s="16"/>
      <c r="B494" s="16"/>
      <c r="C494" s="16"/>
      <c r="D494" s="16"/>
      <c r="E494" s="17"/>
      <c r="J494" s="19"/>
    </row>
    <row r="495" ht="15.75" customHeight="1">
      <c r="A495" s="16"/>
      <c r="B495" s="16"/>
      <c r="C495" s="16"/>
      <c r="D495" s="16"/>
      <c r="E495" s="17"/>
      <c r="J495" s="19"/>
    </row>
    <row r="496" ht="15.75" customHeight="1">
      <c r="A496" s="16"/>
      <c r="B496" s="16"/>
      <c r="C496" s="16"/>
      <c r="D496" s="16"/>
      <c r="E496" s="17"/>
      <c r="J496" s="19"/>
    </row>
    <row r="497" ht="15.75" customHeight="1">
      <c r="A497" s="16"/>
      <c r="B497" s="16"/>
      <c r="C497" s="16"/>
      <c r="D497" s="16"/>
      <c r="E497" s="17"/>
      <c r="J497" s="19"/>
    </row>
    <row r="498" ht="15.75" customHeight="1">
      <c r="A498" s="16"/>
      <c r="B498" s="16"/>
      <c r="C498" s="16"/>
      <c r="D498" s="16"/>
      <c r="E498" s="17"/>
      <c r="J498" s="19"/>
    </row>
    <row r="499" ht="15.75" customHeight="1">
      <c r="A499" s="16"/>
      <c r="B499" s="16"/>
      <c r="C499" s="16"/>
      <c r="D499" s="16"/>
      <c r="E499" s="17"/>
      <c r="J499" s="19"/>
    </row>
    <row r="500" ht="15.75" customHeight="1">
      <c r="A500" s="16"/>
      <c r="B500" s="16"/>
      <c r="C500" s="16"/>
      <c r="D500" s="16"/>
      <c r="E500" s="17"/>
      <c r="J500" s="19"/>
    </row>
    <row r="501" ht="15.75" customHeight="1">
      <c r="A501" s="16"/>
      <c r="B501" s="16"/>
      <c r="C501" s="16"/>
      <c r="D501" s="16"/>
      <c r="E501" s="17"/>
      <c r="J501" s="19"/>
    </row>
    <row r="502" ht="15.75" customHeight="1">
      <c r="A502" s="16"/>
      <c r="B502" s="16"/>
      <c r="C502" s="16"/>
      <c r="D502" s="16"/>
      <c r="E502" s="17"/>
      <c r="J502" s="19"/>
    </row>
    <row r="503" ht="15.75" customHeight="1">
      <c r="A503" s="16"/>
      <c r="B503" s="16"/>
      <c r="C503" s="16"/>
      <c r="D503" s="16"/>
      <c r="E503" s="17"/>
      <c r="J503" s="19"/>
    </row>
    <row r="504" ht="15.75" customHeight="1">
      <c r="A504" s="16"/>
      <c r="B504" s="16"/>
      <c r="C504" s="16"/>
      <c r="D504" s="16"/>
      <c r="E504" s="17"/>
      <c r="J504" s="19"/>
    </row>
    <row r="505" ht="15.75" customHeight="1">
      <c r="A505" s="16"/>
      <c r="B505" s="16"/>
      <c r="C505" s="16"/>
      <c r="D505" s="16"/>
      <c r="E505" s="17"/>
      <c r="J505" s="19"/>
    </row>
    <row r="506" ht="15.75" customHeight="1">
      <c r="A506" s="16"/>
      <c r="B506" s="16"/>
      <c r="C506" s="16"/>
      <c r="D506" s="16"/>
      <c r="E506" s="17"/>
      <c r="J506" s="19"/>
    </row>
    <row r="507" ht="15.75" customHeight="1">
      <c r="A507" s="16"/>
      <c r="B507" s="16"/>
      <c r="C507" s="16"/>
      <c r="D507" s="16"/>
      <c r="E507" s="17"/>
      <c r="J507" s="19"/>
    </row>
    <row r="508" ht="15.75" customHeight="1">
      <c r="A508" s="16"/>
      <c r="B508" s="16"/>
      <c r="C508" s="16"/>
      <c r="D508" s="16"/>
      <c r="E508" s="17"/>
      <c r="J508" s="19"/>
    </row>
    <row r="509" ht="15.75" customHeight="1">
      <c r="A509" s="16"/>
      <c r="B509" s="16"/>
      <c r="C509" s="16"/>
      <c r="D509" s="16"/>
      <c r="E509" s="17"/>
      <c r="J509" s="19"/>
    </row>
    <row r="510" ht="15.75" customHeight="1">
      <c r="A510" s="16"/>
      <c r="B510" s="16"/>
      <c r="C510" s="16"/>
      <c r="D510" s="16"/>
      <c r="E510" s="17"/>
      <c r="J510" s="19"/>
    </row>
    <row r="511" ht="15.75" customHeight="1">
      <c r="A511" s="16"/>
      <c r="B511" s="16"/>
      <c r="C511" s="16"/>
      <c r="D511" s="16"/>
      <c r="E511" s="17"/>
      <c r="J511" s="19"/>
    </row>
    <row r="512" ht="15.75" customHeight="1">
      <c r="A512" s="16"/>
      <c r="B512" s="16"/>
      <c r="C512" s="16"/>
      <c r="D512" s="16"/>
      <c r="E512" s="17"/>
      <c r="J512" s="19"/>
    </row>
    <row r="513" ht="15.75" customHeight="1">
      <c r="A513" s="16"/>
      <c r="B513" s="16"/>
      <c r="C513" s="16"/>
      <c r="D513" s="16"/>
      <c r="E513" s="17"/>
      <c r="J513" s="19"/>
    </row>
    <row r="514" ht="15.75" customHeight="1">
      <c r="A514" s="16"/>
      <c r="B514" s="16"/>
      <c r="C514" s="16"/>
      <c r="D514" s="16"/>
      <c r="E514" s="17"/>
      <c r="J514" s="19"/>
    </row>
    <row r="515" ht="15.75" customHeight="1">
      <c r="A515" s="16"/>
      <c r="B515" s="16"/>
      <c r="C515" s="16"/>
      <c r="D515" s="16"/>
      <c r="E515" s="17"/>
      <c r="J515" s="19"/>
    </row>
    <row r="516" ht="15.75" customHeight="1">
      <c r="A516" s="16"/>
      <c r="B516" s="16"/>
      <c r="C516" s="16"/>
      <c r="D516" s="16"/>
      <c r="E516" s="17"/>
      <c r="J516" s="19"/>
    </row>
    <row r="517" ht="15.75" customHeight="1">
      <c r="A517" s="16"/>
      <c r="B517" s="16"/>
      <c r="C517" s="16"/>
      <c r="D517" s="16"/>
      <c r="E517" s="17"/>
      <c r="J517" s="19"/>
    </row>
    <row r="518" ht="15.75" customHeight="1">
      <c r="A518" s="16"/>
      <c r="B518" s="16"/>
      <c r="C518" s="16"/>
      <c r="D518" s="16"/>
      <c r="E518" s="17"/>
      <c r="J518" s="19"/>
    </row>
    <row r="519" ht="15.75" customHeight="1">
      <c r="A519" s="16"/>
      <c r="B519" s="16"/>
      <c r="C519" s="16"/>
      <c r="D519" s="16"/>
      <c r="E519" s="17"/>
      <c r="J519" s="19"/>
    </row>
    <row r="520" ht="15.75" customHeight="1">
      <c r="A520" s="16"/>
      <c r="B520" s="16"/>
      <c r="C520" s="16"/>
      <c r="D520" s="16"/>
      <c r="E520" s="17"/>
      <c r="J520" s="19"/>
    </row>
    <row r="521" ht="15.75" customHeight="1">
      <c r="A521" s="16"/>
      <c r="B521" s="16"/>
      <c r="C521" s="16"/>
      <c r="D521" s="16"/>
      <c r="E521" s="17"/>
      <c r="J521" s="19"/>
    </row>
    <row r="522" ht="15.75" customHeight="1">
      <c r="E522" s="56"/>
      <c r="J522" s="19"/>
    </row>
    <row r="523" ht="15.75" customHeight="1">
      <c r="E523" s="56"/>
      <c r="J523" s="19"/>
    </row>
    <row r="524" ht="15.75" customHeight="1">
      <c r="E524" s="56"/>
      <c r="J524" s="19"/>
    </row>
  </sheetData>
  <mergeCells count="42">
    <mergeCell ref="A2:B2"/>
    <mergeCell ref="D2:J2"/>
    <mergeCell ref="L2:M3"/>
    <mergeCell ref="D5:D32"/>
    <mergeCell ref="E5:E32"/>
    <mergeCell ref="D33:D60"/>
    <mergeCell ref="E33:E60"/>
    <mergeCell ref="D145:D172"/>
    <mergeCell ref="D173:D200"/>
    <mergeCell ref="D201:D228"/>
    <mergeCell ref="D229:D256"/>
    <mergeCell ref="D257:D284"/>
    <mergeCell ref="D285:D312"/>
    <mergeCell ref="D313:D340"/>
    <mergeCell ref="D341:D368"/>
    <mergeCell ref="D61:D88"/>
    <mergeCell ref="E61:E88"/>
    <mergeCell ref="D89:D116"/>
    <mergeCell ref="E89:E116"/>
    <mergeCell ref="D117:D144"/>
    <mergeCell ref="E117:E144"/>
    <mergeCell ref="E145:E172"/>
    <mergeCell ref="J201:J228"/>
    <mergeCell ref="J229:J256"/>
    <mergeCell ref="J257:J284"/>
    <mergeCell ref="J285:J312"/>
    <mergeCell ref="J313:J340"/>
    <mergeCell ref="J341:J368"/>
    <mergeCell ref="J5:J32"/>
    <mergeCell ref="J33:J60"/>
    <mergeCell ref="J61:J88"/>
    <mergeCell ref="J89:J116"/>
    <mergeCell ref="J117:J144"/>
    <mergeCell ref="J145:J172"/>
    <mergeCell ref="J173:J200"/>
    <mergeCell ref="E173:E200"/>
    <mergeCell ref="E201:E228"/>
    <mergeCell ref="E229:E256"/>
    <mergeCell ref="E257:E284"/>
    <mergeCell ref="E285:E312"/>
    <mergeCell ref="E313:E340"/>
    <mergeCell ref="E341:E36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16"/>
      <c r="B1" s="16"/>
      <c r="C1" s="16"/>
      <c r="D1" s="16"/>
      <c r="E1" s="17"/>
      <c r="F1" s="18"/>
      <c r="G1" s="18"/>
      <c r="H1" s="18"/>
      <c r="I1" s="18"/>
      <c r="J1" s="19"/>
      <c r="K1" s="18"/>
      <c r="L1" s="18"/>
      <c r="M1" s="18"/>
      <c r="N1" s="18"/>
    </row>
    <row r="2" ht="15.75" customHeight="1">
      <c r="A2" s="20" t="s">
        <v>44</v>
      </c>
      <c r="B2" s="21"/>
      <c r="C2" s="22"/>
      <c r="D2" s="22" t="s">
        <v>45</v>
      </c>
      <c r="K2" s="18"/>
      <c r="L2" s="23" t="s">
        <v>46</v>
      </c>
      <c r="M2" s="24"/>
      <c r="N2" s="18"/>
    </row>
    <row r="3" ht="15.75" customHeight="1">
      <c r="A3" s="25" t="s">
        <v>47</v>
      </c>
      <c r="B3" s="26" t="s">
        <v>48</v>
      </c>
      <c r="C3" s="16"/>
      <c r="D3" s="16"/>
      <c r="E3" s="17"/>
      <c r="F3" s="18"/>
      <c r="G3" s="18"/>
      <c r="H3" s="18"/>
      <c r="I3" s="18"/>
      <c r="J3" s="27"/>
      <c r="K3" s="18"/>
      <c r="L3" s="28"/>
      <c r="M3" s="29"/>
      <c r="N3" s="18"/>
    </row>
    <row r="4" ht="15.75" customHeight="1">
      <c r="A4" s="30" t="s">
        <v>21</v>
      </c>
      <c r="B4" s="31">
        <v>5000.0</v>
      </c>
      <c r="C4" s="32"/>
      <c r="D4" s="33" t="s">
        <v>1</v>
      </c>
      <c r="E4" s="34" t="s">
        <v>49</v>
      </c>
      <c r="F4" s="35" t="s">
        <v>50</v>
      </c>
      <c r="G4" s="36" t="s">
        <v>51</v>
      </c>
      <c r="H4" s="36" t="s">
        <v>52</v>
      </c>
      <c r="I4" s="36" t="s">
        <v>53</v>
      </c>
      <c r="J4" s="37" t="s">
        <v>54</v>
      </c>
      <c r="K4" s="18"/>
      <c r="L4" s="38" t="s">
        <v>55</v>
      </c>
      <c r="M4" s="38" t="s">
        <v>51</v>
      </c>
      <c r="N4" s="18"/>
    </row>
    <row r="5" ht="15.75" customHeight="1">
      <c r="A5" s="30" t="s">
        <v>56</v>
      </c>
      <c r="B5" s="31">
        <v>3000.0</v>
      </c>
      <c r="C5" s="39"/>
      <c r="D5" s="40">
        <v>1.0</v>
      </c>
      <c r="E5" s="41" t="s">
        <v>85</v>
      </c>
      <c r="F5" s="42" t="s">
        <v>21</v>
      </c>
      <c r="G5" s="43">
        <v>1.0</v>
      </c>
      <c r="H5" s="44">
        <f>VLOOKUP(F5,$A$4:$B$4,2,TRUE)</f>
        <v>5000</v>
      </c>
      <c r="I5" s="45">
        <f t="shared" ref="I5:I286" si="1">G5*H5</f>
        <v>5000</v>
      </c>
      <c r="J5" s="46">
        <f>SUM(I5:I32)</f>
        <v>11000</v>
      </c>
      <c r="K5" s="18"/>
      <c r="L5" s="42" t="s">
        <v>21</v>
      </c>
      <c r="M5" s="38">
        <f>SUMIF(F5:F284,"Gelas bersih",G5:G284)</f>
        <v>3</v>
      </c>
      <c r="N5" s="18"/>
    </row>
    <row r="6" ht="15.75" customHeight="1">
      <c r="A6" s="30" t="s">
        <v>58</v>
      </c>
      <c r="B6" s="31">
        <v>1000.0</v>
      </c>
      <c r="C6" s="39"/>
      <c r="D6" s="47"/>
      <c r="E6" s="47"/>
      <c r="F6" s="42" t="s">
        <v>56</v>
      </c>
      <c r="G6" s="43">
        <v>2.0</v>
      </c>
      <c r="H6" s="48">
        <f>VLOOKUP(F6,$A$5:$B$5,2,TRUE)</f>
        <v>3000</v>
      </c>
      <c r="I6" s="45">
        <f t="shared" si="1"/>
        <v>6000</v>
      </c>
      <c r="J6" s="47"/>
      <c r="K6" s="18"/>
      <c r="L6" s="42" t="s">
        <v>56</v>
      </c>
      <c r="M6" s="38">
        <f>SUMIF(F6:F285,"Botol bersih",G6:G285)</f>
        <v>5.5</v>
      </c>
      <c r="N6" s="18"/>
    </row>
    <row r="7" ht="15.75" customHeight="1">
      <c r="A7" s="30" t="s">
        <v>24</v>
      </c>
      <c r="B7" s="31">
        <v>2800.0</v>
      </c>
      <c r="C7" s="39"/>
      <c r="D7" s="47"/>
      <c r="E7" s="47"/>
      <c r="F7" s="42" t="s">
        <v>58</v>
      </c>
      <c r="G7" s="43"/>
      <c r="H7" s="48">
        <f>VLOOKUP(F7,$A$6:$B$6,2,TRUE)</f>
        <v>1000</v>
      </c>
      <c r="I7" s="45">
        <f t="shared" si="1"/>
        <v>0</v>
      </c>
      <c r="J7" s="47"/>
      <c r="K7" s="18"/>
      <c r="L7" s="42" t="s">
        <v>58</v>
      </c>
      <c r="M7" s="38">
        <f>SUMIF(F7:F286,"Botol Warna",G7:G286)</f>
        <v>0</v>
      </c>
      <c r="N7" s="18"/>
    </row>
    <row r="8" ht="15.75" customHeight="1">
      <c r="A8" s="30" t="s">
        <v>25</v>
      </c>
      <c r="B8" s="31">
        <v>3500.0</v>
      </c>
      <c r="C8" s="39"/>
      <c r="D8" s="47"/>
      <c r="E8" s="47"/>
      <c r="F8" s="42" t="s">
        <v>24</v>
      </c>
      <c r="G8" s="43"/>
      <c r="H8" s="48">
        <f>VLOOKUP(F8,$A$7:$B$7,2,TRUE)</f>
        <v>2800</v>
      </c>
      <c r="I8" s="45">
        <f t="shared" si="1"/>
        <v>0</v>
      </c>
      <c r="J8" s="47"/>
      <c r="K8" s="18"/>
      <c r="L8" s="42" t="s">
        <v>24</v>
      </c>
      <c r="M8" s="38">
        <f>SUMIF(F8:F287,"Tutup botol",G8:G287)</f>
        <v>1</v>
      </c>
      <c r="N8" s="18"/>
    </row>
    <row r="9" ht="15.75" customHeight="1">
      <c r="A9" s="30" t="s">
        <v>26</v>
      </c>
      <c r="B9" s="31">
        <v>1000.0</v>
      </c>
      <c r="C9" s="39"/>
      <c r="D9" s="47"/>
      <c r="E9" s="47"/>
      <c r="F9" s="42" t="s">
        <v>25</v>
      </c>
      <c r="G9" s="43"/>
      <c r="H9" s="48">
        <f>VLOOKUP(F9,$A$8:$B$8,2,TRUE)</f>
        <v>3500</v>
      </c>
      <c r="I9" s="45">
        <f t="shared" si="1"/>
        <v>0</v>
      </c>
      <c r="J9" s="47"/>
      <c r="K9" s="18"/>
      <c r="L9" s="42" t="s">
        <v>25</v>
      </c>
      <c r="M9" s="38">
        <f>SUMIF(F9:F288,"Tutup galon",G9:G288)</f>
        <v>0</v>
      </c>
      <c r="N9" s="18"/>
    </row>
    <row r="10" ht="15.75" customHeight="1">
      <c r="A10" s="30" t="s">
        <v>27</v>
      </c>
      <c r="B10" s="31">
        <v>2000.0</v>
      </c>
      <c r="C10" s="39"/>
      <c r="D10" s="47"/>
      <c r="E10" s="47"/>
      <c r="F10" s="42" t="s">
        <v>26</v>
      </c>
      <c r="G10" s="43"/>
      <c r="H10" s="48">
        <f>VLOOKUP(F10,$A$9:$B$9,2,TRUE)</f>
        <v>1000</v>
      </c>
      <c r="I10" s="45">
        <f t="shared" si="1"/>
        <v>0</v>
      </c>
      <c r="J10" s="47"/>
      <c r="K10" s="18"/>
      <c r="L10" s="42" t="s">
        <v>26</v>
      </c>
      <c r="M10" s="38">
        <f>SUMIF(F10:F289,"Hitam",G10:G289)</f>
        <v>27</v>
      </c>
      <c r="N10" s="18"/>
    </row>
    <row r="11" ht="15.75" customHeight="1">
      <c r="A11" s="30" t="s">
        <v>28</v>
      </c>
      <c r="B11" s="31">
        <v>2000.0</v>
      </c>
      <c r="C11" s="39"/>
      <c r="D11" s="47"/>
      <c r="E11" s="47"/>
      <c r="F11" s="42" t="s">
        <v>27</v>
      </c>
      <c r="G11" s="43"/>
      <c r="H11" s="48">
        <f>VLOOKUP(F11,$A$10:$B$10,2,TRUE)</f>
        <v>2000</v>
      </c>
      <c r="I11" s="45">
        <f t="shared" si="1"/>
        <v>0</v>
      </c>
      <c r="J11" s="47"/>
      <c r="K11" s="18"/>
      <c r="L11" s="42" t="s">
        <v>27</v>
      </c>
      <c r="M11" s="38">
        <f>SUMIF(F11:F290,"Plastik Campur",G11:G290)</f>
        <v>13.5</v>
      </c>
      <c r="N11" s="18"/>
    </row>
    <row r="12" ht="15.75" customHeight="1">
      <c r="A12" s="30" t="s">
        <v>29</v>
      </c>
      <c r="B12" s="31">
        <v>1300.0</v>
      </c>
      <c r="C12" s="39"/>
      <c r="D12" s="47"/>
      <c r="E12" s="47"/>
      <c r="F12" s="42" t="s">
        <v>28</v>
      </c>
      <c r="G12" s="43"/>
      <c r="H12" s="48">
        <f>VLOOKUP(F12,$A$11:$B$11,2,TRUE)</f>
        <v>2000</v>
      </c>
      <c r="I12" s="45">
        <f t="shared" si="1"/>
        <v>0</v>
      </c>
      <c r="J12" s="47"/>
      <c r="K12" s="18"/>
      <c r="L12" s="42" t="s">
        <v>28</v>
      </c>
      <c r="M12" s="38">
        <f>SUMIF(F12:F291,"Kardus",G12:G291)</f>
        <v>7.5</v>
      </c>
      <c r="N12" s="18"/>
    </row>
    <row r="13" ht="15.75" customHeight="1">
      <c r="A13" s="30" t="s">
        <v>30</v>
      </c>
      <c r="B13" s="31">
        <v>1000.0</v>
      </c>
      <c r="C13" s="39"/>
      <c r="D13" s="47"/>
      <c r="E13" s="47"/>
      <c r="F13" s="42" t="s">
        <v>29</v>
      </c>
      <c r="G13" s="43"/>
      <c r="H13" s="48">
        <f>VLOOKUP(F13,$A$12:$B$12,2,TRUE)</f>
        <v>1300</v>
      </c>
      <c r="I13" s="45">
        <f t="shared" si="1"/>
        <v>0</v>
      </c>
      <c r="J13" s="47"/>
      <c r="K13" s="18"/>
      <c r="L13" s="42" t="s">
        <v>29</v>
      </c>
      <c r="M13" s="38">
        <f>SUMIF(F13:F292,"Kertas Putihan/ HVS",G13:G292)</f>
        <v>0</v>
      </c>
      <c r="N13" s="18"/>
    </row>
    <row r="14" ht="15.75" customHeight="1">
      <c r="A14" s="30" t="s">
        <v>31</v>
      </c>
      <c r="B14" s="31">
        <v>400.0</v>
      </c>
      <c r="C14" s="39"/>
      <c r="D14" s="47"/>
      <c r="E14" s="47"/>
      <c r="F14" s="42" t="s">
        <v>30</v>
      </c>
      <c r="G14" s="43"/>
      <c r="H14" s="48">
        <f>VLOOKUP(F14,$A$13:$B$13,2,TRUE)</f>
        <v>1000</v>
      </c>
      <c r="I14" s="45">
        <f t="shared" si="1"/>
        <v>0</v>
      </c>
      <c r="J14" s="47"/>
      <c r="K14" s="18"/>
      <c r="L14" s="42" t="s">
        <v>30</v>
      </c>
      <c r="M14" s="38">
        <f>SUMIF(F14:F293,"Koran/Buku",G14:G293)</f>
        <v>6</v>
      </c>
      <c r="N14" s="18"/>
    </row>
    <row r="15" ht="15.75" customHeight="1">
      <c r="A15" s="30" t="s">
        <v>32</v>
      </c>
      <c r="B15" s="31">
        <v>7500.0</v>
      </c>
      <c r="C15" s="39"/>
      <c r="D15" s="47"/>
      <c r="E15" s="47"/>
      <c r="F15" s="42" t="s">
        <v>31</v>
      </c>
      <c r="G15" s="43"/>
      <c r="H15" s="48">
        <f>VLOOKUP(F15,$A$14:$B$14,2,TRUE)</f>
        <v>400</v>
      </c>
      <c r="I15" s="45">
        <f t="shared" si="1"/>
        <v>0</v>
      </c>
      <c r="J15" s="47"/>
      <c r="K15" s="18"/>
      <c r="L15" s="42" t="s">
        <v>31</v>
      </c>
      <c r="M15" s="38">
        <f>SUMIF(F15:F294,"Duplex",G15:G294)</f>
        <v>4.5</v>
      </c>
      <c r="N15" s="18"/>
    </row>
    <row r="16" ht="15.75" customHeight="1">
      <c r="A16" s="30" t="s">
        <v>33</v>
      </c>
      <c r="B16" s="31">
        <v>2000.0</v>
      </c>
      <c r="C16" s="39"/>
      <c r="D16" s="47"/>
      <c r="E16" s="47"/>
      <c r="F16" s="42" t="s">
        <v>32</v>
      </c>
      <c r="G16" s="43"/>
      <c r="H16" s="48">
        <f>VLOOKUP(F16,$A$15:$B$15,2,TRUE)</f>
        <v>7500</v>
      </c>
      <c r="I16" s="45">
        <f t="shared" si="1"/>
        <v>0</v>
      </c>
      <c r="J16" s="47"/>
      <c r="K16" s="18"/>
      <c r="L16" s="42" t="s">
        <v>32</v>
      </c>
      <c r="M16" s="38">
        <f>SUMIF(F16:F295,"Alumunium",G16:G295)</f>
        <v>0</v>
      </c>
      <c r="N16" s="18"/>
    </row>
    <row r="17" ht="15.75" customHeight="1">
      <c r="A17" s="30" t="s">
        <v>34</v>
      </c>
      <c r="B17" s="31">
        <v>800.0</v>
      </c>
      <c r="C17" s="39"/>
      <c r="D17" s="47"/>
      <c r="E17" s="47"/>
      <c r="F17" s="42" t="s">
        <v>33</v>
      </c>
      <c r="G17" s="43"/>
      <c r="H17" s="48">
        <f>VLOOKUP(F17,$A$16:$B$16,2,TRUE)</f>
        <v>2000</v>
      </c>
      <c r="I17" s="45">
        <f t="shared" si="1"/>
        <v>0</v>
      </c>
      <c r="J17" s="47"/>
      <c r="K17" s="18"/>
      <c r="L17" s="42" t="s">
        <v>33</v>
      </c>
      <c r="M17" s="38">
        <f>SUMIF(F17:F296,"Besi",G17:G296)</f>
        <v>7.5</v>
      </c>
      <c r="N17" s="18"/>
    </row>
    <row r="18" ht="15.75" customHeight="1">
      <c r="A18" s="30" t="s">
        <v>35</v>
      </c>
      <c r="B18" s="31">
        <v>5000.0</v>
      </c>
      <c r="C18" s="39"/>
      <c r="D18" s="47"/>
      <c r="E18" s="47"/>
      <c r="F18" s="42" t="s">
        <v>34</v>
      </c>
      <c r="G18" s="43"/>
      <c r="H18" s="48">
        <f>VLOOKUP(F18,$A$17:$B$17,2,TRUE)</f>
        <v>800</v>
      </c>
      <c r="I18" s="45">
        <f t="shared" si="1"/>
        <v>0</v>
      </c>
      <c r="J18" s="47"/>
      <c r="K18" s="18"/>
      <c r="L18" s="42" t="s">
        <v>34</v>
      </c>
      <c r="M18" s="38">
        <f>SUMIF(F18:F297,"Kaleng kue/susu",G18:G297)</f>
        <v>0</v>
      </c>
      <c r="N18" s="18"/>
    </row>
    <row r="19" ht="15.75" customHeight="1">
      <c r="A19" s="30" t="s">
        <v>36</v>
      </c>
      <c r="B19" s="31">
        <v>2700.0</v>
      </c>
      <c r="C19" s="39"/>
      <c r="D19" s="47"/>
      <c r="E19" s="47"/>
      <c r="F19" s="42" t="s">
        <v>35</v>
      </c>
      <c r="G19" s="43"/>
      <c r="H19" s="48">
        <f>VLOOKUP(F19,$A$18:$B$18,2,TRUE)</f>
        <v>5000</v>
      </c>
      <c r="I19" s="45">
        <f t="shared" si="1"/>
        <v>0</v>
      </c>
      <c r="J19" s="47"/>
      <c r="K19" s="18"/>
      <c r="L19" s="42" t="s">
        <v>35</v>
      </c>
      <c r="M19" s="38">
        <f>SUMIF(F19:F298,"Kaleng Minuman",G19:G298)</f>
        <v>0</v>
      </c>
      <c r="N19" s="18"/>
    </row>
    <row r="20" ht="15.75" customHeight="1">
      <c r="A20" s="30" t="s">
        <v>37</v>
      </c>
      <c r="B20" s="31">
        <v>50000.0</v>
      </c>
      <c r="C20" s="39"/>
      <c r="D20" s="47"/>
      <c r="E20" s="47"/>
      <c r="F20" s="42" t="s">
        <v>36</v>
      </c>
      <c r="G20" s="43"/>
      <c r="H20" s="48">
        <f>VLOOKUP(F20,$A$19:$B$19,2,TRUE)</f>
        <v>2700</v>
      </c>
      <c r="I20" s="45">
        <f t="shared" si="1"/>
        <v>0</v>
      </c>
      <c r="J20" s="47"/>
      <c r="K20" s="18"/>
      <c r="L20" s="42" t="s">
        <v>36</v>
      </c>
      <c r="M20" s="38">
        <f>SUMIF(F20:F299,"Stanless",G20:G299)</f>
        <v>0</v>
      </c>
      <c r="N20" s="18"/>
    </row>
    <row r="21" ht="15.75" customHeight="1">
      <c r="A21" s="30" t="s">
        <v>38</v>
      </c>
      <c r="B21" s="31">
        <v>10000.0</v>
      </c>
      <c r="C21" s="39"/>
      <c r="D21" s="47"/>
      <c r="E21" s="47"/>
      <c r="F21" s="42" t="s">
        <v>37</v>
      </c>
      <c r="G21" s="43"/>
      <c r="H21" s="48">
        <f>VLOOKUP(F21,$A$20:$B$20,2,TRUE)</f>
        <v>50000</v>
      </c>
      <c r="I21" s="45">
        <f t="shared" si="1"/>
        <v>0</v>
      </c>
      <c r="J21" s="47"/>
      <c r="K21" s="18"/>
      <c r="L21" s="42" t="s">
        <v>37</v>
      </c>
      <c r="M21" s="38">
        <f>SUMIF(F21:F300,"Tembaga",G21:G300)</f>
        <v>0</v>
      </c>
      <c r="N21" s="18"/>
    </row>
    <row r="22" ht="15.75" customHeight="1">
      <c r="A22" s="30" t="s">
        <v>39</v>
      </c>
      <c r="B22" s="31">
        <v>1000.0</v>
      </c>
      <c r="C22" s="39"/>
      <c r="D22" s="47"/>
      <c r="E22" s="47"/>
      <c r="F22" s="42" t="s">
        <v>38</v>
      </c>
      <c r="G22" s="43"/>
      <c r="H22" s="48">
        <f>VLOOKUP(F22,$A$21:$B$21,2,TRUE)</f>
        <v>10000</v>
      </c>
      <c r="I22" s="45">
        <f t="shared" si="1"/>
        <v>0</v>
      </c>
      <c r="J22" s="47"/>
      <c r="K22" s="18"/>
      <c r="L22" s="42" t="s">
        <v>38</v>
      </c>
      <c r="M22" s="38">
        <f>SUMIF(F22:F301,"Aki Motor",G22:G301)</f>
        <v>0</v>
      </c>
      <c r="N22" s="18"/>
    </row>
    <row r="23" ht="15.75" customHeight="1">
      <c r="A23" s="30" t="s">
        <v>40</v>
      </c>
      <c r="B23" s="31">
        <v>500.0</v>
      </c>
      <c r="C23" s="39"/>
      <c r="D23" s="47"/>
      <c r="E23" s="47"/>
      <c r="F23" s="42" t="s">
        <v>39</v>
      </c>
      <c r="G23" s="43"/>
      <c r="H23" s="48">
        <f>VLOOKUP(F23,$A$22:$B$22,2,TRUE)</f>
        <v>1000</v>
      </c>
      <c r="I23" s="45">
        <f t="shared" si="1"/>
        <v>0</v>
      </c>
      <c r="J23" s="47"/>
      <c r="K23" s="18"/>
      <c r="L23" s="42" t="s">
        <v>39</v>
      </c>
      <c r="M23" s="38">
        <f>SUMIF(F23:F302,"Paralon",G23:G302)</f>
        <v>0</v>
      </c>
      <c r="N23" s="18"/>
    </row>
    <row r="24" ht="15.75" customHeight="1">
      <c r="A24" s="30" t="s">
        <v>41</v>
      </c>
      <c r="B24" s="31">
        <v>200.0</v>
      </c>
      <c r="C24" s="39"/>
      <c r="D24" s="47"/>
      <c r="E24" s="47"/>
      <c r="F24" s="42" t="s">
        <v>40</v>
      </c>
      <c r="G24" s="43"/>
      <c r="H24" s="48">
        <f>VLOOKUP(F24,$A$23:$B$23,2,TRUE)</f>
        <v>500</v>
      </c>
      <c r="I24" s="45">
        <f t="shared" si="1"/>
        <v>0</v>
      </c>
      <c r="J24" s="47"/>
      <c r="K24" s="18"/>
      <c r="L24" s="42" t="s">
        <v>40</v>
      </c>
      <c r="M24" s="38">
        <f>SUMIF(F24:F303,"Plastik bening",G24:G303)</f>
        <v>1</v>
      </c>
      <c r="N24" s="18"/>
    </row>
    <row r="25" ht="15.75" customHeight="1">
      <c r="A25" s="30" t="s">
        <v>42</v>
      </c>
      <c r="B25" s="31">
        <v>1000.0</v>
      </c>
      <c r="C25" s="39"/>
      <c r="D25" s="47"/>
      <c r="E25" s="47"/>
      <c r="F25" s="42" t="s">
        <v>41</v>
      </c>
      <c r="G25" s="43"/>
      <c r="H25" s="48">
        <f>VLOOKUP(F25,$A$24:$B$24,2,TRUE)</f>
        <v>200</v>
      </c>
      <c r="I25" s="45">
        <f t="shared" si="1"/>
        <v>0</v>
      </c>
      <c r="J25" s="47"/>
      <c r="K25" s="18"/>
      <c r="L25" s="42" t="s">
        <v>41</v>
      </c>
      <c r="M25" s="38">
        <f>SUMIF(F25:F304,"Plastik Warna",G25:G304)</f>
        <v>0</v>
      </c>
      <c r="N25" s="18"/>
    </row>
    <row r="26" ht="15.75" customHeight="1">
      <c r="A26" s="30" t="s">
        <v>17</v>
      </c>
      <c r="B26" s="31">
        <v>300.0</v>
      </c>
      <c r="C26" s="39"/>
      <c r="D26" s="47"/>
      <c r="E26" s="47"/>
      <c r="F26" s="42" t="s">
        <v>42</v>
      </c>
      <c r="G26" s="43"/>
      <c r="H26" s="48">
        <f>VLOOKUP(F26,$A$25:$B$25,2,TRUE)</f>
        <v>1000</v>
      </c>
      <c r="I26" s="45">
        <f t="shared" si="1"/>
        <v>0</v>
      </c>
      <c r="J26" s="47"/>
      <c r="K26" s="18"/>
      <c r="L26" s="42" t="s">
        <v>42</v>
      </c>
      <c r="M26" s="38">
        <f>SUMIF(F26:F305,"Selang",G26:G305)</f>
        <v>0</v>
      </c>
      <c r="N26" s="18"/>
    </row>
    <row r="27" ht="15.75" customHeight="1">
      <c r="A27" s="30" t="s">
        <v>43</v>
      </c>
      <c r="B27" s="31">
        <v>100.0</v>
      </c>
      <c r="C27" s="39"/>
      <c r="D27" s="47"/>
      <c r="E27" s="47"/>
      <c r="F27" s="42" t="s">
        <v>17</v>
      </c>
      <c r="G27" s="43"/>
      <c r="H27" s="48">
        <f>VLOOKUP(F27,$A$26:$B$26,2,TRUE)</f>
        <v>300</v>
      </c>
      <c r="I27" s="45">
        <f t="shared" si="1"/>
        <v>0</v>
      </c>
      <c r="J27" s="47"/>
      <c r="K27" s="18"/>
      <c r="L27" s="42" t="s">
        <v>17</v>
      </c>
      <c r="M27" s="38">
        <f>SUMIF(F27:F306,"Beling",G27:G306)</f>
        <v>11.5</v>
      </c>
      <c r="N27" s="18"/>
    </row>
    <row r="28" ht="15.75" customHeight="1">
      <c r="A28" s="30" t="s">
        <v>59</v>
      </c>
      <c r="B28" s="31">
        <v>500.0</v>
      </c>
      <c r="C28" s="39"/>
      <c r="D28" s="47"/>
      <c r="E28" s="47"/>
      <c r="F28" s="42" t="s">
        <v>43</v>
      </c>
      <c r="G28" s="43"/>
      <c r="H28" s="48">
        <f>VLOOKUP(F28,$A$27:$B$27,2,TRUE)</f>
        <v>100</v>
      </c>
      <c r="I28" s="45">
        <f t="shared" si="1"/>
        <v>0</v>
      </c>
      <c r="J28" s="47"/>
      <c r="K28" s="18"/>
      <c r="L28" s="42" t="s">
        <v>43</v>
      </c>
      <c r="M28" s="38">
        <f>SUMIF(F28:F307,"Pecahan",G28:G307)</f>
        <v>0</v>
      </c>
      <c r="N28" s="18"/>
    </row>
    <row r="29" ht="15.75" customHeight="1">
      <c r="A29" s="30" t="s">
        <v>13</v>
      </c>
      <c r="B29" s="49">
        <v>1500.0</v>
      </c>
      <c r="C29" s="39"/>
      <c r="D29" s="47"/>
      <c r="E29" s="47"/>
      <c r="F29" s="42" t="s">
        <v>59</v>
      </c>
      <c r="G29" s="43"/>
      <c r="H29" s="48">
        <f>VLOOKUP(F29,$A$28:$B$28,2,TRUE)</f>
        <v>500</v>
      </c>
      <c r="I29" s="45">
        <f t="shared" si="1"/>
        <v>0</v>
      </c>
      <c r="J29" s="47"/>
      <c r="K29" s="18"/>
      <c r="L29" s="42" t="s">
        <v>59</v>
      </c>
      <c r="M29" s="38">
        <f>SUMIF(F29:F308,"Sendal/Sepatu",G29:G308)</f>
        <v>0</v>
      </c>
      <c r="N29" s="18"/>
    </row>
    <row r="30" ht="15.75" customHeight="1">
      <c r="A30" s="30" t="s">
        <v>19</v>
      </c>
      <c r="B30" s="31">
        <v>4000.0</v>
      </c>
      <c r="C30" s="39"/>
      <c r="D30" s="47"/>
      <c r="E30" s="47"/>
      <c r="F30" s="42" t="s">
        <v>13</v>
      </c>
      <c r="G30" s="43"/>
      <c r="H30" s="48">
        <f>VLOOKUP(F30,$A$29:$B$29,2,TRUE)</f>
        <v>1500</v>
      </c>
      <c r="I30" s="45">
        <f t="shared" si="1"/>
        <v>0</v>
      </c>
      <c r="J30" s="47"/>
      <c r="K30" s="18"/>
      <c r="L30" s="42" t="s">
        <v>13</v>
      </c>
      <c r="M30" s="38">
        <f>SUMIF(F30:F309,"Paku",G30:G309)</f>
        <v>0</v>
      </c>
      <c r="N30" s="18"/>
    </row>
    <row r="31" ht="15.75" customHeight="1">
      <c r="A31" s="30" t="s">
        <v>60</v>
      </c>
      <c r="B31" s="31">
        <v>500.0</v>
      </c>
      <c r="C31" s="39"/>
      <c r="D31" s="47"/>
      <c r="E31" s="47"/>
      <c r="F31" s="42" t="s">
        <v>19</v>
      </c>
      <c r="G31" s="43"/>
      <c r="H31" s="48">
        <f>VLOOKUP(F31,$A$30:$B$30,2,TRUE)</f>
        <v>4000</v>
      </c>
      <c r="I31" s="45">
        <f t="shared" si="1"/>
        <v>0</v>
      </c>
      <c r="J31" s="47"/>
      <c r="K31" s="18"/>
      <c r="L31" s="42" t="s">
        <v>19</v>
      </c>
      <c r="M31" s="38">
        <f>SUMIF(F31:F310,"Minyak Jelantah",G31:G310)</f>
        <v>1</v>
      </c>
      <c r="N31" s="18"/>
    </row>
    <row r="32" ht="15.75" customHeight="1">
      <c r="A32" s="39"/>
      <c r="B32" s="39"/>
      <c r="C32" s="39"/>
      <c r="D32" s="7"/>
      <c r="E32" s="7"/>
      <c r="F32" s="42" t="s">
        <v>61</v>
      </c>
      <c r="G32" s="43"/>
      <c r="H32" s="48">
        <f>VLOOKUP(F32,$A$31:$B$31,2,TRUE)</f>
        <v>500</v>
      </c>
      <c r="I32" s="45">
        <f t="shared" si="1"/>
        <v>0</v>
      </c>
      <c r="J32" s="7"/>
      <c r="K32" s="18"/>
      <c r="L32" s="42" t="s">
        <v>60</v>
      </c>
      <c r="M32" s="38">
        <f>SUMIF(F32:F311,"Lainnya",G32:G311)</f>
        <v>11.5</v>
      </c>
      <c r="N32" s="18"/>
    </row>
    <row r="33" ht="15.75" customHeight="1">
      <c r="A33" s="39"/>
      <c r="B33" s="39"/>
      <c r="C33" s="39"/>
      <c r="D33" s="40">
        <v>2.0</v>
      </c>
      <c r="E33" s="41" t="s">
        <v>86</v>
      </c>
      <c r="F33" s="42" t="s">
        <v>21</v>
      </c>
      <c r="G33" s="43"/>
      <c r="H33" s="50">
        <f>VLOOKUP(F33,$A$4:$B$4,2,TRUE)</f>
        <v>5000</v>
      </c>
      <c r="I33" s="45">
        <f t="shared" si="1"/>
        <v>0</v>
      </c>
      <c r="J33" s="46">
        <f>SUM(I33:I60)</f>
        <v>6600</v>
      </c>
      <c r="K33" s="18"/>
      <c r="L33" s="18"/>
      <c r="M33" s="18"/>
      <c r="N33" s="18"/>
    </row>
    <row r="34" ht="15.75" customHeight="1">
      <c r="A34" s="39"/>
      <c r="B34" s="39"/>
      <c r="C34" s="39"/>
      <c r="D34" s="47"/>
      <c r="E34" s="47"/>
      <c r="F34" s="42" t="s">
        <v>56</v>
      </c>
      <c r="G34" s="43"/>
      <c r="H34" s="50">
        <f>VLOOKUP(F34,$A$5:$B$5,2,TRUE)</f>
        <v>3000</v>
      </c>
      <c r="I34" s="45">
        <f t="shared" si="1"/>
        <v>0</v>
      </c>
      <c r="J34" s="47"/>
      <c r="K34" s="18"/>
      <c r="L34" s="18"/>
      <c r="M34" s="18"/>
      <c r="N34" s="18"/>
    </row>
    <row r="35" ht="15.75" customHeight="1">
      <c r="A35" s="39"/>
      <c r="B35" s="39"/>
      <c r="C35" s="39"/>
      <c r="D35" s="47"/>
      <c r="E35" s="47"/>
      <c r="F35" s="42" t="s">
        <v>58</v>
      </c>
      <c r="G35" s="43"/>
      <c r="H35" s="50">
        <f>VLOOKUP(F35,$A$6:$B$6,2,TRUE)</f>
        <v>1000</v>
      </c>
      <c r="I35" s="45">
        <f t="shared" si="1"/>
        <v>0</v>
      </c>
      <c r="J35" s="47"/>
      <c r="K35" s="18"/>
      <c r="L35" s="18"/>
      <c r="M35" s="18"/>
      <c r="N35" s="18"/>
    </row>
    <row r="36" ht="15.75" customHeight="1">
      <c r="A36" s="39"/>
      <c r="B36" s="39"/>
      <c r="C36" s="39"/>
      <c r="D36" s="47"/>
      <c r="E36" s="47"/>
      <c r="F36" s="42" t="s">
        <v>24</v>
      </c>
      <c r="G36" s="43"/>
      <c r="H36" s="50">
        <f>VLOOKUP(F36,$A$7:$B$7,2,TRUE)</f>
        <v>2800</v>
      </c>
      <c r="I36" s="45">
        <f t="shared" si="1"/>
        <v>0</v>
      </c>
      <c r="J36" s="47"/>
      <c r="K36" s="18"/>
      <c r="L36" s="18"/>
      <c r="M36" s="18"/>
      <c r="N36" s="18"/>
    </row>
    <row r="37" ht="15.75" customHeight="1">
      <c r="A37" s="39"/>
      <c r="B37" s="39"/>
      <c r="C37" s="39"/>
      <c r="D37" s="47"/>
      <c r="E37" s="47"/>
      <c r="F37" s="42" t="s">
        <v>25</v>
      </c>
      <c r="G37" s="43"/>
      <c r="H37" s="50">
        <f>VLOOKUP(F37,$A$8:$B$8,2,TRUE)</f>
        <v>3500</v>
      </c>
      <c r="I37" s="45">
        <f t="shared" si="1"/>
        <v>0</v>
      </c>
      <c r="J37" s="47"/>
      <c r="K37" s="18"/>
      <c r="L37" s="18"/>
      <c r="M37" s="18"/>
      <c r="N37" s="18"/>
    </row>
    <row r="38" ht="15.75" customHeight="1">
      <c r="A38" s="39"/>
      <c r="B38" s="39"/>
      <c r="C38" s="39"/>
      <c r="D38" s="47"/>
      <c r="E38" s="47"/>
      <c r="F38" s="42" t="s">
        <v>26</v>
      </c>
      <c r="G38" s="43">
        <v>1.0</v>
      </c>
      <c r="H38" s="50">
        <f>VLOOKUP(F38,$A$9:$B$9,2,TRUE)</f>
        <v>1000</v>
      </c>
      <c r="I38" s="45">
        <f t="shared" si="1"/>
        <v>1000</v>
      </c>
      <c r="J38" s="47"/>
      <c r="K38" s="18"/>
      <c r="L38" s="18"/>
      <c r="M38" s="18"/>
      <c r="N38" s="18"/>
    </row>
    <row r="39" ht="15.75" customHeight="1">
      <c r="A39" s="39"/>
      <c r="B39" s="39"/>
      <c r="C39" s="39"/>
      <c r="D39" s="47"/>
      <c r="E39" s="47"/>
      <c r="F39" s="42" t="s">
        <v>27</v>
      </c>
      <c r="G39" s="43">
        <v>1.0</v>
      </c>
      <c r="H39" s="50">
        <f>VLOOKUP(F39,$A$10:$B$10,2,TRUE)</f>
        <v>2000</v>
      </c>
      <c r="I39" s="45">
        <f t="shared" si="1"/>
        <v>2000</v>
      </c>
      <c r="J39" s="47"/>
      <c r="K39" s="18"/>
      <c r="L39" s="18"/>
      <c r="M39" s="18"/>
      <c r="N39" s="18"/>
    </row>
    <row r="40" ht="15.75" customHeight="1">
      <c r="A40" s="39"/>
      <c r="B40" s="39"/>
      <c r="C40" s="39"/>
      <c r="D40" s="47"/>
      <c r="E40" s="47"/>
      <c r="F40" s="42" t="s">
        <v>28</v>
      </c>
      <c r="G40" s="43">
        <v>1.0</v>
      </c>
      <c r="H40" s="50">
        <f>VLOOKUP(F40,$A$11:$B$11,2,TRUE)</f>
        <v>2000</v>
      </c>
      <c r="I40" s="45">
        <f t="shared" si="1"/>
        <v>2000</v>
      </c>
      <c r="J40" s="47"/>
      <c r="K40" s="18"/>
      <c r="L40" s="18"/>
      <c r="M40" s="18"/>
      <c r="N40" s="18"/>
    </row>
    <row r="41" ht="15.75" customHeight="1">
      <c r="A41" s="39"/>
      <c r="B41" s="39"/>
      <c r="C41" s="39"/>
      <c r="D41" s="47"/>
      <c r="E41" s="47"/>
      <c r="F41" s="42" t="s">
        <v>29</v>
      </c>
      <c r="G41" s="43"/>
      <c r="H41" s="50">
        <f>VLOOKUP(F41,$A$12:$B$12,2,TRUE)</f>
        <v>1300</v>
      </c>
      <c r="I41" s="45">
        <f t="shared" si="1"/>
        <v>0</v>
      </c>
      <c r="J41" s="47"/>
      <c r="K41" s="18"/>
      <c r="L41" s="18"/>
      <c r="M41" s="18"/>
      <c r="N41" s="18"/>
    </row>
    <row r="42" ht="15.75" customHeight="1">
      <c r="A42" s="39"/>
      <c r="B42" s="39"/>
      <c r="C42" s="39"/>
      <c r="D42" s="47"/>
      <c r="E42" s="47"/>
      <c r="F42" s="42" t="s">
        <v>30</v>
      </c>
      <c r="G42" s="43"/>
      <c r="H42" s="50">
        <f>VLOOKUP(F42,$A$13:$B$13,2,TRUE)</f>
        <v>1000</v>
      </c>
      <c r="I42" s="45">
        <f t="shared" si="1"/>
        <v>0</v>
      </c>
      <c r="J42" s="47"/>
      <c r="K42" s="18"/>
      <c r="L42" s="18"/>
      <c r="M42" s="18"/>
      <c r="N42" s="18"/>
    </row>
    <row r="43" ht="15.75" customHeight="1">
      <c r="A43" s="39"/>
      <c r="B43" s="39"/>
      <c r="C43" s="39"/>
      <c r="D43" s="47"/>
      <c r="E43" s="47"/>
      <c r="F43" s="42" t="s">
        <v>31</v>
      </c>
      <c r="G43" s="43">
        <v>4.0</v>
      </c>
      <c r="H43" s="50">
        <f>VLOOKUP(F43,$A$14:$B$14,2,TRUE)</f>
        <v>400</v>
      </c>
      <c r="I43" s="45">
        <f t="shared" si="1"/>
        <v>1600</v>
      </c>
      <c r="J43" s="47"/>
      <c r="K43" s="18"/>
      <c r="L43" s="18"/>
      <c r="M43" s="18"/>
      <c r="N43" s="18"/>
    </row>
    <row r="44" ht="15.75" customHeight="1">
      <c r="A44" s="39"/>
      <c r="B44" s="39"/>
      <c r="C44" s="39"/>
      <c r="D44" s="47"/>
      <c r="E44" s="47"/>
      <c r="F44" s="42" t="s">
        <v>32</v>
      </c>
      <c r="G44" s="43"/>
      <c r="H44" s="50">
        <f>VLOOKUP(F44,$A$15:$B$15,2,TRUE)</f>
        <v>7500</v>
      </c>
      <c r="I44" s="45">
        <f t="shared" si="1"/>
        <v>0</v>
      </c>
      <c r="J44" s="47"/>
      <c r="K44" s="18"/>
      <c r="L44" s="18"/>
      <c r="M44" s="18"/>
      <c r="N44" s="18"/>
    </row>
    <row r="45" ht="15.75" customHeight="1">
      <c r="A45" s="39"/>
      <c r="B45" s="39"/>
      <c r="C45" s="39"/>
      <c r="D45" s="47"/>
      <c r="E45" s="47"/>
      <c r="F45" s="42" t="s">
        <v>33</v>
      </c>
      <c r="G45" s="43"/>
      <c r="H45" s="50">
        <f>VLOOKUP(F45,$A$16:$B$16,2,TRUE)</f>
        <v>2000</v>
      </c>
      <c r="I45" s="45">
        <f t="shared" si="1"/>
        <v>0</v>
      </c>
      <c r="J45" s="47"/>
      <c r="K45" s="18"/>
      <c r="L45" s="18"/>
      <c r="M45" s="18"/>
      <c r="N45" s="18"/>
    </row>
    <row r="46" ht="15.75" customHeight="1">
      <c r="A46" s="39"/>
      <c r="B46" s="39"/>
      <c r="C46" s="39"/>
      <c r="D46" s="47"/>
      <c r="E46" s="47"/>
      <c r="F46" s="42" t="s">
        <v>34</v>
      </c>
      <c r="G46" s="43"/>
      <c r="H46" s="50">
        <f>VLOOKUP(F46,$A$17:$B$17,2,TRUE)</f>
        <v>800</v>
      </c>
      <c r="I46" s="45">
        <f t="shared" si="1"/>
        <v>0</v>
      </c>
      <c r="J46" s="47"/>
      <c r="K46" s="18"/>
      <c r="L46" s="18"/>
      <c r="M46" s="18"/>
      <c r="N46" s="18"/>
    </row>
    <row r="47" ht="15.75" customHeight="1">
      <c r="A47" s="39"/>
      <c r="B47" s="39"/>
      <c r="C47" s="39"/>
      <c r="D47" s="47"/>
      <c r="E47" s="47"/>
      <c r="F47" s="42" t="s">
        <v>35</v>
      </c>
      <c r="G47" s="43"/>
      <c r="H47" s="50">
        <f>VLOOKUP(F47,$A$18:$B$18,2,TRUE)</f>
        <v>5000</v>
      </c>
      <c r="I47" s="45">
        <f t="shared" si="1"/>
        <v>0</v>
      </c>
      <c r="J47" s="47"/>
      <c r="K47" s="18"/>
      <c r="L47" s="18"/>
      <c r="M47" s="18"/>
      <c r="N47" s="18"/>
    </row>
    <row r="48" ht="15.75" customHeight="1">
      <c r="A48" s="39"/>
      <c r="B48" s="39"/>
      <c r="C48" s="39"/>
      <c r="D48" s="47"/>
      <c r="E48" s="47"/>
      <c r="F48" s="42" t="s">
        <v>36</v>
      </c>
      <c r="G48" s="43"/>
      <c r="H48" s="50">
        <f>VLOOKUP(F48,$A$19:$B$19,2,TRUE)</f>
        <v>2700</v>
      </c>
      <c r="I48" s="45">
        <f t="shared" si="1"/>
        <v>0</v>
      </c>
      <c r="J48" s="47"/>
      <c r="K48" s="18"/>
      <c r="L48" s="18"/>
      <c r="M48" s="18"/>
      <c r="N48" s="18"/>
    </row>
    <row r="49" ht="15.75" customHeight="1">
      <c r="A49" s="39"/>
      <c r="B49" s="39"/>
      <c r="C49" s="39"/>
      <c r="D49" s="47"/>
      <c r="E49" s="47"/>
      <c r="F49" s="42" t="s">
        <v>37</v>
      </c>
      <c r="G49" s="43"/>
      <c r="H49" s="50">
        <f>VLOOKUP(F49,$A$20:$B$20,2,TRUE)</f>
        <v>50000</v>
      </c>
      <c r="I49" s="45">
        <f t="shared" si="1"/>
        <v>0</v>
      </c>
      <c r="J49" s="47"/>
      <c r="K49" s="18"/>
      <c r="L49" s="18"/>
      <c r="M49" s="18"/>
      <c r="N49" s="18"/>
    </row>
    <row r="50" ht="15.75" customHeight="1">
      <c r="A50" s="39"/>
      <c r="B50" s="39"/>
      <c r="C50" s="39"/>
      <c r="D50" s="47"/>
      <c r="E50" s="47"/>
      <c r="F50" s="42" t="s">
        <v>38</v>
      </c>
      <c r="G50" s="43"/>
      <c r="H50" s="50">
        <f>VLOOKUP(F50,$A$21:$B$21,2,TRUE)</f>
        <v>10000</v>
      </c>
      <c r="I50" s="45">
        <f t="shared" si="1"/>
        <v>0</v>
      </c>
      <c r="J50" s="47"/>
      <c r="K50" s="18"/>
      <c r="L50" s="18"/>
      <c r="M50" s="18"/>
      <c r="N50" s="18"/>
    </row>
    <row r="51" ht="15.75" customHeight="1">
      <c r="A51" s="39"/>
      <c r="B51" s="39"/>
      <c r="C51" s="39"/>
      <c r="D51" s="47"/>
      <c r="E51" s="47"/>
      <c r="F51" s="42" t="s">
        <v>39</v>
      </c>
      <c r="G51" s="43"/>
      <c r="H51" s="50">
        <f>VLOOKUP(F51,$A$22:$B$22,2,TRUE)</f>
        <v>1000</v>
      </c>
      <c r="I51" s="45">
        <f t="shared" si="1"/>
        <v>0</v>
      </c>
      <c r="J51" s="47"/>
      <c r="K51" s="18"/>
      <c r="L51" s="18"/>
      <c r="M51" s="18"/>
      <c r="N51" s="18"/>
    </row>
    <row r="52" ht="15.75" customHeight="1">
      <c r="A52" s="39"/>
      <c r="B52" s="39"/>
      <c r="C52" s="39"/>
      <c r="D52" s="47"/>
      <c r="E52" s="47"/>
      <c r="F52" s="42" t="s">
        <v>40</v>
      </c>
      <c r="G52" s="43"/>
      <c r="H52" s="50">
        <f>VLOOKUP(F52,$A$23:$B$23,2,TRUE)</f>
        <v>500</v>
      </c>
      <c r="I52" s="45">
        <f t="shared" si="1"/>
        <v>0</v>
      </c>
      <c r="J52" s="47"/>
      <c r="K52" s="18"/>
      <c r="L52" s="18"/>
      <c r="M52" s="18"/>
      <c r="N52" s="18"/>
    </row>
    <row r="53" ht="15.75" customHeight="1">
      <c r="A53" s="39"/>
      <c r="B53" s="39"/>
      <c r="C53" s="39"/>
      <c r="D53" s="47"/>
      <c r="E53" s="47"/>
      <c r="F53" s="42" t="s">
        <v>41</v>
      </c>
      <c r="G53" s="43"/>
      <c r="H53" s="50">
        <f>VLOOKUP(F53,$A$24:$B$24,2,TRUE)</f>
        <v>200</v>
      </c>
      <c r="I53" s="45">
        <f t="shared" si="1"/>
        <v>0</v>
      </c>
      <c r="J53" s="47"/>
      <c r="K53" s="18"/>
      <c r="L53" s="18"/>
      <c r="M53" s="18"/>
      <c r="N53" s="18"/>
    </row>
    <row r="54" ht="15.75" customHeight="1">
      <c r="A54" s="39"/>
      <c r="B54" s="39"/>
      <c r="C54" s="39"/>
      <c r="D54" s="47"/>
      <c r="E54" s="47"/>
      <c r="F54" s="42" t="s">
        <v>42</v>
      </c>
      <c r="G54" s="43"/>
      <c r="H54" s="50">
        <f>VLOOKUP(F54,$A$25:$B$25,2,TRUE)</f>
        <v>1000</v>
      </c>
      <c r="I54" s="45">
        <f t="shared" si="1"/>
        <v>0</v>
      </c>
      <c r="J54" s="47"/>
      <c r="K54" s="18"/>
      <c r="L54" s="18"/>
      <c r="M54" s="18"/>
      <c r="N54" s="18"/>
    </row>
    <row r="55" ht="15.75" customHeight="1">
      <c r="A55" s="39"/>
      <c r="B55" s="39"/>
      <c r="C55" s="39"/>
      <c r="D55" s="47"/>
      <c r="E55" s="47"/>
      <c r="F55" s="42" t="s">
        <v>17</v>
      </c>
      <c r="G55" s="43"/>
      <c r="H55" s="50">
        <f>VLOOKUP(F55,$A$26:$B$26,2,TRUE)</f>
        <v>300</v>
      </c>
      <c r="I55" s="45">
        <f t="shared" si="1"/>
        <v>0</v>
      </c>
      <c r="J55" s="47"/>
      <c r="K55" s="18"/>
      <c r="L55" s="18"/>
      <c r="M55" s="18"/>
      <c r="N55" s="18"/>
    </row>
    <row r="56" ht="15.75" customHeight="1">
      <c r="A56" s="39"/>
      <c r="B56" s="39"/>
      <c r="C56" s="39"/>
      <c r="D56" s="47"/>
      <c r="E56" s="47"/>
      <c r="F56" s="42" t="s">
        <v>43</v>
      </c>
      <c r="G56" s="43"/>
      <c r="H56" s="50">
        <f>VLOOKUP(F56,$A$27:$B$27,2,TRUE)</f>
        <v>100</v>
      </c>
      <c r="I56" s="45">
        <f t="shared" si="1"/>
        <v>0</v>
      </c>
      <c r="J56" s="47"/>
      <c r="K56" s="18"/>
      <c r="L56" s="18"/>
      <c r="M56" s="18"/>
      <c r="N56" s="18"/>
    </row>
    <row r="57" ht="15.75" customHeight="1">
      <c r="A57" s="39"/>
      <c r="B57" s="39"/>
      <c r="C57" s="39"/>
      <c r="D57" s="47"/>
      <c r="E57" s="47"/>
      <c r="F57" s="42" t="s">
        <v>59</v>
      </c>
      <c r="G57" s="43"/>
      <c r="H57" s="50">
        <f>VLOOKUP(F57,$A$28:$B$28,2,TRUE)</f>
        <v>500</v>
      </c>
      <c r="I57" s="45">
        <f t="shared" si="1"/>
        <v>0</v>
      </c>
      <c r="J57" s="47"/>
      <c r="K57" s="18"/>
      <c r="L57" s="18"/>
      <c r="M57" s="18"/>
      <c r="N57" s="18"/>
    </row>
    <row r="58" ht="15.75" customHeight="1">
      <c r="A58" s="39"/>
      <c r="B58" s="39"/>
      <c r="C58" s="39"/>
      <c r="D58" s="47"/>
      <c r="E58" s="47"/>
      <c r="F58" s="42" t="s">
        <v>13</v>
      </c>
      <c r="G58" s="43"/>
      <c r="H58" s="51">
        <f>VLOOKUP(F58,$A$29:$B$29,2,TRUE)</f>
        <v>1500</v>
      </c>
      <c r="I58" s="45">
        <f t="shared" si="1"/>
        <v>0</v>
      </c>
      <c r="J58" s="47"/>
      <c r="K58" s="18"/>
      <c r="L58" s="18"/>
      <c r="M58" s="18"/>
      <c r="N58" s="18"/>
    </row>
    <row r="59" ht="15.75" customHeight="1">
      <c r="A59" s="39"/>
      <c r="B59" s="39"/>
      <c r="C59" s="39"/>
      <c r="D59" s="47"/>
      <c r="E59" s="47"/>
      <c r="F59" s="42" t="s">
        <v>19</v>
      </c>
      <c r="G59" s="43"/>
      <c r="H59" s="50">
        <f>VLOOKUP(F59,$A$30:$B$30,2,TRUE)</f>
        <v>4000</v>
      </c>
      <c r="I59" s="45">
        <f t="shared" si="1"/>
        <v>0</v>
      </c>
      <c r="J59" s="47"/>
      <c r="K59" s="18"/>
      <c r="L59" s="18"/>
      <c r="M59" s="18"/>
      <c r="N59" s="18"/>
    </row>
    <row r="60" ht="15.75" customHeight="1">
      <c r="A60" s="39"/>
      <c r="B60" s="39"/>
      <c r="C60" s="39"/>
      <c r="D60" s="7"/>
      <c r="E60" s="7"/>
      <c r="F60" s="42" t="s">
        <v>60</v>
      </c>
      <c r="G60" s="43">
        <v>2.5</v>
      </c>
      <c r="H60" s="50"/>
      <c r="I60" s="45">
        <f t="shared" si="1"/>
        <v>0</v>
      </c>
      <c r="J60" s="7"/>
      <c r="K60" s="18"/>
      <c r="L60" s="18"/>
      <c r="M60" s="18"/>
      <c r="N60" s="18"/>
    </row>
    <row r="61" ht="15.75" customHeight="1">
      <c r="A61" s="39"/>
      <c r="B61" s="39"/>
      <c r="C61" s="39"/>
      <c r="D61" s="40">
        <v>3.0</v>
      </c>
      <c r="E61" s="41" t="s">
        <v>87</v>
      </c>
      <c r="F61" s="42" t="s">
        <v>21</v>
      </c>
      <c r="G61" s="43"/>
      <c r="H61" s="50">
        <f>VLOOKUP(F61,$A$4:$B$4,2,TRUE)</f>
        <v>5000</v>
      </c>
      <c r="I61" s="45">
        <f t="shared" si="1"/>
        <v>0</v>
      </c>
      <c r="J61" s="46">
        <f>SUM(I61:I88)</f>
        <v>17150</v>
      </c>
      <c r="K61" s="18"/>
      <c r="L61" s="18"/>
      <c r="M61" s="18"/>
      <c r="N61" s="18"/>
    </row>
    <row r="62" ht="15.75" customHeight="1">
      <c r="A62" s="39"/>
      <c r="B62" s="39"/>
      <c r="C62" s="39"/>
      <c r="D62" s="47"/>
      <c r="E62" s="47"/>
      <c r="F62" s="42" t="s">
        <v>56</v>
      </c>
      <c r="G62" s="43"/>
      <c r="H62" s="50">
        <f>VLOOKUP(F62,$A$5:$B$5,2,TRUE)</f>
        <v>3000</v>
      </c>
      <c r="I62" s="45">
        <f t="shared" si="1"/>
        <v>0</v>
      </c>
      <c r="J62" s="47"/>
      <c r="K62" s="18"/>
      <c r="L62" s="18"/>
      <c r="M62" s="18"/>
      <c r="N62" s="18"/>
    </row>
    <row r="63" ht="15.75" customHeight="1">
      <c r="A63" s="39"/>
      <c r="B63" s="39"/>
      <c r="C63" s="39"/>
      <c r="D63" s="47"/>
      <c r="E63" s="47"/>
      <c r="F63" s="42" t="s">
        <v>58</v>
      </c>
      <c r="G63" s="43"/>
      <c r="H63" s="50">
        <f>VLOOKUP(F63,$A$6:$B$6,2,TRUE)</f>
        <v>1000</v>
      </c>
      <c r="I63" s="45">
        <f t="shared" si="1"/>
        <v>0</v>
      </c>
      <c r="J63" s="47"/>
      <c r="K63" s="18"/>
      <c r="L63" s="18"/>
      <c r="M63" s="18"/>
      <c r="N63" s="18"/>
    </row>
    <row r="64" ht="15.75" customHeight="1">
      <c r="A64" s="39"/>
      <c r="B64" s="39"/>
      <c r="C64" s="39"/>
      <c r="D64" s="47"/>
      <c r="E64" s="47"/>
      <c r="F64" s="42" t="s">
        <v>24</v>
      </c>
      <c r="G64" s="43"/>
      <c r="H64" s="50">
        <f>VLOOKUP(F64,$A$7:$B$7,2,TRUE)</f>
        <v>2800</v>
      </c>
      <c r="I64" s="45">
        <f t="shared" si="1"/>
        <v>0</v>
      </c>
      <c r="J64" s="47"/>
      <c r="K64" s="18"/>
      <c r="L64" s="18"/>
      <c r="M64" s="18"/>
      <c r="N64" s="18"/>
    </row>
    <row r="65" ht="15.75" customHeight="1">
      <c r="A65" s="39"/>
      <c r="B65" s="39"/>
      <c r="C65" s="39"/>
      <c r="D65" s="47"/>
      <c r="E65" s="47"/>
      <c r="F65" s="42" t="s">
        <v>25</v>
      </c>
      <c r="G65" s="43"/>
      <c r="H65" s="50">
        <f>VLOOKUP(F65,$A$8:$B$8,2,TRUE)</f>
        <v>3500</v>
      </c>
      <c r="I65" s="45">
        <f t="shared" si="1"/>
        <v>0</v>
      </c>
      <c r="J65" s="47"/>
      <c r="K65" s="18"/>
      <c r="L65" s="18"/>
      <c r="M65" s="18"/>
      <c r="N65" s="18"/>
    </row>
    <row r="66" ht="15.75" customHeight="1">
      <c r="A66" s="39"/>
      <c r="B66" s="39"/>
      <c r="C66" s="39"/>
      <c r="D66" s="47"/>
      <c r="E66" s="47"/>
      <c r="F66" s="42" t="s">
        <v>26</v>
      </c>
      <c r="G66" s="43"/>
      <c r="H66" s="50">
        <f>VLOOKUP(F66,$A$9:$B$9,2,TRUE)</f>
        <v>1000</v>
      </c>
      <c r="I66" s="45">
        <f t="shared" si="1"/>
        <v>0</v>
      </c>
      <c r="J66" s="47"/>
      <c r="K66" s="18"/>
      <c r="L66" s="18"/>
      <c r="M66" s="18"/>
      <c r="N66" s="18"/>
    </row>
    <row r="67" ht="15.75" customHeight="1">
      <c r="A67" s="39"/>
      <c r="B67" s="39"/>
      <c r="C67" s="39"/>
      <c r="D67" s="47"/>
      <c r="E67" s="47"/>
      <c r="F67" s="42" t="s">
        <v>27</v>
      </c>
      <c r="G67" s="43">
        <v>5.5</v>
      </c>
      <c r="H67" s="50">
        <f>VLOOKUP(F67,$A$10:$B$10,2,TRUE)</f>
        <v>2000</v>
      </c>
      <c r="I67" s="45">
        <f t="shared" si="1"/>
        <v>11000</v>
      </c>
      <c r="J67" s="47"/>
      <c r="K67" s="18"/>
      <c r="L67" s="18"/>
      <c r="M67" s="18"/>
      <c r="N67" s="18"/>
    </row>
    <row r="68" ht="15.75" customHeight="1">
      <c r="A68" s="39"/>
      <c r="B68" s="39"/>
      <c r="C68" s="39"/>
      <c r="D68" s="47"/>
      <c r="E68" s="47"/>
      <c r="F68" s="42" t="s">
        <v>28</v>
      </c>
      <c r="G68" s="43">
        <v>2.0</v>
      </c>
      <c r="H68" s="50">
        <f>VLOOKUP(F68,$A$11:$B$11,2,TRUE)</f>
        <v>2000</v>
      </c>
      <c r="I68" s="45">
        <f t="shared" si="1"/>
        <v>4000</v>
      </c>
      <c r="J68" s="47"/>
      <c r="K68" s="18"/>
      <c r="L68" s="18"/>
      <c r="M68" s="18"/>
      <c r="N68" s="18"/>
    </row>
    <row r="69" ht="15.75" customHeight="1">
      <c r="A69" s="39"/>
      <c r="B69" s="39"/>
      <c r="C69" s="39"/>
      <c r="D69" s="47"/>
      <c r="E69" s="47"/>
      <c r="F69" s="42" t="s">
        <v>29</v>
      </c>
      <c r="G69" s="43"/>
      <c r="H69" s="50">
        <f>VLOOKUP(F69,$A$12:$B$12,2,TRUE)</f>
        <v>1300</v>
      </c>
      <c r="I69" s="45">
        <f t="shared" si="1"/>
        <v>0</v>
      </c>
      <c r="J69" s="47"/>
      <c r="K69" s="18"/>
      <c r="L69" s="18"/>
      <c r="M69" s="18"/>
      <c r="N69" s="18"/>
    </row>
    <row r="70" ht="15.75" customHeight="1">
      <c r="A70" s="39"/>
      <c r="B70" s="39"/>
      <c r="C70" s="39"/>
      <c r="D70" s="47"/>
      <c r="E70" s="47"/>
      <c r="F70" s="42" t="s">
        <v>30</v>
      </c>
      <c r="G70" s="43"/>
      <c r="H70" s="50">
        <f>VLOOKUP(F70,$A$13:$B$13,2,TRUE)</f>
        <v>1000</v>
      </c>
      <c r="I70" s="45">
        <f t="shared" si="1"/>
        <v>0</v>
      </c>
      <c r="J70" s="47"/>
      <c r="K70" s="18"/>
      <c r="L70" s="18"/>
      <c r="M70" s="18"/>
      <c r="N70" s="18"/>
    </row>
    <row r="71" ht="15.75" customHeight="1">
      <c r="A71" s="39"/>
      <c r="B71" s="39"/>
      <c r="C71" s="39"/>
      <c r="D71" s="47"/>
      <c r="E71" s="47"/>
      <c r="F71" s="42" t="s">
        <v>31</v>
      </c>
      <c r="G71" s="43">
        <v>0.5</v>
      </c>
      <c r="H71" s="50">
        <f>VLOOKUP(F71,$A$14:$B$14,2,TRUE)</f>
        <v>400</v>
      </c>
      <c r="I71" s="45">
        <f t="shared" si="1"/>
        <v>200</v>
      </c>
      <c r="J71" s="47"/>
      <c r="K71" s="18"/>
      <c r="L71" s="18"/>
      <c r="M71" s="18"/>
      <c r="N71" s="18"/>
    </row>
    <row r="72" ht="15.75" customHeight="1">
      <c r="A72" s="39"/>
      <c r="B72" s="39"/>
      <c r="C72" s="39"/>
      <c r="D72" s="47"/>
      <c r="E72" s="47"/>
      <c r="F72" s="42" t="s">
        <v>32</v>
      </c>
      <c r="G72" s="43"/>
      <c r="H72" s="50">
        <f>VLOOKUP(F72,$A$15:$B$15,2,TRUE)</f>
        <v>7500</v>
      </c>
      <c r="I72" s="45">
        <f t="shared" si="1"/>
        <v>0</v>
      </c>
      <c r="J72" s="47"/>
      <c r="K72" s="18"/>
      <c r="L72" s="18"/>
      <c r="M72" s="18"/>
      <c r="N72" s="18"/>
    </row>
    <row r="73" ht="15.75" customHeight="1">
      <c r="A73" s="39"/>
      <c r="B73" s="39"/>
      <c r="C73" s="39"/>
      <c r="D73" s="47"/>
      <c r="E73" s="47"/>
      <c r="F73" s="42" t="s">
        <v>33</v>
      </c>
      <c r="G73" s="43"/>
      <c r="H73" s="50">
        <f>VLOOKUP(F73,$A$16:$B$16,2,TRUE)</f>
        <v>2000</v>
      </c>
      <c r="I73" s="45">
        <f t="shared" si="1"/>
        <v>0</v>
      </c>
      <c r="J73" s="47"/>
      <c r="K73" s="18"/>
      <c r="L73" s="18"/>
      <c r="M73" s="18"/>
      <c r="N73" s="18"/>
    </row>
    <row r="74" ht="15.75" customHeight="1">
      <c r="A74" s="39"/>
      <c r="B74" s="39"/>
      <c r="C74" s="39"/>
      <c r="D74" s="47"/>
      <c r="E74" s="47"/>
      <c r="F74" s="42" t="s">
        <v>34</v>
      </c>
      <c r="G74" s="43"/>
      <c r="H74" s="50">
        <f>VLOOKUP(F74,$A$17:$B$17,2,TRUE)</f>
        <v>800</v>
      </c>
      <c r="I74" s="45">
        <f t="shared" si="1"/>
        <v>0</v>
      </c>
      <c r="J74" s="47"/>
      <c r="K74" s="18"/>
      <c r="L74" s="18"/>
      <c r="M74" s="18"/>
      <c r="N74" s="18"/>
    </row>
    <row r="75" ht="15.75" customHeight="1">
      <c r="A75" s="39"/>
      <c r="B75" s="39"/>
      <c r="C75" s="39"/>
      <c r="D75" s="47"/>
      <c r="E75" s="47"/>
      <c r="F75" s="42" t="s">
        <v>35</v>
      </c>
      <c r="G75" s="43"/>
      <c r="H75" s="50">
        <f>VLOOKUP(F75,$A$18:$B$18,2,TRUE)</f>
        <v>5000</v>
      </c>
      <c r="I75" s="45">
        <f t="shared" si="1"/>
        <v>0</v>
      </c>
      <c r="J75" s="47"/>
      <c r="K75" s="18"/>
      <c r="L75" s="18"/>
      <c r="M75" s="18"/>
      <c r="N75" s="18"/>
    </row>
    <row r="76" ht="15.75" customHeight="1">
      <c r="A76" s="39"/>
      <c r="B76" s="39"/>
      <c r="C76" s="39"/>
      <c r="D76" s="47"/>
      <c r="E76" s="47"/>
      <c r="F76" s="42" t="s">
        <v>36</v>
      </c>
      <c r="G76" s="43"/>
      <c r="H76" s="50">
        <f>VLOOKUP(F76,$A$19:$B$19,2,TRUE)</f>
        <v>2700</v>
      </c>
      <c r="I76" s="45">
        <f t="shared" si="1"/>
        <v>0</v>
      </c>
      <c r="J76" s="47"/>
      <c r="K76" s="18"/>
      <c r="L76" s="18"/>
      <c r="M76" s="18"/>
      <c r="N76" s="18"/>
    </row>
    <row r="77" ht="15.75" customHeight="1">
      <c r="A77" s="39"/>
      <c r="B77" s="39"/>
      <c r="C77" s="39"/>
      <c r="D77" s="47"/>
      <c r="E77" s="47"/>
      <c r="F77" s="42" t="s">
        <v>37</v>
      </c>
      <c r="G77" s="43"/>
      <c r="H77" s="50">
        <f>VLOOKUP(F77,$A$20:$B$20,2,TRUE)</f>
        <v>50000</v>
      </c>
      <c r="I77" s="45">
        <f t="shared" si="1"/>
        <v>0</v>
      </c>
      <c r="J77" s="47"/>
      <c r="K77" s="18"/>
      <c r="L77" s="18"/>
      <c r="M77" s="18"/>
      <c r="N77" s="18"/>
    </row>
    <row r="78" ht="15.75" customHeight="1">
      <c r="A78" s="39"/>
      <c r="B78" s="39"/>
      <c r="C78" s="39"/>
      <c r="D78" s="47"/>
      <c r="E78" s="47"/>
      <c r="F78" s="42" t="s">
        <v>38</v>
      </c>
      <c r="G78" s="43"/>
      <c r="H78" s="50">
        <f>VLOOKUP(F78,$A$21:$B$21,2,TRUE)</f>
        <v>10000</v>
      </c>
      <c r="I78" s="45">
        <f t="shared" si="1"/>
        <v>0</v>
      </c>
      <c r="J78" s="47"/>
      <c r="K78" s="18"/>
      <c r="L78" s="18"/>
      <c r="M78" s="18"/>
      <c r="N78" s="18"/>
    </row>
    <row r="79" ht="15.75" customHeight="1">
      <c r="A79" s="39"/>
      <c r="B79" s="39"/>
      <c r="C79" s="39"/>
      <c r="D79" s="47"/>
      <c r="E79" s="47"/>
      <c r="F79" s="42" t="s">
        <v>39</v>
      </c>
      <c r="G79" s="43"/>
      <c r="H79" s="50">
        <f>VLOOKUP(F79,$A$22:$B$22,2,TRUE)</f>
        <v>1000</v>
      </c>
      <c r="I79" s="45">
        <f t="shared" si="1"/>
        <v>0</v>
      </c>
      <c r="J79" s="47"/>
      <c r="K79" s="18"/>
      <c r="L79" s="18"/>
      <c r="M79" s="18"/>
      <c r="N79" s="18"/>
    </row>
    <row r="80" ht="15.75" customHeight="1">
      <c r="A80" s="39"/>
      <c r="B80" s="39"/>
      <c r="C80" s="39"/>
      <c r="D80" s="47"/>
      <c r="E80" s="47"/>
      <c r="F80" s="42" t="s">
        <v>40</v>
      </c>
      <c r="G80" s="43"/>
      <c r="H80" s="50">
        <f>VLOOKUP(F80,$A$23:$B$23,2,TRUE)</f>
        <v>500</v>
      </c>
      <c r="I80" s="45">
        <f t="shared" si="1"/>
        <v>0</v>
      </c>
      <c r="J80" s="47"/>
      <c r="K80" s="18"/>
      <c r="L80" s="18"/>
      <c r="M80" s="18"/>
      <c r="N80" s="18"/>
    </row>
    <row r="81" ht="15.75" customHeight="1">
      <c r="A81" s="39"/>
      <c r="B81" s="39"/>
      <c r="C81" s="39"/>
      <c r="D81" s="47"/>
      <c r="E81" s="47"/>
      <c r="F81" s="42" t="s">
        <v>41</v>
      </c>
      <c r="G81" s="43"/>
      <c r="H81" s="50">
        <f>VLOOKUP(F81,$A$24:$B$24,2,TRUE)</f>
        <v>200</v>
      </c>
      <c r="I81" s="45">
        <f t="shared" si="1"/>
        <v>0</v>
      </c>
      <c r="J81" s="47"/>
      <c r="K81" s="18"/>
      <c r="L81" s="18"/>
      <c r="M81" s="18"/>
      <c r="N81" s="18"/>
    </row>
    <row r="82" ht="15.75" customHeight="1">
      <c r="A82" s="39"/>
      <c r="B82" s="39"/>
      <c r="C82" s="39"/>
      <c r="D82" s="47"/>
      <c r="E82" s="47"/>
      <c r="F82" s="42" t="s">
        <v>42</v>
      </c>
      <c r="G82" s="43"/>
      <c r="H82" s="50">
        <f>VLOOKUP(F82,$A$25:$B$25,2,TRUE)</f>
        <v>1000</v>
      </c>
      <c r="I82" s="45">
        <f t="shared" si="1"/>
        <v>0</v>
      </c>
      <c r="J82" s="47"/>
      <c r="K82" s="18"/>
      <c r="L82" s="18"/>
      <c r="M82" s="18"/>
      <c r="N82" s="18"/>
    </row>
    <row r="83" ht="15.75" customHeight="1">
      <c r="A83" s="39"/>
      <c r="B83" s="39"/>
      <c r="C83" s="39"/>
      <c r="D83" s="47"/>
      <c r="E83" s="47"/>
      <c r="F83" s="42" t="s">
        <v>17</v>
      </c>
      <c r="G83" s="43">
        <v>6.5</v>
      </c>
      <c r="H83" s="50">
        <f>VLOOKUP(F83,$A$26:$B$26,2,TRUE)</f>
        <v>300</v>
      </c>
      <c r="I83" s="45">
        <f t="shared" si="1"/>
        <v>1950</v>
      </c>
      <c r="J83" s="47"/>
      <c r="K83" s="18"/>
      <c r="L83" s="18"/>
      <c r="M83" s="18"/>
      <c r="N83" s="18"/>
    </row>
    <row r="84" ht="15.75" customHeight="1">
      <c r="A84" s="39"/>
      <c r="B84" s="39"/>
      <c r="C84" s="39"/>
      <c r="D84" s="47"/>
      <c r="E84" s="47"/>
      <c r="F84" s="42" t="s">
        <v>43</v>
      </c>
      <c r="G84" s="43"/>
      <c r="H84" s="50">
        <f>VLOOKUP(F84,$A$27:$B$27,2,TRUE)</f>
        <v>100</v>
      </c>
      <c r="I84" s="45">
        <f t="shared" si="1"/>
        <v>0</v>
      </c>
      <c r="J84" s="47"/>
      <c r="K84" s="18"/>
      <c r="L84" s="18"/>
      <c r="M84" s="18"/>
      <c r="N84" s="18"/>
    </row>
    <row r="85" ht="15.75" customHeight="1">
      <c r="A85" s="39"/>
      <c r="B85" s="39"/>
      <c r="C85" s="39"/>
      <c r="D85" s="47"/>
      <c r="E85" s="47"/>
      <c r="F85" s="42" t="s">
        <v>59</v>
      </c>
      <c r="G85" s="43"/>
      <c r="H85" s="50">
        <f>VLOOKUP(F85,$A$28:$B$28,2,TRUE)</f>
        <v>500</v>
      </c>
      <c r="I85" s="45">
        <f t="shared" si="1"/>
        <v>0</v>
      </c>
      <c r="J85" s="47"/>
      <c r="K85" s="18"/>
      <c r="L85" s="18"/>
      <c r="M85" s="18"/>
      <c r="N85" s="18"/>
    </row>
    <row r="86" ht="15.75" customHeight="1">
      <c r="A86" s="39"/>
      <c r="B86" s="39"/>
      <c r="C86" s="39"/>
      <c r="D86" s="47"/>
      <c r="E86" s="47"/>
      <c r="F86" s="42" t="s">
        <v>13</v>
      </c>
      <c r="G86" s="43"/>
      <c r="H86" s="50">
        <f>VLOOKUP(F86,$A$29:$B$29,2,TRUE)</f>
        <v>1500</v>
      </c>
      <c r="I86" s="45">
        <f t="shared" si="1"/>
        <v>0</v>
      </c>
      <c r="J86" s="47"/>
      <c r="K86" s="18"/>
      <c r="L86" s="18"/>
      <c r="M86" s="18"/>
      <c r="N86" s="18"/>
    </row>
    <row r="87" ht="15.75" customHeight="1">
      <c r="A87" s="39"/>
      <c r="B87" s="39"/>
      <c r="C87" s="39"/>
      <c r="D87" s="47"/>
      <c r="E87" s="47"/>
      <c r="F87" s="42" t="s">
        <v>19</v>
      </c>
      <c r="G87" s="43"/>
      <c r="H87" s="50">
        <f>VLOOKUP(F87,$A$30:$B$30,2,TRUE)</f>
        <v>4000</v>
      </c>
      <c r="I87" s="45">
        <f t="shared" si="1"/>
        <v>0</v>
      </c>
      <c r="J87" s="47"/>
      <c r="K87" s="18"/>
      <c r="L87" s="18"/>
      <c r="M87" s="18"/>
      <c r="N87" s="18"/>
    </row>
    <row r="88" ht="15.75" customHeight="1">
      <c r="A88" s="39"/>
      <c r="B88" s="39"/>
      <c r="C88" s="39"/>
      <c r="D88" s="7"/>
      <c r="E88" s="7"/>
      <c r="F88" s="42" t="s">
        <v>60</v>
      </c>
      <c r="G88" s="43"/>
      <c r="H88" s="50">
        <f>VLOOKUP(F88,$A$31:$B$31,2,TRUE)</f>
        <v>500</v>
      </c>
      <c r="I88" s="45">
        <f t="shared" si="1"/>
        <v>0</v>
      </c>
      <c r="J88" s="7"/>
      <c r="K88" s="18"/>
      <c r="L88" s="18"/>
      <c r="M88" s="18"/>
      <c r="N88" s="18"/>
    </row>
    <row r="89" ht="15.75" customHeight="1">
      <c r="A89" s="39"/>
      <c r="B89" s="39"/>
      <c r="C89" s="39"/>
      <c r="D89" s="40">
        <v>4.0</v>
      </c>
      <c r="E89" s="41" t="s">
        <v>88</v>
      </c>
      <c r="F89" s="42" t="s">
        <v>21</v>
      </c>
      <c r="G89" s="43"/>
      <c r="H89" s="50">
        <f>VLOOKUP(F89,$A$4:$B$4,2,TRUE)</f>
        <v>5000</v>
      </c>
      <c r="I89" s="45">
        <f t="shared" si="1"/>
        <v>0</v>
      </c>
      <c r="J89" s="46">
        <f>SUM(I89:I116)</f>
        <v>3000</v>
      </c>
      <c r="K89" s="18"/>
      <c r="L89" s="18"/>
      <c r="M89" s="18"/>
      <c r="N89" s="18"/>
    </row>
    <row r="90" ht="15.75" customHeight="1">
      <c r="A90" s="39"/>
      <c r="B90" s="39"/>
      <c r="C90" s="39"/>
      <c r="D90" s="47"/>
      <c r="E90" s="47"/>
      <c r="F90" s="42" t="s">
        <v>56</v>
      </c>
      <c r="G90" s="43"/>
      <c r="H90" s="50">
        <f>VLOOKUP(F90,$A$5:$B$5,2,TRUE)</f>
        <v>3000</v>
      </c>
      <c r="I90" s="45">
        <f t="shared" si="1"/>
        <v>0</v>
      </c>
      <c r="J90" s="47"/>
      <c r="K90" s="18"/>
      <c r="L90" s="18"/>
      <c r="M90" s="18"/>
      <c r="N90" s="18"/>
    </row>
    <row r="91" ht="15.75" customHeight="1">
      <c r="A91" s="39"/>
      <c r="B91" s="39"/>
      <c r="C91" s="39"/>
      <c r="D91" s="47"/>
      <c r="E91" s="47"/>
      <c r="F91" s="42" t="s">
        <v>58</v>
      </c>
      <c r="G91" s="43"/>
      <c r="H91" s="50">
        <f>VLOOKUP(F91,$A$6:$B$6,2,TRUE)</f>
        <v>1000</v>
      </c>
      <c r="I91" s="45">
        <f t="shared" si="1"/>
        <v>0</v>
      </c>
      <c r="J91" s="47"/>
      <c r="K91" s="18"/>
      <c r="L91" s="18"/>
      <c r="M91" s="18"/>
      <c r="N91" s="18"/>
    </row>
    <row r="92" ht="15.75" customHeight="1">
      <c r="A92" s="39"/>
      <c r="B92" s="39"/>
      <c r="C92" s="39"/>
      <c r="D92" s="47"/>
      <c r="E92" s="47"/>
      <c r="F92" s="42" t="s">
        <v>24</v>
      </c>
      <c r="G92" s="43"/>
      <c r="H92" s="50">
        <f>VLOOKUP(F92,$A$7:$B$7,2,TRUE)</f>
        <v>2800</v>
      </c>
      <c r="I92" s="45">
        <f t="shared" si="1"/>
        <v>0</v>
      </c>
      <c r="J92" s="47"/>
      <c r="K92" s="18"/>
      <c r="L92" s="18"/>
      <c r="M92" s="18"/>
      <c r="N92" s="18"/>
    </row>
    <row r="93" ht="15.75" customHeight="1">
      <c r="A93" s="39"/>
      <c r="B93" s="39"/>
      <c r="C93" s="39"/>
      <c r="D93" s="47"/>
      <c r="E93" s="47"/>
      <c r="F93" s="42" t="s">
        <v>25</v>
      </c>
      <c r="G93" s="43"/>
      <c r="H93" s="50">
        <f>VLOOKUP(F93,$A$8:$B$8,2,TRUE)</f>
        <v>3500</v>
      </c>
      <c r="I93" s="45">
        <f t="shared" si="1"/>
        <v>0</v>
      </c>
      <c r="J93" s="47"/>
      <c r="K93" s="18"/>
      <c r="L93" s="18"/>
      <c r="M93" s="18"/>
      <c r="N93" s="18"/>
    </row>
    <row r="94" ht="15.75" customHeight="1">
      <c r="A94" s="39"/>
      <c r="B94" s="39"/>
      <c r="C94" s="39"/>
      <c r="D94" s="47"/>
      <c r="E94" s="47"/>
      <c r="F94" s="42" t="s">
        <v>26</v>
      </c>
      <c r="G94" s="43"/>
      <c r="H94" s="50">
        <f>VLOOKUP(F94,$A$9:$B$9,2,TRUE)</f>
        <v>1000</v>
      </c>
      <c r="I94" s="45">
        <f t="shared" si="1"/>
        <v>0</v>
      </c>
      <c r="J94" s="47"/>
      <c r="K94" s="18"/>
      <c r="L94" s="18"/>
      <c r="M94" s="18"/>
      <c r="N94" s="18"/>
    </row>
    <row r="95" ht="15.75" customHeight="1">
      <c r="A95" s="39"/>
      <c r="B95" s="39"/>
      <c r="C95" s="39"/>
      <c r="D95" s="47"/>
      <c r="E95" s="47"/>
      <c r="F95" s="42" t="s">
        <v>27</v>
      </c>
      <c r="G95" s="43">
        <v>1.5</v>
      </c>
      <c r="H95" s="50">
        <f>VLOOKUP(F95,$A$10:$B$10,2,TRUE)</f>
        <v>2000</v>
      </c>
      <c r="I95" s="45">
        <f t="shared" si="1"/>
        <v>3000</v>
      </c>
      <c r="J95" s="47"/>
      <c r="K95" s="18"/>
      <c r="L95" s="18"/>
      <c r="M95" s="18"/>
      <c r="N95" s="18"/>
    </row>
    <row r="96" ht="15.75" customHeight="1">
      <c r="A96" s="39"/>
      <c r="B96" s="39"/>
      <c r="C96" s="39"/>
      <c r="D96" s="47"/>
      <c r="E96" s="47"/>
      <c r="F96" s="42" t="s">
        <v>28</v>
      </c>
      <c r="G96" s="43"/>
      <c r="H96" s="50">
        <f>VLOOKUP(F96,$A$11:$B$11,2,TRUE)</f>
        <v>2000</v>
      </c>
      <c r="I96" s="45">
        <f t="shared" si="1"/>
        <v>0</v>
      </c>
      <c r="J96" s="47"/>
      <c r="K96" s="18"/>
      <c r="L96" s="18"/>
      <c r="M96" s="18"/>
      <c r="N96" s="18"/>
    </row>
    <row r="97" ht="15.75" customHeight="1">
      <c r="A97" s="39"/>
      <c r="B97" s="39"/>
      <c r="C97" s="39"/>
      <c r="D97" s="47"/>
      <c r="E97" s="47"/>
      <c r="F97" s="42" t="s">
        <v>29</v>
      </c>
      <c r="G97" s="43"/>
      <c r="H97" s="50">
        <f>VLOOKUP(F97,$A$12:$B$12,2,TRUE)</f>
        <v>1300</v>
      </c>
      <c r="I97" s="45">
        <f t="shared" si="1"/>
        <v>0</v>
      </c>
      <c r="J97" s="47"/>
      <c r="K97" s="18"/>
      <c r="L97" s="18"/>
      <c r="M97" s="18"/>
      <c r="N97" s="18"/>
    </row>
    <row r="98" ht="15.75" customHeight="1">
      <c r="A98" s="39"/>
      <c r="B98" s="39"/>
      <c r="C98" s="39"/>
      <c r="D98" s="47"/>
      <c r="E98" s="47"/>
      <c r="F98" s="42" t="s">
        <v>30</v>
      </c>
      <c r="G98" s="43"/>
      <c r="H98" s="50">
        <f>VLOOKUP(F98,$A$13:$B$13,2,TRUE)</f>
        <v>1000</v>
      </c>
      <c r="I98" s="45">
        <f t="shared" si="1"/>
        <v>0</v>
      </c>
      <c r="J98" s="47"/>
      <c r="K98" s="18"/>
      <c r="L98" s="18"/>
      <c r="M98" s="18"/>
      <c r="N98" s="18"/>
    </row>
    <row r="99" ht="15.75" customHeight="1">
      <c r="A99" s="39"/>
      <c r="B99" s="39"/>
      <c r="C99" s="39"/>
      <c r="D99" s="47"/>
      <c r="E99" s="47"/>
      <c r="F99" s="42" t="s">
        <v>31</v>
      </c>
      <c r="G99" s="43"/>
      <c r="H99" s="50">
        <f>VLOOKUP(F99,$A$14:$B$14,2,TRUE)</f>
        <v>400</v>
      </c>
      <c r="I99" s="45">
        <f t="shared" si="1"/>
        <v>0</v>
      </c>
      <c r="J99" s="47"/>
      <c r="K99" s="18"/>
      <c r="L99" s="18"/>
      <c r="M99" s="18"/>
      <c r="N99" s="18"/>
    </row>
    <row r="100" ht="15.75" customHeight="1">
      <c r="A100" s="39"/>
      <c r="B100" s="39"/>
      <c r="C100" s="39"/>
      <c r="D100" s="47"/>
      <c r="E100" s="47"/>
      <c r="F100" s="42" t="s">
        <v>32</v>
      </c>
      <c r="G100" s="43"/>
      <c r="H100" s="50">
        <f>VLOOKUP(F100,$A$15:$B$15,2,TRUE)</f>
        <v>7500</v>
      </c>
      <c r="I100" s="45">
        <f t="shared" si="1"/>
        <v>0</v>
      </c>
      <c r="J100" s="47"/>
      <c r="K100" s="18"/>
      <c r="L100" s="18"/>
      <c r="M100" s="18"/>
      <c r="N100" s="18"/>
    </row>
    <row r="101" ht="15.75" customHeight="1">
      <c r="A101" s="39"/>
      <c r="B101" s="39"/>
      <c r="C101" s="39"/>
      <c r="D101" s="47"/>
      <c r="E101" s="47"/>
      <c r="F101" s="42" t="s">
        <v>33</v>
      </c>
      <c r="G101" s="43"/>
      <c r="H101" s="50">
        <f>VLOOKUP(F101,$A$16:$B$16,2,TRUE)</f>
        <v>2000</v>
      </c>
      <c r="I101" s="45">
        <f t="shared" si="1"/>
        <v>0</v>
      </c>
      <c r="J101" s="47"/>
      <c r="K101" s="18"/>
      <c r="L101" s="18"/>
      <c r="M101" s="18"/>
      <c r="N101" s="18"/>
    </row>
    <row r="102" ht="15.75" customHeight="1">
      <c r="A102" s="39"/>
      <c r="B102" s="39"/>
      <c r="C102" s="39"/>
      <c r="D102" s="47"/>
      <c r="E102" s="47"/>
      <c r="F102" s="42" t="s">
        <v>34</v>
      </c>
      <c r="G102" s="43"/>
      <c r="H102" s="50">
        <f>VLOOKUP(F102,$A$17:$B$17,2,TRUE)</f>
        <v>800</v>
      </c>
      <c r="I102" s="45">
        <f t="shared" si="1"/>
        <v>0</v>
      </c>
      <c r="J102" s="47"/>
      <c r="K102" s="18"/>
      <c r="L102" s="18"/>
      <c r="M102" s="18"/>
      <c r="N102" s="18"/>
    </row>
    <row r="103" ht="15.75" customHeight="1">
      <c r="A103" s="39"/>
      <c r="B103" s="39"/>
      <c r="C103" s="39"/>
      <c r="D103" s="47"/>
      <c r="E103" s="47"/>
      <c r="F103" s="42" t="s">
        <v>35</v>
      </c>
      <c r="G103" s="43"/>
      <c r="H103" s="50">
        <f>VLOOKUP(F103,$A$18:$B$18,2,TRUE)</f>
        <v>5000</v>
      </c>
      <c r="I103" s="45">
        <f t="shared" si="1"/>
        <v>0</v>
      </c>
      <c r="J103" s="47"/>
      <c r="K103" s="18"/>
      <c r="L103" s="18"/>
      <c r="M103" s="18"/>
      <c r="N103" s="18"/>
    </row>
    <row r="104" ht="15.75" customHeight="1">
      <c r="A104" s="39"/>
      <c r="B104" s="39"/>
      <c r="C104" s="39"/>
      <c r="D104" s="47"/>
      <c r="E104" s="47"/>
      <c r="F104" s="42" t="s">
        <v>36</v>
      </c>
      <c r="G104" s="43"/>
      <c r="H104" s="50">
        <f>VLOOKUP(F104,$A$19:$B$19,2,TRUE)</f>
        <v>2700</v>
      </c>
      <c r="I104" s="45">
        <f t="shared" si="1"/>
        <v>0</v>
      </c>
      <c r="J104" s="47"/>
      <c r="K104" s="18"/>
      <c r="L104" s="18"/>
      <c r="M104" s="18"/>
      <c r="N104" s="18"/>
    </row>
    <row r="105" ht="15.75" customHeight="1">
      <c r="A105" s="39"/>
      <c r="B105" s="39"/>
      <c r="C105" s="39"/>
      <c r="D105" s="47"/>
      <c r="E105" s="47"/>
      <c r="F105" s="42" t="s">
        <v>37</v>
      </c>
      <c r="G105" s="43"/>
      <c r="H105" s="50">
        <f>VLOOKUP(F105,$A$20:$B$20,2,TRUE)</f>
        <v>50000</v>
      </c>
      <c r="I105" s="45">
        <f t="shared" si="1"/>
        <v>0</v>
      </c>
      <c r="J105" s="47"/>
      <c r="K105" s="18"/>
      <c r="L105" s="18"/>
      <c r="M105" s="18"/>
      <c r="N105" s="18"/>
    </row>
    <row r="106" ht="15.75" customHeight="1">
      <c r="A106" s="39"/>
      <c r="B106" s="39"/>
      <c r="C106" s="39"/>
      <c r="D106" s="47"/>
      <c r="E106" s="47"/>
      <c r="F106" s="42" t="s">
        <v>38</v>
      </c>
      <c r="G106" s="43"/>
      <c r="H106" s="50">
        <f>VLOOKUP(F106,$A$21:$B$21,2,TRUE)</f>
        <v>10000</v>
      </c>
      <c r="I106" s="45">
        <f t="shared" si="1"/>
        <v>0</v>
      </c>
      <c r="J106" s="47"/>
      <c r="K106" s="18"/>
      <c r="L106" s="18"/>
      <c r="M106" s="18"/>
      <c r="N106" s="18"/>
    </row>
    <row r="107" ht="15.75" customHeight="1">
      <c r="A107" s="39"/>
      <c r="B107" s="39"/>
      <c r="C107" s="39"/>
      <c r="D107" s="47"/>
      <c r="E107" s="47"/>
      <c r="F107" s="42" t="s">
        <v>39</v>
      </c>
      <c r="G107" s="43"/>
      <c r="H107" s="50">
        <f>VLOOKUP(F107,$A$22:$B$22,2,TRUE)</f>
        <v>1000</v>
      </c>
      <c r="I107" s="45">
        <f t="shared" si="1"/>
        <v>0</v>
      </c>
      <c r="J107" s="47"/>
      <c r="K107" s="18"/>
      <c r="L107" s="18"/>
      <c r="M107" s="18"/>
      <c r="N107" s="18"/>
    </row>
    <row r="108" ht="15.75" customHeight="1">
      <c r="A108" s="39"/>
      <c r="B108" s="39"/>
      <c r="C108" s="39"/>
      <c r="D108" s="47"/>
      <c r="E108" s="47"/>
      <c r="F108" s="42" t="s">
        <v>40</v>
      </c>
      <c r="G108" s="43"/>
      <c r="H108" s="50">
        <f>VLOOKUP(F108,$A$23:$B$23,2,TRUE)</f>
        <v>500</v>
      </c>
      <c r="I108" s="45">
        <f t="shared" si="1"/>
        <v>0</v>
      </c>
      <c r="J108" s="47"/>
      <c r="K108" s="18"/>
      <c r="L108" s="18"/>
      <c r="M108" s="18"/>
      <c r="N108" s="18"/>
    </row>
    <row r="109" ht="15.75" customHeight="1">
      <c r="A109" s="39"/>
      <c r="B109" s="39"/>
      <c r="C109" s="39"/>
      <c r="D109" s="47"/>
      <c r="E109" s="47"/>
      <c r="F109" s="42" t="s">
        <v>41</v>
      </c>
      <c r="G109" s="43"/>
      <c r="H109" s="50">
        <f>VLOOKUP(F109,$A$24:$B$24,2,TRUE)</f>
        <v>200</v>
      </c>
      <c r="I109" s="45">
        <f t="shared" si="1"/>
        <v>0</v>
      </c>
      <c r="J109" s="47"/>
      <c r="K109" s="18"/>
      <c r="L109" s="18"/>
      <c r="M109" s="18"/>
      <c r="N109" s="18"/>
    </row>
    <row r="110" ht="15.75" customHeight="1">
      <c r="A110" s="39"/>
      <c r="B110" s="39"/>
      <c r="C110" s="39"/>
      <c r="D110" s="47"/>
      <c r="E110" s="47"/>
      <c r="F110" s="42" t="s">
        <v>42</v>
      </c>
      <c r="G110" s="43"/>
      <c r="H110" s="50">
        <f>VLOOKUP(F110,$A$25:$B$25,2,TRUE)</f>
        <v>1000</v>
      </c>
      <c r="I110" s="45">
        <f t="shared" si="1"/>
        <v>0</v>
      </c>
      <c r="J110" s="47"/>
      <c r="K110" s="18"/>
      <c r="L110" s="18"/>
      <c r="M110" s="18"/>
      <c r="N110" s="18"/>
    </row>
    <row r="111" ht="15.75" customHeight="1">
      <c r="A111" s="39"/>
      <c r="B111" s="39"/>
      <c r="C111" s="39"/>
      <c r="D111" s="47"/>
      <c r="E111" s="47"/>
      <c r="F111" s="42" t="s">
        <v>17</v>
      </c>
      <c r="G111" s="43"/>
      <c r="H111" s="50">
        <f>VLOOKUP(F111,$A$26:$B$26,2,TRUE)</f>
        <v>300</v>
      </c>
      <c r="I111" s="45">
        <f t="shared" si="1"/>
        <v>0</v>
      </c>
      <c r="J111" s="47"/>
      <c r="K111" s="18"/>
      <c r="L111" s="18"/>
      <c r="M111" s="18"/>
      <c r="N111" s="18"/>
    </row>
    <row r="112" ht="15.75" customHeight="1">
      <c r="A112" s="39"/>
      <c r="B112" s="39"/>
      <c r="C112" s="39"/>
      <c r="D112" s="47"/>
      <c r="E112" s="47"/>
      <c r="F112" s="42" t="s">
        <v>43</v>
      </c>
      <c r="G112" s="43"/>
      <c r="H112" s="50">
        <f>VLOOKUP(F112,$A$27:$B$27,2,TRUE)</f>
        <v>100</v>
      </c>
      <c r="I112" s="45">
        <f t="shared" si="1"/>
        <v>0</v>
      </c>
      <c r="J112" s="47"/>
      <c r="K112" s="18"/>
      <c r="L112" s="18"/>
      <c r="M112" s="18"/>
      <c r="N112" s="18"/>
    </row>
    <row r="113" ht="15.75" customHeight="1">
      <c r="A113" s="39"/>
      <c r="B113" s="39"/>
      <c r="C113" s="39"/>
      <c r="D113" s="47"/>
      <c r="E113" s="47"/>
      <c r="F113" s="42" t="s">
        <v>59</v>
      </c>
      <c r="G113" s="43"/>
      <c r="H113" s="50">
        <f>VLOOKUP(F113,$A$28:$B$28,2,TRUE)</f>
        <v>500</v>
      </c>
      <c r="I113" s="45">
        <f t="shared" si="1"/>
        <v>0</v>
      </c>
      <c r="J113" s="47"/>
      <c r="K113" s="18"/>
      <c r="L113" s="18"/>
      <c r="M113" s="18"/>
      <c r="N113" s="18"/>
    </row>
    <row r="114" ht="15.75" customHeight="1">
      <c r="A114" s="39"/>
      <c r="B114" s="39"/>
      <c r="C114" s="39"/>
      <c r="D114" s="47"/>
      <c r="E114" s="47"/>
      <c r="F114" s="42" t="s">
        <v>13</v>
      </c>
      <c r="G114" s="43"/>
      <c r="H114" s="50">
        <f>VLOOKUP(F114,$A$29:$B$29,2,TRUE)</f>
        <v>1500</v>
      </c>
      <c r="I114" s="45">
        <f t="shared" si="1"/>
        <v>0</v>
      </c>
      <c r="J114" s="47"/>
      <c r="K114" s="18"/>
      <c r="L114" s="18"/>
      <c r="M114" s="18"/>
      <c r="N114" s="18"/>
    </row>
    <row r="115" ht="15.75" customHeight="1">
      <c r="A115" s="39"/>
      <c r="B115" s="39"/>
      <c r="C115" s="39"/>
      <c r="D115" s="47"/>
      <c r="E115" s="47"/>
      <c r="F115" s="42" t="s">
        <v>19</v>
      </c>
      <c r="G115" s="43"/>
      <c r="H115" s="50">
        <f>VLOOKUP(F115,$A$30:$B$30,2,TRUE)</f>
        <v>4000</v>
      </c>
      <c r="I115" s="45">
        <f t="shared" si="1"/>
        <v>0</v>
      </c>
      <c r="J115" s="47"/>
      <c r="K115" s="18"/>
      <c r="L115" s="18"/>
      <c r="M115" s="18"/>
      <c r="N115" s="18"/>
    </row>
    <row r="116" ht="15.75" customHeight="1">
      <c r="A116" s="39"/>
      <c r="B116" s="39"/>
      <c r="C116" s="39"/>
      <c r="D116" s="7"/>
      <c r="E116" s="7"/>
      <c r="F116" s="42" t="s">
        <v>60</v>
      </c>
      <c r="G116" s="43"/>
      <c r="H116" s="50">
        <f>VLOOKUP(F116,$A$31:$B$31,2,TRUE)</f>
        <v>500</v>
      </c>
      <c r="I116" s="45">
        <f t="shared" si="1"/>
        <v>0</v>
      </c>
      <c r="J116" s="7"/>
      <c r="K116" s="18"/>
      <c r="L116" s="18"/>
      <c r="M116" s="18"/>
      <c r="N116" s="18"/>
    </row>
    <row r="117" ht="15.75" customHeight="1">
      <c r="A117" s="39"/>
      <c r="B117" s="39"/>
      <c r="C117" s="39"/>
      <c r="D117" s="40">
        <v>5.0</v>
      </c>
      <c r="E117" s="41" t="s">
        <v>89</v>
      </c>
      <c r="F117" s="42" t="s">
        <v>21</v>
      </c>
      <c r="G117" s="43"/>
      <c r="H117" s="50">
        <f>VLOOKUP(F117,$A$4:$B$4,2,TRUE)</f>
        <v>5000</v>
      </c>
      <c r="I117" s="45">
        <f t="shared" si="1"/>
        <v>0</v>
      </c>
      <c r="J117" s="46">
        <f>SUM(I117:I144)</f>
        <v>8000</v>
      </c>
      <c r="K117" s="18"/>
      <c r="L117" s="18"/>
      <c r="M117" s="18"/>
      <c r="N117" s="18"/>
    </row>
    <row r="118" ht="15.75" customHeight="1">
      <c r="A118" s="39"/>
      <c r="B118" s="39"/>
      <c r="C118" s="39"/>
      <c r="D118" s="47"/>
      <c r="E118" s="47"/>
      <c r="F118" s="42" t="s">
        <v>56</v>
      </c>
      <c r="G118" s="43"/>
      <c r="H118" s="50">
        <f>VLOOKUP(F118,$A$5:$B$5,2,TRUE)</f>
        <v>3000</v>
      </c>
      <c r="I118" s="45">
        <f t="shared" si="1"/>
        <v>0</v>
      </c>
      <c r="J118" s="47"/>
      <c r="K118" s="18"/>
      <c r="L118" s="18"/>
      <c r="M118" s="18"/>
      <c r="N118" s="18"/>
    </row>
    <row r="119" ht="15.75" customHeight="1">
      <c r="A119" s="39"/>
      <c r="B119" s="39"/>
      <c r="C119" s="39"/>
      <c r="D119" s="47"/>
      <c r="E119" s="47"/>
      <c r="F119" s="42" t="s">
        <v>58</v>
      </c>
      <c r="G119" s="43"/>
      <c r="H119" s="50">
        <f>VLOOKUP(F119,$A$6:$B$6,2,TRUE)</f>
        <v>1000</v>
      </c>
      <c r="I119" s="45">
        <f t="shared" si="1"/>
        <v>0</v>
      </c>
      <c r="J119" s="47"/>
      <c r="K119" s="18"/>
      <c r="L119" s="18"/>
      <c r="M119" s="18"/>
      <c r="N119" s="18"/>
    </row>
    <row r="120" ht="15.75" customHeight="1">
      <c r="A120" s="39"/>
      <c r="B120" s="39"/>
      <c r="C120" s="39"/>
      <c r="D120" s="47"/>
      <c r="E120" s="47"/>
      <c r="F120" s="42" t="s">
        <v>24</v>
      </c>
      <c r="G120" s="43"/>
      <c r="H120" s="50">
        <f>VLOOKUP(F120,$A$7:$B$7,2,TRUE)</f>
        <v>2800</v>
      </c>
      <c r="I120" s="45">
        <f t="shared" si="1"/>
        <v>0</v>
      </c>
      <c r="J120" s="47"/>
      <c r="K120" s="18"/>
      <c r="L120" s="18"/>
      <c r="M120" s="18"/>
      <c r="N120" s="18"/>
    </row>
    <row r="121" ht="15.75" customHeight="1">
      <c r="A121" s="39"/>
      <c r="B121" s="39"/>
      <c r="C121" s="39"/>
      <c r="D121" s="47"/>
      <c r="E121" s="47"/>
      <c r="F121" s="42" t="s">
        <v>25</v>
      </c>
      <c r="G121" s="43"/>
      <c r="H121" s="50">
        <f>VLOOKUP(F121,$A$8:$B$8,2,TRUE)</f>
        <v>3500</v>
      </c>
      <c r="I121" s="45">
        <f t="shared" si="1"/>
        <v>0</v>
      </c>
      <c r="J121" s="47"/>
      <c r="K121" s="18"/>
      <c r="L121" s="18"/>
      <c r="M121" s="18"/>
      <c r="N121" s="18"/>
    </row>
    <row r="122" ht="15.75" customHeight="1">
      <c r="A122" s="39"/>
      <c r="B122" s="39"/>
      <c r="C122" s="39"/>
      <c r="D122" s="47"/>
      <c r="E122" s="47"/>
      <c r="F122" s="42" t="s">
        <v>26</v>
      </c>
      <c r="G122" s="43"/>
      <c r="H122" s="50">
        <f>VLOOKUP(F122,$A$9:$B$9,2,TRUE)</f>
        <v>1000</v>
      </c>
      <c r="I122" s="45">
        <f t="shared" si="1"/>
        <v>0</v>
      </c>
      <c r="J122" s="47"/>
      <c r="K122" s="18"/>
      <c r="L122" s="18"/>
      <c r="M122" s="18"/>
      <c r="N122" s="18"/>
    </row>
    <row r="123" ht="15.75" customHeight="1">
      <c r="A123" s="39"/>
      <c r="B123" s="39"/>
      <c r="C123" s="39"/>
      <c r="D123" s="47"/>
      <c r="E123" s="47"/>
      <c r="F123" s="42" t="s">
        <v>27</v>
      </c>
      <c r="G123" s="43">
        <v>1.0</v>
      </c>
      <c r="H123" s="50">
        <f>VLOOKUP(F123,$A$10:$B$10,2,TRUE)</f>
        <v>2000</v>
      </c>
      <c r="I123" s="45">
        <f t="shared" si="1"/>
        <v>2000</v>
      </c>
      <c r="J123" s="47"/>
      <c r="K123" s="18"/>
      <c r="L123" s="18"/>
      <c r="M123" s="18"/>
      <c r="N123" s="18"/>
    </row>
    <row r="124" ht="15.75" customHeight="1">
      <c r="A124" s="39"/>
      <c r="B124" s="39"/>
      <c r="C124" s="39"/>
      <c r="D124" s="47"/>
      <c r="E124" s="47"/>
      <c r="F124" s="42" t="s">
        <v>28</v>
      </c>
      <c r="G124" s="43"/>
      <c r="H124" s="50">
        <f>VLOOKUP(F124,$A$11:$B$11,2,TRUE)</f>
        <v>2000</v>
      </c>
      <c r="I124" s="45">
        <f t="shared" si="1"/>
        <v>0</v>
      </c>
      <c r="J124" s="47"/>
      <c r="K124" s="18"/>
      <c r="L124" s="18"/>
      <c r="M124" s="18"/>
      <c r="N124" s="18"/>
    </row>
    <row r="125" ht="15.75" customHeight="1">
      <c r="A125" s="39"/>
      <c r="B125" s="39"/>
      <c r="C125" s="39"/>
      <c r="D125" s="47"/>
      <c r="E125" s="47"/>
      <c r="F125" s="42" t="s">
        <v>29</v>
      </c>
      <c r="G125" s="43"/>
      <c r="H125" s="50">
        <f>VLOOKUP(F125,$A$12:$B$12,2,TRUE)</f>
        <v>1300</v>
      </c>
      <c r="I125" s="45">
        <f t="shared" si="1"/>
        <v>0</v>
      </c>
      <c r="J125" s="47"/>
      <c r="K125" s="18"/>
      <c r="L125" s="18"/>
      <c r="M125" s="18"/>
      <c r="N125" s="18"/>
    </row>
    <row r="126" ht="15.75" customHeight="1">
      <c r="A126" s="39"/>
      <c r="B126" s="39"/>
      <c r="C126" s="39"/>
      <c r="D126" s="47"/>
      <c r="E126" s="47"/>
      <c r="F126" s="42" t="s">
        <v>30</v>
      </c>
      <c r="G126" s="43">
        <v>6.0</v>
      </c>
      <c r="H126" s="50">
        <f>VLOOKUP(F126,$A$13:$B$13,2,TRUE)</f>
        <v>1000</v>
      </c>
      <c r="I126" s="45">
        <f t="shared" si="1"/>
        <v>6000</v>
      </c>
      <c r="J126" s="47"/>
      <c r="K126" s="18"/>
      <c r="L126" s="18"/>
      <c r="M126" s="18"/>
      <c r="N126" s="18"/>
    </row>
    <row r="127" ht="15.75" customHeight="1">
      <c r="A127" s="39"/>
      <c r="B127" s="39"/>
      <c r="C127" s="39"/>
      <c r="D127" s="47"/>
      <c r="E127" s="47"/>
      <c r="F127" s="42" t="s">
        <v>31</v>
      </c>
      <c r="G127" s="43"/>
      <c r="H127" s="50">
        <f>VLOOKUP(F127,$A$14:$B$14,2,TRUE)</f>
        <v>400</v>
      </c>
      <c r="I127" s="45">
        <f t="shared" si="1"/>
        <v>0</v>
      </c>
      <c r="J127" s="47"/>
      <c r="K127" s="18"/>
      <c r="L127" s="18"/>
      <c r="M127" s="18"/>
      <c r="N127" s="18"/>
    </row>
    <row r="128" ht="15.75" customHeight="1">
      <c r="A128" s="39"/>
      <c r="B128" s="39"/>
      <c r="C128" s="39"/>
      <c r="D128" s="47"/>
      <c r="E128" s="47"/>
      <c r="F128" s="42" t="s">
        <v>32</v>
      </c>
      <c r="G128" s="43"/>
      <c r="H128" s="50">
        <f>VLOOKUP(F128,$A$15:$B$15,2,TRUE)</f>
        <v>7500</v>
      </c>
      <c r="I128" s="45">
        <f t="shared" si="1"/>
        <v>0</v>
      </c>
      <c r="J128" s="47"/>
      <c r="K128" s="18"/>
      <c r="L128" s="18"/>
      <c r="M128" s="18"/>
      <c r="N128" s="18"/>
    </row>
    <row r="129" ht="15.75" customHeight="1">
      <c r="A129" s="39"/>
      <c r="B129" s="39"/>
      <c r="C129" s="39"/>
      <c r="D129" s="47"/>
      <c r="E129" s="47"/>
      <c r="F129" s="42" t="s">
        <v>33</v>
      </c>
      <c r="G129" s="43"/>
      <c r="H129" s="50">
        <f>VLOOKUP(F129,$A$16:$B$16,2,TRUE)</f>
        <v>2000</v>
      </c>
      <c r="I129" s="45">
        <f t="shared" si="1"/>
        <v>0</v>
      </c>
      <c r="J129" s="47"/>
      <c r="K129" s="18"/>
      <c r="L129" s="18"/>
      <c r="M129" s="18"/>
      <c r="N129" s="18"/>
    </row>
    <row r="130" ht="15.75" customHeight="1">
      <c r="A130" s="39"/>
      <c r="B130" s="39"/>
      <c r="C130" s="39"/>
      <c r="D130" s="47"/>
      <c r="E130" s="47"/>
      <c r="F130" s="42" t="s">
        <v>34</v>
      </c>
      <c r="G130" s="43"/>
      <c r="H130" s="50">
        <f>VLOOKUP(F130,$A$17:$B$17,2,TRUE)</f>
        <v>800</v>
      </c>
      <c r="I130" s="45">
        <f t="shared" si="1"/>
        <v>0</v>
      </c>
      <c r="J130" s="47"/>
      <c r="K130" s="18"/>
      <c r="L130" s="18"/>
      <c r="M130" s="18"/>
      <c r="N130" s="18"/>
    </row>
    <row r="131" ht="15.75" customHeight="1">
      <c r="A131" s="39"/>
      <c r="B131" s="39"/>
      <c r="C131" s="39"/>
      <c r="D131" s="47"/>
      <c r="E131" s="47"/>
      <c r="F131" s="42" t="s">
        <v>35</v>
      </c>
      <c r="G131" s="43"/>
      <c r="H131" s="50">
        <f>VLOOKUP(F131,$A$18:$B$18,2,TRUE)</f>
        <v>5000</v>
      </c>
      <c r="I131" s="45">
        <f t="shared" si="1"/>
        <v>0</v>
      </c>
      <c r="J131" s="47"/>
      <c r="K131" s="18"/>
      <c r="L131" s="18"/>
      <c r="M131" s="18"/>
      <c r="N131" s="18"/>
    </row>
    <row r="132" ht="15.75" customHeight="1">
      <c r="A132" s="39"/>
      <c r="B132" s="39"/>
      <c r="C132" s="39"/>
      <c r="D132" s="47"/>
      <c r="E132" s="47"/>
      <c r="F132" s="42" t="s">
        <v>36</v>
      </c>
      <c r="G132" s="43"/>
      <c r="H132" s="50">
        <f>VLOOKUP(F132,$A$19:$B$19,2,TRUE)</f>
        <v>2700</v>
      </c>
      <c r="I132" s="45">
        <f t="shared" si="1"/>
        <v>0</v>
      </c>
      <c r="J132" s="47"/>
      <c r="K132" s="18"/>
      <c r="L132" s="18"/>
      <c r="M132" s="18"/>
      <c r="N132" s="18"/>
    </row>
    <row r="133" ht="15.75" customHeight="1">
      <c r="A133" s="39"/>
      <c r="B133" s="39"/>
      <c r="C133" s="39"/>
      <c r="D133" s="47"/>
      <c r="E133" s="47"/>
      <c r="F133" s="42" t="s">
        <v>37</v>
      </c>
      <c r="G133" s="43"/>
      <c r="H133" s="50">
        <f>VLOOKUP(F133,$A$20:$B$20,2,TRUE)</f>
        <v>50000</v>
      </c>
      <c r="I133" s="45">
        <f t="shared" si="1"/>
        <v>0</v>
      </c>
      <c r="J133" s="47"/>
      <c r="K133" s="18"/>
      <c r="L133" s="18"/>
      <c r="M133" s="18"/>
      <c r="N133" s="18"/>
    </row>
    <row r="134" ht="15.75" customHeight="1">
      <c r="A134" s="39"/>
      <c r="B134" s="39"/>
      <c r="C134" s="39"/>
      <c r="D134" s="47"/>
      <c r="E134" s="47"/>
      <c r="F134" s="42" t="s">
        <v>38</v>
      </c>
      <c r="G134" s="43"/>
      <c r="H134" s="50">
        <f>VLOOKUP(F134,$A$21:$B$21,2,TRUE)</f>
        <v>10000</v>
      </c>
      <c r="I134" s="45">
        <f t="shared" si="1"/>
        <v>0</v>
      </c>
      <c r="J134" s="47"/>
      <c r="K134" s="18"/>
      <c r="L134" s="18"/>
      <c r="M134" s="18"/>
      <c r="N134" s="18"/>
    </row>
    <row r="135" ht="15.75" customHeight="1">
      <c r="A135" s="39"/>
      <c r="B135" s="39"/>
      <c r="C135" s="39"/>
      <c r="D135" s="47"/>
      <c r="E135" s="47"/>
      <c r="F135" s="42" t="s">
        <v>39</v>
      </c>
      <c r="G135" s="43"/>
      <c r="H135" s="50">
        <f>VLOOKUP(F135,$A$22:$B$22,2,TRUE)</f>
        <v>1000</v>
      </c>
      <c r="I135" s="45">
        <f t="shared" si="1"/>
        <v>0</v>
      </c>
      <c r="J135" s="47"/>
      <c r="K135" s="18"/>
      <c r="L135" s="18"/>
      <c r="M135" s="18"/>
      <c r="N135" s="18"/>
    </row>
    <row r="136" ht="15.75" customHeight="1">
      <c r="A136" s="39"/>
      <c r="B136" s="39"/>
      <c r="C136" s="39"/>
      <c r="D136" s="47"/>
      <c r="E136" s="47"/>
      <c r="F136" s="42" t="s">
        <v>40</v>
      </c>
      <c r="G136" s="43"/>
      <c r="H136" s="50">
        <f>VLOOKUP(F136,$A$23:$B$23,2,TRUE)</f>
        <v>500</v>
      </c>
      <c r="I136" s="45">
        <f t="shared" si="1"/>
        <v>0</v>
      </c>
      <c r="J136" s="47"/>
      <c r="K136" s="18"/>
      <c r="L136" s="18"/>
      <c r="M136" s="18"/>
      <c r="N136" s="18"/>
    </row>
    <row r="137" ht="15.75" customHeight="1">
      <c r="A137" s="39"/>
      <c r="B137" s="39"/>
      <c r="C137" s="39"/>
      <c r="D137" s="47"/>
      <c r="E137" s="47"/>
      <c r="F137" s="42" t="s">
        <v>41</v>
      </c>
      <c r="G137" s="43"/>
      <c r="H137" s="50">
        <f>VLOOKUP(F137,$A$24:$B$24,2,TRUE)</f>
        <v>200</v>
      </c>
      <c r="I137" s="45">
        <f t="shared" si="1"/>
        <v>0</v>
      </c>
      <c r="J137" s="47"/>
      <c r="K137" s="18"/>
      <c r="L137" s="18"/>
      <c r="M137" s="18"/>
      <c r="N137" s="18"/>
    </row>
    <row r="138" ht="15.75" customHeight="1">
      <c r="A138" s="39"/>
      <c r="B138" s="39"/>
      <c r="C138" s="39"/>
      <c r="D138" s="47"/>
      <c r="E138" s="47"/>
      <c r="F138" s="42" t="s">
        <v>42</v>
      </c>
      <c r="G138" s="43"/>
      <c r="H138" s="50">
        <f>VLOOKUP(F138,$A$25:$B$25,2,TRUE)</f>
        <v>1000</v>
      </c>
      <c r="I138" s="45">
        <f t="shared" si="1"/>
        <v>0</v>
      </c>
      <c r="J138" s="47"/>
      <c r="K138" s="18"/>
      <c r="L138" s="18"/>
      <c r="M138" s="18"/>
      <c r="N138" s="18"/>
    </row>
    <row r="139" ht="15.75" customHeight="1">
      <c r="A139" s="39"/>
      <c r="B139" s="39"/>
      <c r="C139" s="39"/>
      <c r="D139" s="47"/>
      <c r="E139" s="47"/>
      <c r="F139" s="42" t="s">
        <v>17</v>
      </c>
      <c r="G139" s="43"/>
      <c r="H139" s="50">
        <f>VLOOKUP(F139,$A$26:$B$26,2,TRUE)</f>
        <v>300</v>
      </c>
      <c r="I139" s="45">
        <f t="shared" si="1"/>
        <v>0</v>
      </c>
      <c r="J139" s="47"/>
      <c r="K139" s="18"/>
      <c r="L139" s="18"/>
      <c r="M139" s="18"/>
      <c r="N139" s="18"/>
    </row>
    <row r="140" ht="15.75" customHeight="1">
      <c r="A140" s="39"/>
      <c r="B140" s="39"/>
      <c r="C140" s="39"/>
      <c r="D140" s="47"/>
      <c r="E140" s="47"/>
      <c r="F140" s="42" t="s">
        <v>43</v>
      </c>
      <c r="G140" s="43"/>
      <c r="H140" s="50">
        <f>VLOOKUP(F140,$A$27:$B$27,2,TRUE)</f>
        <v>100</v>
      </c>
      <c r="I140" s="45">
        <f t="shared" si="1"/>
        <v>0</v>
      </c>
      <c r="J140" s="47"/>
      <c r="K140" s="18"/>
      <c r="L140" s="18"/>
      <c r="M140" s="18"/>
      <c r="N140" s="18"/>
    </row>
    <row r="141" ht="15.75" customHeight="1">
      <c r="A141" s="39"/>
      <c r="B141" s="39"/>
      <c r="C141" s="39"/>
      <c r="D141" s="47"/>
      <c r="E141" s="47"/>
      <c r="F141" s="42" t="s">
        <v>59</v>
      </c>
      <c r="G141" s="43"/>
      <c r="H141" s="50">
        <f>VLOOKUP(F141,$A$28:$B$28,2,TRUE)</f>
        <v>500</v>
      </c>
      <c r="I141" s="45">
        <f t="shared" si="1"/>
        <v>0</v>
      </c>
      <c r="J141" s="47"/>
      <c r="K141" s="18"/>
      <c r="L141" s="18"/>
      <c r="M141" s="18"/>
      <c r="N141" s="18"/>
    </row>
    <row r="142" ht="15.75" customHeight="1">
      <c r="A142" s="39"/>
      <c r="B142" s="39"/>
      <c r="C142" s="39"/>
      <c r="D142" s="47"/>
      <c r="E142" s="47"/>
      <c r="F142" s="42" t="s">
        <v>13</v>
      </c>
      <c r="G142" s="43"/>
      <c r="H142" s="50">
        <f>VLOOKUP(F142,$A$29:$B$29,2,TRUE)</f>
        <v>1500</v>
      </c>
      <c r="I142" s="45">
        <f t="shared" si="1"/>
        <v>0</v>
      </c>
      <c r="J142" s="47"/>
      <c r="K142" s="18"/>
      <c r="L142" s="18"/>
      <c r="M142" s="18"/>
      <c r="N142" s="18"/>
    </row>
    <row r="143" ht="15.75" customHeight="1">
      <c r="A143" s="39"/>
      <c r="B143" s="39"/>
      <c r="C143" s="39"/>
      <c r="D143" s="47"/>
      <c r="E143" s="47"/>
      <c r="F143" s="42" t="s">
        <v>19</v>
      </c>
      <c r="G143" s="43"/>
      <c r="H143" s="50">
        <f>VLOOKUP(F143,$A$30:$B$30,2,TRUE)</f>
        <v>4000</v>
      </c>
      <c r="I143" s="45">
        <f t="shared" si="1"/>
        <v>0</v>
      </c>
      <c r="J143" s="47"/>
      <c r="K143" s="18"/>
      <c r="L143" s="18"/>
      <c r="M143" s="18"/>
      <c r="N143" s="18"/>
    </row>
    <row r="144" ht="15.75" customHeight="1">
      <c r="A144" s="39"/>
      <c r="B144" s="39"/>
      <c r="C144" s="39"/>
      <c r="D144" s="7"/>
      <c r="E144" s="7"/>
      <c r="F144" s="42" t="s">
        <v>60</v>
      </c>
      <c r="G144" s="43"/>
      <c r="H144" s="50">
        <f>VLOOKUP(F144,$A$31:$B$31,2,TRUE)</f>
        <v>500</v>
      </c>
      <c r="I144" s="45">
        <f t="shared" si="1"/>
        <v>0</v>
      </c>
      <c r="J144" s="7"/>
      <c r="K144" s="18"/>
      <c r="L144" s="18"/>
      <c r="M144" s="18"/>
      <c r="N144" s="18"/>
    </row>
    <row r="145" ht="15.75" customHeight="1">
      <c r="A145" s="39"/>
      <c r="B145" s="39"/>
      <c r="C145" s="39"/>
      <c r="D145" s="40">
        <v>6.0</v>
      </c>
      <c r="E145" s="41" t="s">
        <v>90</v>
      </c>
      <c r="F145" s="42" t="s">
        <v>21</v>
      </c>
      <c r="G145" s="43"/>
      <c r="H145" s="50">
        <f>VLOOKUP(F145,$A$4:$B$4,2,TRUE)</f>
        <v>5000</v>
      </c>
      <c r="I145" s="45">
        <f t="shared" si="1"/>
        <v>0</v>
      </c>
      <c r="J145" s="46">
        <f>SUM(I145:I172)</f>
        <v>3000</v>
      </c>
      <c r="K145" s="18"/>
      <c r="L145" s="18"/>
      <c r="M145" s="18"/>
      <c r="N145" s="18"/>
    </row>
    <row r="146" ht="15.75" customHeight="1">
      <c r="A146" s="39"/>
      <c r="B146" s="39"/>
      <c r="C146" s="39"/>
      <c r="D146" s="47"/>
      <c r="E146" s="47"/>
      <c r="F146" s="42" t="s">
        <v>56</v>
      </c>
      <c r="G146" s="43"/>
      <c r="H146" s="50">
        <f>VLOOKUP(F146,$A$5:$B$5,2,TRUE)</f>
        <v>3000</v>
      </c>
      <c r="I146" s="45">
        <f t="shared" si="1"/>
        <v>0</v>
      </c>
      <c r="J146" s="47"/>
      <c r="K146" s="18"/>
      <c r="L146" s="18"/>
      <c r="M146" s="18"/>
      <c r="N146" s="18"/>
    </row>
    <row r="147" ht="15.75" customHeight="1">
      <c r="A147" s="39"/>
      <c r="B147" s="39"/>
      <c r="C147" s="39"/>
      <c r="D147" s="47"/>
      <c r="E147" s="47"/>
      <c r="F147" s="42" t="s">
        <v>58</v>
      </c>
      <c r="G147" s="43"/>
      <c r="H147" s="50">
        <f>VLOOKUP(F147,$A$6:$B$6,2,TRUE)</f>
        <v>1000</v>
      </c>
      <c r="I147" s="45">
        <f t="shared" si="1"/>
        <v>0</v>
      </c>
      <c r="J147" s="47"/>
      <c r="K147" s="18"/>
      <c r="L147" s="18"/>
      <c r="M147" s="18"/>
      <c r="N147" s="18"/>
    </row>
    <row r="148" ht="15.75" customHeight="1">
      <c r="A148" s="39"/>
      <c r="B148" s="39"/>
      <c r="C148" s="39"/>
      <c r="D148" s="47"/>
      <c r="E148" s="47"/>
      <c r="F148" s="42" t="s">
        <v>24</v>
      </c>
      <c r="G148" s="43"/>
      <c r="H148" s="50">
        <f>VLOOKUP(F148,$A$7:$B$7,2,TRUE)</f>
        <v>2800</v>
      </c>
      <c r="I148" s="45">
        <f t="shared" si="1"/>
        <v>0</v>
      </c>
      <c r="J148" s="47"/>
      <c r="K148" s="18"/>
      <c r="L148" s="18"/>
      <c r="M148" s="18"/>
      <c r="N148" s="18"/>
    </row>
    <row r="149" ht="15.75" customHeight="1">
      <c r="A149" s="39"/>
      <c r="B149" s="39"/>
      <c r="C149" s="39"/>
      <c r="D149" s="47"/>
      <c r="E149" s="47"/>
      <c r="F149" s="42" t="s">
        <v>25</v>
      </c>
      <c r="G149" s="43"/>
      <c r="H149" s="50">
        <f>VLOOKUP(F149,$A$8:$B$8,2,TRUE)</f>
        <v>3500</v>
      </c>
      <c r="I149" s="45">
        <f t="shared" si="1"/>
        <v>0</v>
      </c>
      <c r="J149" s="47"/>
      <c r="K149" s="18"/>
      <c r="L149" s="18"/>
      <c r="M149" s="18"/>
      <c r="N149" s="18"/>
    </row>
    <row r="150" ht="15.75" customHeight="1">
      <c r="A150" s="39"/>
      <c r="B150" s="39"/>
      <c r="C150" s="39"/>
      <c r="D150" s="47"/>
      <c r="E150" s="47"/>
      <c r="F150" s="42" t="s">
        <v>26</v>
      </c>
      <c r="G150" s="43">
        <v>1.0</v>
      </c>
      <c r="H150" s="50">
        <f>VLOOKUP(F150,$A$9:$B$9,2,TRUE)</f>
        <v>1000</v>
      </c>
      <c r="I150" s="45">
        <f t="shared" si="1"/>
        <v>1000</v>
      </c>
      <c r="J150" s="47"/>
      <c r="K150" s="18"/>
      <c r="L150" s="18"/>
      <c r="M150" s="18"/>
      <c r="N150" s="18"/>
    </row>
    <row r="151" ht="15.75" customHeight="1">
      <c r="A151" s="39"/>
      <c r="B151" s="39"/>
      <c r="C151" s="39"/>
      <c r="D151" s="47"/>
      <c r="E151" s="47"/>
      <c r="F151" s="42" t="s">
        <v>27</v>
      </c>
      <c r="G151" s="43"/>
      <c r="H151" s="50">
        <f>VLOOKUP(F151,$A$10:$B$10,2,TRUE)</f>
        <v>2000</v>
      </c>
      <c r="I151" s="45">
        <f t="shared" si="1"/>
        <v>0</v>
      </c>
      <c r="J151" s="47"/>
      <c r="K151" s="18"/>
      <c r="L151" s="18"/>
      <c r="M151" s="18"/>
      <c r="N151" s="18"/>
    </row>
    <row r="152" ht="15.75" customHeight="1">
      <c r="A152" s="39"/>
      <c r="B152" s="39"/>
      <c r="C152" s="39"/>
      <c r="D152" s="47"/>
      <c r="E152" s="47"/>
      <c r="F152" s="42" t="s">
        <v>28</v>
      </c>
      <c r="G152" s="43">
        <v>1.0</v>
      </c>
      <c r="H152" s="50">
        <f>VLOOKUP(F152,$A$11:$B$11,2,TRUE)</f>
        <v>2000</v>
      </c>
      <c r="I152" s="45">
        <f t="shared" si="1"/>
        <v>2000</v>
      </c>
      <c r="J152" s="47"/>
      <c r="K152" s="18"/>
      <c r="L152" s="18"/>
      <c r="M152" s="18"/>
      <c r="N152" s="18"/>
    </row>
    <row r="153" ht="15.75" customHeight="1">
      <c r="A153" s="39"/>
      <c r="B153" s="39"/>
      <c r="C153" s="39"/>
      <c r="D153" s="47"/>
      <c r="E153" s="47"/>
      <c r="F153" s="42" t="s">
        <v>29</v>
      </c>
      <c r="G153" s="43"/>
      <c r="H153" s="50">
        <f>VLOOKUP(F153,$A$12:$B$12,2,TRUE)</f>
        <v>1300</v>
      </c>
      <c r="I153" s="45">
        <f t="shared" si="1"/>
        <v>0</v>
      </c>
      <c r="J153" s="47"/>
      <c r="K153" s="18"/>
      <c r="L153" s="18"/>
      <c r="M153" s="18"/>
      <c r="N153" s="18"/>
    </row>
    <row r="154" ht="15.75" customHeight="1">
      <c r="A154" s="39"/>
      <c r="B154" s="39"/>
      <c r="C154" s="39"/>
      <c r="D154" s="47"/>
      <c r="E154" s="47"/>
      <c r="F154" s="42" t="s">
        <v>30</v>
      </c>
      <c r="G154" s="43"/>
      <c r="H154" s="50">
        <f>VLOOKUP(F154,$A$13:$B$13,2,TRUE)</f>
        <v>1000</v>
      </c>
      <c r="I154" s="45">
        <f t="shared" si="1"/>
        <v>0</v>
      </c>
      <c r="J154" s="47"/>
      <c r="K154" s="18"/>
      <c r="L154" s="18"/>
      <c r="M154" s="18"/>
      <c r="N154" s="18"/>
    </row>
    <row r="155" ht="15.75" customHeight="1">
      <c r="A155" s="39"/>
      <c r="B155" s="39"/>
      <c r="C155" s="39"/>
      <c r="D155" s="47"/>
      <c r="E155" s="47"/>
      <c r="F155" s="42" t="s">
        <v>31</v>
      </c>
      <c r="G155" s="43"/>
      <c r="H155" s="50">
        <f>VLOOKUP(F155,$A$14:$B$14,2,TRUE)</f>
        <v>400</v>
      </c>
      <c r="I155" s="45">
        <f t="shared" si="1"/>
        <v>0</v>
      </c>
      <c r="J155" s="47"/>
      <c r="K155" s="18"/>
      <c r="L155" s="18"/>
      <c r="M155" s="18"/>
      <c r="N155" s="18"/>
    </row>
    <row r="156" ht="15.75" customHeight="1">
      <c r="A156" s="39"/>
      <c r="B156" s="39"/>
      <c r="C156" s="39"/>
      <c r="D156" s="47"/>
      <c r="E156" s="47"/>
      <c r="F156" s="42" t="s">
        <v>32</v>
      </c>
      <c r="G156" s="43"/>
      <c r="H156" s="50">
        <f>VLOOKUP(F156,$A$15:$B$15,2,TRUE)</f>
        <v>7500</v>
      </c>
      <c r="I156" s="45">
        <f t="shared" si="1"/>
        <v>0</v>
      </c>
      <c r="J156" s="47"/>
      <c r="K156" s="18"/>
      <c r="L156" s="18"/>
      <c r="M156" s="18"/>
      <c r="N156" s="18"/>
    </row>
    <row r="157" ht="15.75" customHeight="1">
      <c r="A157" s="39"/>
      <c r="B157" s="39"/>
      <c r="C157" s="39"/>
      <c r="D157" s="47"/>
      <c r="E157" s="47"/>
      <c r="F157" s="42" t="s">
        <v>33</v>
      </c>
      <c r="G157" s="43"/>
      <c r="H157" s="50">
        <f>VLOOKUP(F157,$A$16:$B$16,2,TRUE)</f>
        <v>2000</v>
      </c>
      <c r="I157" s="45">
        <f t="shared" si="1"/>
        <v>0</v>
      </c>
      <c r="J157" s="47"/>
      <c r="K157" s="18"/>
      <c r="L157" s="18"/>
      <c r="M157" s="18"/>
      <c r="N157" s="18"/>
    </row>
    <row r="158" ht="15.75" customHeight="1">
      <c r="A158" s="39"/>
      <c r="B158" s="39"/>
      <c r="C158" s="39"/>
      <c r="D158" s="47"/>
      <c r="E158" s="47"/>
      <c r="F158" s="42" t="s">
        <v>34</v>
      </c>
      <c r="G158" s="43"/>
      <c r="H158" s="50">
        <f>VLOOKUP(F158,$A$17:$B$17,2,TRUE)</f>
        <v>800</v>
      </c>
      <c r="I158" s="45">
        <f t="shared" si="1"/>
        <v>0</v>
      </c>
      <c r="J158" s="47"/>
      <c r="K158" s="18"/>
      <c r="L158" s="18"/>
      <c r="M158" s="18"/>
      <c r="N158" s="18"/>
    </row>
    <row r="159" ht="15.75" customHeight="1">
      <c r="A159" s="39"/>
      <c r="B159" s="39"/>
      <c r="C159" s="39"/>
      <c r="D159" s="47"/>
      <c r="E159" s="47"/>
      <c r="F159" s="42" t="s">
        <v>35</v>
      </c>
      <c r="G159" s="43"/>
      <c r="H159" s="50">
        <f>VLOOKUP(F159,$A$18:$B$18,2,TRUE)</f>
        <v>5000</v>
      </c>
      <c r="I159" s="45">
        <f t="shared" si="1"/>
        <v>0</v>
      </c>
      <c r="J159" s="47"/>
      <c r="K159" s="18"/>
      <c r="L159" s="18"/>
      <c r="M159" s="18"/>
      <c r="N159" s="18"/>
    </row>
    <row r="160" ht="15.75" customHeight="1">
      <c r="A160" s="39"/>
      <c r="B160" s="39"/>
      <c r="C160" s="39"/>
      <c r="D160" s="47"/>
      <c r="E160" s="47"/>
      <c r="F160" s="42" t="s">
        <v>36</v>
      </c>
      <c r="G160" s="43"/>
      <c r="H160" s="50">
        <f>VLOOKUP(F160,$A$19:$B$19,2,TRUE)</f>
        <v>2700</v>
      </c>
      <c r="I160" s="45">
        <f t="shared" si="1"/>
        <v>0</v>
      </c>
      <c r="J160" s="47"/>
      <c r="K160" s="18"/>
      <c r="L160" s="18"/>
      <c r="M160" s="18"/>
      <c r="N160" s="18"/>
    </row>
    <row r="161" ht="15.75" customHeight="1">
      <c r="A161" s="39"/>
      <c r="B161" s="39"/>
      <c r="C161" s="39"/>
      <c r="D161" s="47"/>
      <c r="E161" s="47"/>
      <c r="F161" s="42" t="s">
        <v>37</v>
      </c>
      <c r="G161" s="43"/>
      <c r="H161" s="50">
        <f>VLOOKUP(F161,$A$20:$B$20,2,TRUE)</f>
        <v>50000</v>
      </c>
      <c r="I161" s="45">
        <f t="shared" si="1"/>
        <v>0</v>
      </c>
      <c r="J161" s="47"/>
      <c r="K161" s="18"/>
      <c r="L161" s="18"/>
      <c r="M161" s="18"/>
      <c r="N161" s="18"/>
    </row>
    <row r="162" ht="15.75" customHeight="1">
      <c r="A162" s="39"/>
      <c r="B162" s="39"/>
      <c r="C162" s="39"/>
      <c r="D162" s="47"/>
      <c r="E162" s="47"/>
      <c r="F162" s="42" t="s">
        <v>38</v>
      </c>
      <c r="G162" s="43"/>
      <c r="H162" s="50">
        <f>VLOOKUP(F162,$A$21:$B$21,2,TRUE)</f>
        <v>10000</v>
      </c>
      <c r="I162" s="45">
        <f t="shared" si="1"/>
        <v>0</v>
      </c>
      <c r="J162" s="47"/>
      <c r="K162" s="18"/>
      <c r="L162" s="18"/>
      <c r="M162" s="18"/>
      <c r="N162" s="18"/>
    </row>
    <row r="163" ht="15.75" customHeight="1">
      <c r="A163" s="39"/>
      <c r="B163" s="39"/>
      <c r="C163" s="39"/>
      <c r="D163" s="47"/>
      <c r="E163" s="47"/>
      <c r="F163" s="42" t="s">
        <v>39</v>
      </c>
      <c r="G163" s="43"/>
      <c r="H163" s="50">
        <f>VLOOKUP(F163,$A$22:$B$22,2,TRUE)</f>
        <v>1000</v>
      </c>
      <c r="I163" s="45">
        <f t="shared" si="1"/>
        <v>0</v>
      </c>
      <c r="J163" s="47"/>
      <c r="K163" s="18"/>
      <c r="L163" s="18"/>
      <c r="M163" s="18"/>
      <c r="N163" s="18"/>
    </row>
    <row r="164" ht="15.75" customHeight="1">
      <c r="A164" s="39"/>
      <c r="B164" s="39"/>
      <c r="C164" s="39"/>
      <c r="D164" s="47"/>
      <c r="E164" s="47"/>
      <c r="F164" s="42" t="s">
        <v>40</v>
      </c>
      <c r="G164" s="43"/>
      <c r="H164" s="50">
        <f>VLOOKUP(F164,$A$23:$B$23,2,TRUE)</f>
        <v>500</v>
      </c>
      <c r="I164" s="45">
        <f t="shared" si="1"/>
        <v>0</v>
      </c>
      <c r="J164" s="47"/>
      <c r="K164" s="18"/>
      <c r="L164" s="18"/>
      <c r="M164" s="18"/>
      <c r="N164" s="18"/>
    </row>
    <row r="165" ht="15.75" customHeight="1">
      <c r="A165" s="39"/>
      <c r="B165" s="39"/>
      <c r="C165" s="39"/>
      <c r="D165" s="47"/>
      <c r="E165" s="47"/>
      <c r="F165" s="42" t="s">
        <v>41</v>
      </c>
      <c r="G165" s="43"/>
      <c r="H165" s="50">
        <f>VLOOKUP(F165,$A$24:$B$24,2,TRUE)</f>
        <v>200</v>
      </c>
      <c r="I165" s="45">
        <f t="shared" si="1"/>
        <v>0</v>
      </c>
      <c r="J165" s="47"/>
      <c r="K165" s="18"/>
      <c r="L165" s="18"/>
      <c r="M165" s="18"/>
      <c r="N165" s="18"/>
    </row>
    <row r="166" ht="15.75" customHeight="1">
      <c r="A166" s="39"/>
      <c r="B166" s="39"/>
      <c r="C166" s="39"/>
      <c r="D166" s="47"/>
      <c r="E166" s="47"/>
      <c r="F166" s="42" t="s">
        <v>42</v>
      </c>
      <c r="G166" s="43"/>
      <c r="H166" s="50">
        <f>VLOOKUP(F166,$A$25:$B$25,2,TRUE)</f>
        <v>1000</v>
      </c>
      <c r="I166" s="45">
        <f t="shared" si="1"/>
        <v>0</v>
      </c>
      <c r="J166" s="47"/>
      <c r="K166" s="18"/>
      <c r="L166" s="18"/>
      <c r="M166" s="18"/>
      <c r="N166" s="18"/>
    </row>
    <row r="167" ht="15.75" customHeight="1">
      <c r="A167" s="39"/>
      <c r="B167" s="39"/>
      <c r="C167" s="39"/>
      <c r="D167" s="47"/>
      <c r="E167" s="47"/>
      <c r="F167" s="42" t="s">
        <v>17</v>
      </c>
      <c r="G167" s="43"/>
      <c r="H167" s="50">
        <f>VLOOKUP(F167,$A$26:$B$26,2,TRUE)</f>
        <v>300</v>
      </c>
      <c r="I167" s="45">
        <f t="shared" si="1"/>
        <v>0</v>
      </c>
      <c r="J167" s="47"/>
      <c r="K167" s="18"/>
      <c r="L167" s="18"/>
      <c r="M167" s="18"/>
      <c r="N167" s="18"/>
    </row>
    <row r="168" ht="15.75" customHeight="1">
      <c r="A168" s="39"/>
      <c r="B168" s="39"/>
      <c r="C168" s="39"/>
      <c r="D168" s="47"/>
      <c r="E168" s="47"/>
      <c r="F168" s="42" t="s">
        <v>43</v>
      </c>
      <c r="G168" s="43"/>
      <c r="H168" s="50">
        <f>VLOOKUP(F168,$A$27:$B$27,2,TRUE)</f>
        <v>100</v>
      </c>
      <c r="I168" s="45">
        <f t="shared" si="1"/>
        <v>0</v>
      </c>
      <c r="J168" s="47"/>
      <c r="K168" s="18"/>
      <c r="L168" s="18"/>
      <c r="M168" s="18"/>
      <c r="N168" s="18"/>
    </row>
    <row r="169" ht="15.75" customHeight="1">
      <c r="A169" s="39"/>
      <c r="B169" s="39"/>
      <c r="C169" s="39"/>
      <c r="D169" s="47"/>
      <c r="E169" s="47"/>
      <c r="F169" s="42" t="s">
        <v>59</v>
      </c>
      <c r="G169" s="43"/>
      <c r="H169" s="50">
        <f>VLOOKUP(F169,$A$28:$B$28,2,TRUE)</f>
        <v>500</v>
      </c>
      <c r="I169" s="45">
        <f t="shared" si="1"/>
        <v>0</v>
      </c>
      <c r="J169" s="47"/>
      <c r="K169" s="18"/>
      <c r="L169" s="18"/>
      <c r="M169" s="18"/>
      <c r="N169" s="18"/>
    </row>
    <row r="170" ht="15.75" customHeight="1">
      <c r="A170" s="39"/>
      <c r="B170" s="39"/>
      <c r="C170" s="39"/>
      <c r="D170" s="47"/>
      <c r="E170" s="47"/>
      <c r="F170" s="42" t="s">
        <v>13</v>
      </c>
      <c r="G170" s="43"/>
      <c r="H170" s="50">
        <f>VLOOKUP(F170,$A$29:$B$29,2,TRUE)</f>
        <v>1500</v>
      </c>
      <c r="I170" s="45">
        <f t="shared" si="1"/>
        <v>0</v>
      </c>
      <c r="J170" s="47"/>
      <c r="K170" s="18"/>
      <c r="L170" s="18"/>
      <c r="M170" s="18"/>
      <c r="N170" s="18"/>
    </row>
    <row r="171" ht="15.75" customHeight="1">
      <c r="A171" s="39"/>
      <c r="B171" s="39"/>
      <c r="C171" s="39"/>
      <c r="D171" s="47"/>
      <c r="E171" s="47"/>
      <c r="F171" s="42" t="s">
        <v>19</v>
      </c>
      <c r="G171" s="43"/>
      <c r="H171" s="50">
        <f>VLOOKUP(F171,$A$30:$B$30,2,TRUE)</f>
        <v>4000</v>
      </c>
      <c r="I171" s="45">
        <f t="shared" si="1"/>
        <v>0</v>
      </c>
      <c r="J171" s="47"/>
      <c r="K171" s="18"/>
      <c r="L171" s="18"/>
      <c r="M171" s="18"/>
      <c r="N171" s="18"/>
    </row>
    <row r="172" ht="15.75" customHeight="1">
      <c r="A172" s="39"/>
      <c r="B172" s="39"/>
      <c r="C172" s="39"/>
      <c r="D172" s="7"/>
      <c r="E172" s="7"/>
      <c r="F172" s="42" t="s">
        <v>60</v>
      </c>
      <c r="G172" s="43"/>
      <c r="H172" s="50">
        <f>VLOOKUP(F172,$A$31:$B$31,2,TRUE)</f>
        <v>500</v>
      </c>
      <c r="I172" s="45">
        <f t="shared" si="1"/>
        <v>0</v>
      </c>
      <c r="J172" s="7"/>
      <c r="K172" s="18"/>
      <c r="L172" s="18"/>
      <c r="M172" s="18"/>
      <c r="N172" s="18"/>
    </row>
    <row r="173" ht="15.75" customHeight="1">
      <c r="A173" s="39"/>
      <c r="B173" s="39"/>
      <c r="C173" s="39"/>
      <c r="D173" s="40">
        <v>7.0</v>
      </c>
      <c r="E173" s="41" t="s">
        <v>91</v>
      </c>
      <c r="F173" s="42" t="s">
        <v>21</v>
      </c>
      <c r="G173" s="43">
        <v>1.0</v>
      </c>
      <c r="H173" s="50">
        <f>VLOOKUP(F173,$A$4:$B$4,2,TRUE)</f>
        <v>5000</v>
      </c>
      <c r="I173" s="45">
        <f t="shared" si="1"/>
        <v>5000</v>
      </c>
      <c r="J173" s="46">
        <f>SUM(I173:I200)</f>
        <v>18800</v>
      </c>
      <c r="K173" s="18"/>
      <c r="L173" s="18"/>
      <c r="M173" s="18"/>
      <c r="N173" s="18"/>
    </row>
    <row r="174" ht="15.75" customHeight="1">
      <c r="A174" s="39"/>
      <c r="B174" s="39"/>
      <c r="C174" s="39"/>
      <c r="D174" s="47"/>
      <c r="E174" s="47"/>
      <c r="F174" s="42" t="s">
        <v>56</v>
      </c>
      <c r="G174" s="43">
        <v>1.0</v>
      </c>
      <c r="H174" s="50">
        <f>VLOOKUP(F174,$A$5:$B$5,2,TRUE)</f>
        <v>3000</v>
      </c>
      <c r="I174" s="45">
        <f t="shared" si="1"/>
        <v>3000</v>
      </c>
      <c r="J174" s="47"/>
      <c r="K174" s="18"/>
      <c r="L174" s="18"/>
      <c r="M174" s="18"/>
      <c r="N174" s="18"/>
    </row>
    <row r="175" ht="15.75" customHeight="1">
      <c r="A175" s="39"/>
      <c r="B175" s="39"/>
      <c r="C175" s="39"/>
      <c r="D175" s="47"/>
      <c r="E175" s="47"/>
      <c r="F175" s="42" t="s">
        <v>58</v>
      </c>
      <c r="G175" s="43"/>
      <c r="H175" s="50">
        <f>VLOOKUP(F175,$A$6:$B$6,2,TRUE)</f>
        <v>1000</v>
      </c>
      <c r="I175" s="45">
        <f t="shared" si="1"/>
        <v>0</v>
      </c>
      <c r="J175" s="47"/>
      <c r="K175" s="18"/>
      <c r="L175" s="18"/>
      <c r="M175" s="18"/>
      <c r="N175" s="18"/>
    </row>
    <row r="176" ht="15.75" customHeight="1">
      <c r="A176" s="39"/>
      <c r="B176" s="39"/>
      <c r="C176" s="39"/>
      <c r="D176" s="47"/>
      <c r="E176" s="47"/>
      <c r="F176" s="42" t="s">
        <v>24</v>
      </c>
      <c r="G176" s="43">
        <v>1.0</v>
      </c>
      <c r="H176" s="50">
        <f>VLOOKUP(F176,$A$7:$B$7,2,TRUE)</f>
        <v>2800</v>
      </c>
      <c r="I176" s="45">
        <f t="shared" si="1"/>
        <v>2800</v>
      </c>
      <c r="J176" s="47"/>
      <c r="K176" s="18"/>
      <c r="L176" s="18"/>
      <c r="M176" s="18"/>
      <c r="N176" s="18"/>
    </row>
    <row r="177" ht="15.75" customHeight="1">
      <c r="A177" s="39"/>
      <c r="B177" s="39"/>
      <c r="C177" s="39"/>
      <c r="D177" s="47"/>
      <c r="E177" s="47"/>
      <c r="F177" s="42" t="s">
        <v>25</v>
      </c>
      <c r="G177" s="43"/>
      <c r="H177" s="50">
        <f>VLOOKUP(F177,$A$8:$B$8,2,TRUE)</f>
        <v>3500</v>
      </c>
      <c r="I177" s="45">
        <f t="shared" si="1"/>
        <v>0</v>
      </c>
      <c r="J177" s="47"/>
      <c r="K177" s="18"/>
      <c r="L177" s="18"/>
      <c r="M177" s="18"/>
      <c r="N177" s="18"/>
    </row>
    <row r="178" ht="15.75" customHeight="1">
      <c r="A178" s="39"/>
      <c r="B178" s="39"/>
      <c r="C178" s="39"/>
      <c r="D178" s="47"/>
      <c r="E178" s="47"/>
      <c r="F178" s="42" t="s">
        <v>26</v>
      </c>
      <c r="G178" s="43">
        <v>8.0</v>
      </c>
      <c r="H178" s="50">
        <f>VLOOKUP(F178,$A$9:$B$9,2,TRUE)</f>
        <v>1000</v>
      </c>
      <c r="I178" s="45">
        <f t="shared" si="1"/>
        <v>8000</v>
      </c>
      <c r="J178" s="47"/>
      <c r="K178" s="18"/>
      <c r="L178" s="18"/>
      <c r="M178" s="18"/>
      <c r="N178" s="18"/>
    </row>
    <row r="179" ht="15.75" customHeight="1">
      <c r="A179" s="39"/>
      <c r="B179" s="39"/>
      <c r="C179" s="39"/>
      <c r="D179" s="47"/>
      <c r="E179" s="47"/>
      <c r="F179" s="42" t="s">
        <v>27</v>
      </c>
      <c r="G179" s="43"/>
      <c r="H179" s="50">
        <f>VLOOKUP(F179,$A$10:$B$10,2,TRUE)</f>
        <v>2000</v>
      </c>
      <c r="I179" s="45">
        <f t="shared" si="1"/>
        <v>0</v>
      </c>
      <c r="J179" s="47"/>
      <c r="K179" s="18"/>
      <c r="L179" s="18"/>
      <c r="M179" s="18"/>
      <c r="N179" s="18"/>
    </row>
    <row r="180" ht="15.75" customHeight="1">
      <c r="A180" s="39"/>
      <c r="B180" s="39"/>
      <c r="C180" s="39"/>
      <c r="D180" s="47"/>
      <c r="E180" s="47"/>
      <c r="F180" s="42" t="s">
        <v>28</v>
      </c>
      <c r="G180" s="43"/>
      <c r="H180" s="50">
        <f>VLOOKUP(F180,$A$11:$B$11,2,TRUE)</f>
        <v>2000</v>
      </c>
      <c r="I180" s="45">
        <f t="shared" si="1"/>
        <v>0</v>
      </c>
      <c r="J180" s="47"/>
      <c r="K180" s="18"/>
      <c r="L180" s="18"/>
      <c r="M180" s="18"/>
      <c r="N180" s="18"/>
    </row>
    <row r="181" ht="15.75" customHeight="1">
      <c r="A181" s="39"/>
      <c r="B181" s="39"/>
      <c r="C181" s="39"/>
      <c r="D181" s="47"/>
      <c r="E181" s="47"/>
      <c r="F181" s="42" t="s">
        <v>29</v>
      </c>
      <c r="G181" s="43"/>
      <c r="H181" s="50">
        <f>VLOOKUP(F181,$A$12:$B$12,2,TRUE)</f>
        <v>1300</v>
      </c>
      <c r="I181" s="45">
        <f t="shared" si="1"/>
        <v>0</v>
      </c>
      <c r="J181" s="47"/>
      <c r="K181" s="18"/>
      <c r="L181" s="18"/>
      <c r="M181" s="18"/>
      <c r="N181" s="18"/>
    </row>
    <row r="182" ht="15.75" customHeight="1">
      <c r="A182" s="39"/>
      <c r="B182" s="39"/>
      <c r="C182" s="39"/>
      <c r="D182" s="47"/>
      <c r="E182" s="47"/>
      <c r="F182" s="42" t="s">
        <v>30</v>
      </c>
      <c r="G182" s="43"/>
      <c r="H182" s="50">
        <f>VLOOKUP(F182,$A$13:$B$13,2,TRUE)</f>
        <v>1000</v>
      </c>
      <c r="I182" s="45">
        <f t="shared" si="1"/>
        <v>0</v>
      </c>
      <c r="J182" s="47"/>
      <c r="K182" s="18"/>
      <c r="L182" s="18"/>
      <c r="M182" s="18"/>
      <c r="N182" s="18"/>
    </row>
    <row r="183" ht="15.75" customHeight="1">
      <c r="A183" s="39"/>
      <c r="B183" s="39"/>
      <c r="C183" s="39"/>
      <c r="D183" s="47"/>
      <c r="E183" s="47"/>
      <c r="F183" s="42" t="s">
        <v>31</v>
      </c>
      <c r="G183" s="43"/>
      <c r="H183" s="50">
        <f>VLOOKUP(F183,$A$14:$B$14,2,TRUE)</f>
        <v>400</v>
      </c>
      <c r="I183" s="45">
        <f t="shared" si="1"/>
        <v>0</v>
      </c>
      <c r="J183" s="47"/>
      <c r="K183" s="18"/>
      <c r="L183" s="18"/>
      <c r="M183" s="18"/>
      <c r="N183" s="18"/>
    </row>
    <row r="184" ht="15.75" customHeight="1">
      <c r="A184" s="39"/>
      <c r="B184" s="39"/>
      <c r="C184" s="39"/>
      <c r="D184" s="47"/>
      <c r="E184" s="47"/>
      <c r="F184" s="42" t="s">
        <v>32</v>
      </c>
      <c r="G184" s="43"/>
      <c r="H184" s="50">
        <f>VLOOKUP(F184,$A$15:$B$15,2,TRUE)</f>
        <v>7500</v>
      </c>
      <c r="I184" s="45">
        <f t="shared" si="1"/>
        <v>0</v>
      </c>
      <c r="J184" s="47"/>
      <c r="K184" s="18"/>
      <c r="L184" s="18"/>
      <c r="M184" s="18"/>
      <c r="N184" s="18"/>
    </row>
    <row r="185" ht="15.75" customHeight="1">
      <c r="A185" s="39"/>
      <c r="B185" s="39"/>
      <c r="C185" s="39"/>
      <c r="D185" s="47"/>
      <c r="E185" s="47"/>
      <c r="F185" s="42" t="s">
        <v>33</v>
      </c>
      <c r="G185" s="43"/>
      <c r="H185" s="50">
        <f>VLOOKUP(F185,$A$16:$B$16,2,TRUE)</f>
        <v>2000</v>
      </c>
      <c r="I185" s="45">
        <f t="shared" si="1"/>
        <v>0</v>
      </c>
      <c r="J185" s="47"/>
      <c r="K185" s="18"/>
      <c r="L185" s="18"/>
      <c r="M185" s="18"/>
      <c r="N185" s="18"/>
    </row>
    <row r="186" ht="15.75" customHeight="1">
      <c r="A186" s="39"/>
      <c r="B186" s="39"/>
      <c r="C186" s="39"/>
      <c r="D186" s="47"/>
      <c r="E186" s="47"/>
      <c r="F186" s="42" t="s">
        <v>34</v>
      </c>
      <c r="G186" s="43"/>
      <c r="H186" s="50">
        <f>VLOOKUP(F186,$A$17:$B$17,2,TRUE)</f>
        <v>800</v>
      </c>
      <c r="I186" s="45">
        <f t="shared" si="1"/>
        <v>0</v>
      </c>
      <c r="J186" s="47"/>
      <c r="K186" s="18"/>
      <c r="L186" s="18"/>
      <c r="M186" s="18"/>
      <c r="N186" s="18"/>
    </row>
    <row r="187" ht="15.75" customHeight="1">
      <c r="A187" s="39"/>
      <c r="B187" s="39"/>
      <c r="C187" s="39"/>
      <c r="D187" s="47"/>
      <c r="E187" s="47"/>
      <c r="F187" s="42" t="s">
        <v>35</v>
      </c>
      <c r="G187" s="43"/>
      <c r="H187" s="50">
        <f>VLOOKUP(F187,$A$18:$B$18,2,TRUE)</f>
        <v>5000</v>
      </c>
      <c r="I187" s="45">
        <f t="shared" si="1"/>
        <v>0</v>
      </c>
      <c r="J187" s="47"/>
      <c r="K187" s="18"/>
      <c r="L187" s="18"/>
      <c r="M187" s="18"/>
      <c r="N187" s="18"/>
    </row>
    <row r="188" ht="15.75" customHeight="1">
      <c r="A188" s="39"/>
      <c r="B188" s="39"/>
      <c r="C188" s="39"/>
      <c r="D188" s="47"/>
      <c r="E188" s="47"/>
      <c r="F188" s="42" t="s">
        <v>36</v>
      </c>
      <c r="G188" s="43"/>
      <c r="H188" s="50">
        <f>VLOOKUP(F188,$A$19:$B$19,2,TRUE)</f>
        <v>2700</v>
      </c>
      <c r="I188" s="45">
        <f t="shared" si="1"/>
        <v>0</v>
      </c>
      <c r="J188" s="47"/>
      <c r="K188" s="18"/>
      <c r="L188" s="18"/>
      <c r="M188" s="18"/>
      <c r="N188" s="18"/>
    </row>
    <row r="189" ht="15.75" customHeight="1">
      <c r="A189" s="39"/>
      <c r="B189" s="39"/>
      <c r="C189" s="39"/>
      <c r="D189" s="47"/>
      <c r="E189" s="47"/>
      <c r="F189" s="42" t="s">
        <v>37</v>
      </c>
      <c r="G189" s="43"/>
      <c r="H189" s="50">
        <f>VLOOKUP(F189,$A$20:$B$20,2,TRUE)</f>
        <v>50000</v>
      </c>
      <c r="I189" s="45">
        <f t="shared" si="1"/>
        <v>0</v>
      </c>
      <c r="J189" s="47"/>
      <c r="K189" s="18"/>
      <c r="L189" s="18"/>
      <c r="M189" s="18"/>
      <c r="N189" s="18"/>
    </row>
    <row r="190" ht="15.75" customHeight="1">
      <c r="A190" s="39"/>
      <c r="B190" s="39"/>
      <c r="C190" s="39"/>
      <c r="D190" s="47"/>
      <c r="E190" s="47"/>
      <c r="F190" s="42" t="s">
        <v>38</v>
      </c>
      <c r="G190" s="43"/>
      <c r="H190" s="50">
        <f>VLOOKUP(F190,$A$21:$B$21,2,TRUE)</f>
        <v>10000</v>
      </c>
      <c r="I190" s="45">
        <f t="shared" si="1"/>
        <v>0</v>
      </c>
      <c r="J190" s="47"/>
      <c r="K190" s="18"/>
      <c r="L190" s="18"/>
      <c r="M190" s="18"/>
      <c r="N190" s="18"/>
    </row>
    <row r="191" ht="15.75" customHeight="1">
      <c r="A191" s="39"/>
      <c r="B191" s="39"/>
      <c r="C191" s="39"/>
      <c r="D191" s="47"/>
      <c r="E191" s="47"/>
      <c r="F191" s="42" t="s">
        <v>39</v>
      </c>
      <c r="G191" s="43"/>
      <c r="H191" s="50">
        <f>VLOOKUP(F191,$A$22:$B$22,2,TRUE)</f>
        <v>1000</v>
      </c>
      <c r="I191" s="45">
        <f t="shared" si="1"/>
        <v>0</v>
      </c>
      <c r="J191" s="47"/>
      <c r="K191" s="18"/>
      <c r="L191" s="18"/>
      <c r="M191" s="18"/>
      <c r="N191" s="18"/>
    </row>
    <row r="192" ht="15.75" customHeight="1">
      <c r="A192" s="39"/>
      <c r="B192" s="39"/>
      <c r="C192" s="39"/>
      <c r="D192" s="47"/>
      <c r="E192" s="47"/>
      <c r="F192" s="42" t="s">
        <v>40</v>
      </c>
      <c r="G192" s="43"/>
      <c r="H192" s="50">
        <f>VLOOKUP(F192,$A$23:$B$23,2,TRUE)</f>
        <v>500</v>
      </c>
      <c r="I192" s="45">
        <f t="shared" si="1"/>
        <v>0</v>
      </c>
      <c r="J192" s="47"/>
      <c r="K192" s="18"/>
      <c r="L192" s="18"/>
      <c r="M192" s="18"/>
      <c r="N192" s="18"/>
    </row>
    <row r="193" ht="15.75" customHeight="1">
      <c r="A193" s="39"/>
      <c r="B193" s="39"/>
      <c r="C193" s="39"/>
      <c r="D193" s="47"/>
      <c r="E193" s="47"/>
      <c r="F193" s="42" t="s">
        <v>41</v>
      </c>
      <c r="G193" s="43"/>
      <c r="H193" s="50">
        <f>VLOOKUP(F193,$A$24:$B$24,2,TRUE)</f>
        <v>200</v>
      </c>
      <c r="I193" s="45">
        <f t="shared" si="1"/>
        <v>0</v>
      </c>
      <c r="J193" s="47"/>
      <c r="K193" s="18"/>
      <c r="L193" s="18"/>
      <c r="M193" s="18"/>
      <c r="N193" s="18"/>
    </row>
    <row r="194" ht="15.75" customHeight="1">
      <c r="A194" s="39"/>
      <c r="B194" s="39"/>
      <c r="C194" s="39"/>
      <c r="D194" s="47"/>
      <c r="E194" s="47"/>
      <c r="F194" s="42" t="s">
        <v>42</v>
      </c>
      <c r="G194" s="43"/>
      <c r="H194" s="50">
        <f>VLOOKUP(F194,$A$25:$B$25,2,TRUE)</f>
        <v>1000</v>
      </c>
      <c r="I194" s="45">
        <f t="shared" si="1"/>
        <v>0</v>
      </c>
      <c r="J194" s="47"/>
      <c r="K194" s="18"/>
      <c r="L194" s="18"/>
      <c r="M194" s="18"/>
      <c r="N194" s="18"/>
    </row>
    <row r="195" ht="15.75" customHeight="1">
      <c r="A195" s="39"/>
      <c r="B195" s="39"/>
      <c r="C195" s="39"/>
      <c r="D195" s="47"/>
      <c r="E195" s="47"/>
      <c r="F195" s="42" t="s">
        <v>17</v>
      </c>
      <c r="G195" s="43"/>
      <c r="H195" s="50">
        <f>VLOOKUP(F195,$A$26:$B$26,2,TRUE)</f>
        <v>300</v>
      </c>
      <c r="I195" s="45">
        <f t="shared" si="1"/>
        <v>0</v>
      </c>
      <c r="J195" s="47"/>
      <c r="K195" s="18"/>
      <c r="L195" s="18"/>
      <c r="M195" s="18"/>
      <c r="N195" s="18"/>
    </row>
    <row r="196" ht="15.75" customHeight="1">
      <c r="A196" s="39"/>
      <c r="B196" s="39"/>
      <c r="C196" s="39"/>
      <c r="D196" s="47"/>
      <c r="E196" s="47"/>
      <c r="F196" s="42" t="s">
        <v>43</v>
      </c>
      <c r="G196" s="43"/>
      <c r="H196" s="50">
        <f>VLOOKUP(F196,$A$27:$B$27,2,TRUE)</f>
        <v>100</v>
      </c>
      <c r="I196" s="45">
        <f t="shared" si="1"/>
        <v>0</v>
      </c>
      <c r="J196" s="47"/>
      <c r="K196" s="18"/>
      <c r="L196" s="18"/>
      <c r="M196" s="18"/>
      <c r="N196" s="18"/>
    </row>
    <row r="197" ht="15.75" customHeight="1">
      <c r="A197" s="39"/>
      <c r="B197" s="39"/>
      <c r="C197" s="39"/>
      <c r="D197" s="47"/>
      <c r="E197" s="47"/>
      <c r="F197" s="42" t="s">
        <v>59</v>
      </c>
      <c r="G197" s="43"/>
      <c r="H197" s="50">
        <f>VLOOKUP(F197,$A$28:$B$28,2,TRUE)</f>
        <v>500</v>
      </c>
      <c r="I197" s="45">
        <f t="shared" si="1"/>
        <v>0</v>
      </c>
      <c r="J197" s="47"/>
      <c r="K197" s="18"/>
      <c r="L197" s="18"/>
      <c r="M197" s="18"/>
      <c r="N197" s="18"/>
    </row>
    <row r="198" ht="15.75" customHeight="1">
      <c r="A198" s="39"/>
      <c r="B198" s="39"/>
      <c r="C198" s="39"/>
      <c r="D198" s="47"/>
      <c r="E198" s="47"/>
      <c r="F198" s="42" t="s">
        <v>13</v>
      </c>
      <c r="G198" s="43"/>
      <c r="H198" s="50">
        <f>VLOOKUP(F198,$A$29:$B$29,2,TRUE)</f>
        <v>1500</v>
      </c>
      <c r="I198" s="45">
        <f t="shared" si="1"/>
        <v>0</v>
      </c>
      <c r="J198" s="47"/>
      <c r="K198" s="18"/>
      <c r="L198" s="18"/>
      <c r="M198" s="18"/>
      <c r="N198" s="18"/>
    </row>
    <row r="199" ht="15.75" customHeight="1">
      <c r="A199" s="39"/>
      <c r="B199" s="39"/>
      <c r="C199" s="39"/>
      <c r="D199" s="47"/>
      <c r="E199" s="47"/>
      <c r="F199" s="42" t="s">
        <v>19</v>
      </c>
      <c r="G199" s="43"/>
      <c r="H199" s="50">
        <f>VLOOKUP(F199,$A$30:$B$30,2,TRUE)</f>
        <v>4000</v>
      </c>
      <c r="I199" s="45">
        <f t="shared" si="1"/>
        <v>0</v>
      </c>
      <c r="J199" s="47"/>
      <c r="K199" s="18"/>
      <c r="L199" s="18"/>
      <c r="M199" s="18"/>
      <c r="N199" s="18"/>
    </row>
    <row r="200" ht="15.75" customHeight="1">
      <c r="A200" s="39"/>
      <c r="B200" s="39"/>
      <c r="C200" s="39"/>
      <c r="D200" s="7"/>
      <c r="E200" s="7"/>
      <c r="F200" s="42" t="s">
        <v>60</v>
      </c>
      <c r="G200" s="43">
        <v>7.0</v>
      </c>
      <c r="H200" s="50"/>
      <c r="I200" s="45">
        <f t="shared" si="1"/>
        <v>0</v>
      </c>
      <c r="J200" s="7"/>
      <c r="K200" s="18"/>
      <c r="L200" s="18"/>
      <c r="M200" s="18"/>
      <c r="N200" s="18"/>
    </row>
    <row r="201" ht="15.75" customHeight="1">
      <c r="A201" s="39"/>
      <c r="B201" s="39"/>
      <c r="C201" s="39"/>
      <c r="D201" s="40">
        <v>8.0</v>
      </c>
      <c r="E201" s="59" t="s">
        <v>92</v>
      </c>
      <c r="F201" s="42" t="s">
        <v>21</v>
      </c>
      <c r="G201" s="43"/>
      <c r="H201" s="50">
        <f>VLOOKUP(F201,$A$4:$B$4,2,TRUE)</f>
        <v>5000</v>
      </c>
      <c r="I201" s="45">
        <f t="shared" si="1"/>
        <v>0</v>
      </c>
      <c r="J201" s="46">
        <f>SUM(I201:I228)</f>
        <v>13500</v>
      </c>
      <c r="K201" s="18"/>
      <c r="L201" s="18"/>
      <c r="M201" s="18"/>
      <c r="N201" s="18"/>
    </row>
    <row r="202" ht="15.75" customHeight="1">
      <c r="A202" s="39"/>
      <c r="B202" s="39"/>
      <c r="C202" s="39"/>
      <c r="D202" s="47"/>
      <c r="E202" s="47"/>
      <c r="F202" s="42" t="s">
        <v>56</v>
      </c>
      <c r="G202" s="43">
        <v>1.5</v>
      </c>
      <c r="H202" s="50">
        <f>VLOOKUP(F202,$A$5:$B$5,2,TRUE)</f>
        <v>3000</v>
      </c>
      <c r="I202" s="45">
        <f t="shared" si="1"/>
        <v>4500</v>
      </c>
      <c r="J202" s="47"/>
      <c r="K202" s="18"/>
      <c r="L202" s="18"/>
      <c r="M202" s="18"/>
      <c r="N202" s="18"/>
    </row>
    <row r="203" ht="15.75" customHeight="1">
      <c r="A203" s="39"/>
      <c r="B203" s="39"/>
      <c r="C203" s="39"/>
      <c r="D203" s="47"/>
      <c r="E203" s="47"/>
      <c r="F203" s="42" t="s">
        <v>58</v>
      </c>
      <c r="G203" s="43"/>
      <c r="H203" s="50">
        <f>VLOOKUP(F203,$A$6:$B$6,2,TRUE)</f>
        <v>1000</v>
      </c>
      <c r="I203" s="45">
        <f t="shared" si="1"/>
        <v>0</v>
      </c>
      <c r="J203" s="47"/>
      <c r="K203" s="18"/>
      <c r="L203" s="18"/>
      <c r="M203" s="18"/>
      <c r="N203" s="18"/>
    </row>
    <row r="204" ht="15.75" customHeight="1">
      <c r="A204" s="39"/>
      <c r="B204" s="39"/>
      <c r="C204" s="39"/>
      <c r="D204" s="47"/>
      <c r="E204" s="47"/>
      <c r="F204" s="42" t="s">
        <v>24</v>
      </c>
      <c r="G204" s="43"/>
      <c r="H204" s="50">
        <f>VLOOKUP(F204,$A$7:$B$7,2,TRUE)</f>
        <v>2800</v>
      </c>
      <c r="I204" s="45">
        <f t="shared" si="1"/>
        <v>0</v>
      </c>
      <c r="J204" s="47"/>
      <c r="K204" s="18"/>
      <c r="L204" s="18"/>
      <c r="M204" s="18"/>
      <c r="N204" s="18"/>
    </row>
    <row r="205" ht="15.75" customHeight="1">
      <c r="A205" s="39"/>
      <c r="B205" s="39"/>
      <c r="C205" s="39"/>
      <c r="D205" s="47"/>
      <c r="E205" s="47"/>
      <c r="F205" s="42" t="s">
        <v>25</v>
      </c>
      <c r="G205" s="43"/>
      <c r="H205" s="50">
        <f>VLOOKUP(F205,$A$8:$B$8,2,TRUE)</f>
        <v>3500</v>
      </c>
      <c r="I205" s="45">
        <f t="shared" si="1"/>
        <v>0</v>
      </c>
      <c r="J205" s="47"/>
      <c r="K205" s="18"/>
      <c r="L205" s="18"/>
      <c r="M205" s="18"/>
      <c r="N205" s="18"/>
    </row>
    <row r="206" ht="15.75" customHeight="1">
      <c r="A206" s="39"/>
      <c r="B206" s="39"/>
      <c r="C206" s="39"/>
      <c r="D206" s="47"/>
      <c r="E206" s="47"/>
      <c r="F206" s="42" t="s">
        <v>26</v>
      </c>
      <c r="G206" s="43">
        <v>3.5</v>
      </c>
      <c r="H206" s="50">
        <f>VLOOKUP(F206,$A$9:$B$9,2,TRUE)</f>
        <v>1000</v>
      </c>
      <c r="I206" s="45">
        <f t="shared" si="1"/>
        <v>3500</v>
      </c>
      <c r="J206" s="47"/>
      <c r="K206" s="18"/>
      <c r="L206" s="18"/>
      <c r="M206" s="18"/>
      <c r="N206" s="18"/>
    </row>
    <row r="207" ht="15.75" customHeight="1">
      <c r="A207" s="39"/>
      <c r="B207" s="39"/>
      <c r="C207" s="39"/>
      <c r="D207" s="47"/>
      <c r="E207" s="47"/>
      <c r="F207" s="42" t="s">
        <v>27</v>
      </c>
      <c r="G207" s="43"/>
      <c r="H207" s="50">
        <f>VLOOKUP(F207,$A$10:$B$10,2,TRUE)</f>
        <v>2000</v>
      </c>
      <c r="I207" s="45">
        <f t="shared" si="1"/>
        <v>0</v>
      </c>
      <c r="J207" s="47"/>
      <c r="K207" s="18"/>
      <c r="L207" s="18"/>
      <c r="M207" s="18"/>
      <c r="N207" s="18"/>
    </row>
    <row r="208" ht="15.75" customHeight="1">
      <c r="A208" s="39"/>
      <c r="B208" s="39"/>
      <c r="C208" s="39"/>
      <c r="D208" s="47"/>
      <c r="E208" s="47"/>
      <c r="F208" s="42" t="s">
        <v>28</v>
      </c>
      <c r="G208" s="43"/>
      <c r="H208" s="50">
        <f>VLOOKUP(F208,$A$11:$B$11,2,TRUE)</f>
        <v>2000</v>
      </c>
      <c r="I208" s="45">
        <f t="shared" si="1"/>
        <v>0</v>
      </c>
      <c r="J208" s="47"/>
      <c r="K208" s="18"/>
      <c r="L208" s="18"/>
      <c r="M208" s="18"/>
      <c r="N208" s="18"/>
    </row>
    <row r="209" ht="15.75" customHeight="1">
      <c r="A209" s="39"/>
      <c r="B209" s="39"/>
      <c r="C209" s="39"/>
      <c r="D209" s="47"/>
      <c r="E209" s="47"/>
      <c r="F209" s="42" t="s">
        <v>29</v>
      </c>
      <c r="G209" s="43"/>
      <c r="H209" s="50">
        <f>VLOOKUP(F209,$A$12:$B$12,2,TRUE)</f>
        <v>1300</v>
      </c>
      <c r="I209" s="45">
        <f t="shared" si="1"/>
        <v>0</v>
      </c>
      <c r="J209" s="47"/>
      <c r="K209" s="18"/>
      <c r="L209" s="18"/>
      <c r="M209" s="18"/>
      <c r="N209" s="18"/>
    </row>
    <row r="210" ht="15.75" customHeight="1">
      <c r="A210" s="39"/>
      <c r="B210" s="39"/>
      <c r="C210" s="39"/>
      <c r="D210" s="47"/>
      <c r="E210" s="47"/>
      <c r="F210" s="42" t="s">
        <v>30</v>
      </c>
      <c r="G210" s="43"/>
      <c r="H210" s="50">
        <f>VLOOKUP(F210,$A$13:$B$13,2,TRUE)</f>
        <v>1000</v>
      </c>
      <c r="I210" s="45">
        <f t="shared" si="1"/>
        <v>0</v>
      </c>
      <c r="J210" s="47"/>
      <c r="K210" s="18"/>
      <c r="L210" s="18"/>
      <c r="M210" s="18"/>
      <c r="N210" s="18"/>
    </row>
    <row r="211" ht="15.75" customHeight="1">
      <c r="A211" s="39"/>
      <c r="B211" s="39"/>
      <c r="C211" s="39"/>
      <c r="D211" s="47"/>
      <c r="E211" s="47"/>
      <c r="F211" s="42" t="s">
        <v>31</v>
      </c>
      <c r="G211" s="43"/>
      <c r="H211" s="50">
        <f>VLOOKUP(F211,$A$14:$B$14,2,TRUE)</f>
        <v>400</v>
      </c>
      <c r="I211" s="45">
        <f t="shared" si="1"/>
        <v>0</v>
      </c>
      <c r="J211" s="47"/>
      <c r="K211" s="18"/>
      <c r="L211" s="18"/>
      <c r="M211" s="18"/>
      <c r="N211" s="18"/>
    </row>
    <row r="212" ht="15.75" customHeight="1">
      <c r="A212" s="39"/>
      <c r="B212" s="39"/>
      <c r="C212" s="39"/>
      <c r="D212" s="47"/>
      <c r="E212" s="47"/>
      <c r="F212" s="42" t="s">
        <v>32</v>
      </c>
      <c r="G212" s="43"/>
      <c r="H212" s="50">
        <f>VLOOKUP(F212,$A$15:$B$15,2,TRUE)</f>
        <v>7500</v>
      </c>
      <c r="I212" s="45">
        <f t="shared" si="1"/>
        <v>0</v>
      </c>
      <c r="J212" s="47"/>
      <c r="K212" s="18"/>
      <c r="L212" s="18"/>
      <c r="M212" s="18"/>
      <c r="N212" s="18"/>
    </row>
    <row r="213" ht="15.75" customHeight="1">
      <c r="A213" s="39"/>
      <c r="B213" s="39"/>
      <c r="C213" s="39"/>
      <c r="D213" s="47"/>
      <c r="E213" s="47"/>
      <c r="F213" s="42" t="s">
        <v>33</v>
      </c>
      <c r="G213" s="43"/>
      <c r="H213" s="50">
        <f>VLOOKUP(F213,$A$16:$B$16,2,TRUE)</f>
        <v>2000</v>
      </c>
      <c r="I213" s="45">
        <f t="shared" si="1"/>
        <v>0</v>
      </c>
      <c r="J213" s="47"/>
      <c r="K213" s="18"/>
      <c r="L213" s="18"/>
      <c r="M213" s="18"/>
      <c r="N213" s="18"/>
    </row>
    <row r="214" ht="15.75" customHeight="1">
      <c r="A214" s="39"/>
      <c r="B214" s="39"/>
      <c r="C214" s="39"/>
      <c r="D214" s="47"/>
      <c r="E214" s="47"/>
      <c r="F214" s="42" t="s">
        <v>34</v>
      </c>
      <c r="G214" s="43"/>
      <c r="H214" s="50">
        <f>VLOOKUP(F214,$A$17:$B$17,2,TRUE)</f>
        <v>800</v>
      </c>
      <c r="I214" s="45">
        <f t="shared" si="1"/>
        <v>0</v>
      </c>
      <c r="J214" s="47"/>
      <c r="K214" s="18"/>
      <c r="L214" s="18"/>
      <c r="M214" s="18"/>
      <c r="N214" s="18"/>
    </row>
    <row r="215" ht="15.75" customHeight="1">
      <c r="A215" s="39"/>
      <c r="B215" s="39"/>
      <c r="C215" s="39"/>
      <c r="D215" s="47"/>
      <c r="E215" s="47"/>
      <c r="F215" s="42" t="s">
        <v>35</v>
      </c>
      <c r="G215" s="43"/>
      <c r="H215" s="50">
        <f>VLOOKUP(F215,$A$18:$B$18,2,TRUE)</f>
        <v>5000</v>
      </c>
      <c r="I215" s="45">
        <f t="shared" si="1"/>
        <v>0</v>
      </c>
      <c r="J215" s="47"/>
      <c r="K215" s="18"/>
      <c r="L215" s="18"/>
      <c r="M215" s="18"/>
      <c r="N215" s="18"/>
    </row>
    <row r="216" ht="15.75" customHeight="1">
      <c r="A216" s="39"/>
      <c r="B216" s="39"/>
      <c r="C216" s="39"/>
      <c r="D216" s="47"/>
      <c r="E216" s="47"/>
      <c r="F216" s="42" t="s">
        <v>36</v>
      </c>
      <c r="G216" s="43"/>
      <c r="H216" s="50">
        <f>VLOOKUP(F216,$A$19:$B$19,2,TRUE)</f>
        <v>2700</v>
      </c>
      <c r="I216" s="45">
        <f t="shared" si="1"/>
        <v>0</v>
      </c>
      <c r="J216" s="47"/>
      <c r="K216" s="18"/>
      <c r="L216" s="18"/>
      <c r="M216" s="18"/>
      <c r="N216" s="18"/>
    </row>
    <row r="217" ht="15.75" customHeight="1">
      <c r="A217" s="39"/>
      <c r="B217" s="39"/>
      <c r="C217" s="39"/>
      <c r="D217" s="47"/>
      <c r="E217" s="47"/>
      <c r="F217" s="42" t="s">
        <v>37</v>
      </c>
      <c r="G217" s="43"/>
      <c r="H217" s="50">
        <f>VLOOKUP(F217,$A$20:$B$20,2,TRUE)</f>
        <v>50000</v>
      </c>
      <c r="I217" s="45">
        <f t="shared" si="1"/>
        <v>0</v>
      </c>
      <c r="J217" s="47"/>
      <c r="K217" s="18"/>
      <c r="L217" s="18"/>
      <c r="M217" s="18"/>
      <c r="N217" s="18"/>
    </row>
    <row r="218" ht="15.75" customHeight="1">
      <c r="A218" s="39"/>
      <c r="B218" s="39"/>
      <c r="C218" s="39"/>
      <c r="D218" s="47"/>
      <c r="E218" s="47"/>
      <c r="F218" s="42" t="s">
        <v>38</v>
      </c>
      <c r="G218" s="43"/>
      <c r="H218" s="50">
        <f>VLOOKUP(F218,$A$21:$B$21,2,TRUE)</f>
        <v>10000</v>
      </c>
      <c r="I218" s="45">
        <f t="shared" si="1"/>
        <v>0</v>
      </c>
      <c r="J218" s="47"/>
      <c r="K218" s="18"/>
      <c r="L218" s="18"/>
      <c r="M218" s="18"/>
      <c r="N218" s="18"/>
    </row>
    <row r="219" ht="15.75" customHeight="1">
      <c r="A219" s="39"/>
      <c r="B219" s="39"/>
      <c r="C219" s="39"/>
      <c r="D219" s="47"/>
      <c r="E219" s="47"/>
      <c r="F219" s="42" t="s">
        <v>39</v>
      </c>
      <c r="G219" s="43"/>
      <c r="H219" s="50">
        <f>VLOOKUP(F219,$A$22:$B$22,2,TRUE)</f>
        <v>1000</v>
      </c>
      <c r="I219" s="45">
        <f t="shared" si="1"/>
        <v>0</v>
      </c>
      <c r="J219" s="47"/>
      <c r="K219" s="18"/>
      <c r="L219" s="18"/>
      <c r="M219" s="18"/>
      <c r="N219" s="18"/>
    </row>
    <row r="220" ht="15.75" customHeight="1">
      <c r="A220" s="39"/>
      <c r="B220" s="39"/>
      <c r="C220" s="39"/>
      <c r="D220" s="47"/>
      <c r="E220" s="47"/>
      <c r="F220" s="42" t="s">
        <v>40</v>
      </c>
      <c r="G220" s="43"/>
      <c r="H220" s="50">
        <f>VLOOKUP(F220,$A$23:$B$23,2,TRUE)</f>
        <v>500</v>
      </c>
      <c r="I220" s="45">
        <f t="shared" si="1"/>
        <v>0</v>
      </c>
      <c r="J220" s="47"/>
      <c r="K220" s="18"/>
      <c r="L220" s="18"/>
      <c r="M220" s="18"/>
      <c r="N220" s="18"/>
    </row>
    <row r="221" ht="15.75" customHeight="1">
      <c r="A221" s="39"/>
      <c r="B221" s="39"/>
      <c r="C221" s="39"/>
      <c r="D221" s="47"/>
      <c r="E221" s="47"/>
      <c r="F221" s="42" t="s">
        <v>41</v>
      </c>
      <c r="G221" s="43"/>
      <c r="H221" s="50">
        <f>VLOOKUP(F221,$A$24:$B$24,2,TRUE)</f>
        <v>200</v>
      </c>
      <c r="I221" s="45">
        <f t="shared" si="1"/>
        <v>0</v>
      </c>
      <c r="J221" s="47"/>
      <c r="K221" s="18"/>
      <c r="L221" s="18"/>
      <c r="M221" s="18"/>
      <c r="N221" s="18"/>
    </row>
    <row r="222" ht="15.75" customHeight="1">
      <c r="A222" s="39"/>
      <c r="B222" s="39"/>
      <c r="C222" s="39"/>
      <c r="D222" s="47"/>
      <c r="E222" s="47"/>
      <c r="F222" s="42" t="s">
        <v>42</v>
      </c>
      <c r="G222" s="43"/>
      <c r="H222" s="50">
        <f>VLOOKUP(F222,$A$25:$B$25,2,TRUE)</f>
        <v>1000</v>
      </c>
      <c r="I222" s="45">
        <f t="shared" si="1"/>
        <v>0</v>
      </c>
      <c r="J222" s="47"/>
      <c r="K222" s="18"/>
      <c r="L222" s="18"/>
      <c r="M222" s="18"/>
      <c r="N222" s="18"/>
    </row>
    <row r="223" ht="15.75" customHeight="1">
      <c r="A223" s="39"/>
      <c r="B223" s="39"/>
      <c r="C223" s="39"/>
      <c r="D223" s="47"/>
      <c r="E223" s="47"/>
      <c r="F223" s="42" t="s">
        <v>17</v>
      </c>
      <c r="G223" s="43">
        <v>5.0</v>
      </c>
      <c r="H223" s="50">
        <f>VLOOKUP(F223,$A$26:$B$26,2,TRUE)</f>
        <v>300</v>
      </c>
      <c r="I223" s="45">
        <f t="shared" si="1"/>
        <v>1500</v>
      </c>
      <c r="J223" s="47"/>
      <c r="K223" s="18"/>
      <c r="L223" s="18"/>
      <c r="M223" s="18"/>
      <c r="N223" s="18"/>
    </row>
    <row r="224" ht="15.75" customHeight="1">
      <c r="A224" s="39"/>
      <c r="B224" s="39"/>
      <c r="C224" s="39"/>
      <c r="D224" s="47"/>
      <c r="E224" s="47"/>
      <c r="F224" s="42" t="s">
        <v>43</v>
      </c>
      <c r="G224" s="43"/>
      <c r="H224" s="50">
        <f>VLOOKUP(F224,$A$27:$B$27,2,TRUE)</f>
        <v>100</v>
      </c>
      <c r="I224" s="45">
        <f t="shared" si="1"/>
        <v>0</v>
      </c>
      <c r="J224" s="47"/>
      <c r="K224" s="18"/>
      <c r="L224" s="18"/>
      <c r="M224" s="18"/>
      <c r="N224" s="18"/>
    </row>
    <row r="225" ht="15.75" customHeight="1">
      <c r="A225" s="39"/>
      <c r="B225" s="39"/>
      <c r="C225" s="39"/>
      <c r="D225" s="47"/>
      <c r="E225" s="47"/>
      <c r="F225" s="42" t="s">
        <v>59</v>
      </c>
      <c r="G225" s="43"/>
      <c r="H225" s="50">
        <f>VLOOKUP(F225,$A$28:$B$28,2,TRUE)</f>
        <v>500</v>
      </c>
      <c r="I225" s="45">
        <f t="shared" si="1"/>
        <v>0</v>
      </c>
      <c r="J225" s="47"/>
      <c r="K225" s="18"/>
      <c r="L225" s="18"/>
      <c r="M225" s="18"/>
      <c r="N225" s="18"/>
    </row>
    <row r="226" ht="15.75" customHeight="1">
      <c r="A226" s="39"/>
      <c r="B226" s="39"/>
      <c r="C226" s="39"/>
      <c r="D226" s="47"/>
      <c r="E226" s="47"/>
      <c r="F226" s="42" t="s">
        <v>13</v>
      </c>
      <c r="G226" s="43"/>
      <c r="H226" s="50">
        <f>VLOOKUP(F226,$A$29:$B$29,2,TRUE)</f>
        <v>1500</v>
      </c>
      <c r="I226" s="45">
        <f t="shared" si="1"/>
        <v>0</v>
      </c>
      <c r="J226" s="47"/>
      <c r="K226" s="18"/>
      <c r="L226" s="18"/>
      <c r="M226" s="18"/>
      <c r="N226" s="18"/>
    </row>
    <row r="227" ht="15.75" customHeight="1">
      <c r="A227" s="39"/>
      <c r="B227" s="39"/>
      <c r="C227" s="39"/>
      <c r="D227" s="47"/>
      <c r="E227" s="47"/>
      <c r="F227" s="42" t="s">
        <v>19</v>
      </c>
      <c r="G227" s="43">
        <v>1.0</v>
      </c>
      <c r="H227" s="50">
        <f>VLOOKUP(F227,$A$30:$B$30,2,TRUE)</f>
        <v>4000</v>
      </c>
      <c r="I227" s="45">
        <f t="shared" si="1"/>
        <v>4000</v>
      </c>
      <c r="J227" s="47"/>
      <c r="K227" s="18"/>
      <c r="L227" s="18"/>
      <c r="M227" s="18"/>
      <c r="N227" s="18"/>
    </row>
    <row r="228" ht="15.75" customHeight="1">
      <c r="A228" s="39"/>
      <c r="B228" s="39"/>
      <c r="C228" s="39"/>
      <c r="D228" s="7"/>
      <c r="E228" s="7"/>
      <c r="F228" s="42" t="s">
        <v>60</v>
      </c>
      <c r="G228" s="43"/>
      <c r="H228" s="50">
        <f>VLOOKUP(F228,$A$31:$B$31,2,TRUE)</f>
        <v>500</v>
      </c>
      <c r="I228" s="45">
        <f t="shared" si="1"/>
        <v>0</v>
      </c>
      <c r="J228" s="7"/>
      <c r="K228" s="18"/>
      <c r="L228" s="18"/>
      <c r="M228" s="18"/>
      <c r="N228" s="18"/>
    </row>
    <row r="229" ht="15.75" customHeight="1">
      <c r="A229" s="39"/>
      <c r="B229" s="39"/>
      <c r="C229" s="39"/>
      <c r="D229" s="40">
        <v>9.0</v>
      </c>
      <c r="E229" s="59" t="s">
        <v>93</v>
      </c>
      <c r="F229" s="42" t="s">
        <v>21</v>
      </c>
      <c r="G229" s="43"/>
      <c r="H229" s="50">
        <f>VLOOKUP(F229,$A$4:$B$4,2,TRUE)</f>
        <v>5000</v>
      </c>
      <c r="I229" s="45">
        <f t="shared" si="1"/>
        <v>0</v>
      </c>
      <c r="J229" s="46">
        <f>SUM(I229:I256)</f>
        <v>40500</v>
      </c>
      <c r="K229" s="18"/>
      <c r="L229" s="18"/>
      <c r="M229" s="18"/>
      <c r="N229" s="18"/>
    </row>
    <row r="230" ht="15.75" customHeight="1">
      <c r="A230" s="39"/>
      <c r="B230" s="39"/>
      <c r="C230" s="39"/>
      <c r="D230" s="47"/>
      <c r="E230" s="47"/>
      <c r="F230" s="42" t="s">
        <v>56</v>
      </c>
      <c r="G230" s="43"/>
      <c r="H230" s="50">
        <f>VLOOKUP(F230,$A$5:$B$5,2,TRUE)</f>
        <v>3000</v>
      </c>
      <c r="I230" s="45">
        <f t="shared" si="1"/>
        <v>0</v>
      </c>
      <c r="J230" s="47"/>
      <c r="K230" s="18"/>
      <c r="L230" s="18"/>
      <c r="M230" s="18"/>
      <c r="N230" s="18"/>
    </row>
    <row r="231" ht="15.75" customHeight="1">
      <c r="A231" s="39"/>
      <c r="B231" s="39"/>
      <c r="C231" s="39"/>
      <c r="D231" s="47"/>
      <c r="E231" s="47"/>
      <c r="F231" s="42" t="s">
        <v>58</v>
      </c>
      <c r="G231" s="43"/>
      <c r="H231" s="50">
        <f>VLOOKUP(F231,$A$6:$B$6,2,TRUE)</f>
        <v>1000</v>
      </c>
      <c r="I231" s="45">
        <f t="shared" si="1"/>
        <v>0</v>
      </c>
      <c r="J231" s="47"/>
      <c r="K231" s="18"/>
      <c r="L231" s="18"/>
      <c r="M231" s="18"/>
      <c r="N231" s="18"/>
    </row>
    <row r="232" ht="15.75" customHeight="1">
      <c r="A232" s="39"/>
      <c r="B232" s="39"/>
      <c r="C232" s="39"/>
      <c r="D232" s="47"/>
      <c r="E232" s="47"/>
      <c r="F232" s="42" t="s">
        <v>24</v>
      </c>
      <c r="G232" s="43"/>
      <c r="H232" s="50">
        <f>VLOOKUP(F232,$A$7:$B$7,2,TRUE)</f>
        <v>2800</v>
      </c>
      <c r="I232" s="45">
        <f t="shared" si="1"/>
        <v>0</v>
      </c>
      <c r="J232" s="47"/>
      <c r="K232" s="18"/>
      <c r="L232" s="18"/>
      <c r="M232" s="18"/>
      <c r="N232" s="18"/>
    </row>
    <row r="233" ht="15.75" customHeight="1">
      <c r="A233" s="39"/>
      <c r="B233" s="39"/>
      <c r="C233" s="39"/>
      <c r="D233" s="47"/>
      <c r="E233" s="47"/>
      <c r="F233" s="42" t="s">
        <v>25</v>
      </c>
      <c r="G233" s="43"/>
      <c r="H233" s="50">
        <f>VLOOKUP(F233,$A$8:$B$8,2,TRUE)</f>
        <v>3500</v>
      </c>
      <c r="I233" s="45">
        <f t="shared" si="1"/>
        <v>0</v>
      </c>
      <c r="J233" s="47"/>
      <c r="K233" s="18"/>
      <c r="L233" s="18"/>
      <c r="M233" s="18"/>
      <c r="N233" s="18"/>
    </row>
    <row r="234" ht="15.75" customHeight="1">
      <c r="A234" s="39"/>
      <c r="B234" s="39"/>
      <c r="C234" s="39"/>
      <c r="D234" s="47"/>
      <c r="E234" s="47"/>
      <c r="F234" s="42" t="s">
        <v>26</v>
      </c>
      <c r="G234" s="43">
        <f>7+5+1.5</f>
        <v>13.5</v>
      </c>
      <c r="H234" s="50">
        <f>VLOOKUP(F234,$A$9:$B$9,2,TRUE)</f>
        <v>1000</v>
      </c>
      <c r="I234" s="45">
        <f t="shared" si="1"/>
        <v>13500</v>
      </c>
      <c r="J234" s="47"/>
      <c r="K234" s="18"/>
      <c r="L234" s="18"/>
      <c r="M234" s="18"/>
      <c r="N234" s="18"/>
    </row>
    <row r="235" ht="15.75" customHeight="1">
      <c r="A235" s="39"/>
      <c r="B235" s="39"/>
      <c r="C235" s="39"/>
      <c r="D235" s="47"/>
      <c r="E235" s="47"/>
      <c r="F235" s="42" t="s">
        <v>27</v>
      </c>
      <c r="G235" s="43">
        <v>2.5</v>
      </c>
      <c r="H235" s="50">
        <f>VLOOKUP(F235,$A$10:$B$10,2,TRUE)</f>
        <v>2000</v>
      </c>
      <c r="I235" s="45">
        <f t="shared" si="1"/>
        <v>5000</v>
      </c>
      <c r="J235" s="47"/>
      <c r="K235" s="18"/>
      <c r="L235" s="18"/>
      <c r="M235" s="18"/>
      <c r="N235" s="18"/>
    </row>
    <row r="236" ht="15.75" customHeight="1">
      <c r="A236" s="39"/>
      <c r="B236" s="39"/>
      <c r="C236" s="39"/>
      <c r="D236" s="47"/>
      <c r="E236" s="47"/>
      <c r="F236" s="42" t="s">
        <v>28</v>
      </c>
      <c r="G236" s="43">
        <v>3.5</v>
      </c>
      <c r="H236" s="50">
        <f>VLOOKUP(F236,$A$11:$B$11,2,TRUE)</f>
        <v>2000</v>
      </c>
      <c r="I236" s="45">
        <f t="shared" si="1"/>
        <v>7000</v>
      </c>
      <c r="J236" s="47"/>
      <c r="K236" s="18"/>
      <c r="L236" s="18"/>
      <c r="M236" s="18"/>
      <c r="N236" s="18"/>
    </row>
    <row r="237" ht="15.75" customHeight="1">
      <c r="A237" s="39"/>
      <c r="B237" s="39"/>
      <c r="C237" s="39"/>
      <c r="D237" s="47"/>
      <c r="E237" s="47"/>
      <c r="F237" s="42" t="s">
        <v>29</v>
      </c>
      <c r="G237" s="43"/>
      <c r="H237" s="50">
        <f>VLOOKUP(F237,$A$12:$B$12,2,TRUE)</f>
        <v>1300</v>
      </c>
      <c r="I237" s="45">
        <f t="shared" si="1"/>
        <v>0</v>
      </c>
      <c r="J237" s="47"/>
      <c r="K237" s="18"/>
      <c r="L237" s="18"/>
      <c r="M237" s="18"/>
      <c r="N237" s="18"/>
    </row>
    <row r="238" ht="15.75" customHeight="1">
      <c r="A238" s="39"/>
      <c r="B238" s="39"/>
      <c r="C238" s="39"/>
      <c r="D238" s="47"/>
      <c r="E238" s="47"/>
      <c r="F238" s="42" t="s">
        <v>30</v>
      </c>
      <c r="G238" s="43"/>
      <c r="H238" s="50">
        <f>VLOOKUP(F238,$A$13:$B$13,2,TRUE)</f>
        <v>1000</v>
      </c>
      <c r="I238" s="45">
        <f t="shared" si="1"/>
        <v>0</v>
      </c>
      <c r="J238" s="47"/>
      <c r="K238" s="18"/>
      <c r="L238" s="18"/>
      <c r="M238" s="18"/>
      <c r="N238" s="18"/>
    </row>
    <row r="239" ht="15.75" customHeight="1">
      <c r="A239" s="39"/>
      <c r="B239" s="39"/>
      <c r="C239" s="39"/>
      <c r="D239" s="47"/>
      <c r="E239" s="47"/>
      <c r="F239" s="42" t="s">
        <v>31</v>
      </c>
      <c r="G239" s="43"/>
      <c r="H239" s="50">
        <f>VLOOKUP(F239,$A$14:$B$14,2,TRUE)</f>
        <v>400</v>
      </c>
      <c r="I239" s="45">
        <f t="shared" si="1"/>
        <v>0</v>
      </c>
      <c r="J239" s="47"/>
      <c r="K239" s="18"/>
      <c r="L239" s="18"/>
      <c r="M239" s="18"/>
      <c r="N239" s="18"/>
    </row>
    <row r="240" ht="15.75" customHeight="1">
      <c r="A240" s="39"/>
      <c r="B240" s="39"/>
      <c r="C240" s="39"/>
      <c r="D240" s="47"/>
      <c r="E240" s="47"/>
      <c r="F240" s="42" t="s">
        <v>32</v>
      </c>
      <c r="G240" s="43"/>
      <c r="H240" s="50">
        <f>VLOOKUP(F240,$A$15:$B$15,2,TRUE)</f>
        <v>7500</v>
      </c>
      <c r="I240" s="45">
        <f t="shared" si="1"/>
        <v>0</v>
      </c>
      <c r="J240" s="47"/>
      <c r="K240" s="18"/>
      <c r="L240" s="18"/>
      <c r="M240" s="18"/>
      <c r="N240" s="18"/>
    </row>
    <row r="241" ht="15.75" customHeight="1">
      <c r="A241" s="39"/>
      <c r="B241" s="39"/>
      <c r="C241" s="39"/>
      <c r="D241" s="47"/>
      <c r="E241" s="47"/>
      <c r="F241" s="42" t="s">
        <v>33</v>
      </c>
      <c r="G241" s="43">
        <v>7.5</v>
      </c>
      <c r="H241" s="50">
        <f>VLOOKUP(F241,$A$16:$B$16,2,TRUE)</f>
        <v>2000</v>
      </c>
      <c r="I241" s="45">
        <f t="shared" si="1"/>
        <v>15000</v>
      </c>
      <c r="J241" s="47"/>
      <c r="K241" s="18"/>
      <c r="L241" s="18"/>
      <c r="M241" s="18"/>
      <c r="N241" s="18"/>
    </row>
    <row r="242" ht="15.75" customHeight="1">
      <c r="A242" s="39"/>
      <c r="B242" s="39"/>
      <c r="C242" s="39"/>
      <c r="D242" s="47"/>
      <c r="E242" s="47"/>
      <c r="F242" s="42" t="s">
        <v>34</v>
      </c>
      <c r="G242" s="43"/>
      <c r="H242" s="50">
        <f>VLOOKUP(F242,$A$17:$B$17,2,TRUE)</f>
        <v>800</v>
      </c>
      <c r="I242" s="45">
        <f t="shared" si="1"/>
        <v>0</v>
      </c>
      <c r="J242" s="47"/>
      <c r="K242" s="18"/>
      <c r="L242" s="18"/>
      <c r="M242" s="18"/>
      <c r="N242" s="18"/>
    </row>
    <row r="243" ht="15.75" customHeight="1">
      <c r="A243" s="39"/>
      <c r="B243" s="39"/>
      <c r="C243" s="39"/>
      <c r="D243" s="47"/>
      <c r="E243" s="47"/>
      <c r="F243" s="42" t="s">
        <v>35</v>
      </c>
      <c r="G243" s="43"/>
      <c r="H243" s="50">
        <f>VLOOKUP(F243,$A$18:$B$18,2,TRUE)</f>
        <v>5000</v>
      </c>
      <c r="I243" s="45">
        <f t="shared" si="1"/>
        <v>0</v>
      </c>
      <c r="J243" s="47"/>
      <c r="K243" s="18"/>
      <c r="L243" s="18"/>
      <c r="M243" s="18"/>
      <c r="N243" s="18"/>
    </row>
    <row r="244" ht="15.75" customHeight="1">
      <c r="A244" s="39"/>
      <c r="B244" s="39"/>
      <c r="C244" s="39"/>
      <c r="D244" s="47"/>
      <c r="E244" s="47"/>
      <c r="F244" s="42" t="s">
        <v>36</v>
      </c>
      <c r="G244" s="43"/>
      <c r="H244" s="50">
        <f>VLOOKUP(F244,$A$19:$B$19,2,TRUE)</f>
        <v>2700</v>
      </c>
      <c r="I244" s="45">
        <f t="shared" si="1"/>
        <v>0</v>
      </c>
      <c r="J244" s="47"/>
      <c r="K244" s="18"/>
      <c r="L244" s="18"/>
      <c r="M244" s="18"/>
      <c r="N244" s="18"/>
    </row>
    <row r="245" ht="15.75" customHeight="1">
      <c r="A245" s="39"/>
      <c r="B245" s="39"/>
      <c r="C245" s="39"/>
      <c r="D245" s="47"/>
      <c r="E245" s="47"/>
      <c r="F245" s="42" t="s">
        <v>37</v>
      </c>
      <c r="G245" s="43"/>
      <c r="H245" s="50">
        <f>VLOOKUP(F245,$A$20:$B$20,2,TRUE)</f>
        <v>50000</v>
      </c>
      <c r="I245" s="45">
        <f t="shared" si="1"/>
        <v>0</v>
      </c>
      <c r="J245" s="47"/>
      <c r="K245" s="18"/>
      <c r="L245" s="18"/>
      <c r="M245" s="18"/>
      <c r="N245" s="18"/>
    </row>
    <row r="246" ht="15.75" customHeight="1">
      <c r="A246" s="39"/>
      <c r="B246" s="39"/>
      <c r="C246" s="39"/>
      <c r="D246" s="47"/>
      <c r="E246" s="47"/>
      <c r="F246" s="42" t="s">
        <v>38</v>
      </c>
      <c r="G246" s="43"/>
      <c r="H246" s="50">
        <f>VLOOKUP(F246,$A$21:$B$21,2,TRUE)</f>
        <v>10000</v>
      </c>
      <c r="I246" s="45">
        <f t="shared" si="1"/>
        <v>0</v>
      </c>
      <c r="J246" s="47"/>
      <c r="K246" s="18"/>
      <c r="L246" s="18"/>
      <c r="M246" s="18"/>
      <c r="N246" s="18"/>
    </row>
    <row r="247" ht="15.75" customHeight="1">
      <c r="A247" s="39"/>
      <c r="B247" s="39"/>
      <c r="C247" s="39"/>
      <c r="D247" s="47"/>
      <c r="E247" s="47"/>
      <c r="F247" s="42" t="s">
        <v>39</v>
      </c>
      <c r="G247" s="43"/>
      <c r="H247" s="50">
        <f>VLOOKUP(F247,$A$22:$B$22,2,TRUE)</f>
        <v>1000</v>
      </c>
      <c r="I247" s="45">
        <f t="shared" si="1"/>
        <v>0</v>
      </c>
      <c r="J247" s="47"/>
      <c r="K247" s="18"/>
      <c r="L247" s="18"/>
      <c r="M247" s="18"/>
      <c r="N247" s="18"/>
    </row>
    <row r="248" ht="15.75" customHeight="1">
      <c r="A248" s="39"/>
      <c r="B248" s="39"/>
      <c r="C248" s="39"/>
      <c r="D248" s="47"/>
      <c r="E248" s="47"/>
      <c r="F248" s="42" t="s">
        <v>40</v>
      </c>
      <c r="G248" s="43"/>
      <c r="H248" s="50">
        <f>VLOOKUP(F248,$A$23:$B$23,2,TRUE)</f>
        <v>500</v>
      </c>
      <c r="I248" s="45">
        <f t="shared" si="1"/>
        <v>0</v>
      </c>
      <c r="J248" s="47"/>
      <c r="K248" s="18"/>
      <c r="L248" s="18"/>
      <c r="M248" s="18"/>
      <c r="N248" s="18"/>
    </row>
    <row r="249" ht="15.75" customHeight="1">
      <c r="A249" s="39"/>
      <c r="B249" s="39"/>
      <c r="C249" s="39"/>
      <c r="D249" s="47"/>
      <c r="E249" s="47"/>
      <c r="F249" s="42" t="s">
        <v>41</v>
      </c>
      <c r="G249" s="43"/>
      <c r="H249" s="50">
        <f>VLOOKUP(F249,$A$24:$B$24,2,TRUE)</f>
        <v>200</v>
      </c>
      <c r="I249" s="45">
        <f t="shared" si="1"/>
        <v>0</v>
      </c>
      <c r="J249" s="47"/>
      <c r="K249" s="18"/>
      <c r="L249" s="18"/>
      <c r="M249" s="18"/>
      <c r="N249" s="18"/>
    </row>
    <row r="250" ht="15.75" customHeight="1">
      <c r="A250" s="39"/>
      <c r="B250" s="39"/>
      <c r="C250" s="39"/>
      <c r="D250" s="47"/>
      <c r="E250" s="47"/>
      <c r="F250" s="42" t="s">
        <v>42</v>
      </c>
      <c r="G250" s="43"/>
      <c r="H250" s="50">
        <f>VLOOKUP(F250,$A$25:$B$25,2,TRUE)</f>
        <v>1000</v>
      </c>
      <c r="I250" s="45">
        <f t="shared" si="1"/>
        <v>0</v>
      </c>
      <c r="J250" s="47"/>
      <c r="K250" s="18"/>
      <c r="L250" s="18"/>
      <c r="M250" s="18"/>
      <c r="N250" s="18"/>
    </row>
    <row r="251" ht="15.75" customHeight="1">
      <c r="A251" s="39"/>
      <c r="B251" s="39"/>
      <c r="C251" s="39"/>
      <c r="D251" s="47"/>
      <c r="E251" s="47"/>
      <c r="F251" s="42" t="s">
        <v>17</v>
      </c>
      <c r="G251" s="43"/>
      <c r="H251" s="50">
        <f>VLOOKUP(F251,$A$26:$B$26,2,TRUE)</f>
        <v>300</v>
      </c>
      <c r="I251" s="45">
        <f t="shared" si="1"/>
        <v>0</v>
      </c>
      <c r="J251" s="47"/>
      <c r="K251" s="18"/>
      <c r="L251" s="18"/>
      <c r="M251" s="18"/>
      <c r="N251" s="18"/>
    </row>
    <row r="252" ht="15.75" customHeight="1">
      <c r="A252" s="39"/>
      <c r="B252" s="39"/>
      <c r="C252" s="39"/>
      <c r="D252" s="47"/>
      <c r="E252" s="47"/>
      <c r="F252" s="42" t="s">
        <v>43</v>
      </c>
      <c r="G252" s="43"/>
      <c r="H252" s="50">
        <f>VLOOKUP(F252,$A$27:$B$27,2,TRUE)</f>
        <v>100</v>
      </c>
      <c r="I252" s="45">
        <f t="shared" si="1"/>
        <v>0</v>
      </c>
      <c r="J252" s="47"/>
      <c r="K252" s="18"/>
      <c r="L252" s="18"/>
      <c r="M252" s="18"/>
      <c r="N252" s="18"/>
    </row>
    <row r="253" ht="15.75" customHeight="1">
      <c r="A253" s="39"/>
      <c r="B253" s="39"/>
      <c r="C253" s="39"/>
      <c r="D253" s="47"/>
      <c r="E253" s="47"/>
      <c r="F253" s="42" t="s">
        <v>59</v>
      </c>
      <c r="G253" s="43"/>
      <c r="H253" s="50">
        <f>VLOOKUP(F253,$A$28:$B$28,2,TRUE)</f>
        <v>500</v>
      </c>
      <c r="I253" s="45">
        <f t="shared" si="1"/>
        <v>0</v>
      </c>
      <c r="J253" s="47"/>
      <c r="K253" s="18"/>
      <c r="L253" s="18"/>
      <c r="M253" s="18"/>
      <c r="N253" s="18"/>
    </row>
    <row r="254" ht="15.75" customHeight="1">
      <c r="A254" s="39"/>
      <c r="B254" s="39"/>
      <c r="C254" s="39"/>
      <c r="D254" s="47"/>
      <c r="E254" s="47"/>
      <c r="F254" s="42" t="s">
        <v>13</v>
      </c>
      <c r="G254" s="43"/>
      <c r="H254" s="50">
        <f>VLOOKUP(F254,$A$29:$B$29,2,TRUE)</f>
        <v>1500</v>
      </c>
      <c r="I254" s="45">
        <f t="shared" si="1"/>
        <v>0</v>
      </c>
      <c r="J254" s="47"/>
      <c r="K254" s="18"/>
      <c r="L254" s="18"/>
      <c r="M254" s="18"/>
      <c r="N254" s="18"/>
    </row>
    <row r="255" ht="15.75" customHeight="1">
      <c r="A255" s="39"/>
      <c r="B255" s="39"/>
      <c r="C255" s="39"/>
      <c r="D255" s="47"/>
      <c r="E255" s="47"/>
      <c r="F255" s="42" t="s">
        <v>19</v>
      </c>
      <c r="G255" s="43"/>
      <c r="H255" s="50">
        <f>VLOOKUP(F255,$A$30:$B$30,2,TRUE)</f>
        <v>4000</v>
      </c>
      <c r="I255" s="45">
        <f t="shared" si="1"/>
        <v>0</v>
      </c>
      <c r="J255" s="47"/>
      <c r="K255" s="18"/>
      <c r="L255" s="18"/>
      <c r="M255" s="18"/>
      <c r="N255" s="18"/>
    </row>
    <row r="256" ht="15.75" customHeight="1">
      <c r="A256" s="39"/>
      <c r="B256" s="39"/>
      <c r="C256" s="39"/>
      <c r="D256" s="7"/>
      <c r="E256" s="7"/>
      <c r="F256" s="42" t="s">
        <v>60</v>
      </c>
      <c r="G256" s="43"/>
      <c r="H256" s="50"/>
      <c r="I256" s="45">
        <f t="shared" si="1"/>
        <v>0</v>
      </c>
      <c r="J256" s="7"/>
      <c r="K256" s="18"/>
      <c r="L256" s="18"/>
      <c r="M256" s="18"/>
      <c r="N256" s="18"/>
    </row>
    <row r="257" ht="15.75" customHeight="1">
      <c r="A257" s="39"/>
      <c r="B257" s="39"/>
      <c r="C257" s="39"/>
      <c r="D257" s="40">
        <v>10.0</v>
      </c>
      <c r="E257" s="41" t="s">
        <v>94</v>
      </c>
      <c r="F257" s="42" t="s">
        <v>21</v>
      </c>
      <c r="G257" s="43">
        <v>1.0</v>
      </c>
      <c r="H257" s="50">
        <f>VLOOKUP(F257,$A$4:$B$4,2,TRUE)</f>
        <v>5000</v>
      </c>
      <c r="I257" s="45">
        <f t="shared" si="1"/>
        <v>5000</v>
      </c>
      <c r="J257" s="46">
        <f>SUM(I257:I284)</f>
        <v>12500</v>
      </c>
      <c r="K257" s="18"/>
      <c r="L257" s="18"/>
      <c r="M257" s="18"/>
      <c r="N257" s="18"/>
    </row>
    <row r="258" ht="15.75" customHeight="1">
      <c r="A258" s="39"/>
      <c r="B258" s="39"/>
      <c r="C258" s="39"/>
      <c r="D258" s="47"/>
      <c r="E258" s="47"/>
      <c r="F258" s="42" t="s">
        <v>56</v>
      </c>
      <c r="G258" s="43">
        <v>1.0</v>
      </c>
      <c r="H258" s="50">
        <f>VLOOKUP(F258,$A$5:$B$5,2,TRUE)</f>
        <v>3000</v>
      </c>
      <c r="I258" s="45">
        <f t="shared" si="1"/>
        <v>3000</v>
      </c>
      <c r="J258" s="47"/>
      <c r="K258" s="18"/>
      <c r="L258" s="18"/>
      <c r="M258" s="18"/>
      <c r="N258" s="18"/>
    </row>
    <row r="259" ht="15.75" customHeight="1">
      <c r="A259" s="39"/>
      <c r="B259" s="39"/>
      <c r="C259" s="39"/>
      <c r="D259" s="47"/>
      <c r="E259" s="47"/>
      <c r="F259" s="42" t="s">
        <v>58</v>
      </c>
      <c r="G259" s="43"/>
      <c r="H259" s="50">
        <f>VLOOKUP(F259,$A$6:$B$6,2,TRUE)</f>
        <v>1000</v>
      </c>
      <c r="I259" s="45">
        <f t="shared" si="1"/>
        <v>0</v>
      </c>
      <c r="J259" s="47"/>
      <c r="K259" s="18"/>
      <c r="L259" s="18"/>
      <c r="M259" s="18"/>
      <c r="N259" s="18"/>
    </row>
    <row r="260" ht="15.75" customHeight="1">
      <c r="A260" s="39"/>
      <c r="B260" s="39"/>
      <c r="C260" s="39"/>
      <c r="D260" s="47"/>
      <c r="E260" s="47"/>
      <c r="F260" s="42" t="s">
        <v>24</v>
      </c>
      <c r="G260" s="43"/>
      <c r="H260" s="50">
        <f>VLOOKUP(F260,$A$7:$B$7,2,TRUE)</f>
        <v>2800</v>
      </c>
      <c r="I260" s="45">
        <f t="shared" si="1"/>
        <v>0</v>
      </c>
      <c r="J260" s="47"/>
      <c r="K260" s="18"/>
      <c r="L260" s="18"/>
      <c r="M260" s="18"/>
      <c r="N260" s="18"/>
    </row>
    <row r="261" ht="15.75" customHeight="1">
      <c r="A261" s="39"/>
      <c r="B261" s="39"/>
      <c r="C261" s="39"/>
      <c r="D261" s="47"/>
      <c r="E261" s="47"/>
      <c r="F261" s="42" t="s">
        <v>25</v>
      </c>
      <c r="G261" s="43"/>
      <c r="H261" s="50">
        <f>VLOOKUP(F261,$A$8:$B$8,2,TRUE)</f>
        <v>3500</v>
      </c>
      <c r="I261" s="45">
        <f t="shared" si="1"/>
        <v>0</v>
      </c>
      <c r="J261" s="47"/>
      <c r="K261" s="18"/>
      <c r="L261" s="18"/>
      <c r="M261" s="18"/>
      <c r="N261" s="18"/>
    </row>
    <row r="262" ht="15.75" customHeight="1">
      <c r="A262" s="39"/>
      <c r="B262" s="39"/>
      <c r="C262" s="39"/>
      <c r="D262" s="47"/>
      <c r="E262" s="47"/>
      <c r="F262" s="42" t="s">
        <v>26</v>
      </c>
      <c r="G262" s="43"/>
      <c r="H262" s="50">
        <f>VLOOKUP(F262,$A$9:$B$9,2,TRUE)</f>
        <v>1000</v>
      </c>
      <c r="I262" s="45">
        <f t="shared" si="1"/>
        <v>0</v>
      </c>
      <c r="J262" s="47"/>
      <c r="K262" s="18"/>
      <c r="L262" s="18"/>
      <c r="M262" s="18"/>
      <c r="N262" s="18"/>
    </row>
    <row r="263" ht="15.75" customHeight="1">
      <c r="A263" s="39"/>
      <c r="B263" s="39"/>
      <c r="C263" s="39"/>
      <c r="D263" s="47"/>
      <c r="E263" s="47"/>
      <c r="F263" s="42" t="s">
        <v>27</v>
      </c>
      <c r="G263" s="43">
        <v>2.0</v>
      </c>
      <c r="H263" s="50">
        <f>VLOOKUP(F263,$A$10:$B$10,2,TRUE)</f>
        <v>2000</v>
      </c>
      <c r="I263" s="45">
        <f t="shared" si="1"/>
        <v>4000</v>
      </c>
      <c r="J263" s="47"/>
      <c r="K263" s="18"/>
      <c r="L263" s="18"/>
      <c r="M263" s="18"/>
      <c r="N263" s="18"/>
    </row>
    <row r="264" ht="15.75" customHeight="1">
      <c r="A264" s="39"/>
      <c r="B264" s="39"/>
      <c r="C264" s="39"/>
      <c r="D264" s="47"/>
      <c r="E264" s="47"/>
      <c r="F264" s="42" t="s">
        <v>28</v>
      </c>
      <c r="G264" s="43"/>
      <c r="H264" s="50">
        <f>VLOOKUP(F264,$A$11:$B$11,2,TRUE)</f>
        <v>2000</v>
      </c>
      <c r="I264" s="45">
        <f t="shared" si="1"/>
        <v>0</v>
      </c>
      <c r="J264" s="47"/>
      <c r="K264" s="18"/>
      <c r="L264" s="18"/>
      <c r="M264" s="18"/>
      <c r="N264" s="18"/>
    </row>
    <row r="265" ht="15.75" customHeight="1">
      <c r="A265" s="39"/>
      <c r="B265" s="39"/>
      <c r="C265" s="39"/>
      <c r="D265" s="47"/>
      <c r="E265" s="47"/>
      <c r="F265" s="42" t="s">
        <v>29</v>
      </c>
      <c r="G265" s="43"/>
      <c r="H265" s="50">
        <f>VLOOKUP(F265,$A$12:$B$12,2,TRUE)</f>
        <v>1300</v>
      </c>
      <c r="I265" s="45">
        <f t="shared" si="1"/>
        <v>0</v>
      </c>
      <c r="J265" s="47"/>
      <c r="K265" s="18"/>
      <c r="L265" s="18"/>
      <c r="M265" s="18"/>
      <c r="N265" s="18"/>
    </row>
    <row r="266" ht="15.75" customHeight="1">
      <c r="A266" s="39"/>
      <c r="B266" s="39"/>
      <c r="C266" s="39"/>
      <c r="D266" s="47"/>
      <c r="E266" s="47"/>
      <c r="F266" s="42" t="s">
        <v>30</v>
      </c>
      <c r="G266" s="43"/>
      <c r="H266" s="50">
        <f>VLOOKUP(F266,$A$13:$B$13,2,TRUE)</f>
        <v>1000</v>
      </c>
      <c r="I266" s="45">
        <f t="shared" si="1"/>
        <v>0</v>
      </c>
      <c r="J266" s="47"/>
      <c r="K266" s="18"/>
      <c r="L266" s="18"/>
      <c r="M266" s="18"/>
      <c r="N266" s="18"/>
    </row>
    <row r="267" ht="15.75" customHeight="1">
      <c r="A267" s="39"/>
      <c r="B267" s="39"/>
      <c r="C267" s="39"/>
      <c r="D267" s="47"/>
      <c r="E267" s="47"/>
      <c r="F267" s="42" t="s">
        <v>31</v>
      </c>
      <c r="G267" s="43"/>
      <c r="H267" s="50">
        <f>VLOOKUP(F267,$A$14:$B$14,2,TRUE)</f>
        <v>400</v>
      </c>
      <c r="I267" s="45">
        <f t="shared" si="1"/>
        <v>0</v>
      </c>
      <c r="J267" s="47"/>
      <c r="K267" s="18"/>
      <c r="L267" s="18"/>
      <c r="M267" s="18"/>
      <c r="N267" s="18"/>
    </row>
    <row r="268" ht="15.75" customHeight="1">
      <c r="A268" s="39"/>
      <c r="B268" s="39"/>
      <c r="C268" s="39"/>
      <c r="D268" s="47"/>
      <c r="E268" s="47"/>
      <c r="F268" s="42" t="s">
        <v>32</v>
      </c>
      <c r="G268" s="43"/>
      <c r="H268" s="50">
        <f>VLOOKUP(F268,$A$15:$B$15,2,TRUE)</f>
        <v>7500</v>
      </c>
      <c r="I268" s="45">
        <f t="shared" si="1"/>
        <v>0</v>
      </c>
      <c r="J268" s="47"/>
      <c r="K268" s="18"/>
      <c r="L268" s="18"/>
      <c r="M268" s="18"/>
      <c r="N268" s="18"/>
    </row>
    <row r="269" ht="15.75" customHeight="1">
      <c r="A269" s="39"/>
      <c r="B269" s="39"/>
      <c r="C269" s="39"/>
      <c r="D269" s="47"/>
      <c r="E269" s="47"/>
      <c r="F269" s="42" t="s">
        <v>33</v>
      </c>
      <c r="G269" s="43"/>
      <c r="H269" s="50">
        <f>VLOOKUP(F269,$A$16:$B$16,2,TRUE)</f>
        <v>2000</v>
      </c>
      <c r="I269" s="45">
        <f t="shared" si="1"/>
        <v>0</v>
      </c>
      <c r="J269" s="47"/>
      <c r="K269" s="18"/>
      <c r="L269" s="18"/>
      <c r="M269" s="18"/>
      <c r="N269" s="18"/>
    </row>
    <row r="270" ht="15.75" customHeight="1">
      <c r="A270" s="39"/>
      <c r="B270" s="39"/>
      <c r="C270" s="39"/>
      <c r="D270" s="47"/>
      <c r="E270" s="47"/>
      <c r="F270" s="42" t="s">
        <v>34</v>
      </c>
      <c r="G270" s="43"/>
      <c r="H270" s="50">
        <f>VLOOKUP(F270,$A$17:$B$17,2,TRUE)</f>
        <v>800</v>
      </c>
      <c r="I270" s="45">
        <f t="shared" si="1"/>
        <v>0</v>
      </c>
      <c r="J270" s="47"/>
      <c r="K270" s="18"/>
      <c r="L270" s="18"/>
      <c r="M270" s="18"/>
      <c r="N270" s="18"/>
    </row>
    <row r="271" ht="15.75" customHeight="1">
      <c r="A271" s="39"/>
      <c r="B271" s="39"/>
      <c r="C271" s="39"/>
      <c r="D271" s="47"/>
      <c r="E271" s="47"/>
      <c r="F271" s="42" t="s">
        <v>35</v>
      </c>
      <c r="G271" s="43"/>
      <c r="H271" s="50">
        <f>VLOOKUP(F271,$A$18:$B$18,2,TRUE)</f>
        <v>5000</v>
      </c>
      <c r="I271" s="45">
        <f t="shared" si="1"/>
        <v>0</v>
      </c>
      <c r="J271" s="47"/>
      <c r="K271" s="18"/>
      <c r="L271" s="18"/>
      <c r="M271" s="18"/>
      <c r="N271" s="18"/>
    </row>
    <row r="272" ht="15.75" customHeight="1">
      <c r="A272" s="39"/>
      <c r="B272" s="39"/>
      <c r="C272" s="39"/>
      <c r="D272" s="47"/>
      <c r="E272" s="47"/>
      <c r="F272" s="42" t="s">
        <v>36</v>
      </c>
      <c r="G272" s="43"/>
      <c r="H272" s="50">
        <f>VLOOKUP(F272,$A$19:$B$19,2,TRUE)</f>
        <v>2700</v>
      </c>
      <c r="I272" s="45">
        <f t="shared" si="1"/>
        <v>0</v>
      </c>
      <c r="J272" s="47"/>
      <c r="K272" s="18"/>
      <c r="L272" s="18"/>
      <c r="M272" s="18"/>
      <c r="N272" s="18"/>
    </row>
    <row r="273" ht="15.75" customHeight="1">
      <c r="A273" s="39"/>
      <c r="B273" s="39"/>
      <c r="C273" s="39"/>
      <c r="D273" s="47"/>
      <c r="E273" s="47"/>
      <c r="F273" s="42" t="s">
        <v>37</v>
      </c>
      <c r="G273" s="43"/>
      <c r="H273" s="50">
        <f>VLOOKUP(F273,$A$20:$B$20,2,TRUE)</f>
        <v>50000</v>
      </c>
      <c r="I273" s="45">
        <f t="shared" si="1"/>
        <v>0</v>
      </c>
      <c r="J273" s="47"/>
      <c r="K273" s="18"/>
      <c r="L273" s="18"/>
      <c r="M273" s="18"/>
      <c r="N273" s="18"/>
    </row>
    <row r="274" ht="15.75" customHeight="1">
      <c r="A274" s="39"/>
      <c r="B274" s="39"/>
      <c r="C274" s="39"/>
      <c r="D274" s="47"/>
      <c r="E274" s="47"/>
      <c r="F274" s="42" t="s">
        <v>38</v>
      </c>
      <c r="G274" s="43"/>
      <c r="H274" s="50">
        <f>VLOOKUP(F274,$A$21:$B$21,2,TRUE)</f>
        <v>10000</v>
      </c>
      <c r="I274" s="45">
        <f t="shared" si="1"/>
        <v>0</v>
      </c>
      <c r="J274" s="47"/>
      <c r="K274" s="18"/>
      <c r="L274" s="18"/>
      <c r="M274" s="18"/>
      <c r="N274" s="18"/>
    </row>
    <row r="275" ht="15.75" customHeight="1">
      <c r="A275" s="39"/>
      <c r="B275" s="39"/>
      <c r="C275" s="39"/>
      <c r="D275" s="47"/>
      <c r="E275" s="47"/>
      <c r="F275" s="42" t="s">
        <v>39</v>
      </c>
      <c r="G275" s="43"/>
      <c r="H275" s="50">
        <f>VLOOKUP(F275,$A$22:$B$22,2,TRUE)</f>
        <v>1000</v>
      </c>
      <c r="I275" s="45">
        <f t="shared" si="1"/>
        <v>0</v>
      </c>
      <c r="J275" s="47"/>
      <c r="K275" s="18"/>
      <c r="L275" s="18"/>
      <c r="M275" s="18"/>
      <c r="N275" s="18"/>
    </row>
    <row r="276" ht="15.75" customHeight="1">
      <c r="A276" s="39"/>
      <c r="B276" s="39"/>
      <c r="C276" s="39"/>
      <c r="D276" s="47"/>
      <c r="E276" s="47"/>
      <c r="F276" s="42" t="s">
        <v>40</v>
      </c>
      <c r="G276" s="43">
        <v>1.0</v>
      </c>
      <c r="H276" s="50">
        <f>VLOOKUP(F276,$A$23:$B$23,2,TRUE)</f>
        <v>500</v>
      </c>
      <c r="I276" s="45">
        <f t="shared" si="1"/>
        <v>500</v>
      </c>
      <c r="J276" s="47"/>
      <c r="K276" s="18"/>
      <c r="L276" s="18"/>
      <c r="M276" s="18"/>
      <c r="N276" s="18"/>
    </row>
    <row r="277" ht="15.75" customHeight="1">
      <c r="A277" s="39"/>
      <c r="B277" s="39"/>
      <c r="C277" s="39"/>
      <c r="D277" s="47"/>
      <c r="E277" s="47"/>
      <c r="F277" s="42" t="s">
        <v>41</v>
      </c>
      <c r="G277" s="43"/>
      <c r="H277" s="50">
        <f>VLOOKUP(F277,$A$24:$B$24,2,TRUE)</f>
        <v>200</v>
      </c>
      <c r="I277" s="45">
        <f t="shared" si="1"/>
        <v>0</v>
      </c>
      <c r="J277" s="47"/>
      <c r="K277" s="18"/>
      <c r="L277" s="18"/>
      <c r="M277" s="18"/>
      <c r="N277" s="18"/>
    </row>
    <row r="278" ht="15.75" customHeight="1">
      <c r="A278" s="39"/>
      <c r="B278" s="39"/>
      <c r="C278" s="39"/>
      <c r="D278" s="47"/>
      <c r="E278" s="47"/>
      <c r="F278" s="42" t="s">
        <v>42</v>
      </c>
      <c r="G278" s="43"/>
      <c r="H278" s="50">
        <f>VLOOKUP(F278,$A$25:$B$25,2,TRUE)</f>
        <v>1000</v>
      </c>
      <c r="I278" s="45">
        <f t="shared" si="1"/>
        <v>0</v>
      </c>
      <c r="J278" s="47"/>
      <c r="K278" s="18"/>
      <c r="L278" s="18"/>
      <c r="M278" s="18"/>
      <c r="N278" s="18"/>
    </row>
    <row r="279" ht="15.75" customHeight="1">
      <c r="A279" s="39"/>
      <c r="B279" s="39"/>
      <c r="C279" s="39"/>
      <c r="D279" s="47"/>
      <c r="E279" s="47"/>
      <c r="F279" s="42" t="s">
        <v>17</v>
      </c>
      <c r="G279" s="43"/>
      <c r="H279" s="50">
        <f>VLOOKUP(F279,$A$26:$B$26,2,TRUE)</f>
        <v>300</v>
      </c>
      <c r="I279" s="45">
        <f t="shared" si="1"/>
        <v>0</v>
      </c>
      <c r="J279" s="47"/>
      <c r="K279" s="18"/>
      <c r="L279" s="18"/>
      <c r="M279" s="18"/>
      <c r="N279" s="18"/>
    </row>
    <row r="280" ht="15.75" customHeight="1">
      <c r="A280" s="39"/>
      <c r="B280" s="39"/>
      <c r="C280" s="39"/>
      <c r="D280" s="47"/>
      <c r="E280" s="47"/>
      <c r="F280" s="42" t="s">
        <v>43</v>
      </c>
      <c r="G280" s="43"/>
      <c r="H280" s="50">
        <f>VLOOKUP(F280,$A$27:$B$27,2,TRUE)</f>
        <v>100</v>
      </c>
      <c r="I280" s="45">
        <f t="shared" si="1"/>
        <v>0</v>
      </c>
      <c r="J280" s="47"/>
      <c r="K280" s="18"/>
      <c r="L280" s="18"/>
      <c r="M280" s="18"/>
      <c r="N280" s="18"/>
    </row>
    <row r="281" ht="15.75" customHeight="1">
      <c r="A281" s="39"/>
      <c r="B281" s="39"/>
      <c r="C281" s="39"/>
      <c r="D281" s="47"/>
      <c r="E281" s="47"/>
      <c r="F281" s="42" t="s">
        <v>59</v>
      </c>
      <c r="G281" s="43"/>
      <c r="H281" s="50">
        <f>VLOOKUP(F281,$A$28:$B$28,2,TRUE)</f>
        <v>500</v>
      </c>
      <c r="I281" s="45">
        <f t="shared" si="1"/>
        <v>0</v>
      </c>
      <c r="J281" s="47"/>
      <c r="K281" s="18"/>
      <c r="L281" s="18"/>
      <c r="M281" s="18"/>
      <c r="N281" s="18"/>
    </row>
    <row r="282" ht="15.75" customHeight="1">
      <c r="A282" s="39"/>
      <c r="B282" s="39"/>
      <c r="C282" s="39"/>
      <c r="D282" s="47"/>
      <c r="E282" s="47"/>
      <c r="F282" s="42" t="s">
        <v>13</v>
      </c>
      <c r="G282" s="43"/>
      <c r="H282" s="50">
        <f>VLOOKUP(F282,$A$29:$B$29,2,TRUE)</f>
        <v>1500</v>
      </c>
      <c r="I282" s="45">
        <f t="shared" si="1"/>
        <v>0</v>
      </c>
      <c r="J282" s="47"/>
      <c r="K282" s="18"/>
      <c r="L282" s="18"/>
      <c r="M282" s="18"/>
      <c r="N282" s="18"/>
    </row>
    <row r="283" ht="15.75" customHeight="1">
      <c r="A283" s="39"/>
      <c r="B283" s="39"/>
      <c r="C283" s="39"/>
      <c r="D283" s="47"/>
      <c r="E283" s="47"/>
      <c r="F283" s="42" t="s">
        <v>19</v>
      </c>
      <c r="G283" s="43"/>
      <c r="H283" s="50">
        <f>VLOOKUP(F283,$A$30:$B$30,2,TRUE)</f>
        <v>4000</v>
      </c>
      <c r="I283" s="45">
        <f t="shared" si="1"/>
        <v>0</v>
      </c>
      <c r="J283" s="47"/>
      <c r="K283" s="18"/>
      <c r="L283" s="18"/>
      <c r="M283" s="18"/>
      <c r="N283" s="18"/>
    </row>
    <row r="284" ht="15.75" customHeight="1">
      <c r="A284" s="39"/>
      <c r="B284" s="39"/>
      <c r="C284" s="39"/>
      <c r="D284" s="7"/>
      <c r="E284" s="7"/>
      <c r="F284" s="42" t="s">
        <v>60</v>
      </c>
      <c r="G284" s="43">
        <v>2.0</v>
      </c>
      <c r="H284" s="50"/>
      <c r="I284" s="45">
        <f t="shared" si="1"/>
        <v>0</v>
      </c>
      <c r="J284" s="7"/>
      <c r="K284" s="18"/>
      <c r="L284" s="18"/>
      <c r="M284" s="18"/>
      <c r="N284" s="18"/>
    </row>
    <row r="285" ht="15.75" customHeight="1">
      <c r="A285" s="39"/>
      <c r="B285" s="39"/>
      <c r="C285" s="39"/>
      <c r="D285" s="52" t="s">
        <v>70</v>
      </c>
      <c r="E285" s="53"/>
      <c r="F285" s="53"/>
      <c r="G285" s="53"/>
      <c r="H285" s="53"/>
      <c r="I285" s="45">
        <f t="shared" si="1"/>
        <v>0</v>
      </c>
      <c r="J285" s="54">
        <f>SUM(J5:J284)</f>
        <v>134050</v>
      </c>
      <c r="K285" s="18"/>
      <c r="L285" s="18"/>
      <c r="M285" s="18"/>
      <c r="N285" s="18"/>
    </row>
    <row r="286" ht="15.75" customHeight="1">
      <c r="A286" s="39"/>
      <c r="B286" s="39"/>
      <c r="C286" s="39"/>
      <c r="D286" s="52" t="s">
        <v>71</v>
      </c>
      <c r="E286" s="53"/>
      <c r="F286" s="53"/>
      <c r="G286" s="53"/>
      <c r="H286" s="53"/>
      <c r="I286" s="45">
        <f t="shared" si="1"/>
        <v>0</v>
      </c>
      <c r="J286" s="54">
        <f>J285*5%</f>
        <v>6702.5</v>
      </c>
      <c r="K286" s="18"/>
      <c r="L286" s="18"/>
      <c r="M286" s="18"/>
      <c r="N286" s="18"/>
    </row>
    <row r="287" ht="15.75" customHeight="1">
      <c r="A287" s="16"/>
      <c r="B287" s="16"/>
      <c r="C287" s="16"/>
      <c r="D287" s="16"/>
      <c r="E287" s="55"/>
      <c r="F287" s="18"/>
      <c r="G287" s="18"/>
      <c r="H287" s="18"/>
      <c r="I287" s="18"/>
      <c r="J287" s="19"/>
      <c r="K287" s="18"/>
      <c r="L287" s="18"/>
      <c r="M287" s="18"/>
      <c r="N287" s="18"/>
    </row>
    <row r="288" ht="15.75" customHeight="1">
      <c r="A288" s="16"/>
      <c r="B288" s="16"/>
      <c r="C288" s="16"/>
      <c r="D288" s="16"/>
      <c r="E288" s="17"/>
      <c r="F288" s="18"/>
      <c r="G288" s="18"/>
      <c r="H288" s="18"/>
      <c r="I288" s="18"/>
      <c r="J288" s="19"/>
      <c r="K288" s="18"/>
      <c r="L288" s="18"/>
      <c r="M288" s="18"/>
      <c r="N288" s="18"/>
    </row>
    <row r="289" ht="15.75" customHeight="1">
      <c r="A289" s="16"/>
      <c r="B289" s="16"/>
      <c r="C289" s="16"/>
      <c r="D289" s="16"/>
      <c r="E289" s="17"/>
      <c r="F289" s="18"/>
      <c r="G289" s="18"/>
      <c r="H289" s="18"/>
      <c r="I289" s="18"/>
      <c r="J289" s="19"/>
      <c r="K289" s="18"/>
      <c r="L289" s="18"/>
      <c r="M289" s="18"/>
      <c r="N289" s="18"/>
    </row>
    <row r="290" ht="15.75" customHeight="1">
      <c r="A290" s="16"/>
      <c r="B290" s="16"/>
      <c r="C290" s="16"/>
      <c r="D290" s="16"/>
      <c r="E290" s="17"/>
      <c r="F290" s="18"/>
      <c r="G290" s="18"/>
      <c r="H290" s="18"/>
      <c r="I290" s="18"/>
      <c r="J290" s="19"/>
      <c r="K290" s="18"/>
      <c r="L290" s="18"/>
      <c r="M290" s="18"/>
      <c r="N290" s="18"/>
    </row>
    <row r="291" ht="15.75" customHeight="1">
      <c r="A291" s="16"/>
      <c r="B291" s="16"/>
      <c r="C291" s="16"/>
      <c r="D291" s="16"/>
      <c r="E291" s="17"/>
      <c r="F291" s="18"/>
      <c r="G291" s="18"/>
      <c r="H291" s="18"/>
      <c r="I291" s="18"/>
      <c r="J291" s="19"/>
      <c r="K291" s="18"/>
      <c r="L291" s="18"/>
      <c r="M291" s="18"/>
      <c r="N291" s="18"/>
    </row>
    <row r="292" ht="15.75" customHeight="1">
      <c r="A292" s="16"/>
      <c r="B292" s="16"/>
      <c r="C292" s="16"/>
      <c r="D292" s="16"/>
      <c r="E292" s="17"/>
      <c r="F292" s="18"/>
      <c r="G292" s="18"/>
      <c r="H292" s="18"/>
      <c r="I292" s="18"/>
      <c r="J292" s="19"/>
      <c r="K292" s="18"/>
      <c r="L292" s="18"/>
      <c r="M292" s="18"/>
      <c r="N292" s="18"/>
    </row>
    <row r="293" ht="15.75" customHeight="1">
      <c r="A293" s="16"/>
      <c r="B293" s="16"/>
      <c r="C293" s="16"/>
      <c r="D293" s="16"/>
      <c r="E293" s="17"/>
      <c r="F293" s="18"/>
      <c r="G293" s="18"/>
      <c r="H293" s="18"/>
      <c r="I293" s="18"/>
      <c r="J293" s="19"/>
      <c r="K293" s="18"/>
      <c r="L293" s="18"/>
      <c r="M293" s="18"/>
      <c r="N293" s="18"/>
    </row>
    <row r="294" ht="15.75" customHeight="1">
      <c r="A294" s="16"/>
      <c r="B294" s="16"/>
      <c r="C294" s="16"/>
      <c r="D294" s="16"/>
      <c r="E294" s="17"/>
      <c r="F294" s="18"/>
      <c r="G294" s="18"/>
      <c r="H294" s="18"/>
      <c r="I294" s="18"/>
      <c r="J294" s="19"/>
      <c r="K294" s="18"/>
      <c r="L294" s="18"/>
      <c r="M294" s="18"/>
      <c r="N294" s="18"/>
    </row>
    <row r="295" ht="15.75" customHeight="1">
      <c r="A295" s="16"/>
      <c r="B295" s="16"/>
      <c r="C295" s="16"/>
      <c r="D295" s="16"/>
      <c r="E295" s="17"/>
      <c r="J295" s="19"/>
    </row>
    <row r="296" ht="15.75" customHeight="1">
      <c r="A296" s="16"/>
      <c r="B296" s="16"/>
      <c r="C296" s="16"/>
      <c r="D296" s="16"/>
      <c r="E296" s="17"/>
      <c r="J296" s="19"/>
    </row>
    <row r="297" ht="15.75" customHeight="1">
      <c r="A297" s="16"/>
      <c r="B297" s="16"/>
      <c r="C297" s="16"/>
      <c r="D297" s="16"/>
      <c r="E297" s="17"/>
      <c r="J297" s="19"/>
    </row>
    <row r="298" ht="15.75" customHeight="1">
      <c r="A298" s="16"/>
      <c r="B298" s="16"/>
      <c r="C298" s="16"/>
      <c r="D298" s="16"/>
      <c r="E298" s="17"/>
      <c r="J298" s="19"/>
    </row>
    <row r="299" ht="15.75" customHeight="1">
      <c r="A299" s="16"/>
      <c r="B299" s="16"/>
      <c r="C299" s="16"/>
      <c r="D299" s="16"/>
      <c r="E299" s="17"/>
      <c r="J299" s="19"/>
    </row>
    <row r="300" ht="15.75" customHeight="1">
      <c r="A300" s="16"/>
      <c r="B300" s="16"/>
      <c r="C300" s="16"/>
      <c r="D300" s="16"/>
      <c r="E300" s="17"/>
      <c r="J300" s="19"/>
    </row>
    <row r="301" ht="15.75" customHeight="1">
      <c r="A301" s="16"/>
      <c r="B301" s="16"/>
      <c r="C301" s="16"/>
      <c r="D301" s="16"/>
      <c r="E301" s="17"/>
      <c r="J301" s="19"/>
    </row>
    <row r="302" ht="15.75" customHeight="1">
      <c r="A302" s="16"/>
      <c r="B302" s="16"/>
      <c r="C302" s="16"/>
      <c r="D302" s="16"/>
      <c r="E302" s="17"/>
      <c r="J302" s="19"/>
    </row>
    <row r="303" ht="15.75" customHeight="1">
      <c r="A303" s="16"/>
      <c r="B303" s="16"/>
      <c r="C303" s="16"/>
      <c r="D303" s="16"/>
      <c r="E303" s="17"/>
      <c r="J303" s="19"/>
    </row>
    <row r="304" ht="15.75" customHeight="1">
      <c r="A304" s="16"/>
      <c r="B304" s="16"/>
      <c r="C304" s="16"/>
      <c r="D304" s="16"/>
      <c r="E304" s="17"/>
      <c r="J304" s="19"/>
    </row>
    <row r="305" ht="15.75" customHeight="1">
      <c r="A305" s="16"/>
      <c r="B305" s="16"/>
      <c r="C305" s="16"/>
      <c r="D305" s="16"/>
      <c r="E305" s="17"/>
      <c r="J305" s="19"/>
    </row>
    <row r="306" ht="15.75" customHeight="1">
      <c r="A306" s="16"/>
      <c r="B306" s="16"/>
      <c r="C306" s="16"/>
      <c r="D306" s="16"/>
      <c r="E306" s="17"/>
      <c r="J306" s="19"/>
    </row>
    <row r="307" ht="15.75" customHeight="1">
      <c r="A307" s="16"/>
      <c r="B307" s="16"/>
      <c r="C307" s="16"/>
      <c r="D307" s="16"/>
      <c r="E307" s="17"/>
      <c r="J307" s="19"/>
    </row>
    <row r="308" ht="15.75" customHeight="1">
      <c r="A308" s="16"/>
      <c r="B308" s="16"/>
      <c r="C308" s="16"/>
      <c r="D308" s="16"/>
      <c r="E308" s="17"/>
      <c r="J308" s="19"/>
    </row>
    <row r="309" ht="15.75" customHeight="1">
      <c r="A309" s="16"/>
      <c r="B309" s="16"/>
      <c r="C309" s="16"/>
      <c r="D309" s="16"/>
      <c r="E309" s="17"/>
      <c r="J309" s="19"/>
    </row>
    <row r="310" ht="15.75" customHeight="1">
      <c r="A310" s="16"/>
      <c r="B310" s="16"/>
      <c r="C310" s="16"/>
      <c r="D310" s="16"/>
      <c r="E310" s="17"/>
      <c r="J310" s="19"/>
    </row>
    <row r="311" ht="15.75" customHeight="1">
      <c r="A311" s="16"/>
      <c r="B311" s="16"/>
      <c r="C311" s="16"/>
      <c r="D311" s="16"/>
      <c r="E311" s="17"/>
      <c r="J311" s="19"/>
    </row>
    <row r="312" ht="15.75" customHeight="1">
      <c r="A312" s="16"/>
      <c r="B312" s="16"/>
      <c r="C312" s="16"/>
      <c r="D312" s="16"/>
      <c r="E312" s="17"/>
      <c r="J312" s="19"/>
    </row>
    <row r="313" ht="15.75" customHeight="1">
      <c r="A313" s="16"/>
      <c r="B313" s="16"/>
      <c r="C313" s="16"/>
      <c r="D313" s="16"/>
      <c r="E313" s="17"/>
      <c r="J313" s="19"/>
    </row>
    <row r="314" ht="15.75" customHeight="1">
      <c r="A314" s="16"/>
      <c r="B314" s="16"/>
      <c r="C314" s="16"/>
      <c r="D314" s="16"/>
      <c r="E314" s="17"/>
      <c r="J314" s="19"/>
    </row>
    <row r="315" ht="15.75" customHeight="1">
      <c r="A315" s="16"/>
      <c r="B315" s="16"/>
      <c r="C315" s="16"/>
      <c r="D315" s="16"/>
      <c r="E315" s="17"/>
      <c r="J315" s="19"/>
    </row>
    <row r="316" ht="15.75" customHeight="1">
      <c r="A316" s="16"/>
      <c r="B316" s="16"/>
      <c r="C316" s="16"/>
      <c r="D316" s="16"/>
      <c r="E316" s="17"/>
      <c r="J316" s="19"/>
    </row>
    <row r="317" ht="15.75" customHeight="1">
      <c r="A317" s="16"/>
      <c r="B317" s="16"/>
      <c r="C317" s="16"/>
      <c r="D317" s="16"/>
      <c r="E317" s="17"/>
      <c r="J317" s="19"/>
    </row>
    <row r="318" ht="15.75" customHeight="1">
      <c r="A318" s="16"/>
      <c r="B318" s="16"/>
      <c r="C318" s="16"/>
      <c r="D318" s="16"/>
      <c r="E318" s="17"/>
      <c r="J318" s="19"/>
    </row>
    <row r="319" ht="15.75" customHeight="1">
      <c r="A319" s="16"/>
      <c r="B319" s="16"/>
      <c r="C319" s="16"/>
      <c r="D319" s="16"/>
      <c r="E319" s="17"/>
      <c r="J319" s="19"/>
    </row>
    <row r="320" ht="15.75" customHeight="1">
      <c r="A320" s="16"/>
      <c r="B320" s="16"/>
      <c r="C320" s="16"/>
      <c r="D320" s="16"/>
      <c r="E320" s="17"/>
      <c r="J320" s="19"/>
    </row>
    <row r="321" ht="15.75" customHeight="1">
      <c r="A321" s="16"/>
      <c r="B321" s="16"/>
      <c r="C321" s="16"/>
      <c r="D321" s="16"/>
      <c r="E321" s="17"/>
      <c r="J321" s="19"/>
    </row>
    <row r="322" ht="15.75" customHeight="1">
      <c r="A322" s="16"/>
      <c r="B322" s="16"/>
      <c r="C322" s="16"/>
      <c r="D322" s="16"/>
      <c r="E322" s="17"/>
      <c r="J322" s="19"/>
    </row>
    <row r="323" ht="15.75" customHeight="1">
      <c r="A323" s="16"/>
      <c r="B323" s="16"/>
      <c r="C323" s="16"/>
      <c r="D323" s="16"/>
      <c r="E323" s="17"/>
      <c r="J323" s="19"/>
    </row>
    <row r="324" ht="15.75" customHeight="1">
      <c r="A324" s="16"/>
      <c r="B324" s="16"/>
      <c r="C324" s="16"/>
      <c r="D324" s="16"/>
      <c r="E324" s="17"/>
      <c r="J324" s="19"/>
    </row>
    <row r="325" ht="15.75" customHeight="1">
      <c r="A325" s="16"/>
      <c r="B325" s="16"/>
      <c r="C325" s="16"/>
      <c r="D325" s="16"/>
      <c r="E325" s="17"/>
      <c r="J325" s="19"/>
    </row>
    <row r="326" ht="15.75" customHeight="1">
      <c r="A326" s="16"/>
      <c r="B326" s="16"/>
      <c r="C326" s="16"/>
      <c r="D326" s="16"/>
      <c r="E326" s="17"/>
      <c r="J326" s="19"/>
    </row>
    <row r="327" ht="15.75" customHeight="1">
      <c r="A327" s="16"/>
      <c r="B327" s="16"/>
      <c r="C327" s="16"/>
      <c r="D327" s="16"/>
      <c r="E327" s="17"/>
      <c r="J327" s="19"/>
    </row>
    <row r="328" ht="15.75" customHeight="1">
      <c r="A328" s="16"/>
      <c r="B328" s="16"/>
      <c r="C328" s="16"/>
      <c r="D328" s="16"/>
      <c r="E328" s="17"/>
      <c r="J328" s="19"/>
    </row>
    <row r="329" ht="15.75" customHeight="1">
      <c r="A329" s="16"/>
      <c r="B329" s="16"/>
      <c r="C329" s="16"/>
      <c r="D329" s="16"/>
      <c r="E329" s="17"/>
      <c r="J329" s="19"/>
    </row>
    <row r="330" ht="15.75" customHeight="1">
      <c r="A330" s="16"/>
      <c r="B330" s="16"/>
      <c r="C330" s="16"/>
      <c r="D330" s="16"/>
      <c r="E330" s="17"/>
      <c r="J330" s="19"/>
    </row>
    <row r="331" ht="15.75" customHeight="1">
      <c r="A331" s="16"/>
      <c r="B331" s="16"/>
      <c r="C331" s="16"/>
      <c r="D331" s="16"/>
      <c r="E331" s="17"/>
      <c r="J331" s="19"/>
    </row>
    <row r="332" ht="15.75" customHeight="1">
      <c r="A332" s="16"/>
      <c r="B332" s="16"/>
      <c r="C332" s="16"/>
      <c r="D332" s="16"/>
      <c r="E332" s="17"/>
      <c r="J332" s="19"/>
    </row>
    <row r="333" ht="15.75" customHeight="1">
      <c r="A333" s="16"/>
      <c r="B333" s="16"/>
      <c r="C333" s="16"/>
      <c r="D333" s="16"/>
      <c r="E333" s="17"/>
      <c r="J333" s="19"/>
    </row>
    <row r="334" ht="15.75" customHeight="1">
      <c r="A334" s="16"/>
      <c r="B334" s="16"/>
      <c r="C334" s="16"/>
      <c r="D334" s="16"/>
      <c r="E334" s="17"/>
      <c r="J334" s="19"/>
    </row>
    <row r="335" ht="15.75" customHeight="1">
      <c r="A335" s="16"/>
      <c r="B335" s="16"/>
      <c r="C335" s="16"/>
      <c r="D335" s="16"/>
      <c r="E335" s="17"/>
      <c r="J335" s="19"/>
    </row>
    <row r="336" ht="15.75" customHeight="1">
      <c r="A336" s="16"/>
      <c r="B336" s="16"/>
      <c r="C336" s="16"/>
      <c r="D336" s="16"/>
      <c r="E336" s="17"/>
      <c r="J336" s="19"/>
    </row>
    <row r="337" ht="15.75" customHeight="1">
      <c r="A337" s="16"/>
      <c r="B337" s="16"/>
      <c r="C337" s="16"/>
      <c r="D337" s="16"/>
      <c r="E337" s="17"/>
      <c r="J337" s="19"/>
    </row>
    <row r="338" ht="15.75" customHeight="1">
      <c r="A338" s="16"/>
      <c r="B338" s="16"/>
      <c r="C338" s="16"/>
      <c r="D338" s="16"/>
      <c r="E338" s="17"/>
      <c r="J338" s="19"/>
    </row>
    <row r="339" ht="15.75" customHeight="1">
      <c r="A339" s="16"/>
      <c r="B339" s="16"/>
      <c r="C339" s="16"/>
      <c r="D339" s="16"/>
      <c r="E339" s="17"/>
      <c r="J339" s="19"/>
    </row>
    <row r="340" ht="15.75" customHeight="1">
      <c r="A340" s="16"/>
      <c r="B340" s="16"/>
      <c r="C340" s="16"/>
      <c r="D340" s="16"/>
      <c r="E340" s="17"/>
      <c r="J340" s="19"/>
    </row>
    <row r="341" ht="15.75" customHeight="1">
      <c r="A341" s="16"/>
      <c r="B341" s="16"/>
      <c r="C341" s="16"/>
      <c r="D341" s="16"/>
      <c r="E341" s="17"/>
      <c r="J341" s="19"/>
    </row>
    <row r="342" ht="15.75" customHeight="1">
      <c r="A342" s="16"/>
      <c r="B342" s="16"/>
      <c r="C342" s="16"/>
      <c r="D342" s="16"/>
      <c r="E342" s="17"/>
      <c r="J342" s="19"/>
    </row>
    <row r="343" ht="15.75" customHeight="1">
      <c r="A343" s="16"/>
      <c r="B343" s="16"/>
      <c r="C343" s="16"/>
      <c r="D343" s="16"/>
      <c r="E343" s="17"/>
      <c r="J343" s="19"/>
    </row>
    <row r="344" ht="15.75" customHeight="1">
      <c r="A344" s="16"/>
      <c r="B344" s="16"/>
      <c r="C344" s="16"/>
      <c r="D344" s="16"/>
      <c r="E344" s="17"/>
      <c r="J344" s="19"/>
    </row>
    <row r="345" ht="15.75" customHeight="1">
      <c r="A345" s="16"/>
      <c r="B345" s="16"/>
      <c r="C345" s="16"/>
      <c r="D345" s="16"/>
      <c r="E345" s="17"/>
      <c r="J345" s="19"/>
    </row>
    <row r="346" ht="15.75" customHeight="1">
      <c r="A346" s="16"/>
      <c r="B346" s="16"/>
      <c r="C346" s="16"/>
      <c r="D346" s="16"/>
      <c r="E346" s="17"/>
      <c r="J346" s="19"/>
    </row>
    <row r="347" ht="15.75" customHeight="1">
      <c r="A347" s="16"/>
      <c r="B347" s="16"/>
      <c r="C347" s="16"/>
      <c r="D347" s="16"/>
      <c r="E347" s="17"/>
      <c r="J347" s="19"/>
    </row>
    <row r="348" ht="15.75" customHeight="1">
      <c r="A348" s="16"/>
      <c r="B348" s="16"/>
      <c r="C348" s="16"/>
      <c r="D348" s="16"/>
      <c r="E348" s="17"/>
      <c r="J348" s="19"/>
    </row>
    <row r="349" ht="15.75" customHeight="1">
      <c r="A349" s="16"/>
      <c r="B349" s="16"/>
      <c r="C349" s="16"/>
      <c r="D349" s="16"/>
      <c r="E349" s="17"/>
      <c r="J349" s="19"/>
    </row>
    <row r="350" ht="15.75" customHeight="1">
      <c r="A350" s="16"/>
      <c r="B350" s="16"/>
      <c r="C350" s="16"/>
      <c r="D350" s="16"/>
      <c r="E350" s="17"/>
      <c r="J350" s="19"/>
    </row>
    <row r="351" ht="15.75" customHeight="1">
      <c r="A351" s="16"/>
      <c r="B351" s="16"/>
      <c r="C351" s="16"/>
      <c r="D351" s="16"/>
      <c r="E351" s="17"/>
      <c r="J351" s="19"/>
    </row>
    <row r="352" ht="15.75" customHeight="1">
      <c r="A352" s="16"/>
      <c r="B352" s="16"/>
      <c r="C352" s="16"/>
      <c r="D352" s="16"/>
      <c r="E352" s="17"/>
      <c r="J352" s="19"/>
    </row>
    <row r="353" ht="15.75" customHeight="1">
      <c r="A353" s="16"/>
      <c r="B353" s="16"/>
      <c r="C353" s="16"/>
      <c r="D353" s="16"/>
      <c r="E353" s="17"/>
      <c r="J353" s="19"/>
    </row>
    <row r="354" ht="15.75" customHeight="1">
      <c r="A354" s="16"/>
      <c r="B354" s="16"/>
      <c r="C354" s="16"/>
      <c r="D354" s="16"/>
      <c r="E354" s="17"/>
      <c r="J354" s="19"/>
    </row>
    <row r="355" ht="15.75" customHeight="1">
      <c r="A355" s="16"/>
      <c r="B355" s="16"/>
      <c r="C355" s="16"/>
      <c r="D355" s="16"/>
      <c r="E355" s="17"/>
      <c r="J355" s="19"/>
    </row>
    <row r="356" ht="15.75" customHeight="1">
      <c r="A356" s="16"/>
      <c r="B356" s="16"/>
      <c r="C356" s="16"/>
      <c r="D356" s="16"/>
      <c r="E356" s="17"/>
      <c r="J356" s="19"/>
    </row>
    <row r="357" ht="15.75" customHeight="1">
      <c r="A357" s="16"/>
      <c r="B357" s="16"/>
      <c r="C357" s="16"/>
      <c r="D357" s="16"/>
      <c r="E357" s="17"/>
      <c r="J357" s="19"/>
    </row>
    <row r="358" ht="15.75" customHeight="1">
      <c r="A358" s="16"/>
      <c r="B358" s="16"/>
      <c r="C358" s="16"/>
      <c r="D358" s="16"/>
      <c r="E358" s="17"/>
      <c r="J358" s="19"/>
    </row>
    <row r="359" ht="15.75" customHeight="1">
      <c r="A359" s="16"/>
      <c r="B359" s="16"/>
      <c r="C359" s="16"/>
      <c r="D359" s="16"/>
      <c r="E359" s="17"/>
      <c r="J359" s="19"/>
    </row>
    <row r="360" ht="15.75" customHeight="1">
      <c r="A360" s="16"/>
      <c r="B360" s="16"/>
      <c r="C360" s="16"/>
      <c r="D360" s="16"/>
      <c r="E360" s="17"/>
      <c r="J360" s="19"/>
    </row>
    <row r="361" ht="15.75" customHeight="1">
      <c r="A361" s="16"/>
      <c r="B361" s="16"/>
      <c r="C361" s="16"/>
      <c r="D361" s="16"/>
      <c r="E361" s="17"/>
      <c r="J361" s="19"/>
    </row>
    <row r="362" ht="15.75" customHeight="1">
      <c r="A362" s="16"/>
      <c r="B362" s="16"/>
      <c r="C362" s="16"/>
      <c r="D362" s="16"/>
      <c r="E362" s="17"/>
      <c r="J362" s="19"/>
    </row>
    <row r="363" ht="15.75" customHeight="1">
      <c r="A363" s="16"/>
      <c r="B363" s="16"/>
      <c r="C363" s="16"/>
      <c r="D363" s="16"/>
      <c r="E363" s="17"/>
      <c r="J363" s="19"/>
    </row>
    <row r="364" ht="15.75" customHeight="1">
      <c r="A364" s="16"/>
      <c r="B364" s="16"/>
      <c r="C364" s="16"/>
      <c r="D364" s="16"/>
      <c r="E364" s="17"/>
      <c r="J364" s="19"/>
    </row>
    <row r="365" ht="15.75" customHeight="1">
      <c r="A365" s="16"/>
      <c r="B365" s="16"/>
      <c r="C365" s="16"/>
      <c r="D365" s="16"/>
      <c r="E365" s="17"/>
      <c r="J365" s="19"/>
    </row>
    <row r="366" ht="15.75" customHeight="1">
      <c r="A366" s="16"/>
      <c r="B366" s="16"/>
      <c r="C366" s="16"/>
      <c r="D366" s="16"/>
      <c r="E366" s="17"/>
      <c r="J366" s="19"/>
    </row>
    <row r="367" ht="15.75" customHeight="1">
      <c r="A367" s="16"/>
      <c r="B367" s="16"/>
      <c r="C367" s="16"/>
      <c r="D367" s="16"/>
      <c r="E367" s="17"/>
      <c r="J367" s="19"/>
    </row>
    <row r="368" ht="15.75" customHeight="1">
      <c r="A368" s="16"/>
      <c r="B368" s="16"/>
      <c r="C368" s="16"/>
      <c r="D368" s="16"/>
      <c r="E368" s="17"/>
      <c r="J368" s="19"/>
    </row>
    <row r="369" ht="15.75" customHeight="1">
      <c r="A369" s="16"/>
      <c r="B369" s="16"/>
      <c r="C369" s="16"/>
      <c r="D369" s="16"/>
      <c r="E369" s="17"/>
      <c r="J369" s="19"/>
    </row>
    <row r="370" ht="15.75" customHeight="1">
      <c r="A370" s="16"/>
      <c r="B370" s="16"/>
      <c r="C370" s="16"/>
      <c r="D370" s="16"/>
      <c r="E370" s="17"/>
      <c r="J370" s="19"/>
    </row>
    <row r="371" ht="15.75" customHeight="1">
      <c r="A371" s="16"/>
      <c r="B371" s="16"/>
      <c r="C371" s="16"/>
      <c r="D371" s="16"/>
      <c r="E371" s="17"/>
      <c r="J371" s="19"/>
    </row>
    <row r="372" ht="15.75" customHeight="1">
      <c r="A372" s="16"/>
      <c r="B372" s="16"/>
      <c r="C372" s="16"/>
      <c r="D372" s="16"/>
      <c r="E372" s="17"/>
      <c r="J372" s="19"/>
    </row>
    <row r="373" ht="15.75" customHeight="1">
      <c r="A373" s="16"/>
      <c r="B373" s="16"/>
      <c r="C373" s="16"/>
      <c r="D373" s="16"/>
      <c r="E373" s="17"/>
      <c r="J373" s="19"/>
    </row>
    <row r="374" ht="15.75" customHeight="1">
      <c r="A374" s="16"/>
      <c r="B374" s="16"/>
      <c r="C374" s="16"/>
      <c r="D374" s="16"/>
      <c r="E374" s="17"/>
      <c r="J374" s="19"/>
    </row>
    <row r="375" ht="15.75" customHeight="1">
      <c r="A375" s="16"/>
      <c r="B375" s="16"/>
      <c r="C375" s="16"/>
      <c r="D375" s="16"/>
      <c r="E375" s="17"/>
      <c r="J375" s="19"/>
    </row>
    <row r="376" ht="15.75" customHeight="1">
      <c r="A376" s="16"/>
      <c r="B376" s="16"/>
      <c r="C376" s="16"/>
      <c r="D376" s="16"/>
      <c r="E376" s="17"/>
      <c r="J376" s="19"/>
    </row>
    <row r="377" ht="15.75" customHeight="1">
      <c r="A377" s="16"/>
      <c r="B377" s="16"/>
      <c r="C377" s="16"/>
      <c r="D377" s="16"/>
      <c r="E377" s="17"/>
      <c r="J377" s="19"/>
    </row>
    <row r="378" ht="15.75" customHeight="1">
      <c r="A378" s="16"/>
      <c r="B378" s="16"/>
      <c r="C378" s="16"/>
      <c r="D378" s="16"/>
      <c r="E378" s="17"/>
      <c r="J378" s="19"/>
    </row>
    <row r="379" ht="15.75" customHeight="1">
      <c r="A379" s="16"/>
      <c r="B379" s="16"/>
      <c r="C379" s="16"/>
      <c r="D379" s="16"/>
      <c r="E379" s="17"/>
      <c r="J379" s="19"/>
    </row>
    <row r="380" ht="15.75" customHeight="1">
      <c r="A380" s="16"/>
      <c r="B380" s="16"/>
      <c r="C380" s="16"/>
      <c r="D380" s="16"/>
      <c r="E380" s="17"/>
      <c r="J380" s="19"/>
    </row>
    <row r="381" ht="15.75" customHeight="1">
      <c r="A381" s="16"/>
      <c r="B381" s="16"/>
      <c r="C381" s="16"/>
      <c r="D381" s="16"/>
      <c r="E381" s="17"/>
      <c r="J381" s="19"/>
    </row>
    <row r="382" ht="15.75" customHeight="1">
      <c r="A382" s="16"/>
      <c r="B382" s="16"/>
      <c r="C382" s="16"/>
      <c r="D382" s="16"/>
      <c r="E382" s="17"/>
      <c r="J382" s="19"/>
    </row>
    <row r="383" ht="15.75" customHeight="1">
      <c r="A383" s="16"/>
      <c r="B383" s="16"/>
      <c r="C383" s="16"/>
      <c r="D383" s="16"/>
      <c r="E383" s="17"/>
      <c r="J383" s="19"/>
    </row>
    <row r="384" ht="15.75" customHeight="1">
      <c r="A384" s="16"/>
      <c r="B384" s="16"/>
      <c r="C384" s="16"/>
      <c r="D384" s="16"/>
      <c r="E384" s="17"/>
      <c r="J384" s="19"/>
    </row>
    <row r="385" ht="15.75" customHeight="1">
      <c r="A385" s="16"/>
      <c r="B385" s="16"/>
      <c r="C385" s="16"/>
      <c r="D385" s="16"/>
      <c r="E385" s="17"/>
      <c r="J385" s="19"/>
    </row>
    <row r="386" ht="15.75" customHeight="1">
      <c r="A386" s="16"/>
      <c r="B386" s="16"/>
      <c r="C386" s="16"/>
      <c r="D386" s="16"/>
      <c r="E386" s="17"/>
      <c r="J386" s="19"/>
    </row>
    <row r="387" ht="15.75" customHeight="1">
      <c r="A387" s="16"/>
      <c r="B387" s="16"/>
      <c r="C387" s="16"/>
      <c r="D387" s="16"/>
      <c r="E387" s="17"/>
      <c r="J387" s="19"/>
    </row>
    <row r="388" ht="15.75" customHeight="1">
      <c r="A388" s="16"/>
      <c r="B388" s="16"/>
      <c r="C388" s="16"/>
      <c r="D388" s="16"/>
      <c r="E388" s="17"/>
      <c r="J388" s="19"/>
    </row>
    <row r="389" ht="15.75" customHeight="1">
      <c r="A389" s="16"/>
      <c r="B389" s="16"/>
      <c r="C389" s="16"/>
      <c r="D389" s="16"/>
      <c r="E389" s="17"/>
      <c r="J389" s="19"/>
    </row>
    <row r="390" ht="15.75" customHeight="1">
      <c r="A390" s="16"/>
      <c r="B390" s="16"/>
      <c r="C390" s="16"/>
      <c r="D390" s="16"/>
      <c r="E390" s="17"/>
      <c r="J390" s="19"/>
    </row>
    <row r="391" ht="15.75" customHeight="1">
      <c r="A391" s="16"/>
      <c r="B391" s="16"/>
      <c r="C391" s="16"/>
      <c r="D391" s="16"/>
      <c r="E391" s="17"/>
      <c r="J391" s="19"/>
    </row>
    <row r="392" ht="15.75" customHeight="1">
      <c r="A392" s="16"/>
      <c r="B392" s="16"/>
      <c r="C392" s="16"/>
      <c r="D392" s="16"/>
      <c r="E392" s="17"/>
      <c r="J392" s="19"/>
    </row>
    <row r="393" ht="15.75" customHeight="1">
      <c r="A393" s="16"/>
      <c r="B393" s="16"/>
      <c r="C393" s="16"/>
      <c r="D393" s="16"/>
      <c r="E393" s="17"/>
      <c r="J393" s="19"/>
    </row>
    <row r="394" ht="15.75" customHeight="1">
      <c r="A394" s="16"/>
      <c r="B394" s="16"/>
      <c r="C394" s="16"/>
      <c r="D394" s="16"/>
      <c r="E394" s="17"/>
      <c r="J394" s="19"/>
    </row>
    <row r="395" ht="15.75" customHeight="1">
      <c r="A395" s="16"/>
      <c r="B395" s="16"/>
      <c r="C395" s="16"/>
      <c r="D395" s="16"/>
      <c r="E395" s="17"/>
      <c r="J395" s="19"/>
    </row>
    <row r="396" ht="15.75" customHeight="1">
      <c r="A396" s="16"/>
      <c r="B396" s="16"/>
      <c r="C396" s="16"/>
      <c r="D396" s="16"/>
      <c r="E396" s="17"/>
      <c r="J396" s="19"/>
    </row>
    <row r="397" ht="15.75" customHeight="1">
      <c r="A397" s="16"/>
      <c r="B397" s="16"/>
      <c r="C397" s="16"/>
      <c r="D397" s="16"/>
      <c r="E397" s="17"/>
      <c r="J397" s="19"/>
    </row>
    <row r="398" ht="15.75" customHeight="1">
      <c r="A398" s="16"/>
      <c r="B398" s="16"/>
      <c r="C398" s="16"/>
      <c r="D398" s="16"/>
      <c r="E398" s="17"/>
      <c r="J398" s="19"/>
    </row>
    <row r="399" ht="15.75" customHeight="1">
      <c r="A399" s="16"/>
      <c r="B399" s="16"/>
      <c r="C399" s="16"/>
      <c r="D399" s="16"/>
      <c r="E399" s="17"/>
      <c r="J399" s="19"/>
    </row>
    <row r="400" ht="15.75" customHeight="1">
      <c r="A400" s="16"/>
      <c r="B400" s="16"/>
      <c r="C400" s="16"/>
      <c r="D400" s="16"/>
      <c r="E400" s="17"/>
      <c r="J400" s="19"/>
    </row>
    <row r="401" ht="15.75" customHeight="1">
      <c r="A401" s="16"/>
      <c r="B401" s="16"/>
      <c r="C401" s="16"/>
      <c r="D401" s="16"/>
      <c r="E401" s="17"/>
      <c r="J401" s="19"/>
    </row>
    <row r="402" ht="15.75" customHeight="1">
      <c r="A402" s="16"/>
      <c r="B402" s="16"/>
      <c r="C402" s="16"/>
      <c r="D402" s="16"/>
      <c r="E402" s="17"/>
      <c r="J402" s="19"/>
    </row>
    <row r="403" ht="15.75" customHeight="1">
      <c r="A403" s="16"/>
      <c r="B403" s="16"/>
      <c r="C403" s="16"/>
      <c r="D403" s="16"/>
      <c r="E403" s="17"/>
      <c r="J403" s="19"/>
    </row>
    <row r="404" ht="15.75" customHeight="1">
      <c r="A404" s="16"/>
      <c r="B404" s="16"/>
      <c r="C404" s="16"/>
      <c r="D404" s="16"/>
      <c r="E404" s="17"/>
      <c r="J404" s="19"/>
    </row>
    <row r="405" ht="15.75" customHeight="1">
      <c r="A405" s="16"/>
      <c r="B405" s="16"/>
      <c r="C405" s="16"/>
      <c r="D405" s="16"/>
      <c r="E405" s="17"/>
      <c r="J405" s="19"/>
    </row>
    <row r="406" ht="15.75" customHeight="1">
      <c r="A406" s="16"/>
      <c r="B406" s="16"/>
      <c r="C406" s="16"/>
      <c r="D406" s="16"/>
      <c r="E406" s="17"/>
      <c r="J406" s="19"/>
    </row>
    <row r="407" ht="15.75" customHeight="1">
      <c r="A407" s="16"/>
      <c r="B407" s="16"/>
      <c r="C407" s="16"/>
      <c r="D407" s="16"/>
      <c r="E407" s="17"/>
      <c r="J407" s="19"/>
    </row>
    <row r="408" ht="15.75" customHeight="1">
      <c r="A408" s="16"/>
      <c r="B408" s="16"/>
      <c r="C408" s="16"/>
      <c r="D408" s="16"/>
      <c r="E408" s="17"/>
      <c r="J408" s="19"/>
    </row>
    <row r="409" ht="15.75" customHeight="1">
      <c r="A409" s="16"/>
      <c r="B409" s="16"/>
      <c r="C409" s="16"/>
      <c r="D409" s="16"/>
      <c r="E409" s="17"/>
      <c r="J409" s="19"/>
    </row>
    <row r="410" ht="15.75" customHeight="1">
      <c r="A410" s="16"/>
      <c r="B410" s="16"/>
      <c r="C410" s="16"/>
      <c r="D410" s="16"/>
      <c r="E410" s="17"/>
      <c r="J410" s="19"/>
    </row>
    <row r="411" ht="15.75" customHeight="1">
      <c r="A411" s="16"/>
      <c r="B411" s="16"/>
      <c r="C411" s="16"/>
      <c r="D411" s="16"/>
      <c r="E411" s="17"/>
      <c r="J411" s="19"/>
    </row>
    <row r="412" ht="15.75" customHeight="1">
      <c r="A412" s="16"/>
      <c r="B412" s="16"/>
      <c r="C412" s="16"/>
      <c r="D412" s="16"/>
      <c r="E412" s="17"/>
      <c r="J412" s="19"/>
    </row>
    <row r="413" ht="15.75" customHeight="1">
      <c r="A413" s="16"/>
      <c r="B413" s="16"/>
      <c r="C413" s="16"/>
      <c r="D413" s="16"/>
      <c r="E413" s="17"/>
      <c r="J413" s="19"/>
    </row>
    <row r="414" ht="15.75" customHeight="1">
      <c r="A414" s="16"/>
      <c r="B414" s="16"/>
      <c r="C414" s="16"/>
      <c r="D414" s="16"/>
      <c r="E414" s="17"/>
      <c r="J414" s="19"/>
    </row>
    <row r="415" ht="15.75" customHeight="1">
      <c r="A415" s="16"/>
      <c r="B415" s="16"/>
      <c r="C415" s="16"/>
      <c r="D415" s="16"/>
      <c r="E415" s="17"/>
      <c r="J415" s="19"/>
    </row>
    <row r="416" ht="15.75" customHeight="1">
      <c r="A416" s="16"/>
      <c r="B416" s="16"/>
      <c r="C416" s="16"/>
      <c r="D416" s="16"/>
      <c r="E416" s="17"/>
      <c r="J416" s="19"/>
    </row>
    <row r="417" ht="15.75" customHeight="1">
      <c r="A417" s="16"/>
      <c r="B417" s="16"/>
      <c r="C417" s="16"/>
      <c r="D417" s="16"/>
      <c r="E417" s="17"/>
      <c r="J417" s="19"/>
    </row>
    <row r="418" ht="15.75" customHeight="1">
      <c r="A418" s="16"/>
      <c r="B418" s="16"/>
      <c r="C418" s="16"/>
      <c r="D418" s="16"/>
      <c r="E418" s="17"/>
      <c r="J418" s="19"/>
    </row>
    <row r="419" ht="15.75" customHeight="1">
      <c r="A419" s="16"/>
      <c r="B419" s="16"/>
      <c r="C419" s="16"/>
      <c r="D419" s="16"/>
      <c r="E419" s="17"/>
      <c r="J419" s="19"/>
    </row>
    <row r="420" ht="15.75" customHeight="1">
      <c r="A420" s="16"/>
      <c r="B420" s="16"/>
      <c r="C420" s="16"/>
      <c r="D420" s="16"/>
      <c r="E420" s="17"/>
      <c r="J420" s="19"/>
    </row>
    <row r="421" ht="15.75" customHeight="1">
      <c r="A421" s="16"/>
      <c r="B421" s="16"/>
      <c r="C421" s="16"/>
      <c r="D421" s="16"/>
      <c r="E421" s="17"/>
      <c r="J421" s="19"/>
    </row>
    <row r="422" ht="15.75" customHeight="1">
      <c r="A422" s="16"/>
      <c r="B422" s="16"/>
      <c r="C422" s="16"/>
      <c r="D422" s="16"/>
      <c r="E422" s="17"/>
      <c r="J422" s="19"/>
    </row>
    <row r="423" ht="15.75" customHeight="1">
      <c r="A423" s="16"/>
      <c r="B423" s="16"/>
      <c r="C423" s="16"/>
      <c r="D423" s="16"/>
      <c r="E423" s="17"/>
      <c r="J423" s="19"/>
    </row>
    <row r="424" ht="15.75" customHeight="1">
      <c r="A424" s="16"/>
      <c r="B424" s="16"/>
      <c r="C424" s="16"/>
      <c r="D424" s="16"/>
      <c r="E424" s="17"/>
      <c r="J424" s="19"/>
    </row>
    <row r="425" ht="15.75" customHeight="1">
      <c r="A425" s="16"/>
      <c r="B425" s="16"/>
      <c r="C425" s="16"/>
      <c r="D425" s="16"/>
      <c r="E425" s="17"/>
      <c r="J425" s="19"/>
    </row>
    <row r="426" ht="15.75" customHeight="1">
      <c r="A426" s="16"/>
      <c r="B426" s="16"/>
      <c r="C426" s="16"/>
      <c r="D426" s="16"/>
      <c r="E426" s="17"/>
      <c r="J426" s="19"/>
    </row>
    <row r="427" ht="15.75" customHeight="1">
      <c r="A427" s="16"/>
      <c r="B427" s="16"/>
      <c r="C427" s="16"/>
      <c r="D427" s="16"/>
      <c r="E427" s="17"/>
      <c r="J427" s="19"/>
    </row>
    <row r="428" ht="15.75" customHeight="1">
      <c r="A428" s="16"/>
      <c r="B428" s="16"/>
      <c r="C428" s="16"/>
      <c r="D428" s="16"/>
      <c r="E428" s="17"/>
      <c r="J428" s="19"/>
    </row>
    <row r="429" ht="15.75" customHeight="1">
      <c r="A429" s="16"/>
      <c r="B429" s="16"/>
      <c r="C429" s="16"/>
      <c r="D429" s="16"/>
      <c r="E429" s="17"/>
      <c r="J429" s="19"/>
    </row>
    <row r="430" ht="15.75" customHeight="1">
      <c r="A430" s="16"/>
      <c r="B430" s="16"/>
      <c r="C430" s="16"/>
      <c r="D430" s="16"/>
      <c r="E430" s="17"/>
      <c r="J430" s="19"/>
    </row>
    <row r="431" ht="15.75" customHeight="1">
      <c r="A431" s="16"/>
      <c r="B431" s="16"/>
      <c r="C431" s="16"/>
      <c r="D431" s="16"/>
      <c r="E431" s="17"/>
      <c r="J431" s="19"/>
    </row>
    <row r="432" ht="15.75" customHeight="1">
      <c r="A432" s="16"/>
      <c r="B432" s="16"/>
      <c r="C432" s="16"/>
      <c r="D432" s="16"/>
      <c r="E432" s="17"/>
      <c r="J432" s="19"/>
    </row>
    <row r="433" ht="15.75" customHeight="1">
      <c r="A433" s="16"/>
      <c r="B433" s="16"/>
      <c r="C433" s="16"/>
      <c r="D433" s="16"/>
      <c r="E433" s="17"/>
      <c r="J433" s="19"/>
    </row>
    <row r="434" ht="15.75" customHeight="1">
      <c r="A434" s="16"/>
      <c r="B434" s="16"/>
      <c r="C434" s="16"/>
      <c r="D434" s="16"/>
      <c r="E434" s="17"/>
      <c r="J434" s="19"/>
    </row>
    <row r="435" ht="15.75" customHeight="1">
      <c r="A435" s="16"/>
      <c r="B435" s="16"/>
      <c r="C435" s="16"/>
      <c r="D435" s="16"/>
      <c r="E435" s="17"/>
      <c r="J435" s="19"/>
    </row>
    <row r="436" ht="15.75" customHeight="1">
      <c r="A436" s="16"/>
      <c r="B436" s="16"/>
      <c r="C436" s="16"/>
      <c r="D436" s="16"/>
      <c r="E436" s="17"/>
      <c r="J436" s="19"/>
    </row>
    <row r="437" ht="15.75" customHeight="1">
      <c r="A437" s="16"/>
      <c r="B437" s="16"/>
      <c r="C437" s="16"/>
      <c r="D437" s="16"/>
      <c r="E437" s="17"/>
      <c r="J437" s="19"/>
    </row>
    <row r="438" ht="15.75" customHeight="1">
      <c r="E438" s="56"/>
      <c r="J438" s="19"/>
    </row>
    <row r="439" ht="15.75" customHeight="1">
      <c r="E439" s="56"/>
      <c r="J439" s="19"/>
    </row>
    <row r="440" ht="15.75" customHeight="1">
      <c r="E440" s="56"/>
      <c r="J440" s="19"/>
    </row>
  </sheetData>
  <mergeCells count="33">
    <mergeCell ref="A2:B2"/>
    <mergeCell ref="D2:J2"/>
    <mergeCell ref="L2:M3"/>
    <mergeCell ref="D5:D32"/>
    <mergeCell ref="E5:E32"/>
    <mergeCell ref="D33:D60"/>
    <mergeCell ref="E33:E60"/>
    <mergeCell ref="D145:D172"/>
    <mergeCell ref="D173:D200"/>
    <mergeCell ref="D201:D228"/>
    <mergeCell ref="D229:D256"/>
    <mergeCell ref="D257:D284"/>
    <mergeCell ref="E173:E200"/>
    <mergeCell ref="E201:E228"/>
    <mergeCell ref="E229:E256"/>
    <mergeCell ref="E257:E284"/>
    <mergeCell ref="D61:D88"/>
    <mergeCell ref="E61:E88"/>
    <mergeCell ref="D89:D116"/>
    <mergeCell ref="E89:E116"/>
    <mergeCell ref="D117:D144"/>
    <mergeCell ref="E117:E144"/>
    <mergeCell ref="E145:E172"/>
    <mergeCell ref="J201:J228"/>
    <mergeCell ref="J229:J256"/>
    <mergeCell ref="J257:J284"/>
    <mergeCell ref="J5:J32"/>
    <mergeCell ref="J33:J60"/>
    <mergeCell ref="J61:J88"/>
    <mergeCell ref="J89:J116"/>
    <mergeCell ref="J117:J144"/>
    <mergeCell ref="J145:J172"/>
    <mergeCell ref="J173:J20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16"/>
      <c r="B1" s="16"/>
      <c r="C1" s="16"/>
      <c r="D1" s="16"/>
      <c r="E1" s="17"/>
      <c r="F1" s="18"/>
      <c r="G1" s="18"/>
      <c r="H1" s="18"/>
      <c r="I1" s="18"/>
      <c r="J1" s="19"/>
      <c r="K1" s="18"/>
      <c r="L1" s="18"/>
      <c r="M1" s="18"/>
      <c r="N1" s="18"/>
    </row>
    <row r="2" ht="15.75" customHeight="1">
      <c r="A2" s="20" t="s">
        <v>44</v>
      </c>
      <c r="B2" s="21"/>
      <c r="C2" s="22"/>
      <c r="D2" s="22" t="s">
        <v>45</v>
      </c>
      <c r="K2" s="18"/>
      <c r="L2" s="23" t="s">
        <v>46</v>
      </c>
      <c r="M2" s="24"/>
      <c r="N2" s="18"/>
    </row>
    <row r="3" ht="15.75" customHeight="1">
      <c r="A3" s="25" t="s">
        <v>47</v>
      </c>
      <c r="B3" s="26" t="s">
        <v>48</v>
      </c>
      <c r="C3" s="16"/>
      <c r="D3" s="16"/>
      <c r="E3" s="17"/>
      <c r="F3" s="18"/>
      <c r="G3" s="18"/>
      <c r="H3" s="18"/>
      <c r="I3" s="18"/>
      <c r="J3" s="27"/>
      <c r="K3" s="18"/>
      <c r="L3" s="28"/>
      <c r="M3" s="29"/>
      <c r="N3" s="18"/>
    </row>
    <row r="4" ht="15.75" customHeight="1">
      <c r="A4" s="30" t="s">
        <v>21</v>
      </c>
      <c r="B4" s="31">
        <v>5000.0</v>
      </c>
      <c r="C4" s="32"/>
      <c r="D4" s="33" t="s">
        <v>1</v>
      </c>
      <c r="E4" s="34" t="s">
        <v>49</v>
      </c>
      <c r="F4" s="35" t="s">
        <v>50</v>
      </c>
      <c r="G4" s="36" t="s">
        <v>51</v>
      </c>
      <c r="H4" s="36" t="s">
        <v>52</v>
      </c>
      <c r="I4" s="36" t="s">
        <v>53</v>
      </c>
      <c r="J4" s="37" t="s">
        <v>54</v>
      </c>
      <c r="K4" s="18"/>
      <c r="L4" s="38" t="s">
        <v>55</v>
      </c>
      <c r="M4" s="38" t="s">
        <v>51</v>
      </c>
      <c r="N4" s="18"/>
    </row>
    <row r="5" ht="15.75" customHeight="1">
      <c r="A5" s="30" t="s">
        <v>56</v>
      </c>
      <c r="B5" s="31">
        <v>3000.0</v>
      </c>
      <c r="C5" s="39"/>
      <c r="D5" s="40">
        <v>1.0</v>
      </c>
      <c r="E5" s="41" t="s">
        <v>95</v>
      </c>
      <c r="F5" s="42" t="s">
        <v>21</v>
      </c>
      <c r="G5" s="43"/>
      <c r="H5" s="44">
        <f>VLOOKUP(F5,$A$4:$B$4,2,TRUE)</f>
        <v>5000</v>
      </c>
      <c r="I5" s="45">
        <f t="shared" ref="I5:I200" si="1">H5*G5</f>
        <v>0</v>
      </c>
      <c r="J5" s="46">
        <f>SUM(I5:I32)</f>
        <v>5000</v>
      </c>
      <c r="K5" s="18"/>
      <c r="L5" s="42" t="s">
        <v>21</v>
      </c>
      <c r="M5" s="38">
        <f>SUMIF(F5:F200,"Gelas bersih",G5:G200)</f>
        <v>17.5</v>
      </c>
      <c r="N5" s="18"/>
    </row>
    <row r="6" ht="15.75" customHeight="1">
      <c r="A6" s="30" t="s">
        <v>58</v>
      </c>
      <c r="B6" s="31">
        <v>1000.0</v>
      </c>
      <c r="C6" s="39"/>
      <c r="D6" s="47"/>
      <c r="E6" s="47"/>
      <c r="F6" s="42" t="s">
        <v>56</v>
      </c>
      <c r="G6" s="43">
        <v>0.5</v>
      </c>
      <c r="H6" s="48">
        <f>VLOOKUP(F6,$A$5:$B$5,2,TRUE)</f>
        <v>3000</v>
      </c>
      <c r="I6" s="45">
        <f t="shared" si="1"/>
        <v>1500</v>
      </c>
      <c r="J6" s="47"/>
      <c r="K6" s="18"/>
      <c r="L6" s="42" t="s">
        <v>56</v>
      </c>
      <c r="M6" s="38">
        <f>SUMIF(F6:F201,"Botol bersih",G6:G201)</f>
        <v>11</v>
      </c>
      <c r="N6" s="18"/>
    </row>
    <row r="7" ht="15.75" customHeight="1">
      <c r="A7" s="30" t="s">
        <v>24</v>
      </c>
      <c r="B7" s="31">
        <v>2800.0</v>
      </c>
      <c r="C7" s="39"/>
      <c r="D7" s="47"/>
      <c r="E7" s="47"/>
      <c r="F7" s="42" t="s">
        <v>58</v>
      </c>
      <c r="G7" s="43"/>
      <c r="H7" s="48">
        <f>VLOOKUP(F7,$A$6:$B$6,2,TRUE)</f>
        <v>1000</v>
      </c>
      <c r="I7" s="45">
        <f t="shared" si="1"/>
        <v>0</v>
      </c>
      <c r="J7" s="47"/>
      <c r="K7" s="18"/>
      <c r="L7" s="42" t="s">
        <v>58</v>
      </c>
      <c r="M7" s="38">
        <f>SUMIF(F7:F202,"Botol Warna",G7:G202)</f>
        <v>0</v>
      </c>
      <c r="N7" s="18"/>
    </row>
    <row r="8" ht="15.75" customHeight="1">
      <c r="A8" s="30" t="s">
        <v>25</v>
      </c>
      <c r="B8" s="31">
        <v>3500.0</v>
      </c>
      <c r="C8" s="39"/>
      <c r="D8" s="47"/>
      <c r="E8" s="47"/>
      <c r="F8" s="42" t="s">
        <v>24</v>
      </c>
      <c r="G8" s="43"/>
      <c r="H8" s="48">
        <f>VLOOKUP(F8,$A$7:$B$7,2,TRUE)</f>
        <v>2800</v>
      </c>
      <c r="I8" s="45">
        <f t="shared" si="1"/>
        <v>0</v>
      </c>
      <c r="J8" s="47"/>
      <c r="K8" s="18"/>
      <c r="L8" s="42" t="s">
        <v>24</v>
      </c>
      <c r="M8" s="38">
        <f>SUMIF(F8:F203,"Tutup botol",G8:G203)</f>
        <v>1</v>
      </c>
      <c r="N8" s="18"/>
    </row>
    <row r="9" ht="15.75" customHeight="1">
      <c r="A9" s="30" t="s">
        <v>26</v>
      </c>
      <c r="B9" s="31">
        <v>1000.0</v>
      </c>
      <c r="C9" s="39"/>
      <c r="D9" s="47"/>
      <c r="E9" s="47"/>
      <c r="F9" s="42" t="s">
        <v>25</v>
      </c>
      <c r="G9" s="43"/>
      <c r="H9" s="48">
        <f>VLOOKUP(F9,$A$8:$B$8,2,TRUE)</f>
        <v>3500</v>
      </c>
      <c r="I9" s="45">
        <f t="shared" si="1"/>
        <v>0</v>
      </c>
      <c r="J9" s="47"/>
      <c r="K9" s="18"/>
      <c r="L9" s="42" t="s">
        <v>25</v>
      </c>
      <c r="M9" s="38">
        <f>SUMIF(F9:F204,"Tutup galon",G9:G204)</f>
        <v>0</v>
      </c>
      <c r="N9" s="18"/>
    </row>
    <row r="10" ht="15.75" customHeight="1">
      <c r="A10" s="30" t="s">
        <v>27</v>
      </c>
      <c r="B10" s="31">
        <v>2000.0</v>
      </c>
      <c r="C10" s="39"/>
      <c r="D10" s="47"/>
      <c r="E10" s="47"/>
      <c r="F10" s="42" t="s">
        <v>26</v>
      </c>
      <c r="G10" s="43">
        <v>3.5</v>
      </c>
      <c r="H10" s="48">
        <f>VLOOKUP(F10,$A$9:$B$9,2,TRUE)</f>
        <v>1000</v>
      </c>
      <c r="I10" s="45">
        <f t="shared" si="1"/>
        <v>3500</v>
      </c>
      <c r="J10" s="47"/>
      <c r="K10" s="18"/>
      <c r="L10" s="42" t="s">
        <v>26</v>
      </c>
      <c r="M10" s="38">
        <f>SUMIF(F10:F205,"Hitam",G10:G205)</f>
        <v>11.5</v>
      </c>
      <c r="N10" s="18"/>
    </row>
    <row r="11" ht="15.75" customHeight="1">
      <c r="A11" s="30" t="s">
        <v>28</v>
      </c>
      <c r="B11" s="31">
        <v>2000.0</v>
      </c>
      <c r="C11" s="39"/>
      <c r="D11" s="47"/>
      <c r="E11" s="47"/>
      <c r="F11" s="42" t="s">
        <v>27</v>
      </c>
      <c r="G11" s="43"/>
      <c r="H11" s="48">
        <f>VLOOKUP(F11,$A$10:$B$10,2,TRUE)</f>
        <v>2000</v>
      </c>
      <c r="I11" s="45">
        <f t="shared" si="1"/>
        <v>0</v>
      </c>
      <c r="J11" s="47"/>
      <c r="K11" s="18"/>
      <c r="L11" s="42" t="s">
        <v>27</v>
      </c>
      <c r="M11" s="38">
        <f>SUMIF(F11:F206,"Plastik Campur",G11:G206)</f>
        <v>8.5</v>
      </c>
      <c r="N11" s="18"/>
    </row>
    <row r="12" ht="15.75" customHeight="1">
      <c r="A12" s="30" t="s">
        <v>29</v>
      </c>
      <c r="B12" s="31">
        <v>1300.0</v>
      </c>
      <c r="C12" s="39"/>
      <c r="D12" s="47"/>
      <c r="E12" s="47"/>
      <c r="F12" s="42" t="s">
        <v>28</v>
      </c>
      <c r="G12" s="43"/>
      <c r="H12" s="48">
        <f>VLOOKUP(F12,$A$11:$B$11,2,TRUE)</f>
        <v>2000</v>
      </c>
      <c r="I12" s="45">
        <f t="shared" si="1"/>
        <v>0</v>
      </c>
      <c r="J12" s="47"/>
      <c r="K12" s="18"/>
      <c r="L12" s="42" t="s">
        <v>28</v>
      </c>
      <c r="M12" s="38">
        <f>SUMIF(F12:F207,"Kardus",G12:G207)</f>
        <v>10</v>
      </c>
      <c r="N12" s="18"/>
    </row>
    <row r="13" ht="15.75" customHeight="1">
      <c r="A13" s="30" t="s">
        <v>30</v>
      </c>
      <c r="B13" s="31">
        <v>1000.0</v>
      </c>
      <c r="C13" s="39"/>
      <c r="D13" s="47"/>
      <c r="E13" s="47"/>
      <c r="F13" s="42" t="s">
        <v>29</v>
      </c>
      <c r="G13" s="43"/>
      <c r="H13" s="48">
        <f>VLOOKUP(F13,$A$12:$B$12,2,TRUE)</f>
        <v>1300</v>
      </c>
      <c r="I13" s="45">
        <f t="shared" si="1"/>
        <v>0</v>
      </c>
      <c r="J13" s="47"/>
      <c r="K13" s="18"/>
      <c r="L13" s="42" t="s">
        <v>29</v>
      </c>
      <c r="M13" s="38">
        <f>SUMIF(F13:F208,"Kertas Putihan/ HVS",G13:G208)</f>
        <v>0</v>
      </c>
      <c r="N13" s="18"/>
    </row>
    <row r="14" ht="15.75" customHeight="1">
      <c r="A14" s="30" t="s">
        <v>31</v>
      </c>
      <c r="B14" s="31">
        <v>400.0</v>
      </c>
      <c r="C14" s="39"/>
      <c r="D14" s="47"/>
      <c r="E14" s="47"/>
      <c r="F14" s="42" t="s">
        <v>30</v>
      </c>
      <c r="G14" s="43"/>
      <c r="H14" s="48">
        <f>VLOOKUP(F14,$A$13:$B$13,2,TRUE)</f>
        <v>1000</v>
      </c>
      <c r="I14" s="45">
        <f t="shared" si="1"/>
        <v>0</v>
      </c>
      <c r="J14" s="47"/>
      <c r="K14" s="18"/>
      <c r="L14" s="42" t="s">
        <v>30</v>
      </c>
      <c r="M14" s="38">
        <f>SUMIF(F14:F209,"Koran/Buku",G14:G209)</f>
        <v>15.5</v>
      </c>
      <c r="N14" s="18"/>
    </row>
    <row r="15" ht="15.75" customHeight="1">
      <c r="A15" s="30" t="s">
        <v>32</v>
      </c>
      <c r="B15" s="31">
        <v>7500.0</v>
      </c>
      <c r="C15" s="39"/>
      <c r="D15" s="47"/>
      <c r="E15" s="47"/>
      <c r="F15" s="42" t="s">
        <v>31</v>
      </c>
      <c r="G15" s="43"/>
      <c r="H15" s="48">
        <f>VLOOKUP(F15,$A$14:$B$14,2,TRUE)</f>
        <v>400</v>
      </c>
      <c r="I15" s="45">
        <f t="shared" si="1"/>
        <v>0</v>
      </c>
      <c r="J15" s="47"/>
      <c r="K15" s="18"/>
      <c r="L15" s="42" t="s">
        <v>31</v>
      </c>
      <c r="M15" s="38">
        <f>SUMIF(F15:F210,"Duplex",G15:G210)</f>
        <v>2</v>
      </c>
      <c r="N15" s="18"/>
    </row>
    <row r="16" ht="15.75" customHeight="1">
      <c r="A16" s="30" t="s">
        <v>33</v>
      </c>
      <c r="B16" s="31">
        <v>2000.0</v>
      </c>
      <c r="C16" s="39"/>
      <c r="D16" s="47"/>
      <c r="E16" s="47"/>
      <c r="F16" s="42" t="s">
        <v>32</v>
      </c>
      <c r="G16" s="43"/>
      <c r="H16" s="48">
        <f>VLOOKUP(F16,$A$15:$B$15,2,TRUE)</f>
        <v>7500</v>
      </c>
      <c r="I16" s="45">
        <f t="shared" si="1"/>
        <v>0</v>
      </c>
      <c r="J16" s="47"/>
      <c r="K16" s="18"/>
      <c r="L16" s="42" t="s">
        <v>32</v>
      </c>
      <c r="M16" s="38">
        <f>SUMIF(F16:F211,"Alumunium",G16:G211)</f>
        <v>0</v>
      </c>
      <c r="N16" s="18"/>
    </row>
    <row r="17" ht="15.75" customHeight="1">
      <c r="A17" s="30" t="s">
        <v>34</v>
      </c>
      <c r="B17" s="31">
        <v>800.0</v>
      </c>
      <c r="C17" s="39"/>
      <c r="D17" s="47"/>
      <c r="E17" s="47"/>
      <c r="F17" s="42" t="s">
        <v>33</v>
      </c>
      <c r="G17" s="43"/>
      <c r="H17" s="48">
        <f>VLOOKUP(F17,$A$16:$B$16,2,TRUE)</f>
        <v>2000</v>
      </c>
      <c r="I17" s="45">
        <f t="shared" si="1"/>
        <v>0</v>
      </c>
      <c r="J17" s="47"/>
      <c r="K17" s="18"/>
      <c r="L17" s="42" t="s">
        <v>33</v>
      </c>
      <c r="M17" s="38">
        <f>SUMIF(F17:F212,"Besi",G17:G212)</f>
        <v>0</v>
      </c>
      <c r="N17" s="18"/>
    </row>
    <row r="18" ht="15.75" customHeight="1">
      <c r="A18" s="30" t="s">
        <v>35</v>
      </c>
      <c r="B18" s="31">
        <v>5000.0</v>
      </c>
      <c r="C18" s="39"/>
      <c r="D18" s="47"/>
      <c r="E18" s="47"/>
      <c r="F18" s="42" t="s">
        <v>34</v>
      </c>
      <c r="G18" s="43"/>
      <c r="H18" s="48">
        <f>VLOOKUP(F18,$A$17:$B$17,2,TRUE)</f>
        <v>800</v>
      </c>
      <c r="I18" s="45">
        <f t="shared" si="1"/>
        <v>0</v>
      </c>
      <c r="J18" s="47"/>
      <c r="K18" s="18"/>
      <c r="L18" s="42" t="s">
        <v>34</v>
      </c>
      <c r="M18" s="38">
        <f>SUMIF(F18:F213,"Kaleng kue/susu",G18:G213)</f>
        <v>0</v>
      </c>
      <c r="N18" s="18"/>
    </row>
    <row r="19" ht="15.75" customHeight="1">
      <c r="A19" s="30" t="s">
        <v>36</v>
      </c>
      <c r="B19" s="31">
        <v>2700.0</v>
      </c>
      <c r="C19" s="39"/>
      <c r="D19" s="47"/>
      <c r="E19" s="47"/>
      <c r="F19" s="42" t="s">
        <v>35</v>
      </c>
      <c r="G19" s="43"/>
      <c r="H19" s="48">
        <f>VLOOKUP(F19,$A$18:$B$18,2,TRUE)</f>
        <v>5000</v>
      </c>
      <c r="I19" s="45">
        <f t="shared" si="1"/>
        <v>0</v>
      </c>
      <c r="J19" s="47"/>
      <c r="K19" s="18"/>
      <c r="L19" s="42" t="s">
        <v>35</v>
      </c>
      <c r="M19" s="38">
        <f>SUMIF(F19:F214,"Kaleng Minuman",G19:G214)</f>
        <v>0</v>
      </c>
      <c r="N19" s="18"/>
    </row>
    <row r="20" ht="15.75" customHeight="1">
      <c r="A20" s="30" t="s">
        <v>37</v>
      </c>
      <c r="B20" s="31">
        <v>50000.0</v>
      </c>
      <c r="C20" s="39"/>
      <c r="D20" s="47"/>
      <c r="E20" s="47"/>
      <c r="F20" s="42" t="s">
        <v>36</v>
      </c>
      <c r="G20" s="43"/>
      <c r="H20" s="48">
        <f>VLOOKUP(F20,$A$19:$B$19,2,TRUE)</f>
        <v>2700</v>
      </c>
      <c r="I20" s="45">
        <f t="shared" si="1"/>
        <v>0</v>
      </c>
      <c r="J20" s="47"/>
      <c r="K20" s="18"/>
      <c r="L20" s="42" t="s">
        <v>36</v>
      </c>
      <c r="M20" s="38">
        <f>SUMIF(F20:F215,"Stanless",G20:G215)</f>
        <v>0</v>
      </c>
      <c r="N20" s="18"/>
    </row>
    <row r="21" ht="15.75" customHeight="1">
      <c r="A21" s="30" t="s">
        <v>38</v>
      </c>
      <c r="B21" s="31">
        <v>10000.0</v>
      </c>
      <c r="C21" s="39"/>
      <c r="D21" s="47"/>
      <c r="E21" s="47"/>
      <c r="F21" s="42" t="s">
        <v>37</v>
      </c>
      <c r="G21" s="43"/>
      <c r="H21" s="48">
        <f>VLOOKUP(F21,$A$20:$B$20,2,TRUE)</f>
        <v>50000</v>
      </c>
      <c r="I21" s="45">
        <f t="shared" si="1"/>
        <v>0</v>
      </c>
      <c r="J21" s="47"/>
      <c r="K21" s="18"/>
      <c r="L21" s="42" t="s">
        <v>37</v>
      </c>
      <c r="M21" s="38">
        <f>SUMIF(F21:F216,"Tembaga",G21:G216)</f>
        <v>0</v>
      </c>
      <c r="N21" s="18"/>
    </row>
    <row r="22" ht="15.75" customHeight="1">
      <c r="A22" s="30" t="s">
        <v>39</v>
      </c>
      <c r="B22" s="31">
        <v>1000.0</v>
      </c>
      <c r="C22" s="39"/>
      <c r="D22" s="47"/>
      <c r="E22" s="47"/>
      <c r="F22" s="42" t="s">
        <v>38</v>
      </c>
      <c r="G22" s="43"/>
      <c r="H22" s="48">
        <f>VLOOKUP(F22,$A$21:$B$21,2,TRUE)</f>
        <v>10000</v>
      </c>
      <c r="I22" s="45">
        <f t="shared" si="1"/>
        <v>0</v>
      </c>
      <c r="J22" s="47"/>
      <c r="K22" s="18"/>
      <c r="L22" s="42" t="s">
        <v>38</v>
      </c>
      <c r="M22" s="38">
        <f>SUMIF(F22:F217,"Aki Motor",G22:G217)</f>
        <v>0</v>
      </c>
      <c r="N22" s="18"/>
    </row>
    <row r="23" ht="15.75" customHeight="1">
      <c r="A23" s="30" t="s">
        <v>40</v>
      </c>
      <c r="B23" s="31">
        <v>500.0</v>
      </c>
      <c r="C23" s="39"/>
      <c r="D23" s="47"/>
      <c r="E23" s="47"/>
      <c r="F23" s="42" t="s">
        <v>39</v>
      </c>
      <c r="G23" s="43"/>
      <c r="H23" s="48">
        <f>VLOOKUP(F23,$A$22:$B$22,2,TRUE)</f>
        <v>1000</v>
      </c>
      <c r="I23" s="45">
        <f t="shared" si="1"/>
        <v>0</v>
      </c>
      <c r="J23" s="47"/>
      <c r="K23" s="18"/>
      <c r="L23" s="42" t="s">
        <v>39</v>
      </c>
      <c r="M23" s="38">
        <f>SUMIF(F23:F218,"Paralon",G23:G218)</f>
        <v>0</v>
      </c>
      <c r="N23" s="18"/>
    </row>
    <row r="24" ht="15.75" customHeight="1">
      <c r="A24" s="30" t="s">
        <v>41</v>
      </c>
      <c r="B24" s="31">
        <v>200.0</v>
      </c>
      <c r="C24" s="39"/>
      <c r="D24" s="47"/>
      <c r="E24" s="47"/>
      <c r="F24" s="42" t="s">
        <v>40</v>
      </c>
      <c r="G24" s="43"/>
      <c r="H24" s="48">
        <f>VLOOKUP(F24,$A$23:$B$23,2,TRUE)</f>
        <v>500</v>
      </c>
      <c r="I24" s="45">
        <f t="shared" si="1"/>
        <v>0</v>
      </c>
      <c r="J24" s="47"/>
      <c r="K24" s="18"/>
      <c r="L24" s="42" t="s">
        <v>40</v>
      </c>
      <c r="M24" s="38">
        <f>SUMIF(F24:F219,"Plastik bening",G24:G219)</f>
        <v>1</v>
      </c>
      <c r="N24" s="18"/>
    </row>
    <row r="25" ht="15.75" customHeight="1">
      <c r="A25" s="30" t="s">
        <v>42</v>
      </c>
      <c r="B25" s="31">
        <v>1000.0</v>
      </c>
      <c r="C25" s="39"/>
      <c r="D25" s="47"/>
      <c r="E25" s="47"/>
      <c r="F25" s="42" t="s">
        <v>41</v>
      </c>
      <c r="G25" s="43"/>
      <c r="H25" s="48">
        <f>VLOOKUP(F25,$A$24:$B$24,2,TRUE)</f>
        <v>200</v>
      </c>
      <c r="I25" s="45">
        <f t="shared" si="1"/>
        <v>0</v>
      </c>
      <c r="J25" s="47"/>
      <c r="K25" s="18"/>
      <c r="L25" s="42" t="s">
        <v>41</v>
      </c>
      <c r="M25" s="38">
        <f>SUMIF(F25:F220,"Plastik Warna",G25:G220)</f>
        <v>0</v>
      </c>
      <c r="N25" s="18"/>
    </row>
    <row r="26" ht="15.75" customHeight="1">
      <c r="A26" s="30" t="s">
        <v>17</v>
      </c>
      <c r="B26" s="31">
        <v>300.0</v>
      </c>
      <c r="C26" s="39"/>
      <c r="D26" s="47"/>
      <c r="E26" s="47"/>
      <c r="F26" s="42" t="s">
        <v>42</v>
      </c>
      <c r="G26" s="43"/>
      <c r="H26" s="48">
        <f>VLOOKUP(F26,$A$25:$B$25,2,TRUE)</f>
        <v>1000</v>
      </c>
      <c r="I26" s="45">
        <f t="shared" si="1"/>
        <v>0</v>
      </c>
      <c r="J26" s="47"/>
      <c r="K26" s="18"/>
      <c r="L26" s="42" t="s">
        <v>42</v>
      </c>
      <c r="M26" s="38">
        <f>SUMIF(F26:F221,"Selang",G26:G221)</f>
        <v>2</v>
      </c>
      <c r="N26" s="18"/>
    </row>
    <row r="27" ht="15.75" customHeight="1">
      <c r="A27" s="30" t="s">
        <v>43</v>
      </c>
      <c r="B27" s="31">
        <v>100.0</v>
      </c>
      <c r="C27" s="39"/>
      <c r="D27" s="47"/>
      <c r="E27" s="47"/>
      <c r="F27" s="42" t="s">
        <v>17</v>
      </c>
      <c r="G27" s="43"/>
      <c r="H27" s="48">
        <f>VLOOKUP(F27,$A$26:$B$26,2,TRUE)</f>
        <v>300</v>
      </c>
      <c r="I27" s="45">
        <f t="shared" si="1"/>
        <v>0</v>
      </c>
      <c r="J27" s="47"/>
      <c r="K27" s="18"/>
      <c r="L27" s="42" t="s">
        <v>17</v>
      </c>
      <c r="M27" s="38">
        <f>SUMIF(F27:F222,"Beling",G27:G222)</f>
        <v>2</v>
      </c>
      <c r="N27" s="18"/>
    </row>
    <row r="28" ht="15.75" customHeight="1">
      <c r="A28" s="30" t="s">
        <v>59</v>
      </c>
      <c r="B28" s="31">
        <v>500.0</v>
      </c>
      <c r="C28" s="39"/>
      <c r="D28" s="47"/>
      <c r="E28" s="47"/>
      <c r="F28" s="42" t="s">
        <v>43</v>
      </c>
      <c r="G28" s="43"/>
      <c r="H28" s="48">
        <f>VLOOKUP(F28,$A$27:$B$27,2,TRUE)</f>
        <v>100</v>
      </c>
      <c r="I28" s="45">
        <f t="shared" si="1"/>
        <v>0</v>
      </c>
      <c r="J28" s="47"/>
      <c r="K28" s="18"/>
      <c r="L28" s="42" t="s">
        <v>43</v>
      </c>
      <c r="M28" s="38">
        <f>SUMIF(F28:F223,"Pecahan",G28:G223)</f>
        <v>10</v>
      </c>
      <c r="N28" s="18"/>
    </row>
    <row r="29" ht="15.75" customHeight="1">
      <c r="A29" s="30" t="s">
        <v>13</v>
      </c>
      <c r="B29" s="49">
        <v>1500.0</v>
      </c>
      <c r="C29" s="39"/>
      <c r="D29" s="47"/>
      <c r="E29" s="47"/>
      <c r="F29" s="42" t="s">
        <v>59</v>
      </c>
      <c r="G29" s="43"/>
      <c r="H29" s="48">
        <f>VLOOKUP(F29,$A$28:$B$28,2,TRUE)</f>
        <v>500</v>
      </c>
      <c r="I29" s="45">
        <f t="shared" si="1"/>
        <v>0</v>
      </c>
      <c r="J29" s="47"/>
      <c r="K29" s="18"/>
      <c r="L29" s="42" t="s">
        <v>59</v>
      </c>
      <c r="M29" s="38">
        <f>SUMIF(F29:F224,"Sendal/Sepatu",G29:G224)</f>
        <v>0</v>
      </c>
      <c r="N29" s="18"/>
    </row>
    <row r="30" ht="15.75" customHeight="1">
      <c r="A30" s="30" t="s">
        <v>19</v>
      </c>
      <c r="B30" s="31">
        <v>4000.0</v>
      </c>
      <c r="C30" s="39"/>
      <c r="D30" s="47"/>
      <c r="E30" s="47"/>
      <c r="F30" s="42" t="s">
        <v>13</v>
      </c>
      <c r="G30" s="43"/>
      <c r="H30" s="48">
        <f>VLOOKUP(F30,$A$29:$B$29,2,TRUE)</f>
        <v>1500</v>
      </c>
      <c r="I30" s="45">
        <f t="shared" si="1"/>
        <v>0</v>
      </c>
      <c r="J30" s="47"/>
      <c r="K30" s="18"/>
      <c r="L30" s="42" t="s">
        <v>13</v>
      </c>
      <c r="M30" s="38">
        <f>SUMIF(F30:F225,"Paku",G30:G225)</f>
        <v>0</v>
      </c>
      <c r="N30" s="18"/>
    </row>
    <row r="31" ht="15.75" customHeight="1">
      <c r="A31" s="30" t="s">
        <v>60</v>
      </c>
      <c r="B31" s="31">
        <v>500.0</v>
      </c>
      <c r="C31" s="39"/>
      <c r="D31" s="47"/>
      <c r="E31" s="47"/>
      <c r="F31" s="42" t="s">
        <v>19</v>
      </c>
      <c r="G31" s="43"/>
      <c r="H31" s="48">
        <f>VLOOKUP(F31,$A$30:$B$30,2,TRUE)</f>
        <v>4000</v>
      </c>
      <c r="I31" s="45">
        <f t="shared" si="1"/>
        <v>0</v>
      </c>
      <c r="J31" s="47"/>
      <c r="K31" s="18"/>
      <c r="L31" s="42" t="s">
        <v>19</v>
      </c>
      <c r="M31" s="38">
        <f>SUMIF(F31:F226,"Minyak Jelantah",G31:G226)</f>
        <v>0</v>
      </c>
      <c r="N31" s="18"/>
    </row>
    <row r="32" ht="15.75" customHeight="1">
      <c r="A32" s="39"/>
      <c r="B32" s="39"/>
      <c r="C32" s="39"/>
      <c r="D32" s="7"/>
      <c r="E32" s="7"/>
      <c r="F32" s="42" t="s">
        <v>61</v>
      </c>
      <c r="G32" s="43">
        <v>0.5</v>
      </c>
      <c r="H32" s="48"/>
      <c r="I32" s="45">
        <f t="shared" si="1"/>
        <v>0</v>
      </c>
      <c r="J32" s="7"/>
      <c r="K32" s="18"/>
      <c r="L32" s="42" t="s">
        <v>60</v>
      </c>
      <c r="M32" s="38">
        <f>SUMIF(F32:F227,"Lainnya",G32:G227)</f>
        <v>6.5</v>
      </c>
      <c r="N32" s="18"/>
    </row>
    <row r="33" ht="15.75" customHeight="1">
      <c r="A33" s="39"/>
      <c r="B33" s="39"/>
      <c r="C33" s="39"/>
      <c r="D33" s="40">
        <v>2.0</v>
      </c>
      <c r="E33" s="41" t="s">
        <v>96</v>
      </c>
      <c r="F33" s="42" t="s">
        <v>21</v>
      </c>
      <c r="G33" s="43"/>
      <c r="H33" s="50">
        <f>VLOOKUP(F33,$A$4:$B$4,2,TRUE)</f>
        <v>5000</v>
      </c>
      <c r="I33" s="45">
        <f t="shared" si="1"/>
        <v>0</v>
      </c>
      <c r="J33" s="46">
        <f>SUM(I33:I60)</f>
        <v>7600</v>
      </c>
      <c r="K33" s="18"/>
      <c r="L33" s="18"/>
      <c r="M33" s="18"/>
      <c r="N33" s="18"/>
    </row>
    <row r="34" ht="15.75" customHeight="1">
      <c r="A34" s="39"/>
      <c r="B34" s="39"/>
      <c r="C34" s="39"/>
      <c r="D34" s="47"/>
      <c r="E34" s="47"/>
      <c r="F34" s="42" t="s">
        <v>56</v>
      </c>
      <c r="G34" s="43"/>
      <c r="H34" s="50">
        <f>VLOOKUP(F34,$A$5:$B$5,2,TRUE)</f>
        <v>3000</v>
      </c>
      <c r="I34" s="45">
        <f t="shared" si="1"/>
        <v>0</v>
      </c>
      <c r="J34" s="47"/>
      <c r="K34" s="18"/>
      <c r="L34" s="18"/>
      <c r="M34" s="18"/>
      <c r="N34" s="18"/>
    </row>
    <row r="35" ht="15.75" customHeight="1">
      <c r="A35" s="39"/>
      <c r="B35" s="39"/>
      <c r="C35" s="39"/>
      <c r="D35" s="47"/>
      <c r="E35" s="47"/>
      <c r="F35" s="42" t="s">
        <v>58</v>
      </c>
      <c r="G35" s="43"/>
      <c r="H35" s="50">
        <f>VLOOKUP(F35,$A$6:$B$6,2,TRUE)</f>
        <v>1000</v>
      </c>
      <c r="I35" s="45">
        <f t="shared" si="1"/>
        <v>0</v>
      </c>
      <c r="J35" s="47"/>
      <c r="K35" s="18"/>
      <c r="L35" s="18"/>
      <c r="M35" s="18"/>
      <c r="N35" s="18"/>
    </row>
    <row r="36" ht="15.75" customHeight="1">
      <c r="A36" s="39"/>
      <c r="B36" s="39"/>
      <c r="C36" s="39"/>
      <c r="D36" s="47"/>
      <c r="E36" s="47"/>
      <c r="F36" s="42" t="s">
        <v>24</v>
      </c>
      <c r="G36" s="43"/>
      <c r="H36" s="50">
        <f>VLOOKUP(F36,$A$7:$B$7,2,TRUE)</f>
        <v>2800</v>
      </c>
      <c r="I36" s="45">
        <f t="shared" si="1"/>
        <v>0</v>
      </c>
      <c r="J36" s="47"/>
      <c r="K36" s="18"/>
      <c r="L36" s="18"/>
      <c r="M36" s="18"/>
      <c r="N36" s="18"/>
    </row>
    <row r="37" ht="15.75" customHeight="1">
      <c r="A37" s="39"/>
      <c r="B37" s="39"/>
      <c r="C37" s="39"/>
      <c r="D37" s="47"/>
      <c r="E37" s="47"/>
      <c r="F37" s="42" t="s">
        <v>25</v>
      </c>
      <c r="G37" s="43"/>
      <c r="H37" s="50">
        <f>VLOOKUP(F37,$A$8:$B$8,2,TRUE)</f>
        <v>3500</v>
      </c>
      <c r="I37" s="45">
        <f t="shared" si="1"/>
        <v>0</v>
      </c>
      <c r="J37" s="47"/>
      <c r="K37" s="18"/>
      <c r="L37" s="18"/>
      <c r="M37" s="18"/>
      <c r="N37" s="18"/>
    </row>
    <row r="38" ht="15.75" customHeight="1">
      <c r="A38" s="39"/>
      <c r="B38" s="39"/>
      <c r="C38" s="39"/>
      <c r="D38" s="47"/>
      <c r="E38" s="47"/>
      <c r="F38" s="42" t="s">
        <v>26</v>
      </c>
      <c r="G38" s="43">
        <v>2.5</v>
      </c>
      <c r="H38" s="50">
        <f>VLOOKUP(F38,$A$9:$B$9,2,TRUE)</f>
        <v>1000</v>
      </c>
      <c r="I38" s="45">
        <f t="shared" si="1"/>
        <v>2500</v>
      </c>
      <c r="J38" s="47"/>
      <c r="K38" s="18"/>
      <c r="L38" s="18"/>
      <c r="M38" s="18"/>
      <c r="N38" s="18"/>
    </row>
    <row r="39" ht="15.75" customHeight="1">
      <c r="A39" s="39"/>
      <c r="B39" s="39"/>
      <c r="C39" s="39"/>
      <c r="D39" s="47"/>
      <c r="E39" s="47"/>
      <c r="F39" s="42" t="s">
        <v>27</v>
      </c>
      <c r="G39" s="43"/>
      <c r="H39" s="50">
        <f>VLOOKUP(F39,$A$10:$B$10,2,TRUE)</f>
        <v>2000</v>
      </c>
      <c r="I39" s="45">
        <f t="shared" si="1"/>
        <v>0</v>
      </c>
      <c r="J39" s="47"/>
      <c r="K39" s="18"/>
      <c r="L39" s="18"/>
      <c r="M39" s="18"/>
      <c r="N39" s="18"/>
    </row>
    <row r="40" ht="15.75" customHeight="1">
      <c r="A40" s="39"/>
      <c r="B40" s="39"/>
      <c r="C40" s="39"/>
      <c r="D40" s="47"/>
      <c r="E40" s="47"/>
      <c r="F40" s="42" t="s">
        <v>28</v>
      </c>
      <c r="G40" s="43">
        <v>2.0</v>
      </c>
      <c r="H40" s="50">
        <f>VLOOKUP(F40,$A$11:$B$11,2,TRUE)</f>
        <v>2000</v>
      </c>
      <c r="I40" s="45">
        <f t="shared" si="1"/>
        <v>4000</v>
      </c>
      <c r="J40" s="47"/>
      <c r="K40" s="18"/>
      <c r="L40" s="18"/>
      <c r="M40" s="18"/>
      <c r="N40" s="18"/>
    </row>
    <row r="41" ht="15.75" customHeight="1">
      <c r="A41" s="39"/>
      <c r="B41" s="39"/>
      <c r="C41" s="39"/>
      <c r="D41" s="47"/>
      <c r="E41" s="47"/>
      <c r="F41" s="42" t="s">
        <v>29</v>
      </c>
      <c r="G41" s="43"/>
      <c r="H41" s="50">
        <f>VLOOKUP(F41,$A$12:$B$12,2,TRUE)</f>
        <v>1300</v>
      </c>
      <c r="I41" s="45">
        <f t="shared" si="1"/>
        <v>0</v>
      </c>
      <c r="J41" s="47"/>
      <c r="K41" s="18"/>
      <c r="L41" s="18"/>
      <c r="M41" s="18"/>
      <c r="N41" s="18"/>
    </row>
    <row r="42" ht="15.75" customHeight="1">
      <c r="A42" s="39"/>
      <c r="B42" s="39"/>
      <c r="C42" s="39"/>
      <c r="D42" s="47"/>
      <c r="E42" s="47"/>
      <c r="F42" s="42" t="s">
        <v>30</v>
      </c>
      <c r="G42" s="43"/>
      <c r="H42" s="50">
        <f>VLOOKUP(F42,$A$13:$B$13,2,TRUE)</f>
        <v>1000</v>
      </c>
      <c r="I42" s="45">
        <f t="shared" si="1"/>
        <v>0</v>
      </c>
      <c r="J42" s="47"/>
      <c r="K42" s="18"/>
      <c r="L42" s="18"/>
      <c r="M42" s="18"/>
      <c r="N42" s="18"/>
    </row>
    <row r="43" ht="15.75" customHeight="1">
      <c r="A43" s="39"/>
      <c r="B43" s="39"/>
      <c r="C43" s="39"/>
      <c r="D43" s="47"/>
      <c r="E43" s="47"/>
      <c r="F43" s="42" t="s">
        <v>31</v>
      </c>
      <c r="G43" s="43">
        <v>1.0</v>
      </c>
      <c r="H43" s="50">
        <f>VLOOKUP(F43,$A$14:$B$14,2,TRUE)</f>
        <v>400</v>
      </c>
      <c r="I43" s="45">
        <f t="shared" si="1"/>
        <v>400</v>
      </c>
      <c r="J43" s="47"/>
      <c r="K43" s="18"/>
      <c r="L43" s="18"/>
      <c r="M43" s="18"/>
      <c r="N43" s="18"/>
    </row>
    <row r="44" ht="15.75" customHeight="1">
      <c r="A44" s="39"/>
      <c r="B44" s="39"/>
      <c r="C44" s="39"/>
      <c r="D44" s="47"/>
      <c r="E44" s="47"/>
      <c r="F44" s="42" t="s">
        <v>32</v>
      </c>
      <c r="G44" s="43"/>
      <c r="H44" s="50">
        <f>VLOOKUP(F44,$A$15:$B$15,2,TRUE)</f>
        <v>7500</v>
      </c>
      <c r="I44" s="45">
        <f t="shared" si="1"/>
        <v>0</v>
      </c>
      <c r="J44" s="47"/>
      <c r="K44" s="18"/>
      <c r="L44" s="18"/>
      <c r="M44" s="18"/>
      <c r="N44" s="18"/>
    </row>
    <row r="45" ht="15.75" customHeight="1">
      <c r="A45" s="39"/>
      <c r="B45" s="39"/>
      <c r="C45" s="39"/>
      <c r="D45" s="47"/>
      <c r="E45" s="47"/>
      <c r="F45" s="42" t="s">
        <v>33</v>
      </c>
      <c r="G45" s="43"/>
      <c r="H45" s="50">
        <f>VLOOKUP(F45,$A$16:$B$16,2,TRUE)</f>
        <v>2000</v>
      </c>
      <c r="I45" s="45">
        <f t="shared" si="1"/>
        <v>0</v>
      </c>
      <c r="J45" s="47"/>
      <c r="K45" s="18"/>
      <c r="L45" s="18"/>
      <c r="M45" s="18"/>
      <c r="N45" s="18"/>
    </row>
    <row r="46" ht="15.75" customHeight="1">
      <c r="A46" s="39"/>
      <c r="B46" s="39"/>
      <c r="C46" s="39"/>
      <c r="D46" s="47"/>
      <c r="E46" s="47"/>
      <c r="F46" s="42" t="s">
        <v>34</v>
      </c>
      <c r="G46" s="43"/>
      <c r="H46" s="50">
        <f>VLOOKUP(F46,$A$17:$B$17,2,TRUE)</f>
        <v>800</v>
      </c>
      <c r="I46" s="45">
        <f t="shared" si="1"/>
        <v>0</v>
      </c>
      <c r="J46" s="47"/>
      <c r="K46" s="18"/>
      <c r="L46" s="18"/>
      <c r="M46" s="18"/>
      <c r="N46" s="18"/>
    </row>
    <row r="47" ht="15.75" customHeight="1">
      <c r="A47" s="39"/>
      <c r="B47" s="39"/>
      <c r="C47" s="39"/>
      <c r="D47" s="47"/>
      <c r="E47" s="47"/>
      <c r="F47" s="42" t="s">
        <v>35</v>
      </c>
      <c r="G47" s="43"/>
      <c r="H47" s="50">
        <f>VLOOKUP(F47,$A$18:$B$18,2,TRUE)</f>
        <v>5000</v>
      </c>
      <c r="I47" s="45">
        <f t="shared" si="1"/>
        <v>0</v>
      </c>
      <c r="J47" s="47"/>
      <c r="K47" s="18"/>
      <c r="L47" s="18"/>
      <c r="M47" s="18"/>
      <c r="N47" s="18"/>
    </row>
    <row r="48" ht="15.75" customHeight="1">
      <c r="A48" s="39"/>
      <c r="B48" s="39"/>
      <c r="C48" s="39"/>
      <c r="D48" s="47"/>
      <c r="E48" s="47"/>
      <c r="F48" s="42" t="s">
        <v>36</v>
      </c>
      <c r="G48" s="43"/>
      <c r="H48" s="50">
        <f>VLOOKUP(F48,$A$19:$B$19,2,TRUE)</f>
        <v>2700</v>
      </c>
      <c r="I48" s="45">
        <f t="shared" si="1"/>
        <v>0</v>
      </c>
      <c r="J48" s="47"/>
      <c r="K48" s="18"/>
      <c r="L48" s="18"/>
      <c r="M48" s="18"/>
      <c r="N48" s="18"/>
    </row>
    <row r="49" ht="15.75" customHeight="1">
      <c r="A49" s="39"/>
      <c r="B49" s="39"/>
      <c r="C49" s="39"/>
      <c r="D49" s="47"/>
      <c r="E49" s="47"/>
      <c r="F49" s="42" t="s">
        <v>37</v>
      </c>
      <c r="G49" s="43"/>
      <c r="H49" s="50">
        <f>VLOOKUP(F49,$A$20:$B$20,2,TRUE)</f>
        <v>50000</v>
      </c>
      <c r="I49" s="45">
        <f t="shared" si="1"/>
        <v>0</v>
      </c>
      <c r="J49" s="47"/>
      <c r="K49" s="18"/>
      <c r="L49" s="18"/>
      <c r="M49" s="18"/>
      <c r="N49" s="18"/>
    </row>
    <row r="50" ht="15.75" customHeight="1">
      <c r="A50" s="39"/>
      <c r="B50" s="39"/>
      <c r="C50" s="39"/>
      <c r="D50" s="47"/>
      <c r="E50" s="47"/>
      <c r="F50" s="42" t="s">
        <v>38</v>
      </c>
      <c r="G50" s="43"/>
      <c r="H50" s="50">
        <f>VLOOKUP(F50,$A$21:$B$21,2,TRUE)</f>
        <v>10000</v>
      </c>
      <c r="I50" s="45">
        <f t="shared" si="1"/>
        <v>0</v>
      </c>
      <c r="J50" s="47"/>
      <c r="K50" s="18"/>
      <c r="L50" s="18"/>
      <c r="M50" s="18"/>
      <c r="N50" s="18"/>
    </row>
    <row r="51" ht="15.75" customHeight="1">
      <c r="A51" s="39"/>
      <c r="B51" s="39"/>
      <c r="C51" s="39"/>
      <c r="D51" s="47"/>
      <c r="E51" s="47"/>
      <c r="F51" s="42" t="s">
        <v>39</v>
      </c>
      <c r="G51" s="43"/>
      <c r="H51" s="50">
        <f>VLOOKUP(F51,$A$22:$B$22,2,TRUE)</f>
        <v>1000</v>
      </c>
      <c r="I51" s="45">
        <f t="shared" si="1"/>
        <v>0</v>
      </c>
      <c r="J51" s="47"/>
      <c r="K51" s="18"/>
      <c r="L51" s="18"/>
      <c r="M51" s="18"/>
      <c r="N51" s="18"/>
    </row>
    <row r="52" ht="15.75" customHeight="1">
      <c r="A52" s="39"/>
      <c r="B52" s="39"/>
      <c r="C52" s="39"/>
      <c r="D52" s="47"/>
      <c r="E52" s="47"/>
      <c r="F52" s="42" t="s">
        <v>40</v>
      </c>
      <c r="G52" s="43"/>
      <c r="H52" s="50">
        <f>VLOOKUP(F52,$A$23:$B$23,2,TRUE)</f>
        <v>500</v>
      </c>
      <c r="I52" s="45">
        <f t="shared" si="1"/>
        <v>0</v>
      </c>
      <c r="J52" s="47"/>
      <c r="K52" s="18"/>
      <c r="L52" s="18"/>
      <c r="M52" s="18"/>
      <c r="N52" s="18"/>
    </row>
    <row r="53" ht="15.75" customHeight="1">
      <c r="A53" s="39"/>
      <c r="B53" s="39"/>
      <c r="C53" s="39"/>
      <c r="D53" s="47"/>
      <c r="E53" s="47"/>
      <c r="F53" s="42" t="s">
        <v>41</v>
      </c>
      <c r="G53" s="43"/>
      <c r="H53" s="50">
        <f>VLOOKUP(F53,$A$24:$B$24,2,TRUE)</f>
        <v>200</v>
      </c>
      <c r="I53" s="45">
        <f t="shared" si="1"/>
        <v>0</v>
      </c>
      <c r="J53" s="47"/>
      <c r="K53" s="18"/>
      <c r="L53" s="18"/>
      <c r="M53" s="18"/>
      <c r="N53" s="18"/>
    </row>
    <row r="54" ht="15.75" customHeight="1">
      <c r="A54" s="39"/>
      <c r="B54" s="39"/>
      <c r="C54" s="39"/>
      <c r="D54" s="47"/>
      <c r="E54" s="47"/>
      <c r="F54" s="42" t="s">
        <v>42</v>
      </c>
      <c r="G54" s="43"/>
      <c r="H54" s="50">
        <f>VLOOKUP(F54,$A$25:$B$25,2,TRUE)</f>
        <v>1000</v>
      </c>
      <c r="I54" s="45">
        <f t="shared" si="1"/>
        <v>0</v>
      </c>
      <c r="J54" s="47"/>
      <c r="K54" s="18"/>
      <c r="L54" s="18"/>
      <c r="M54" s="18"/>
      <c r="N54" s="18"/>
    </row>
    <row r="55" ht="15.75" customHeight="1">
      <c r="A55" s="39"/>
      <c r="B55" s="39"/>
      <c r="C55" s="39"/>
      <c r="D55" s="47"/>
      <c r="E55" s="47"/>
      <c r="F55" s="42" t="s">
        <v>17</v>
      </c>
      <c r="G55" s="43">
        <v>2.0</v>
      </c>
      <c r="H55" s="50">
        <f>VLOOKUP(F55,$A$26:$B$26,2,TRUE)</f>
        <v>300</v>
      </c>
      <c r="I55" s="45">
        <f t="shared" si="1"/>
        <v>600</v>
      </c>
      <c r="J55" s="47"/>
      <c r="K55" s="18"/>
      <c r="L55" s="18"/>
      <c r="M55" s="18"/>
      <c r="N55" s="18"/>
    </row>
    <row r="56" ht="15.75" customHeight="1">
      <c r="A56" s="39"/>
      <c r="B56" s="39"/>
      <c r="C56" s="39"/>
      <c r="D56" s="47"/>
      <c r="E56" s="47"/>
      <c r="F56" s="42" t="s">
        <v>43</v>
      </c>
      <c r="G56" s="43">
        <v>1.0</v>
      </c>
      <c r="H56" s="50">
        <f>VLOOKUP(F56,$A$27:$B$27,2,TRUE)</f>
        <v>100</v>
      </c>
      <c r="I56" s="45">
        <f t="shared" si="1"/>
        <v>100</v>
      </c>
      <c r="J56" s="47"/>
      <c r="K56" s="18"/>
      <c r="L56" s="18"/>
      <c r="M56" s="18"/>
      <c r="N56" s="18"/>
    </row>
    <row r="57" ht="15.75" customHeight="1">
      <c r="A57" s="39"/>
      <c r="B57" s="39"/>
      <c r="C57" s="39"/>
      <c r="D57" s="47"/>
      <c r="E57" s="47"/>
      <c r="F57" s="42" t="s">
        <v>59</v>
      </c>
      <c r="G57" s="43"/>
      <c r="H57" s="50">
        <f>VLOOKUP(F57,$A$28:$B$28,2,TRUE)</f>
        <v>500</v>
      </c>
      <c r="I57" s="45">
        <f t="shared" si="1"/>
        <v>0</v>
      </c>
      <c r="J57" s="47"/>
      <c r="K57" s="18"/>
      <c r="L57" s="18"/>
      <c r="M57" s="18"/>
      <c r="N57" s="18"/>
    </row>
    <row r="58" ht="15.75" customHeight="1">
      <c r="A58" s="39"/>
      <c r="B58" s="39"/>
      <c r="C58" s="39"/>
      <c r="D58" s="47"/>
      <c r="E58" s="47"/>
      <c r="F58" s="42" t="s">
        <v>13</v>
      </c>
      <c r="G58" s="43"/>
      <c r="H58" s="51">
        <f>VLOOKUP(F58,$A$29:$B$29,2,TRUE)</f>
        <v>1500</v>
      </c>
      <c r="I58" s="45">
        <f t="shared" si="1"/>
        <v>0</v>
      </c>
      <c r="J58" s="47"/>
      <c r="K58" s="18"/>
      <c r="L58" s="18"/>
      <c r="M58" s="18"/>
      <c r="N58" s="18"/>
    </row>
    <row r="59" ht="15.75" customHeight="1">
      <c r="A59" s="39"/>
      <c r="B59" s="39"/>
      <c r="C59" s="39"/>
      <c r="D59" s="47"/>
      <c r="E59" s="47"/>
      <c r="F59" s="42" t="s">
        <v>19</v>
      </c>
      <c r="G59" s="43"/>
      <c r="H59" s="50">
        <f>VLOOKUP(F59,$A$30:$B$30,2,TRUE)</f>
        <v>4000</v>
      </c>
      <c r="I59" s="45">
        <f t="shared" si="1"/>
        <v>0</v>
      </c>
      <c r="J59" s="47"/>
      <c r="K59" s="18"/>
      <c r="L59" s="18"/>
      <c r="M59" s="18"/>
      <c r="N59" s="18"/>
    </row>
    <row r="60" ht="15.75" customHeight="1">
      <c r="A60" s="39"/>
      <c r="B60" s="39"/>
      <c r="C60" s="39"/>
      <c r="D60" s="7"/>
      <c r="E60" s="7"/>
      <c r="F60" s="42" t="s">
        <v>60</v>
      </c>
      <c r="G60" s="43">
        <v>0.5</v>
      </c>
      <c r="H60" s="50"/>
      <c r="I60" s="45">
        <f t="shared" si="1"/>
        <v>0</v>
      </c>
      <c r="J60" s="7"/>
      <c r="K60" s="18"/>
      <c r="L60" s="18"/>
      <c r="M60" s="18"/>
      <c r="N60" s="18"/>
    </row>
    <row r="61" ht="15.75" customHeight="1">
      <c r="A61" s="39"/>
      <c r="B61" s="39"/>
      <c r="C61" s="39"/>
      <c r="D61" s="40">
        <v>3.0</v>
      </c>
      <c r="E61" s="60"/>
      <c r="F61" s="42" t="s">
        <v>21</v>
      </c>
      <c r="G61" s="43">
        <v>17.5</v>
      </c>
      <c r="H61" s="50">
        <f>VLOOKUP(F61,$A$4:$B$4,2,TRUE)</f>
        <v>5000</v>
      </c>
      <c r="I61" s="45">
        <f t="shared" si="1"/>
        <v>87500</v>
      </c>
      <c r="J61" s="46">
        <f>SUM(I61:I88)</f>
        <v>129800</v>
      </c>
      <c r="K61" s="18"/>
      <c r="L61" s="18"/>
      <c r="M61" s="18"/>
      <c r="N61" s="18"/>
    </row>
    <row r="62" ht="15.75" customHeight="1">
      <c r="A62" s="39"/>
      <c r="B62" s="39"/>
      <c r="C62" s="39"/>
      <c r="D62" s="47"/>
      <c r="E62" s="61"/>
      <c r="F62" s="42" t="s">
        <v>56</v>
      </c>
      <c r="G62" s="43">
        <v>6.5</v>
      </c>
      <c r="H62" s="50">
        <f>VLOOKUP(F62,$A$5:$B$5,2,TRUE)</f>
        <v>3000</v>
      </c>
      <c r="I62" s="45">
        <f t="shared" si="1"/>
        <v>19500</v>
      </c>
      <c r="J62" s="47"/>
      <c r="K62" s="18"/>
      <c r="L62" s="18"/>
      <c r="M62" s="18"/>
      <c r="N62" s="18"/>
    </row>
    <row r="63" ht="15.75" customHeight="1">
      <c r="A63" s="39"/>
      <c r="B63" s="39"/>
      <c r="C63" s="39"/>
      <c r="D63" s="47"/>
      <c r="E63" s="61"/>
      <c r="F63" s="42" t="s">
        <v>58</v>
      </c>
      <c r="G63" s="43"/>
      <c r="H63" s="50">
        <f>VLOOKUP(F63,$A$6:$B$6,2,TRUE)</f>
        <v>1000</v>
      </c>
      <c r="I63" s="45">
        <f t="shared" si="1"/>
        <v>0</v>
      </c>
      <c r="J63" s="47"/>
      <c r="K63" s="18"/>
      <c r="L63" s="18"/>
      <c r="M63" s="18"/>
      <c r="N63" s="18"/>
    </row>
    <row r="64" ht="15.75" customHeight="1">
      <c r="A64" s="39"/>
      <c r="B64" s="39"/>
      <c r="C64" s="39"/>
      <c r="D64" s="47"/>
      <c r="E64" s="61"/>
      <c r="F64" s="42" t="s">
        <v>24</v>
      </c>
      <c r="G64" s="43">
        <v>1.0</v>
      </c>
      <c r="H64" s="50">
        <f>VLOOKUP(F64,$A$7:$B$7,2,TRUE)</f>
        <v>2800</v>
      </c>
      <c r="I64" s="45">
        <f t="shared" si="1"/>
        <v>2800</v>
      </c>
      <c r="J64" s="47"/>
      <c r="K64" s="18"/>
      <c r="L64" s="18"/>
      <c r="M64" s="18"/>
      <c r="N64" s="18"/>
    </row>
    <row r="65" ht="15.75" customHeight="1">
      <c r="A65" s="39"/>
      <c r="B65" s="39"/>
      <c r="C65" s="39"/>
      <c r="D65" s="47"/>
      <c r="E65" s="61"/>
      <c r="F65" s="42" t="s">
        <v>25</v>
      </c>
      <c r="G65" s="43"/>
      <c r="H65" s="50">
        <f>VLOOKUP(F65,$A$8:$B$8,2,TRUE)</f>
        <v>3500</v>
      </c>
      <c r="I65" s="45">
        <f t="shared" si="1"/>
        <v>0</v>
      </c>
      <c r="J65" s="47"/>
      <c r="K65" s="18"/>
      <c r="L65" s="18"/>
      <c r="M65" s="18"/>
      <c r="N65" s="18"/>
    </row>
    <row r="66" ht="15.75" customHeight="1">
      <c r="A66" s="39"/>
      <c r="B66" s="39"/>
      <c r="C66" s="39"/>
      <c r="D66" s="47"/>
      <c r="E66" s="61"/>
      <c r="F66" s="42" t="s">
        <v>26</v>
      </c>
      <c r="G66" s="43">
        <v>4.0</v>
      </c>
      <c r="H66" s="50">
        <f>VLOOKUP(F66,$A$9:$B$9,2,TRUE)</f>
        <v>1000</v>
      </c>
      <c r="I66" s="45">
        <f t="shared" si="1"/>
        <v>4000</v>
      </c>
      <c r="J66" s="47"/>
      <c r="K66" s="18"/>
      <c r="L66" s="18"/>
      <c r="M66" s="18"/>
      <c r="N66" s="18"/>
    </row>
    <row r="67" ht="15.75" customHeight="1">
      <c r="A67" s="39"/>
      <c r="B67" s="39"/>
      <c r="C67" s="39"/>
      <c r="D67" s="47"/>
      <c r="E67" s="61"/>
      <c r="F67" s="42" t="s">
        <v>27</v>
      </c>
      <c r="G67" s="43"/>
      <c r="H67" s="50">
        <f>VLOOKUP(F67,$A$10:$B$10,2,TRUE)</f>
        <v>2000</v>
      </c>
      <c r="I67" s="45">
        <f t="shared" si="1"/>
        <v>0</v>
      </c>
      <c r="J67" s="47"/>
      <c r="K67" s="18"/>
      <c r="L67" s="18"/>
      <c r="M67" s="18"/>
      <c r="N67" s="18"/>
    </row>
    <row r="68" ht="15.75" customHeight="1">
      <c r="A68" s="39"/>
      <c r="B68" s="39"/>
      <c r="C68" s="39"/>
      <c r="D68" s="47"/>
      <c r="E68" s="61"/>
      <c r="F68" s="42" t="s">
        <v>28</v>
      </c>
      <c r="G68" s="43">
        <v>8.0</v>
      </c>
      <c r="H68" s="50">
        <f>VLOOKUP(F68,$A$11:$B$11,2,TRUE)</f>
        <v>2000</v>
      </c>
      <c r="I68" s="45">
        <f t="shared" si="1"/>
        <v>16000</v>
      </c>
      <c r="J68" s="47"/>
      <c r="K68" s="18"/>
      <c r="L68" s="18"/>
      <c r="M68" s="18"/>
      <c r="N68" s="18"/>
    </row>
    <row r="69" ht="15.75" customHeight="1">
      <c r="A69" s="39"/>
      <c r="B69" s="39"/>
      <c r="C69" s="39"/>
      <c r="D69" s="47"/>
      <c r="E69" s="61"/>
      <c r="F69" s="42" t="s">
        <v>29</v>
      </c>
      <c r="G69" s="43"/>
      <c r="H69" s="50">
        <f>VLOOKUP(F69,$A$12:$B$12,2,TRUE)</f>
        <v>1300</v>
      </c>
      <c r="I69" s="45">
        <f t="shared" si="1"/>
        <v>0</v>
      </c>
      <c r="J69" s="47"/>
      <c r="K69" s="18"/>
      <c r="L69" s="18"/>
      <c r="M69" s="18"/>
      <c r="N69" s="18"/>
    </row>
    <row r="70" ht="15.75" customHeight="1">
      <c r="A70" s="39"/>
      <c r="B70" s="39"/>
      <c r="C70" s="39"/>
      <c r="D70" s="47"/>
      <c r="E70" s="61"/>
      <c r="F70" s="42" t="s">
        <v>30</v>
      </c>
      <c r="G70" s="43"/>
      <c r="H70" s="50">
        <f>VLOOKUP(F70,$A$13:$B$13,2,TRUE)</f>
        <v>1000</v>
      </c>
      <c r="I70" s="45">
        <f t="shared" si="1"/>
        <v>0</v>
      </c>
      <c r="J70" s="47"/>
      <c r="K70" s="18"/>
      <c r="L70" s="18"/>
      <c r="M70" s="18"/>
      <c r="N70" s="18"/>
    </row>
    <row r="71" ht="15.75" customHeight="1">
      <c r="A71" s="39"/>
      <c r="B71" s="39"/>
      <c r="C71" s="39"/>
      <c r="D71" s="47"/>
      <c r="E71" s="61"/>
      <c r="F71" s="42" t="s">
        <v>31</v>
      </c>
      <c r="G71" s="43"/>
      <c r="H71" s="50">
        <f>VLOOKUP(F71,$A$14:$B$14,2,TRUE)</f>
        <v>400</v>
      </c>
      <c r="I71" s="45">
        <f t="shared" si="1"/>
        <v>0</v>
      </c>
      <c r="J71" s="47"/>
      <c r="K71" s="18"/>
      <c r="L71" s="18"/>
      <c r="M71" s="18"/>
      <c r="N71" s="18"/>
    </row>
    <row r="72" ht="15.75" customHeight="1">
      <c r="A72" s="39"/>
      <c r="B72" s="39"/>
      <c r="C72" s="39"/>
      <c r="D72" s="47"/>
      <c r="E72" s="61"/>
      <c r="F72" s="42" t="s">
        <v>32</v>
      </c>
      <c r="G72" s="43"/>
      <c r="H72" s="50">
        <f>VLOOKUP(F72,$A$15:$B$15,2,TRUE)</f>
        <v>7500</v>
      </c>
      <c r="I72" s="45">
        <f t="shared" si="1"/>
        <v>0</v>
      </c>
      <c r="J72" s="47"/>
      <c r="K72" s="18"/>
      <c r="L72" s="18"/>
      <c r="M72" s="18"/>
      <c r="N72" s="18"/>
    </row>
    <row r="73" ht="15.75" customHeight="1">
      <c r="A73" s="39"/>
      <c r="B73" s="39"/>
      <c r="C73" s="39"/>
      <c r="D73" s="47"/>
      <c r="E73" s="61"/>
      <c r="F73" s="42" t="s">
        <v>33</v>
      </c>
      <c r="G73" s="43"/>
      <c r="H73" s="50">
        <f>VLOOKUP(F73,$A$16:$B$16,2,TRUE)</f>
        <v>2000</v>
      </c>
      <c r="I73" s="45">
        <f t="shared" si="1"/>
        <v>0</v>
      </c>
      <c r="J73" s="47"/>
      <c r="K73" s="18"/>
      <c r="L73" s="18"/>
      <c r="M73" s="18"/>
      <c r="N73" s="18"/>
    </row>
    <row r="74" ht="15.75" customHeight="1">
      <c r="A74" s="39"/>
      <c r="B74" s="39"/>
      <c r="C74" s="39"/>
      <c r="D74" s="47"/>
      <c r="E74" s="61"/>
      <c r="F74" s="42" t="s">
        <v>34</v>
      </c>
      <c r="G74" s="43"/>
      <c r="H74" s="50">
        <f>VLOOKUP(F74,$A$17:$B$17,2,TRUE)</f>
        <v>800</v>
      </c>
      <c r="I74" s="45">
        <f t="shared" si="1"/>
        <v>0</v>
      </c>
      <c r="J74" s="47"/>
      <c r="K74" s="18"/>
      <c r="L74" s="18"/>
      <c r="M74" s="18"/>
      <c r="N74" s="18"/>
    </row>
    <row r="75" ht="15.75" customHeight="1">
      <c r="A75" s="39"/>
      <c r="B75" s="39"/>
      <c r="C75" s="39"/>
      <c r="D75" s="47"/>
      <c r="E75" s="61"/>
      <c r="F75" s="42" t="s">
        <v>35</v>
      </c>
      <c r="G75" s="43"/>
      <c r="H75" s="50">
        <f>VLOOKUP(F75,$A$18:$B$18,2,TRUE)</f>
        <v>5000</v>
      </c>
      <c r="I75" s="45">
        <f t="shared" si="1"/>
        <v>0</v>
      </c>
      <c r="J75" s="47"/>
      <c r="K75" s="18"/>
      <c r="L75" s="18"/>
      <c r="M75" s="18"/>
      <c r="N75" s="18"/>
    </row>
    <row r="76" ht="15.75" customHeight="1">
      <c r="A76" s="39"/>
      <c r="B76" s="39"/>
      <c r="C76" s="39"/>
      <c r="D76" s="47"/>
      <c r="E76" s="61"/>
      <c r="F76" s="42" t="s">
        <v>36</v>
      </c>
      <c r="G76" s="43"/>
      <c r="H76" s="50">
        <f>VLOOKUP(F76,$A$19:$B$19,2,TRUE)</f>
        <v>2700</v>
      </c>
      <c r="I76" s="45">
        <f t="shared" si="1"/>
        <v>0</v>
      </c>
      <c r="J76" s="47"/>
      <c r="K76" s="18"/>
      <c r="L76" s="18"/>
      <c r="M76" s="18"/>
      <c r="N76" s="18"/>
    </row>
    <row r="77" ht="15.75" customHeight="1">
      <c r="A77" s="39"/>
      <c r="B77" s="39"/>
      <c r="C77" s="39"/>
      <c r="D77" s="47"/>
      <c r="E77" s="61" t="s">
        <v>97</v>
      </c>
      <c r="F77" s="42" t="s">
        <v>37</v>
      </c>
      <c r="G77" s="43"/>
      <c r="H77" s="50">
        <f>VLOOKUP(F77,$A$20:$B$20,2,TRUE)</f>
        <v>50000</v>
      </c>
      <c r="I77" s="45">
        <f t="shared" si="1"/>
        <v>0</v>
      </c>
      <c r="J77" s="47"/>
      <c r="K77" s="18"/>
      <c r="L77" s="18"/>
      <c r="M77" s="18"/>
      <c r="N77" s="18"/>
    </row>
    <row r="78" ht="15.75" customHeight="1">
      <c r="A78" s="39"/>
      <c r="B78" s="39"/>
      <c r="C78" s="39"/>
      <c r="D78" s="47"/>
      <c r="E78" s="61"/>
      <c r="F78" s="42" t="s">
        <v>38</v>
      </c>
      <c r="G78" s="43"/>
      <c r="H78" s="50">
        <f>VLOOKUP(F78,$A$21:$B$21,2,TRUE)</f>
        <v>10000</v>
      </c>
      <c r="I78" s="45">
        <f t="shared" si="1"/>
        <v>0</v>
      </c>
      <c r="J78" s="47"/>
      <c r="K78" s="18"/>
      <c r="L78" s="18"/>
      <c r="M78" s="18"/>
      <c r="N78" s="18"/>
    </row>
    <row r="79" ht="15.75" customHeight="1">
      <c r="A79" s="39"/>
      <c r="B79" s="39"/>
      <c r="C79" s="39"/>
      <c r="D79" s="47"/>
      <c r="E79" s="61"/>
      <c r="F79" s="42" t="s">
        <v>39</v>
      </c>
      <c r="G79" s="43"/>
      <c r="H79" s="50">
        <f>VLOOKUP(F79,$A$22:$B$22,2,TRUE)</f>
        <v>1000</v>
      </c>
      <c r="I79" s="45">
        <f t="shared" si="1"/>
        <v>0</v>
      </c>
      <c r="J79" s="47"/>
      <c r="K79" s="18"/>
      <c r="L79" s="18"/>
      <c r="M79" s="18"/>
      <c r="N79" s="18"/>
    </row>
    <row r="80" ht="15.75" customHeight="1">
      <c r="A80" s="39"/>
      <c r="B80" s="39"/>
      <c r="C80" s="39"/>
      <c r="D80" s="47"/>
      <c r="E80" s="61"/>
      <c r="F80" s="42" t="s">
        <v>40</v>
      </c>
      <c r="G80" s="43"/>
      <c r="H80" s="50">
        <f>VLOOKUP(F80,$A$23:$B$23,2,TRUE)</f>
        <v>500</v>
      </c>
      <c r="I80" s="45">
        <f t="shared" si="1"/>
        <v>0</v>
      </c>
      <c r="J80" s="47"/>
      <c r="K80" s="18"/>
      <c r="L80" s="18"/>
      <c r="M80" s="18"/>
      <c r="N80" s="18"/>
    </row>
    <row r="81" ht="15.75" customHeight="1">
      <c r="A81" s="39"/>
      <c r="B81" s="39"/>
      <c r="C81" s="39"/>
      <c r="D81" s="47"/>
      <c r="E81" s="61"/>
      <c r="F81" s="42" t="s">
        <v>41</v>
      </c>
      <c r="G81" s="43"/>
      <c r="H81" s="50">
        <f>VLOOKUP(F81,$A$24:$B$24,2,TRUE)</f>
        <v>200</v>
      </c>
      <c r="I81" s="45">
        <f t="shared" si="1"/>
        <v>0</v>
      </c>
      <c r="J81" s="47"/>
      <c r="K81" s="18"/>
      <c r="L81" s="18"/>
      <c r="M81" s="18"/>
      <c r="N81" s="18"/>
    </row>
    <row r="82" ht="15.75" customHeight="1">
      <c r="A82" s="39"/>
      <c r="B82" s="39"/>
      <c r="C82" s="39"/>
      <c r="D82" s="47"/>
      <c r="E82" s="61"/>
      <c r="F82" s="42" t="s">
        <v>42</v>
      </c>
      <c r="G82" s="43"/>
      <c r="H82" s="50">
        <f>VLOOKUP(F82,$A$25:$B$25,2,TRUE)</f>
        <v>1000</v>
      </c>
      <c r="I82" s="45">
        <f t="shared" si="1"/>
        <v>0</v>
      </c>
      <c r="J82" s="47"/>
      <c r="K82" s="18"/>
      <c r="L82" s="18"/>
      <c r="M82" s="18"/>
      <c r="N82" s="18"/>
    </row>
    <row r="83" ht="15.75" customHeight="1">
      <c r="A83" s="39"/>
      <c r="B83" s="39"/>
      <c r="C83" s="39"/>
      <c r="D83" s="47"/>
      <c r="E83" s="61"/>
      <c r="F83" s="42" t="s">
        <v>17</v>
      </c>
      <c r="G83" s="43"/>
      <c r="H83" s="50">
        <f>VLOOKUP(F83,$A$26:$B$26,2,TRUE)</f>
        <v>300</v>
      </c>
      <c r="I83" s="45">
        <f t="shared" si="1"/>
        <v>0</v>
      </c>
      <c r="J83" s="47"/>
      <c r="K83" s="18"/>
      <c r="L83" s="18"/>
      <c r="M83" s="18"/>
      <c r="N83" s="18"/>
    </row>
    <row r="84" ht="15.75" customHeight="1">
      <c r="A84" s="39"/>
      <c r="B84" s="39"/>
      <c r="C84" s="39"/>
      <c r="D84" s="47"/>
      <c r="E84" s="61"/>
      <c r="F84" s="42" t="s">
        <v>43</v>
      </c>
      <c r="G84" s="43"/>
      <c r="H84" s="50">
        <f>VLOOKUP(F84,$A$27:$B$27,2,TRUE)</f>
        <v>100</v>
      </c>
      <c r="I84" s="45">
        <f t="shared" si="1"/>
        <v>0</v>
      </c>
      <c r="J84" s="47"/>
      <c r="K84" s="18"/>
      <c r="L84" s="18"/>
      <c r="M84" s="18"/>
      <c r="N84" s="18"/>
    </row>
    <row r="85" ht="15.75" customHeight="1">
      <c r="A85" s="39"/>
      <c r="B85" s="39"/>
      <c r="C85" s="39"/>
      <c r="D85" s="47"/>
      <c r="E85" s="61"/>
      <c r="F85" s="42" t="s">
        <v>59</v>
      </c>
      <c r="G85" s="43"/>
      <c r="H85" s="50">
        <f>VLOOKUP(F85,$A$28:$B$28,2,TRUE)</f>
        <v>500</v>
      </c>
      <c r="I85" s="45">
        <f t="shared" si="1"/>
        <v>0</v>
      </c>
      <c r="J85" s="47"/>
      <c r="K85" s="18"/>
      <c r="L85" s="18"/>
      <c r="M85" s="18"/>
      <c r="N85" s="18"/>
    </row>
    <row r="86" ht="15.75" customHeight="1">
      <c r="A86" s="39"/>
      <c r="B86" s="39"/>
      <c r="C86" s="39"/>
      <c r="D86" s="47"/>
      <c r="E86" s="61"/>
      <c r="F86" s="42" t="s">
        <v>13</v>
      </c>
      <c r="G86" s="43"/>
      <c r="H86" s="50">
        <f>VLOOKUP(F86,$A$29:$B$29,2,TRUE)</f>
        <v>1500</v>
      </c>
      <c r="I86" s="45">
        <f t="shared" si="1"/>
        <v>0</v>
      </c>
      <c r="J86" s="47"/>
      <c r="K86" s="18"/>
      <c r="L86" s="18"/>
      <c r="M86" s="18"/>
      <c r="N86" s="18"/>
    </row>
    <row r="87" ht="15.75" customHeight="1">
      <c r="A87" s="39"/>
      <c r="B87" s="39"/>
      <c r="C87" s="39"/>
      <c r="D87" s="47"/>
      <c r="E87" s="61"/>
      <c r="F87" s="42" t="s">
        <v>19</v>
      </c>
      <c r="G87" s="43"/>
      <c r="H87" s="50">
        <f>VLOOKUP(F87,$A$30:$B$30,2,TRUE)</f>
        <v>4000</v>
      </c>
      <c r="I87" s="45">
        <f t="shared" si="1"/>
        <v>0</v>
      </c>
      <c r="J87" s="47"/>
      <c r="K87" s="18"/>
      <c r="L87" s="18"/>
      <c r="M87" s="18"/>
      <c r="N87" s="18"/>
    </row>
    <row r="88" ht="15.75" customHeight="1">
      <c r="A88" s="39"/>
      <c r="B88" s="39"/>
      <c r="C88" s="39"/>
      <c r="D88" s="7"/>
      <c r="E88" s="62"/>
      <c r="F88" s="42" t="s">
        <v>60</v>
      </c>
      <c r="G88" s="43"/>
      <c r="H88" s="50">
        <f>VLOOKUP(F88,$A$31:$B$31,2,TRUE)</f>
        <v>500</v>
      </c>
      <c r="I88" s="45">
        <f t="shared" si="1"/>
        <v>0</v>
      </c>
      <c r="J88" s="7"/>
      <c r="K88" s="18"/>
      <c r="L88" s="18"/>
      <c r="M88" s="18"/>
      <c r="N88" s="18"/>
    </row>
    <row r="89" ht="15.75" customHeight="1">
      <c r="A89" s="39"/>
      <c r="B89" s="39"/>
      <c r="C89" s="39"/>
      <c r="D89" s="40">
        <v>4.0</v>
      </c>
      <c r="E89" s="41" t="s">
        <v>98</v>
      </c>
      <c r="F89" s="42" t="s">
        <v>21</v>
      </c>
      <c r="G89" s="43"/>
      <c r="H89" s="50">
        <f>VLOOKUP(F89,$A$4:$B$4,2,TRUE)</f>
        <v>5000</v>
      </c>
      <c r="I89" s="45">
        <f t="shared" si="1"/>
        <v>0</v>
      </c>
      <c r="J89" s="46">
        <f>SUM(I89:I116)</f>
        <v>24500</v>
      </c>
      <c r="K89" s="18"/>
      <c r="L89" s="18"/>
      <c r="M89" s="18"/>
      <c r="N89" s="18"/>
    </row>
    <row r="90" ht="15.75" customHeight="1">
      <c r="A90" s="39"/>
      <c r="B90" s="39"/>
      <c r="C90" s="39"/>
      <c r="D90" s="47"/>
      <c r="E90" s="47"/>
      <c r="F90" s="42" t="s">
        <v>56</v>
      </c>
      <c r="G90" s="43"/>
      <c r="H90" s="50">
        <f>VLOOKUP(F90,$A$5:$B$5,2,TRUE)</f>
        <v>3000</v>
      </c>
      <c r="I90" s="45">
        <f t="shared" si="1"/>
        <v>0</v>
      </c>
      <c r="J90" s="47"/>
      <c r="K90" s="18"/>
      <c r="L90" s="18"/>
      <c r="M90" s="18"/>
      <c r="N90" s="18"/>
    </row>
    <row r="91" ht="15.75" customHeight="1">
      <c r="A91" s="39"/>
      <c r="B91" s="39"/>
      <c r="C91" s="39"/>
      <c r="D91" s="47"/>
      <c r="E91" s="47"/>
      <c r="F91" s="42" t="s">
        <v>58</v>
      </c>
      <c r="G91" s="43"/>
      <c r="H91" s="50">
        <f>VLOOKUP(F91,$A$6:$B$6,2,TRUE)</f>
        <v>1000</v>
      </c>
      <c r="I91" s="45">
        <f t="shared" si="1"/>
        <v>0</v>
      </c>
      <c r="J91" s="47"/>
      <c r="K91" s="18"/>
      <c r="L91" s="18"/>
      <c r="M91" s="18"/>
      <c r="N91" s="18"/>
    </row>
    <row r="92" ht="15.75" customHeight="1">
      <c r="A92" s="39"/>
      <c r="B92" s="39"/>
      <c r="C92" s="39"/>
      <c r="D92" s="47"/>
      <c r="E92" s="47"/>
      <c r="F92" s="42" t="s">
        <v>24</v>
      </c>
      <c r="G92" s="43"/>
      <c r="H92" s="50">
        <f>VLOOKUP(F92,$A$7:$B$7,2,TRUE)</f>
        <v>2800</v>
      </c>
      <c r="I92" s="45">
        <f t="shared" si="1"/>
        <v>0</v>
      </c>
      <c r="J92" s="47"/>
      <c r="K92" s="18"/>
      <c r="L92" s="18"/>
      <c r="M92" s="18"/>
      <c r="N92" s="18"/>
    </row>
    <row r="93" ht="15.75" customHeight="1">
      <c r="A93" s="39"/>
      <c r="B93" s="39"/>
      <c r="C93" s="39"/>
      <c r="D93" s="47"/>
      <c r="E93" s="47"/>
      <c r="F93" s="42" t="s">
        <v>25</v>
      </c>
      <c r="G93" s="43"/>
      <c r="H93" s="50">
        <f>VLOOKUP(F93,$A$8:$B$8,2,TRUE)</f>
        <v>3500</v>
      </c>
      <c r="I93" s="45">
        <f t="shared" si="1"/>
        <v>0</v>
      </c>
      <c r="J93" s="47"/>
      <c r="K93" s="18"/>
      <c r="L93" s="18"/>
      <c r="M93" s="18"/>
      <c r="N93" s="18"/>
    </row>
    <row r="94" ht="15.75" customHeight="1">
      <c r="A94" s="39"/>
      <c r="B94" s="39"/>
      <c r="C94" s="39"/>
      <c r="D94" s="47"/>
      <c r="E94" s="47"/>
      <c r="F94" s="42" t="s">
        <v>26</v>
      </c>
      <c r="G94" s="43"/>
      <c r="H94" s="50">
        <f>VLOOKUP(F94,$A$9:$B$9,2,TRUE)</f>
        <v>1000</v>
      </c>
      <c r="I94" s="45">
        <f t="shared" si="1"/>
        <v>0</v>
      </c>
      <c r="J94" s="47"/>
      <c r="K94" s="18"/>
      <c r="L94" s="18"/>
      <c r="M94" s="18"/>
      <c r="N94" s="18"/>
    </row>
    <row r="95" ht="15.75" customHeight="1">
      <c r="A95" s="39"/>
      <c r="B95" s="39"/>
      <c r="C95" s="39"/>
      <c r="D95" s="47"/>
      <c r="E95" s="47"/>
      <c r="F95" s="42" t="s">
        <v>27</v>
      </c>
      <c r="G95" s="43">
        <v>3.5</v>
      </c>
      <c r="H95" s="50">
        <f>VLOOKUP(F95,$A$10:$B$10,2,TRUE)</f>
        <v>2000</v>
      </c>
      <c r="I95" s="45">
        <f t="shared" si="1"/>
        <v>7000</v>
      </c>
      <c r="J95" s="47"/>
      <c r="K95" s="18"/>
      <c r="L95" s="18"/>
      <c r="M95" s="18"/>
      <c r="N95" s="18"/>
    </row>
    <row r="96" ht="15.75" customHeight="1">
      <c r="A96" s="39"/>
      <c r="B96" s="39"/>
      <c r="C96" s="39"/>
      <c r="D96" s="47"/>
      <c r="E96" s="47"/>
      <c r="F96" s="42" t="s">
        <v>28</v>
      </c>
      <c r="G96" s="43"/>
      <c r="H96" s="50">
        <f>VLOOKUP(F96,$A$11:$B$11,2,TRUE)</f>
        <v>2000</v>
      </c>
      <c r="I96" s="45">
        <f t="shared" si="1"/>
        <v>0</v>
      </c>
      <c r="J96" s="47"/>
      <c r="K96" s="18"/>
      <c r="L96" s="18"/>
      <c r="M96" s="18"/>
      <c r="N96" s="18"/>
    </row>
    <row r="97" ht="15.75" customHeight="1">
      <c r="A97" s="39"/>
      <c r="B97" s="39"/>
      <c r="C97" s="39"/>
      <c r="D97" s="47"/>
      <c r="E97" s="47"/>
      <c r="F97" s="42" t="s">
        <v>29</v>
      </c>
      <c r="G97" s="43"/>
      <c r="H97" s="50">
        <f>VLOOKUP(F97,$A$12:$B$12,2,TRUE)</f>
        <v>1300</v>
      </c>
      <c r="I97" s="45">
        <f t="shared" si="1"/>
        <v>0</v>
      </c>
      <c r="J97" s="47"/>
      <c r="K97" s="18"/>
      <c r="L97" s="18"/>
      <c r="M97" s="18"/>
      <c r="N97" s="18"/>
    </row>
    <row r="98" ht="15.75" customHeight="1">
      <c r="A98" s="39"/>
      <c r="B98" s="39"/>
      <c r="C98" s="39"/>
      <c r="D98" s="47"/>
      <c r="E98" s="47"/>
      <c r="F98" s="42" t="s">
        <v>30</v>
      </c>
      <c r="G98" s="43">
        <f>4+11.5</f>
        <v>15.5</v>
      </c>
      <c r="H98" s="50">
        <f>VLOOKUP(F98,$A$13:$B$13,2,TRUE)</f>
        <v>1000</v>
      </c>
      <c r="I98" s="45">
        <f t="shared" si="1"/>
        <v>15500</v>
      </c>
      <c r="J98" s="47"/>
      <c r="K98" s="18"/>
      <c r="L98" s="18"/>
      <c r="M98" s="18"/>
      <c r="N98" s="18"/>
    </row>
    <row r="99" ht="15.75" customHeight="1">
      <c r="A99" s="39"/>
      <c r="B99" s="39"/>
      <c r="C99" s="39"/>
      <c r="D99" s="47"/>
      <c r="E99" s="47"/>
      <c r="F99" s="42" t="s">
        <v>31</v>
      </c>
      <c r="G99" s="43"/>
      <c r="H99" s="50">
        <f>VLOOKUP(F99,$A$14:$B$14,2,TRUE)</f>
        <v>400</v>
      </c>
      <c r="I99" s="45">
        <f t="shared" si="1"/>
        <v>0</v>
      </c>
      <c r="J99" s="47"/>
      <c r="K99" s="18"/>
      <c r="L99" s="18"/>
      <c r="M99" s="18"/>
      <c r="N99" s="18"/>
    </row>
    <row r="100" ht="15.75" customHeight="1">
      <c r="A100" s="39"/>
      <c r="B100" s="39"/>
      <c r="C100" s="39"/>
      <c r="D100" s="47"/>
      <c r="E100" s="47"/>
      <c r="F100" s="42" t="s">
        <v>32</v>
      </c>
      <c r="G100" s="43"/>
      <c r="H100" s="50">
        <f>VLOOKUP(F100,$A$15:$B$15,2,TRUE)</f>
        <v>7500</v>
      </c>
      <c r="I100" s="45">
        <f t="shared" si="1"/>
        <v>0</v>
      </c>
      <c r="J100" s="47"/>
      <c r="K100" s="18"/>
      <c r="L100" s="18"/>
      <c r="M100" s="18"/>
      <c r="N100" s="18"/>
    </row>
    <row r="101" ht="15.75" customHeight="1">
      <c r="A101" s="39"/>
      <c r="B101" s="39"/>
      <c r="C101" s="39"/>
      <c r="D101" s="47"/>
      <c r="E101" s="47"/>
      <c r="F101" s="42" t="s">
        <v>33</v>
      </c>
      <c r="G101" s="43"/>
      <c r="H101" s="50">
        <f>VLOOKUP(F101,$A$16:$B$16,2,TRUE)</f>
        <v>2000</v>
      </c>
      <c r="I101" s="45">
        <f t="shared" si="1"/>
        <v>0</v>
      </c>
      <c r="J101" s="47"/>
      <c r="K101" s="18"/>
      <c r="L101" s="18"/>
      <c r="M101" s="18"/>
      <c r="N101" s="18"/>
    </row>
    <row r="102" ht="15.75" customHeight="1">
      <c r="A102" s="39"/>
      <c r="B102" s="39"/>
      <c r="C102" s="39"/>
      <c r="D102" s="47"/>
      <c r="E102" s="47"/>
      <c r="F102" s="42" t="s">
        <v>34</v>
      </c>
      <c r="G102" s="43"/>
      <c r="H102" s="50">
        <f>VLOOKUP(F102,$A$17:$B$17,2,TRUE)</f>
        <v>800</v>
      </c>
      <c r="I102" s="45">
        <f t="shared" si="1"/>
        <v>0</v>
      </c>
      <c r="J102" s="47"/>
      <c r="K102" s="18"/>
      <c r="L102" s="18"/>
      <c r="M102" s="18"/>
      <c r="N102" s="18"/>
    </row>
    <row r="103" ht="15.75" customHeight="1">
      <c r="A103" s="39"/>
      <c r="B103" s="39"/>
      <c r="C103" s="39"/>
      <c r="D103" s="47"/>
      <c r="E103" s="47"/>
      <c r="F103" s="42" t="s">
        <v>35</v>
      </c>
      <c r="G103" s="43"/>
      <c r="H103" s="50">
        <f>VLOOKUP(F103,$A$18:$B$18,2,TRUE)</f>
        <v>5000</v>
      </c>
      <c r="I103" s="45">
        <f t="shared" si="1"/>
        <v>0</v>
      </c>
      <c r="J103" s="47"/>
      <c r="K103" s="18"/>
      <c r="L103" s="18"/>
      <c r="M103" s="18"/>
      <c r="N103" s="18"/>
    </row>
    <row r="104" ht="15.75" customHeight="1">
      <c r="A104" s="39"/>
      <c r="B104" s="39"/>
      <c r="C104" s="39"/>
      <c r="D104" s="47"/>
      <c r="E104" s="47"/>
      <c r="F104" s="42" t="s">
        <v>36</v>
      </c>
      <c r="G104" s="43"/>
      <c r="H104" s="50">
        <f>VLOOKUP(F104,$A$19:$B$19,2,TRUE)</f>
        <v>2700</v>
      </c>
      <c r="I104" s="45">
        <f t="shared" si="1"/>
        <v>0</v>
      </c>
      <c r="J104" s="47"/>
      <c r="K104" s="18"/>
      <c r="L104" s="18"/>
      <c r="M104" s="18"/>
      <c r="N104" s="18"/>
    </row>
    <row r="105" ht="15.75" customHeight="1">
      <c r="A105" s="39"/>
      <c r="B105" s="39"/>
      <c r="C105" s="39"/>
      <c r="D105" s="47"/>
      <c r="E105" s="47"/>
      <c r="F105" s="42" t="s">
        <v>37</v>
      </c>
      <c r="G105" s="43"/>
      <c r="H105" s="50">
        <f>VLOOKUP(F105,$A$20:$B$20,2,TRUE)</f>
        <v>50000</v>
      </c>
      <c r="I105" s="45">
        <f t="shared" si="1"/>
        <v>0</v>
      </c>
      <c r="J105" s="47"/>
      <c r="K105" s="18"/>
      <c r="L105" s="18"/>
      <c r="M105" s="18"/>
      <c r="N105" s="18"/>
    </row>
    <row r="106" ht="15.75" customHeight="1">
      <c r="A106" s="39"/>
      <c r="B106" s="39"/>
      <c r="C106" s="39"/>
      <c r="D106" s="47"/>
      <c r="E106" s="47"/>
      <c r="F106" s="42" t="s">
        <v>38</v>
      </c>
      <c r="G106" s="43"/>
      <c r="H106" s="50">
        <f>VLOOKUP(F106,$A$21:$B$21,2,TRUE)</f>
        <v>10000</v>
      </c>
      <c r="I106" s="45">
        <f t="shared" si="1"/>
        <v>0</v>
      </c>
      <c r="J106" s="47"/>
      <c r="K106" s="18"/>
      <c r="L106" s="18"/>
      <c r="M106" s="18"/>
      <c r="N106" s="18"/>
    </row>
    <row r="107" ht="15.75" customHeight="1">
      <c r="A107" s="39"/>
      <c r="B107" s="39"/>
      <c r="C107" s="39"/>
      <c r="D107" s="47"/>
      <c r="E107" s="47"/>
      <c r="F107" s="42" t="s">
        <v>39</v>
      </c>
      <c r="G107" s="43"/>
      <c r="H107" s="50">
        <f>VLOOKUP(F107,$A$22:$B$22,2,TRUE)</f>
        <v>1000</v>
      </c>
      <c r="I107" s="45">
        <f t="shared" si="1"/>
        <v>0</v>
      </c>
      <c r="J107" s="47"/>
      <c r="K107" s="18"/>
      <c r="L107" s="18"/>
      <c r="M107" s="18"/>
      <c r="N107" s="18"/>
    </row>
    <row r="108" ht="15.75" customHeight="1">
      <c r="A108" s="39"/>
      <c r="B108" s="39"/>
      <c r="C108" s="39"/>
      <c r="D108" s="47"/>
      <c r="E108" s="47"/>
      <c r="F108" s="42" t="s">
        <v>40</v>
      </c>
      <c r="G108" s="43"/>
      <c r="H108" s="50">
        <f>VLOOKUP(F108,$A$23:$B$23,2,TRUE)</f>
        <v>500</v>
      </c>
      <c r="I108" s="45">
        <f t="shared" si="1"/>
        <v>0</v>
      </c>
      <c r="J108" s="47"/>
      <c r="K108" s="18"/>
      <c r="L108" s="18"/>
      <c r="M108" s="18"/>
      <c r="N108" s="18"/>
    </row>
    <row r="109" ht="15.75" customHeight="1">
      <c r="A109" s="39"/>
      <c r="B109" s="39"/>
      <c r="C109" s="39"/>
      <c r="D109" s="47"/>
      <c r="E109" s="47"/>
      <c r="F109" s="42" t="s">
        <v>41</v>
      </c>
      <c r="G109" s="43"/>
      <c r="H109" s="50">
        <f>VLOOKUP(F109,$A$24:$B$24,2,TRUE)</f>
        <v>200</v>
      </c>
      <c r="I109" s="45">
        <f t="shared" si="1"/>
        <v>0</v>
      </c>
      <c r="J109" s="47"/>
      <c r="K109" s="18"/>
      <c r="L109" s="18"/>
      <c r="M109" s="18"/>
      <c r="N109" s="18"/>
    </row>
    <row r="110" ht="15.75" customHeight="1">
      <c r="A110" s="39"/>
      <c r="B110" s="39"/>
      <c r="C110" s="39"/>
      <c r="D110" s="47"/>
      <c r="E110" s="47"/>
      <c r="F110" s="42" t="s">
        <v>42</v>
      </c>
      <c r="G110" s="43">
        <v>2.0</v>
      </c>
      <c r="H110" s="50">
        <f>VLOOKUP(F110,$A$25:$B$25,2,TRUE)</f>
        <v>1000</v>
      </c>
      <c r="I110" s="45">
        <f t="shared" si="1"/>
        <v>2000</v>
      </c>
      <c r="J110" s="47"/>
      <c r="K110" s="18"/>
      <c r="L110" s="18"/>
      <c r="M110" s="18"/>
      <c r="N110" s="18"/>
    </row>
    <row r="111" ht="15.75" customHeight="1">
      <c r="A111" s="39"/>
      <c r="B111" s="39"/>
      <c r="C111" s="39"/>
      <c r="D111" s="47"/>
      <c r="E111" s="47"/>
      <c r="F111" s="42" t="s">
        <v>17</v>
      </c>
      <c r="G111" s="43"/>
      <c r="H111" s="50">
        <f>VLOOKUP(F111,$A$26:$B$26,2,TRUE)</f>
        <v>300</v>
      </c>
      <c r="I111" s="45">
        <f t="shared" si="1"/>
        <v>0</v>
      </c>
      <c r="J111" s="47"/>
      <c r="K111" s="18"/>
      <c r="L111" s="18"/>
      <c r="M111" s="18"/>
      <c r="N111" s="18"/>
    </row>
    <row r="112" ht="15.75" customHeight="1">
      <c r="A112" s="39"/>
      <c r="B112" s="39"/>
      <c r="C112" s="39"/>
      <c r="D112" s="47"/>
      <c r="E112" s="47"/>
      <c r="F112" s="42" t="s">
        <v>43</v>
      </c>
      <c r="G112" s="43"/>
      <c r="H112" s="50">
        <f>VLOOKUP(F112,$A$27:$B$27,2,TRUE)</f>
        <v>100</v>
      </c>
      <c r="I112" s="45">
        <f t="shared" si="1"/>
        <v>0</v>
      </c>
      <c r="J112" s="47"/>
      <c r="K112" s="18"/>
      <c r="L112" s="18"/>
      <c r="M112" s="18"/>
      <c r="N112" s="18"/>
    </row>
    <row r="113" ht="15.75" customHeight="1">
      <c r="A113" s="39"/>
      <c r="B113" s="39"/>
      <c r="C113" s="39"/>
      <c r="D113" s="47"/>
      <c r="E113" s="47"/>
      <c r="F113" s="42" t="s">
        <v>59</v>
      </c>
      <c r="G113" s="43"/>
      <c r="H113" s="50">
        <f>VLOOKUP(F113,$A$28:$B$28,2,TRUE)</f>
        <v>500</v>
      </c>
      <c r="I113" s="45">
        <f t="shared" si="1"/>
        <v>0</v>
      </c>
      <c r="J113" s="47"/>
      <c r="K113" s="18"/>
      <c r="L113" s="18"/>
      <c r="M113" s="18"/>
      <c r="N113" s="18"/>
    </row>
    <row r="114" ht="15.75" customHeight="1">
      <c r="A114" s="39"/>
      <c r="B114" s="39"/>
      <c r="C114" s="39"/>
      <c r="D114" s="47"/>
      <c r="E114" s="47"/>
      <c r="F114" s="42" t="s">
        <v>13</v>
      </c>
      <c r="G114" s="43"/>
      <c r="H114" s="50">
        <f>VLOOKUP(F114,$A$29:$B$29,2,TRUE)</f>
        <v>1500</v>
      </c>
      <c r="I114" s="45">
        <f t="shared" si="1"/>
        <v>0</v>
      </c>
      <c r="J114" s="47"/>
      <c r="K114" s="18"/>
      <c r="L114" s="18"/>
      <c r="M114" s="18"/>
      <c r="N114" s="18"/>
    </row>
    <row r="115" ht="15.75" customHeight="1">
      <c r="A115" s="39"/>
      <c r="B115" s="39"/>
      <c r="C115" s="39"/>
      <c r="D115" s="47"/>
      <c r="E115" s="47"/>
      <c r="F115" s="42" t="s">
        <v>19</v>
      </c>
      <c r="G115" s="43"/>
      <c r="H115" s="50">
        <f>VLOOKUP(F115,$A$30:$B$30,2,TRUE)</f>
        <v>4000</v>
      </c>
      <c r="I115" s="45">
        <f t="shared" si="1"/>
        <v>0</v>
      </c>
      <c r="J115" s="47"/>
      <c r="K115" s="18"/>
      <c r="L115" s="18"/>
      <c r="M115" s="18"/>
      <c r="N115" s="18"/>
    </row>
    <row r="116" ht="15.75" customHeight="1">
      <c r="A116" s="39"/>
      <c r="B116" s="39"/>
      <c r="C116" s="39"/>
      <c r="D116" s="7"/>
      <c r="E116" s="7"/>
      <c r="F116" s="42" t="s">
        <v>60</v>
      </c>
      <c r="G116" s="43"/>
      <c r="H116" s="50">
        <f>VLOOKUP(F116,$A$31:$B$31,2,TRUE)</f>
        <v>500</v>
      </c>
      <c r="I116" s="45">
        <f t="shared" si="1"/>
        <v>0</v>
      </c>
      <c r="J116" s="7"/>
      <c r="K116" s="18"/>
      <c r="L116" s="18"/>
      <c r="M116" s="18"/>
      <c r="N116" s="18"/>
    </row>
    <row r="117" ht="15.75" customHeight="1">
      <c r="A117" s="39"/>
      <c r="B117" s="39"/>
      <c r="C117" s="39"/>
      <c r="D117" s="40">
        <v>5.0</v>
      </c>
      <c r="E117" s="41" t="s">
        <v>99</v>
      </c>
      <c r="F117" s="42" t="s">
        <v>21</v>
      </c>
      <c r="G117" s="43"/>
      <c r="H117" s="50">
        <f>VLOOKUP(F117,$A$4:$B$4,2,TRUE)</f>
        <v>5000</v>
      </c>
      <c r="I117" s="45">
        <f t="shared" si="1"/>
        <v>0</v>
      </c>
      <c r="J117" s="46">
        <f>SUM(I117:I144)</f>
        <v>4400</v>
      </c>
      <c r="K117" s="18"/>
      <c r="L117" s="18"/>
      <c r="M117" s="18"/>
      <c r="N117" s="18"/>
    </row>
    <row r="118" ht="15.75" customHeight="1">
      <c r="A118" s="39"/>
      <c r="B118" s="39"/>
      <c r="C118" s="39"/>
      <c r="D118" s="47"/>
      <c r="E118" s="47"/>
      <c r="F118" s="42" t="s">
        <v>56</v>
      </c>
      <c r="G118" s="43">
        <v>1.0</v>
      </c>
      <c r="H118" s="50">
        <f>VLOOKUP(F118,$A$5:$B$5,2,TRUE)</f>
        <v>3000</v>
      </c>
      <c r="I118" s="45">
        <f t="shared" si="1"/>
        <v>3000</v>
      </c>
      <c r="J118" s="47"/>
      <c r="K118" s="18"/>
      <c r="L118" s="18"/>
      <c r="M118" s="18"/>
      <c r="N118" s="18"/>
    </row>
    <row r="119" ht="15.75" customHeight="1">
      <c r="A119" s="39"/>
      <c r="B119" s="39"/>
      <c r="C119" s="39"/>
      <c r="D119" s="47"/>
      <c r="E119" s="47"/>
      <c r="F119" s="42" t="s">
        <v>58</v>
      </c>
      <c r="G119" s="43"/>
      <c r="H119" s="50">
        <f>VLOOKUP(F119,$A$6:$B$6,2,TRUE)</f>
        <v>1000</v>
      </c>
      <c r="I119" s="45">
        <f t="shared" si="1"/>
        <v>0</v>
      </c>
      <c r="J119" s="47"/>
      <c r="K119" s="18"/>
      <c r="L119" s="18"/>
      <c r="M119" s="18"/>
      <c r="N119" s="18"/>
    </row>
    <row r="120" ht="15.75" customHeight="1">
      <c r="A120" s="39"/>
      <c r="B120" s="39"/>
      <c r="C120" s="39"/>
      <c r="D120" s="47"/>
      <c r="E120" s="47"/>
      <c r="F120" s="42" t="s">
        <v>24</v>
      </c>
      <c r="G120" s="43"/>
      <c r="H120" s="50">
        <f>VLOOKUP(F120,$A$7:$B$7,2,TRUE)</f>
        <v>2800</v>
      </c>
      <c r="I120" s="45">
        <f t="shared" si="1"/>
        <v>0</v>
      </c>
      <c r="J120" s="47"/>
      <c r="K120" s="18"/>
      <c r="L120" s="18"/>
      <c r="M120" s="18"/>
      <c r="N120" s="18"/>
    </row>
    <row r="121" ht="15.75" customHeight="1">
      <c r="A121" s="39"/>
      <c r="B121" s="39"/>
      <c r="C121" s="39"/>
      <c r="D121" s="47"/>
      <c r="E121" s="47"/>
      <c r="F121" s="42" t="s">
        <v>25</v>
      </c>
      <c r="G121" s="43"/>
      <c r="H121" s="50">
        <f>VLOOKUP(F121,$A$8:$B$8,2,TRUE)</f>
        <v>3500</v>
      </c>
      <c r="I121" s="45">
        <f t="shared" si="1"/>
        <v>0</v>
      </c>
      <c r="J121" s="47"/>
      <c r="K121" s="18"/>
      <c r="L121" s="18"/>
      <c r="M121" s="18"/>
      <c r="N121" s="18"/>
    </row>
    <row r="122" ht="15.75" customHeight="1">
      <c r="A122" s="39"/>
      <c r="B122" s="39"/>
      <c r="C122" s="39"/>
      <c r="D122" s="47"/>
      <c r="E122" s="47"/>
      <c r="F122" s="42" t="s">
        <v>26</v>
      </c>
      <c r="G122" s="43"/>
      <c r="H122" s="50">
        <f>VLOOKUP(F122,$A$9:$B$9,2,TRUE)</f>
        <v>1000</v>
      </c>
      <c r="I122" s="45">
        <f t="shared" si="1"/>
        <v>0</v>
      </c>
      <c r="J122" s="47"/>
      <c r="K122" s="18"/>
      <c r="L122" s="18"/>
      <c r="M122" s="18"/>
      <c r="N122" s="18"/>
    </row>
    <row r="123" ht="15.75" customHeight="1">
      <c r="A123" s="39"/>
      <c r="B123" s="39"/>
      <c r="C123" s="39"/>
      <c r="D123" s="47"/>
      <c r="E123" s="47"/>
      <c r="F123" s="42" t="s">
        <v>27</v>
      </c>
      <c r="G123" s="43"/>
      <c r="H123" s="50">
        <f>VLOOKUP(F123,$A$10:$B$10,2,TRUE)</f>
        <v>2000</v>
      </c>
      <c r="I123" s="45">
        <f t="shared" si="1"/>
        <v>0</v>
      </c>
      <c r="J123" s="47"/>
      <c r="K123" s="18"/>
      <c r="L123" s="18"/>
      <c r="M123" s="18"/>
      <c r="N123" s="18"/>
    </row>
    <row r="124" ht="15.75" customHeight="1">
      <c r="A124" s="39"/>
      <c r="B124" s="39"/>
      <c r="C124" s="39"/>
      <c r="D124" s="47"/>
      <c r="E124" s="47"/>
      <c r="F124" s="42" t="s">
        <v>28</v>
      </c>
      <c r="G124" s="43"/>
      <c r="H124" s="50">
        <f>VLOOKUP(F124,$A$11:$B$11,2,TRUE)</f>
        <v>2000</v>
      </c>
      <c r="I124" s="45">
        <f t="shared" si="1"/>
        <v>0</v>
      </c>
      <c r="J124" s="47"/>
      <c r="K124" s="18"/>
      <c r="L124" s="18"/>
      <c r="M124" s="18"/>
      <c r="N124" s="18"/>
    </row>
    <row r="125" ht="15.75" customHeight="1">
      <c r="A125" s="39"/>
      <c r="B125" s="39"/>
      <c r="C125" s="39"/>
      <c r="D125" s="47"/>
      <c r="E125" s="47"/>
      <c r="F125" s="42" t="s">
        <v>29</v>
      </c>
      <c r="G125" s="43"/>
      <c r="H125" s="50">
        <f>VLOOKUP(F125,$A$12:$B$12,2,TRUE)</f>
        <v>1300</v>
      </c>
      <c r="I125" s="45">
        <f t="shared" si="1"/>
        <v>0</v>
      </c>
      <c r="J125" s="47"/>
      <c r="K125" s="18"/>
      <c r="L125" s="18"/>
      <c r="M125" s="18"/>
      <c r="N125" s="18"/>
    </row>
    <row r="126" ht="15.75" customHeight="1">
      <c r="A126" s="39"/>
      <c r="B126" s="39"/>
      <c r="C126" s="39"/>
      <c r="D126" s="47"/>
      <c r="E126" s="47"/>
      <c r="F126" s="42" t="s">
        <v>30</v>
      </c>
      <c r="G126" s="43"/>
      <c r="H126" s="50">
        <f>VLOOKUP(F126,$A$13:$B$13,2,TRUE)</f>
        <v>1000</v>
      </c>
      <c r="I126" s="45">
        <f t="shared" si="1"/>
        <v>0</v>
      </c>
      <c r="J126" s="47"/>
      <c r="K126" s="18"/>
      <c r="L126" s="18"/>
      <c r="M126" s="18"/>
      <c r="N126" s="18"/>
    </row>
    <row r="127" ht="15.75" customHeight="1">
      <c r="A127" s="39"/>
      <c r="B127" s="39"/>
      <c r="C127" s="39"/>
      <c r="D127" s="47"/>
      <c r="E127" s="47"/>
      <c r="F127" s="42" t="s">
        <v>31</v>
      </c>
      <c r="G127" s="43"/>
      <c r="H127" s="50">
        <f>VLOOKUP(F127,$A$14:$B$14,2,TRUE)</f>
        <v>400</v>
      </c>
      <c r="I127" s="45">
        <f t="shared" si="1"/>
        <v>0</v>
      </c>
      <c r="J127" s="47"/>
      <c r="K127" s="18"/>
      <c r="L127" s="18"/>
      <c r="M127" s="18"/>
      <c r="N127" s="18"/>
    </row>
    <row r="128" ht="15.75" customHeight="1">
      <c r="A128" s="39"/>
      <c r="B128" s="39"/>
      <c r="C128" s="39"/>
      <c r="D128" s="47"/>
      <c r="E128" s="47"/>
      <c r="F128" s="42" t="s">
        <v>32</v>
      </c>
      <c r="G128" s="43"/>
      <c r="H128" s="50">
        <f>VLOOKUP(F128,$A$15:$B$15,2,TRUE)</f>
        <v>7500</v>
      </c>
      <c r="I128" s="45">
        <f t="shared" si="1"/>
        <v>0</v>
      </c>
      <c r="J128" s="47"/>
      <c r="K128" s="18"/>
      <c r="L128" s="18"/>
      <c r="M128" s="18"/>
      <c r="N128" s="18"/>
    </row>
    <row r="129" ht="15.75" customHeight="1">
      <c r="A129" s="39"/>
      <c r="B129" s="39"/>
      <c r="C129" s="39"/>
      <c r="D129" s="47"/>
      <c r="E129" s="47"/>
      <c r="F129" s="42" t="s">
        <v>33</v>
      </c>
      <c r="G129" s="43"/>
      <c r="H129" s="50">
        <f>VLOOKUP(F129,$A$16:$B$16,2,TRUE)</f>
        <v>2000</v>
      </c>
      <c r="I129" s="45">
        <f t="shared" si="1"/>
        <v>0</v>
      </c>
      <c r="J129" s="47"/>
      <c r="K129" s="18"/>
      <c r="L129" s="18"/>
      <c r="M129" s="18"/>
      <c r="N129" s="18"/>
    </row>
    <row r="130" ht="15.75" customHeight="1">
      <c r="A130" s="39"/>
      <c r="B130" s="39"/>
      <c r="C130" s="39"/>
      <c r="D130" s="47"/>
      <c r="E130" s="47"/>
      <c r="F130" s="42" t="s">
        <v>34</v>
      </c>
      <c r="G130" s="43"/>
      <c r="H130" s="50">
        <f>VLOOKUP(F130,$A$17:$B$17,2,TRUE)</f>
        <v>800</v>
      </c>
      <c r="I130" s="45">
        <f t="shared" si="1"/>
        <v>0</v>
      </c>
      <c r="J130" s="47"/>
      <c r="K130" s="18"/>
      <c r="L130" s="18"/>
      <c r="M130" s="18"/>
      <c r="N130" s="18"/>
    </row>
    <row r="131" ht="15.75" customHeight="1">
      <c r="A131" s="39"/>
      <c r="B131" s="39"/>
      <c r="C131" s="39"/>
      <c r="D131" s="47"/>
      <c r="E131" s="47"/>
      <c r="F131" s="42" t="s">
        <v>35</v>
      </c>
      <c r="G131" s="43"/>
      <c r="H131" s="50">
        <f>VLOOKUP(F131,$A$18:$B$18,2,TRUE)</f>
        <v>5000</v>
      </c>
      <c r="I131" s="45">
        <f t="shared" si="1"/>
        <v>0</v>
      </c>
      <c r="J131" s="47"/>
      <c r="K131" s="18"/>
      <c r="L131" s="18"/>
      <c r="M131" s="18"/>
      <c r="N131" s="18"/>
    </row>
    <row r="132" ht="15.75" customHeight="1">
      <c r="A132" s="39"/>
      <c r="B132" s="39"/>
      <c r="C132" s="39"/>
      <c r="D132" s="47"/>
      <c r="E132" s="47"/>
      <c r="F132" s="42" t="s">
        <v>36</v>
      </c>
      <c r="G132" s="43"/>
      <c r="H132" s="50">
        <f>VLOOKUP(F132,$A$19:$B$19,2,TRUE)</f>
        <v>2700</v>
      </c>
      <c r="I132" s="45">
        <f t="shared" si="1"/>
        <v>0</v>
      </c>
      <c r="J132" s="47"/>
      <c r="K132" s="18"/>
      <c r="L132" s="18"/>
      <c r="M132" s="18"/>
      <c r="N132" s="18"/>
    </row>
    <row r="133" ht="15.75" customHeight="1">
      <c r="A133" s="39"/>
      <c r="B133" s="39"/>
      <c r="C133" s="39"/>
      <c r="D133" s="47"/>
      <c r="E133" s="47"/>
      <c r="F133" s="42" t="s">
        <v>37</v>
      </c>
      <c r="G133" s="43"/>
      <c r="H133" s="50">
        <f>VLOOKUP(F133,$A$20:$B$20,2,TRUE)</f>
        <v>50000</v>
      </c>
      <c r="I133" s="45">
        <f t="shared" si="1"/>
        <v>0</v>
      </c>
      <c r="J133" s="47"/>
      <c r="K133" s="18"/>
      <c r="L133" s="18"/>
      <c r="M133" s="18"/>
      <c r="N133" s="18"/>
    </row>
    <row r="134" ht="15.75" customHeight="1">
      <c r="A134" s="39"/>
      <c r="B134" s="39"/>
      <c r="C134" s="39"/>
      <c r="D134" s="47"/>
      <c r="E134" s="47"/>
      <c r="F134" s="42" t="s">
        <v>38</v>
      </c>
      <c r="G134" s="43"/>
      <c r="H134" s="50">
        <f>VLOOKUP(F134,$A$21:$B$21,2,TRUE)</f>
        <v>10000</v>
      </c>
      <c r="I134" s="45">
        <f t="shared" si="1"/>
        <v>0</v>
      </c>
      <c r="J134" s="47"/>
      <c r="K134" s="18"/>
      <c r="L134" s="18"/>
      <c r="M134" s="18"/>
      <c r="N134" s="18"/>
    </row>
    <row r="135" ht="15.75" customHeight="1">
      <c r="A135" s="39"/>
      <c r="B135" s="39"/>
      <c r="C135" s="39"/>
      <c r="D135" s="47"/>
      <c r="E135" s="47"/>
      <c r="F135" s="42" t="s">
        <v>39</v>
      </c>
      <c r="G135" s="43"/>
      <c r="H135" s="50">
        <f>VLOOKUP(F135,$A$22:$B$22,2,TRUE)</f>
        <v>1000</v>
      </c>
      <c r="I135" s="45">
        <f t="shared" si="1"/>
        <v>0</v>
      </c>
      <c r="J135" s="47"/>
      <c r="K135" s="18"/>
      <c r="L135" s="18"/>
      <c r="M135" s="18"/>
      <c r="N135" s="18"/>
    </row>
    <row r="136" ht="15.75" customHeight="1">
      <c r="A136" s="39"/>
      <c r="B136" s="39"/>
      <c r="C136" s="39"/>
      <c r="D136" s="47"/>
      <c r="E136" s="47"/>
      <c r="F136" s="42" t="s">
        <v>40</v>
      </c>
      <c r="G136" s="43">
        <v>1.0</v>
      </c>
      <c r="H136" s="50">
        <f>VLOOKUP(F136,$A$23:$B$23,2,TRUE)</f>
        <v>500</v>
      </c>
      <c r="I136" s="45">
        <f t="shared" si="1"/>
        <v>500</v>
      </c>
      <c r="J136" s="47"/>
      <c r="K136" s="18"/>
      <c r="L136" s="18"/>
      <c r="M136" s="18"/>
      <c r="N136" s="18"/>
    </row>
    <row r="137" ht="15.75" customHeight="1">
      <c r="A137" s="39"/>
      <c r="B137" s="39"/>
      <c r="C137" s="39"/>
      <c r="D137" s="47"/>
      <c r="E137" s="47"/>
      <c r="F137" s="42" t="s">
        <v>41</v>
      </c>
      <c r="G137" s="43"/>
      <c r="H137" s="50">
        <f>VLOOKUP(F137,$A$24:$B$24,2,TRUE)</f>
        <v>200</v>
      </c>
      <c r="I137" s="45">
        <f t="shared" si="1"/>
        <v>0</v>
      </c>
      <c r="J137" s="47"/>
      <c r="K137" s="18"/>
      <c r="L137" s="18"/>
      <c r="M137" s="18"/>
      <c r="N137" s="18"/>
    </row>
    <row r="138" ht="15.75" customHeight="1">
      <c r="A138" s="39"/>
      <c r="B138" s="39"/>
      <c r="C138" s="39"/>
      <c r="D138" s="47"/>
      <c r="E138" s="47"/>
      <c r="F138" s="42" t="s">
        <v>42</v>
      </c>
      <c r="G138" s="43"/>
      <c r="H138" s="50">
        <f>VLOOKUP(F138,$A$25:$B$25,2,TRUE)</f>
        <v>1000</v>
      </c>
      <c r="I138" s="45">
        <f t="shared" si="1"/>
        <v>0</v>
      </c>
      <c r="J138" s="47"/>
      <c r="K138" s="18"/>
      <c r="L138" s="18"/>
      <c r="M138" s="18"/>
      <c r="N138" s="18"/>
    </row>
    <row r="139" ht="15.75" customHeight="1">
      <c r="A139" s="39"/>
      <c r="B139" s="39"/>
      <c r="C139" s="39"/>
      <c r="D139" s="47"/>
      <c r="E139" s="47"/>
      <c r="F139" s="42" t="s">
        <v>17</v>
      </c>
      <c r="G139" s="43"/>
      <c r="H139" s="50">
        <f>VLOOKUP(F139,$A$26:$B$26,2,TRUE)</f>
        <v>300</v>
      </c>
      <c r="I139" s="45">
        <f t="shared" si="1"/>
        <v>0</v>
      </c>
      <c r="J139" s="47"/>
      <c r="K139" s="18"/>
      <c r="L139" s="18"/>
      <c r="M139" s="18"/>
      <c r="N139" s="18"/>
    </row>
    <row r="140" ht="15.75" customHeight="1">
      <c r="A140" s="39"/>
      <c r="B140" s="39"/>
      <c r="C140" s="39"/>
      <c r="D140" s="47"/>
      <c r="E140" s="47"/>
      <c r="F140" s="42" t="s">
        <v>43</v>
      </c>
      <c r="G140" s="43">
        <v>9.0</v>
      </c>
      <c r="H140" s="50">
        <f>VLOOKUP(F140,$A$27:$B$27,2,TRUE)</f>
        <v>100</v>
      </c>
      <c r="I140" s="45">
        <f t="shared" si="1"/>
        <v>900</v>
      </c>
      <c r="J140" s="47"/>
      <c r="K140" s="18"/>
      <c r="L140" s="18"/>
      <c r="M140" s="18"/>
      <c r="N140" s="18"/>
    </row>
    <row r="141" ht="15.75" customHeight="1">
      <c r="A141" s="39"/>
      <c r="B141" s="39"/>
      <c r="C141" s="39"/>
      <c r="D141" s="47"/>
      <c r="E141" s="47"/>
      <c r="F141" s="42" t="s">
        <v>59</v>
      </c>
      <c r="G141" s="43"/>
      <c r="H141" s="50">
        <f>VLOOKUP(F141,$A$28:$B$28,2,TRUE)</f>
        <v>500</v>
      </c>
      <c r="I141" s="45">
        <f t="shared" si="1"/>
        <v>0</v>
      </c>
      <c r="J141" s="47"/>
      <c r="K141" s="18"/>
      <c r="L141" s="18"/>
      <c r="M141" s="18"/>
      <c r="N141" s="18"/>
    </row>
    <row r="142" ht="15.75" customHeight="1">
      <c r="A142" s="39"/>
      <c r="B142" s="39"/>
      <c r="C142" s="39"/>
      <c r="D142" s="47"/>
      <c r="E142" s="47"/>
      <c r="F142" s="42" t="s">
        <v>13</v>
      </c>
      <c r="G142" s="43"/>
      <c r="H142" s="50">
        <f>VLOOKUP(F142,$A$29:$B$29,2,TRUE)</f>
        <v>1500</v>
      </c>
      <c r="I142" s="45">
        <f t="shared" si="1"/>
        <v>0</v>
      </c>
      <c r="J142" s="47"/>
      <c r="K142" s="18"/>
      <c r="L142" s="18"/>
      <c r="M142" s="18"/>
      <c r="N142" s="18"/>
    </row>
    <row r="143" ht="15.75" customHeight="1">
      <c r="A143" s="39"/>
      <c r="B143" s="39"/>
      <c r="C143" s="39"/>
      <c r="D143" s="47"/>
      <c r="E143" s="47"/>
      <c r="F143" s="42" t="s">
        <v>19</v>
      </c>
      <c r="G143" s="43"/>
      <c r="H143" s="50">
        <f>VLOOKUP(F143,$A$30:$B$30,2,TRUE)</f>
        <v>4000</v>
      </c>
      <c r="I143" s="45">
        <f t="shared" si="1"/>
        <v>0</v>
      </c>
      <c r="J143" s="47"/>
      <c r="K143" s="18"/>
      <c r="L143" s="18"/>
      <c r="M143" s="18"/>
      <c r="N143" s="18"/>
    </row>
    <row r="144" ht="15.75" customHeight="1">
      <c r="A144" s="39"/>
      <c r="B144" s="39"/>
      <c r="C144" s="39"/>
      <c r="D144" s="7"/>
      <c r="E144" s="7"/>
      <c r="F144" s="42" t="s">
        <v>60</v>
      </c>
      <c r="G144" s="43">
        <v>1.5</v>
      </c>
      <c r="H144" s="50"/>
      <c r="I144" s="45">
        <f t="shared" si="1"/>
        <v>0</v>
      </c>
      <c r="J144" s="7"/>
      <c r="K144" s="18"/>
      <c r="L144" s="18"/>
      <c r="M144" s="18"/>
      <c r="N144" s="18"/>
    </row>
    <row r="145" ht="15.75" customHeight="1">
      <c r="A145" s="39"/>
      <c r="B145" s="39"/>
      <c r="C145" s="39"/>
      <c r="D145" s="40">
        <v>6.0</v>
      </c>
      <c r="E145" s="41" t="s">
        <v>100</v>
      </c>
      <c r="F145" s="42" t="s">
        <v>21</v>
      </c>
      <c r="G145" s="43"/>
      <c r="H145" s="50">
        <f>VLOOKUP(F145,$A$4:$B$4,2,TRUE)</f>
        <v>5000</v>
      </c>
      <c r="I145" s="45">
        <f t="shared" si="1"/>
        <v>0</v>
      </c>
      <c r="J145" s="46">
        <f>SUM(I145:I172)</f>
        <v>10900</v>
      </c>
      <c r="K145" s="18"/>
      <c r="L145" s="18"/>
      <c r="M145" s="18"/>
      <c r="N145" s="18"/>
    </row>
    <row r="146" ht="15.75" customHeight="1">
      <c r="A146" s="39"/>
      <c r="B146" s="39"/>
      <c r="C146" s="39"/>
      <c r="D146" s="47"/>
      <c r="E146" s="47"/>
      <c r="F146" s="42" t="s">
        <v>56</v>
      </c>
      <c r="G146" s="43">
        <v>3.0</v>
      </c>
      <c r="H146" s="50">
        <f>VLOOKUP(F146,$A$5:$B$5,2,TRUE)</f>
        <v>3000</v>
      </c>
      <c r="I146" s="45">
        <f t="shared" si="1"/>
        <v>9000</v>
      </c>
      <c r="J146" s="47"/>
      <c r="K146" s="18"/>
      <c r="L146" s="18"/>
      <c r="M146" s="18"/>
      <c r="N146" s="18"/>
    </row>
    <row r="147" ht="15.75" customHeight="1">
      <c r="A147" s="39"/>
      <c r="B147" s="39"/>
      <c r="C147" s="39"/>
      <c r="D147" s="47"/>
      <c r="E147" s="47"/>
      <c r="F147" s="42" t="s">
        <v>58</v>
      </c>
      <c r="G147" s="43"/>
      <c r="H147" s="50">
        <f>VLOOKUP(F147,$A$6:$B$6,2,TRUE)</f>
        <v>1000</v>
      </c>
      <c r="I147" s="45">
        <f t="shared" si="1"/>
        <v>0</v>
      </c>
      <c r="J147" s="47"/>
      <c r="K147" s="18"/>
      <c r="L147" s="18"/>
      <c r="M147" s="18"/>
      <c r="N147" s="18"/>
    </row>
    <row r="148" ht="15.75" customHeight="1">
      <c r="A148" s="39"/>
      <c r="B148" s="39"/>
      <c r="C148" s="39"/>
      <c r="D148" s="47"/>
      <c r="E148" s="47"/>
      <c r="F148" s="42" t="s">
        <v>24</v>
      </c>
      <c r="G148" s="43"/>
      <c r="H148" s="50">
        <f>VLOOKUP(F148,$A$7:$B$7,2,TRUE)</f>
        <v>2800</v>
      </c>
      <c r="I148" s="45">
        <f t="shared" si="1"/>
        <v>0</v>
      </c>
      <c r="J148" s="47"/>
      <c r="K148" s="18"/>
      <c r="L148" s="18"/>
      <c r="M148" s="18"/>
      <c r="N148" s="18"/>
    </row>
    <row r="149" ht="15.75" customHeight="1">
      <c r="A149" s="39"/>
      <c r="B149" s="39"/>
      <c r="C149" s="39"/>
      <c r="D149" s="47"/>
      <c r="E149" s="47"/>
      <c r="F149" s="42" t="s">
        <v>25</v>
      </c>
      <c r="G149" s="43"/>
      <c r="H149" s="50">
        <f>VLOOKUP(F149,$A$8:$B$8,2,TRUE)</f>
        <v>3500</v>
      </c>
      <c r="I149" s="45">
        <f t="shared" si="1"/>
        <v>0</v>
      </c>
      <c r="J149" s="47"/>
      <c r="K149" s="18"/>
      <c r="L149" s="18"/>
      <c r="M149" s="18"/>
      <c r="N149" s="18"/>
    </row>
    <row r="150" ht="15.75" customHeight="1">
      <c r="A150" s="39"/>
      <c r="B150" s="39"/>
      <c r="C150" s="39"/>
      <c r="D150" s="47"/>
      <c r="E150" s="47"/>
      <c r="F150" s="42" t="s">
        <v>26</v>
      </c>
      <c r="G150" s="43">
        <v>1.5</v>
      </c>
      <c r="H150" s="50">
        <f>VLOOKUP(F150,$A$9:$B$9,2,TRUE)</f>
        <v>1000</v>
      </c>
      <c r="I150" s="45">
        <f t="shared" si="1"/>
        <v>1500</v>
      </c>
      <c r="J150" s="47"/>
      <c r="K150" s="18"/>
      <c r="L150" s="18"/>
      <c r="M150" s="18"/>
      <c r="N150" s="18"/>
    </row>
    <row r="151" ht="15.75" customHeight="1">
      <c r="A151" s="39"/>
      <c r="B151" s="39"/>
      <c r="C151" s="39"/>
      <c r="D151" s="47"/>
      <c r="E151" s="47"/>
      <c r="F151" s="42" t="s">
        <v>27</v>
      </c>
      <c r="G151" s="43"/>
      <c r="H151" s="50">
        <f>VLOOKUP(F151,$A$10:$B$10,2,TRUE)</f>
        <v>2000</v>
      </c>
      <c r="I151" s="45">
        <f t="shared" si="1"/>
        <v>0</v>
      </c>
      <c r="J151" s="47"/>
      <c r="K151" s="18"/>
      <c r="L151" s="18"/>
      <c r="M151" s="18"/>
      <c r="N151" s="18"/>
    </row>
    <row r="152" ht="15.75" customHeight="1">
      <c r="A152" s="39"/>
      <c r="B152" s="39"/>
      <c r="C152" s="39"/>
      <c r="D152" s="47"/>
      <c r="E152" s="47"/>
      <c r="F152" s="42" t="s">
        <v>28</v>
      </c>
      <c r="G152" s="43"/>
      <c r="H152" s="50">
        <f>VLOOKUP(F152,$A$11:$B$11,2,TRUE)</f>
        <v>2000</v>
      </c>
      <c r="I152" s="45">
        <f t="shared" si="1"/>
        <v>0</v>
      </c>
      <c r="J152" s="47"/>
      <c r="K152" s="18"/>
      <c r="L152" s="18"/>
      <c r="M152" s="18"/>
      <c r="N152" s="18"/>
    </row>
    <row r="153" ht="15.75" customHeight="1">
      <c r="A153" s="39"/>
      <c r="B153" s="39"/>
      <c r="C153" s="39"/>
      <c r="D153" s="47"/>
      <c r="E153" s="47"/>
      <c r="F153" s="42" t="s">
        <v>29</v>
      </c>
      <c r="G153" s="43"/>
      <c r="H153" s="50">
        <f>VLOOKUP(F153,$A$12:$B$12,2,TRUE)</f>
        <v>1300</v>
      </c>
      <c r="I153" s="45">
        <f t="shared" si="1"/>
        <v>0</v>
      </c>
      <c r="J153" s="47"/>
      <c r="K153" s="18"/>
      <c r="L153" s="18"/>
      <c r="M153" s="18"/>
      <c r="N153" s="18"/>
    </row>
    <row r="154" ht="15.75" customHeight="1">
      <c r="A154" s="39"/>
      <c r="B154" s="39"/>
      <c r="C154" s="39"/>
      <c r="D154" s="47"/>
      <c r="E154" s="47"/>
      <c r="F154" s="42" t="s">
        <v>30</v>
      </c>
      <c r="G154" s="43"/>
      <c r="H154" s="50">
        <f>VLOOKUP(F154,$A$13:$B$13,2,TRUE)</f>
        <v>1000</v>
      </c>
      <c r="I154" s="45">
        <f t="shared" si="1"/>
        <v>0</v>
      </c>
      <c r="J154" s="47"/>
      <c r="K154" s="18"/>
      <c r="L154" s="18"/>
      <c r="M154" s="18"/>
      <c r="N154" s="18"/>
    </row>
    <row r="155" ht="15.75" customHeight="1">
      <c r="A155" s="39"/>
      <c r="B155" s="39"/>
      <c r="C155" s="39"/>
      <c r="D155" s="47"/>
      <c r="E155" s="47"/>
      <c r="F155" s="42" t="s">
        <v>31</v>
      </c>
      <c r="G155" s="43">
        <v>1.0</v>
      </c>
      <c r="H155" s="50">
        <f>VLOOKUP(F155,$A$14:$B$14,2,TRUE)</f>
        <v>400</v>
      </c>
      <c r="I155" s="45">
        <f t="shared" si="1"/>
        <v>400</v>
      </c>
      <c r="J155" s="47"/>
      <c r="K155" s="18"/>
      <c r="L155" s="18"/>
      <c r="M155" s="18"/>
      <c r="N155" s="18"/>
    </row>
    <row r="156" ht="15.75" customHeight="1">
      <c r="A156" s="39"/>
      <c r="B156" s="39"/>
      <c r="C156" s="39"/>
      <c r="D156" s="47"/>
      <c r="E156" s="47"/>
      <c r="F156" s="42" t="s">
        <v>32</v>
      </c>
      <c r="G156" s="43"/>
      <c r="H156" s="50">
        <f>VLOOKUP(F156,$A$15:$B$15,2,TRUE)</f>
        <v>7500</v>
      </c>
      <c r="I156" s="45">
        <f t="shared" si="1"/>
        <v>0</v>
      </c>
      <c r="J156" s="47"/>
      <c r="K156" s="18"/>
      <c r="L156" s="18"/>
      <c r="M156" s="18"/>
      <c r="N156" s="18"/>
    </row>
    <row r="157" ht="15.75" customHeight="1">
      <c r="A157" s="39"/>
      <c r="B157" s="39"/>
      <c r="C157" s="39"/>
      <c r="D157" s="47"/>
      <c r="E157" s="47"/>
      <c r="F157" s="42" t="s">
        <v>33</v>
      </c>
      <c r="G157" s="43"/>
      <c r="H157" s="50">
        <f>VLOOKUP(F157,$A$16:$B$16,2,TRUE)</f>
        <v>2000</v>
      </c>
      <c r="I157" s="45">
        <f t="shared" si="1"/>
        <v>0</v>
      </c>
      <c r="J157" s="47"/>
      <c r="K157" s="18"/>
      <c r="L157" s="18"/>
      <c r="M157" s="18"/>
      <c r="N157" s="18"/>
    </row>
    <row r="158" ht="15.75" customHeight="1">
      <c r="A158" s="39"/>
      <c r="B158" s="39"/>
      <c r="C158" s="39"/>
      <c r="D158" s="47"/>
      <c r="E158" s="47"/>
      <c r="F158" s="42" t="s">
        <v>34</v>
      </c>
      <c r="G158" s="43"/>
      <c r="H158" s="50">
        <f>VLOOKUP(F158,$A$17:$B$17,2,TRUE)</f>
        <v>800</v>
      </c>
      <c r="I158" s="45">
        <f t="shared" si="1"/>
        <v>0</v>
      </c>
      <c r="J158" s="47"/>
      <c r="K158" s="18"/>
      <c r="L158" s="18"/>
      <c r="M158" s="18"/>
      <c r="N158" s="18"/>
    </row>
    <row r="159" ht="15.75" customHeight="1">
      <c r="A159" s="39"/>
      <c r="B159" s="39"/>
      <c r="C159" s="39"/>
      <c r="D159" s="47"/>
      <c r="E159" s="47"/>
      <c r="F159" s="42" t="s">
        <v>35</v>
      </c>
      <c r="G159" s="43"/>
      <c r="H159" s="50">
        <f>VLOOKUP(F159,$A$18:$B$18,2,TRUE)</f>
        <v>5000</v>
      </c>
      <c r="I159" s="45">
        <f t="shared" si="1"/>
        <v>0</v>
      </c>
      <c r="J159" s="47"/>
      <c r="K159" s="18"/>
      <c r="L159" s="18"/>
      <c r="M159" s="18"/>
      <c r="N159" s="18"/>
    </row>
    <row r="160" ht="15.75" customHeight="1">
      <c r="A160" s="39"/>
      <c r="B160" s="39"/>
      <c r="C160" s="39"/>
      <c r="D160" s="47"/>
      <c r="E160" s="47"/>
      <c r="F160" s="42" t="s">
        <v>36</v>
      </c>
      <c r="G160" s="43"/>
      <c r="H160" s="50">
        <f>VLOOKUP(F160,$A$19:$B$19,2,TRUE)</f>
        <v>2700</v>
      </c>
      <c r="I160" s="45">
        <f t="shared" si="1"/>
        <v>0</v>
      </c>
      <c r="J160" s="47"/>
      <c r="K160" s="18"/>
      <c r="L160" s="18"/>
      <c r="M160" s="18"/>
      <c r="N160" s="18"/>
    </row>
    <row r="161" ht="15.75" customHeight="1">
      <c r="A161" s="39"/>
      <c r="B161" s="39"/>
      <c r="C161" s="39"/>
      <c r="D161" s="47"/>
      <c r="E161" s="47"/>
      <c r="F161" s="42" t="s">
        <v>37</v>
      </c>
      <c r="G161" s="43"/>
      <c r="H161" s="50">
        <f>VLOOKUP(F161,$A$20:$B$20,2,TRUE)</f>
        <v>50000</v>
      </c>
      <c r="I161" s="45">
        <f t="shared" si="1"/>
        <v>0</v>
      </c>
      <c r="J161" s="47"/>
      <c r="K161" s="18"/>
      <c r="L161" s="18"/>
      <c r="M161" s="18"/>
      <c r="N161" s="18"/>
    </row>
    <row r="162" ht="15.75" customHeight="1">
      <c r="A162" s="39"/>
      <c r="B162" s="39"/>
      <c r="C162" s="39"/>
      <c r="D162" s="47"/>
      <c r="E162" s="47"/>
      <c r="F162" s="42" t="s">
        <v>38</v>
      </c>
      <c r="G162" s="43"/>
      <c r="H162" s="50">
        <f>VLOOKUP(F162,$A$21:$B$21,2,TRUE)</f>
        <v>10000</v>
      </c>
      <c r="I162" s="45">
        <f t="shared" si="1"/>
        <v>0</v>
      </c>
      <c r="J162" s="47"/>
      <c r="K162" s="18"/>
      <c r="L162" s="18"/>
      <c r="M162" s="18"/>
      <c r="N162" s="18"/>
    </row>
    <row r="163" ht="15.75" customHeight="1">
      <c r="A163" s="39"/>
      <c r="B163" s="39"/>
      <c r="C163" s="39"/>
      <c r="D163" s="47"/>
      <c r="E163" s="47"/>
      <c r="F163" s="42" t="s">
        <v>39</v>
      </c>
      <c r="G163" s="43"/>
      <c r="H163" s="50">
        <f>VLOOKUP(F163,$A$22:$B$22,2,TRUE)</f>
        <v>1000</v>
      </c>
      <c r="I163" s="45">
        <f t="shared" si="1"/>
        <v>0</v>
      </c>
      <c r="J163" s="47"/>
      <c r="K163" s="18"/>
      <c r="L163" s="18"/>
      <c r="M163" s="18"/>
      <c r="N163" s="18"/>
    </row>
    <row r="164" ht="15.75" customHeight="1">
      <c r="A164" s="39"/>
      <c r="B164" s="39"/>
      <c r="C164" s="39"/>
      <c r="D164" s="47"/>
      <c r="E164" s="47"/>
      <c r="F164" s="42" t="s">
        <v>40</v>
      </c>
      <c r="G164" s="43"/>
      <c r="H164" s="50">
        <f>VLOOKUP(F164,$A$23:$B$23,2,TRUE)</f>
        <v>500</v>
      </c>
      <c r="I164" s="45">
        <f t="shared" si="1"/>
        <v>0</v>
      </c>
      <c r="J164" s="47"/>
      <c r="K164" s="18"/>
      <c r="L164" s="18"/>
      <c r="M164" s="18"/>
      <c r="N164" s="18"/>
    </row>
    <row r="165" ht="15.75" customHeight="1">
      <c r="A165" s="39"/>
      <c r="B165" s="39"/>
      <c r="C165" s="39"/>
      <c r="D165" s="47"/>
      <c r="E165" s="47"/>
      <c r="F165" s="42" t="s">
        <v>41</v>
      </c>
      <c r="G165" s="43"/>
      <c r="H165" s="50">
        <f>VLOOKUP(F165,$A$24:$B$24,2,TRUE)</f>
        <v>200</v>
      </c>
      <c r="I165" s="45">
        <f t="shared" si="1"/>
        <v>0</v>
      </c>
      <c r="J165" s="47"/>
      <c r="K165" s="18"/>
      <c r="L165" s="18"/>
      <c r="M165" s="18"/>
      <c r="N165" s="18"/>
    </row>
    <row r="166" ht="15.75" customHeight="1">
      <c r="A166" s="39"/>
      <c r="B166" s="39"/>
      <c r="C166" s="39"/>
      <c r="D166" s="47"/>
      <c r="E166" s="47"/>
      <c r="F166" s="42" t="s">
        <v>42</v>
      </c>
      <c r="G166" s="43"/>
      <c r="H166" s="50">
        <f>VLOOKUP(F166,$A$25:$B$25,2,TRUE)</f>
        <v>1000</v>
      </c>
      <c r="I166" s="45">
        <f t="shared" si="1"/>
        <v>0</v>
      </c>
      <c r="J166" s="47"/>
      <c r="K166" s="18"/>
      <c r="L166" s="18"/>
      <c r="M166" s="18"/>
      <c r="N166" s="18"/>
    </row>
    <row r="167" ht="15.75" customHeight="1">
      <c r="A167" s="39"/>
      <c r="B167" s="39"/>
      <c r="C167" s="39"/>
      <c r="D167" s="47"/>
      <c r="E167" s="47"/>
      <c r="F167" s="42" t="s">
        <v>17</v>
      </c>
      <c r="G167" s="43"/>
      <c r="H167" s="50">
        <f>VLOOKUP(F167,$A$26:$B$26,2,TRUE)</f>
        <v>300</v>
      </c>
      <c r="I167" s="45">
        <f t="shared" si="1"/>
        <v>0</v>
      </c>
      <c r="J167" s="47"/>
      <c r="K167" s="18"/>
      <c r="L167" s="18"/>
      <c r="M167" s="18"/>
      <c r="N167" s="18"/>
    </row>
    <row r="168" ht="15.75" customHeight="1">
      <c r="A168" s="39"/>
      <c r="B168" s="39"/>
      <c r="C168" s="39"/>
      <c r="D168" s="47"/>
      <c r="E168" s="47"/>
      <c r="F168" s="42" t="s">
        <v>43</v>
      </c>
      <c r="G168" s="43"/>
      <c r="H168" s="50">
        <f>VLOOKUP(F168,$A$27:$B$27,2,TRUE)</f>
        <v>100</v>
      </c>
      <c r="I168" s="45">
        <f t="shared" si="1"/>
        <v>0</v>
      </c>
      <c r="J168" s="47"/>
      <c r="K168" s="18"/>
      <c r="L168" s="18"/>
      <c r="M168" s="18"/>
      <c r="N168" s="18"/>
    </row>
    <row r="169" ht="15.75" customHeight="1">
      <c r="A169" s="39"/>
      <c r="B169" s="39"/>
      <c r="C169" s="39"/>
      <c r="D169" s="47"/>
      <c r="E169" s="47"/>
      <c r="F169" s="42" t="s">
        <v>59</v>
      </c>
      <c r="G169" s="43"/>
      <c r="H169" s="50">
        <f>VLOOKUP(F169,$A$28:$B$28,2,TRUE)</f>
        <v>500</v>
      </c>
      <c r="I169" s="45">
        <f t="shared" si="1"/>
        <v>0</v>
      </c>
      <c r="J169" s="47"/>
      <c r="K169" s="18"/>
      <c r="L169" s="18"/>
      <c r="M169" s="18"/>
      <c r="N169" s="18"/>
    </row>
    <row r="170" ht="15.75" customHeight="1">
      <c r="A170" s="39"/>
      <c r="B170" s="39"/>
      <c r="C170" s="39"/>
      <c r="D170" s="47"/>
      <c r="E170" s="47"/>
      <c r="F170" s="42" t="s">
        <v>13</v>
      </c>
      <c r="G170" s="43"/>
      <c r="H170" s="50">
        <f>VLOOKUP(F170,$A$29:$B$29,2,TRUE)</f>
        <v>1500</v>
      </c>
      <c r="I170" s="45">
        <f t="shared" si="1"/>
        <v>0</v>
      </c>
      <c r="J170" s="47"/>
      <c r="K170" s="18"/>
      <c r="L170" s="18"/>
      <c r="M170" s="18"/>
      <c r="N170" s="18"/>
    </row>
    <row r="171" ht="15.75" customHeight="1">
      <c r="A171" s="39"/>
      <c r="B171" s="39"/>
      <c r="C171" s="39"/>
      <c r="D171" s="47"/>
      <c r="E171" s="47"/>
      <c r="F171" s="42" t="s">
        <v>19</v>
      </c>
      <c r="G171" s="43"/>
      <c r="H171" s="50">
        <f>VLOOKUP(F171,$A$30:$B$30,2,TRUE)</f>
        <v>4000</v>
      </c>
      <c r="I171" s="45">
        <f t="shared" si="1"/>
        <v>0</v>
      </c>
      <c r="J171" s="47"/>
      <c r="K171" s="18"/>
      <c r="L171" s="18"/>
      <c r="M171" s="18"/>
      <c r="N171" s="18"/>
    </row>
    <row r="172" ht="15.75" customHeight="1">
      <c r="A172" s="39"/>
      <c r="B172" s="39"/>
      <c r="C172" s="39"/>
      <c r="D172" s="7"/>
      <c r="E172" s="7"/>
      <c r="F172" s="42" t="s">
        <v>60</v>
      </c>
      <c r="G172" s="43">
        <v>4.5</v>
      </c>
      <c r="H172" s="50"/>
      <c r="I172" s="45">
        <f t="shared" si="1"/>
        <v>0</v>
      </c>
      <c r="J172" s="7"/>
      <c r="K172" s="18"/>
      <c r="L172" s="18"/>
      <c r="M172" s="18"/>
      <c r="N172" s="18"/>
    </row>
    <row r="173" ht="15.75" customHeight="1">
      <c r="A173" s="39"/>
      <c r="B173" s="39"/>
      <c r="C173" s="39"/>
      <c r="D173" s="40">
        <v>7.0</v>
      </c>
      <c r="E173" s="41" t="s">
        <v>101</v>
      </c>
      <c r="F173" s="42" t="s">
        <v>21</v>
      </c>
      <c r="G173" s="43"/>
      <c r="H173" s="50">
        <f>VLOOKUP(F173,$A$4:$B$4,2,TRUE)</f>
        <v>5000</v>
      </c>
      <c r="I173" s="45">
        <f t="shared" si="1"/>
        <v>0</v>
      </c>
      <c r="J173" s="46">
        <f>SUM(I173:I200)</f>
        <v>10000</v>
      </c>
      <c r="K173" s="18"/>
      <c r="L173" s="18"/>
      <c r="M173" s="18"/>
      <c r="N173" s="18"/>
    </row>
    <row r="174" ht="15.75" customHeight="1">
      <c r="A174" s="39"/>
      <c r="B174" s="39"/>
      <c r="C174" s="39"/>
      <c r="D174" s="47"/>
      <c r="E174" s="47"/>
      <c r="F174" s="42" t="s">
        <v>56</v>
      </c>
      <c r="G174" s="43"/>
      <c r="H174" s="50">
        <f>VLOOKUP(F174,$A$5:$B$5,2,TRUE)</f>
        <v>3000</v>
      </c>
      <c r="I174" s="45">
        <f t="shared" si="1"/>
        <v>0</v>
      </c>
      <c r="J174" s="47"/>
      <c r="K174" s="18"/>
      <c r="L174" s="18"/>
      <c r="M174" s="18"/>
      <c r="N174" s="18"/>
    </row>
    <row r="175" ht="15.75" customHeight="1">
      <c r="A175" s="39"/>
      <c r="B175" s="39"/>
      <c r="C175" s="39"/>
      <c r="D175" s="47"/>
      <c r="E175" s="47"/>
      <c r="F175" s="42" t="s">
        <v>58</v>
      </c>
      <c r="G175" s="43"/>
      <c r="H175" s="50">
        <f>VLOOKUP(F175,$A$6:$B$6,2,TRUE)</f>
        <v>1000</v>
      </c>
      <c r="I175" s="45">
        <f t="shared" si="1"/>
        <v>0</v>
      </c>
      <c r="J175" s="47"/>
      <c r="K175" s="18"/>
      <c r="L175" s="18"/>
      <c r="M175" s="18"/>
      <c r="N175" s="18"/>
    </row>
    <row r="176" ht="15.75" customHeight="1">
      <c r="A176" s="39"/>
      <c r="B176" s="39"/>
      <c r="C176" s="39"/>
      <c r="D176" s="47"/>
      <c r="E176" s="47"/>
      <c r="F176" s="42" t="s">
        <v>24</v>
      </c>
      <c r="G176" s="43"/>
      <c r="H176" s="50">
        <f>VLOOKUP(F176,$A$7:$B$7,2,TRUE)</f>
        <v>2800</v>
      </c>
      <c r="I176" s="45">
        <f t="shared" si="1"/>
        <v>0</v>
      </c>
      <c r="J176" s="47"/>
      <c r="K176" s="18"/>
      <c r="L176" s="18"/>
      <c r="M176" s="18"/>
      <c r="N176" s="18"/>
    </row>
    <row r="177" ht="15.75" customHeight="1">
      <c r="A177" s="39"/>
      <c r="B177" s="39"/>
      <c r="C177" s="39"/>
      <c r="D177" s="47"/>
      <c r="E177" s="47"/>
      <c r="F177" s="42" t="s">
        <v>25</v>
      </c>
      <c r="G177" s="43"/>
      <c r="H177" s="50">
        <f>VLOOKUP(F177,$A$8:$B$8,2,TRUE)</f>
        <v>3500</v>
      </c>
      <c r="I177" s="45">
        <f t="shared" si="1"/>
        <v>0</v>
      </c>
      <c r="J177" s="47"/>
      <c r="K177" s="18"/>
      <c r="L177" s="18"/>
      <c r="M177" s="18"/>
      <c r="N177" s="18"/>
    </row>
    <row r="178" ht="15.75" customHeight="1">
      <c r="A178" s="39"/>
      <c r="B178" s="39"/>
      <c r="C178" s="39"/>
      <c r="D178" s="47"/>
      <c r="E178" s="47"/>
      <c r="F178" s="42" t="s">
        <v>26</v>
      </c>
      <c r="G178" s="43"/>
      <c r="H178" s="50">
        <f>VLOOKUP(F178,$A$9:$B$9,2,TRUE)</f>
        <v>1000</v>
      </c>
      <c r="I178" s="45">
        <f t="shared" si="1"/>
        <v>0</v>
      </c>
      <c r="J178" s="47"/>
      <c r="K178" s="18"/>
      <c r="L178" s="18"/>
      <c r="M178" s="18"/>
      <c r="N178" s="18"/>
    </row>
    <row r="179" ht="15.75" customHeight="1">
      <c r="A179" s="39"/>
      <c r="B179" s="39"/>
      <c r="C179" s="39"/>
      <c r="D179" s="47"/>
      <c r="E179" s="47"/>
      <c r="F179" s="42" t="s">
        <v>27</v>
      </c>
      <c r="G179" s="43">
        <v>5.0</v>
      </c>
      <c r="H179" s="50">
        <f>VLOOKUP(F179,$A$10:$B$10,2,TRUE)</f>
        <v>2000</v>
      </c>
      <c r="I179" s="45">
        <f t="shared" si="1"/>
        <v>10000</v>
      </c>
      <c r="J179" s="47"/>
      <c r="K179" s="18"/>
      <c r="L179" s="18"/>
      <c r="M179" s="18"/>
      <c r="N179" s="18"/>
    </row>
    <row r="180" ht="15.75" customHeight="1">
      <c r="A180" s="39"/>
      <c r="B180" s="39"/>
      <c r="C180" s="39"/>
      <c r="D180" s="47"/>
      <c r="E180" s="47"/>
      <c r="F180" s="42" t="s">
        <v>28</v>
      </c>
      <c r="G180" s="43"/>
      <c r="H180" s="50">
        <f>VLOOKUP(F180,$A$11:$B$11,2,TRUE)</f>
        <v>2000</v>
      </c>
      <c r="I180" s="45">
        <f t="shared" si="1"/>
        <v>0</v>
      </c>
      <c r="J180" s="47"/>
      <c r="K180" s="18"/>
      <c r="L180" s="18"/>
      <c r="M180" s="18"/>
      <c r="N180" s="18"/>
    </row>
    <row r="181" ht="15.75" customHeight="1">
      <c r="A181" s="39"/>
      <c r="B181" s="39"/>
      <c r="C181" s="39"/>
      <c r="D181" s="47"/>
      <c r="E181" s="47"/>
      <c r="F181" s="42" t="s">
        <v>29</v>
      </c>
      <c r="G181" s="43"/>
      <c r="H181" s="50">
        <f>VLOOKUP(F181,$A$12:$B$12,2,TRUE)</f>
        <v>1300</v>
      </c>
      <c r="I181" s="45">
        <f t="shared" si="1"/>
        <v>0</v>
      </c>
      <c r="J181" s="47"/>
      <c r="K181" s="18"/>
      <c r="L181" s="18"/>
      <c r="M181" s="18"/>
      <c r="N181" s="18"/>
    </row>
    <row r="182" ht="15.75" customHeight="1">
      <c r="A182" s="39"/>
      <c r="B182" s="39"/>
      <c r="C182" s="39"/>
      <c r="D182" s="47"/>
      <c r="E182" s="47"/>
      <c r="F182" s="42" t="s">
        <v>30</v>
      </c>
      <c r="G182" s="43"/>
      <c r="H182" s="50">
        <f>VLOOKUP(F182,$A$13:$B$13,2,TRUE)</f>
        <v>1000</v>
      </c>
      <c r="I182" s="45">
        <f t="shared" si="1"/>
        <v>0</v>
      </c>
      <c r="J182" s="47"/>
      <c r="K182" s="18"/>
      <c r="L182" s="18"/>
      <c r="M182" s="18"/>
      <c r="N182" s="18"/>
    </row>
    <row r="183" ht="15.75" customHeight="1">
      <c r="A183" s="39"/>
      <c r="B183" s="39"/>
      <c r="C183" s="39"/>
      <c r="D183" s="47"/>
      <c r="E183" s="47"/>
      <c r="F183" s="42" t="s">
        <v>31</v>
      </c>
      <c r="G183" s="43"/>
      <c r="H183" s="50">
        <f>VLOOKUP(F183,$A$14:$B$14,2,TRUE)</f>
        <v>400</v>
      </c>
      <c r="I183" s="45">
        <f t="shared" si="1"/>
        <v>0</v>
      </c>
      <c r="J183" s="47"/>
      <c r="K183" s="18"/>
      <c r="L183" s="18"/>
      <c r="M183" s="18"/>
      <c r="N183" s="18"/>
    </row>
    <row r="184" ht="15.75" customHeight="1">
      <c r="A184" s="39"/>
      <c r="B184" s="39"/>
      <c r="C184" s="39"/>
      <c r="D184" s="47"/>
      <c r="E184" s="47"/>
      <c r="F184" s="42" t="s">
        <v>32</v>
      </c>
      <c r="G184" s="43"/>
      <c r="H184" s="50">
        <f>VLOOKUP(F184,$A$15:$B$15,2,TRUE)</f>
        <v>7500</v>
      </c>
      <c r="I184" s="45">
        <f t="shared" si="1"/>
        <v>0</v>
      </c>
      <c r="J184" s="47"/>
      <c r="K184" s="18"/>
      <c r="L184" s="18"/>
      <c r="M184" s="18"/>
      <c r="N184" s="18"/>
    </row>
    <row r="185" ht="15.75" customHeight="1">
      <c r="A185" s="39"/>
      <c r="B185" s="39"/>
      <c r="C185" s="39"/>
      <c r="D185" s="47"/>
      <c r="E185" s="47"/>
      <c r="F185" s="42" t="s">
        <v>33</v>
      </c>
      <c r="G185" s="43"/>
      <c r="H185" s="50">
        <f>VLOOKUP(F185,$A$16:$B$16,2,TRUE)</f>
        <v>2000</v>
      </c>
      <c r="I185" s="45">
        <f t="shared" si="1"/>
        <v>0</v>
      </c>
      <c r="J185" s="47"/>
      <c r="K185" s="18"/>
      <c r="L185" s="18"/>
      <c r="M185" s="18"/>
      <c r="N185" s="18"/>
    </row>
    <row r="186" ht="15.75" customHeight="1">
      <c r="A186" s="39"/>
      <c r="B186" s="39"/>
      <c r="C186" s="39"/>
      <c r="D186" s="47"/>
      <c r="E186" s="47"/>
      <c r="F186" s="42" t="s">
        <v>34</v>
      </c>
      <c r="G186" s="43"/>
      <c r="H186" s="50">
        <f>VLOOKUP(F186,$A$17:$B$17,2,TRUE)</f>
        <v>800</v>
      </c>
      <c r="I186" s="45">
        <f t="shared" si="1"/>
        <v>0</v>
      </c>
      <c r="J186" s="47"/>
      <c r="K186" s="18"/>
      <c r="L186" s="18"/>
      <c r="M186" s="18"/>
      <c r="N186" s="18"/>
    </row>
    <row r="187" ht="15.75" customHeight="1">
      <c r="A187" s="39"/>
      <c r="B187" s="39"/>
      <c r="C187" s="39"/>
      <c r="D187" s="47"/>
      <c r="E187" s="47"/>
      <c r="F187" s="42" t="s">
        <v>35</v>
      </c>
      <c r="G187" s="43"/>
      <c r="H187" s="50">
        <f>VLOOKUP(F187,$A$18:$B$18,2,TRUE)</f>
        <v>5000</v>
      </c>
      <c r="I187" s="45">
        <f t="shared" si="1"/>
        <v>0</v>
      </c>
      <c r="J187" s="47"/>
      <c r="K187" s="18"/>
      <c r="L187" s="18"/>
      <c r="M187" s="18"/>
      <c r="N187" s="18"/>
    </row>
    <row r="188" ht="15.75" customHeight="1">
      <c r="A188" s="39"/>
      <c r="B188" s="39"/>
      <c r="C188" s="39"/>
      <c r="D188" s="47"/>
      <c r="E188" s="47"/>
      <c r="F188" s="42" t="s">
        <v>36</v>
      </c>
      <c r="G188" s="43"/>
      <c r="H188" s="50">
        <f>VLOOKUP(F188,$A$19:$B$19,2,TRUE)</f>
        <v>2700</v>
      </c>
      <c r="I188" s="45">
        <f t="shared" si="1"/>
        <v>0</v>
      </c>
      <c r="J188" s="47"/>
      <c r="K188" s="18"/>
      <c r="L188" s="18"/>
      <c r="M188" s="18"/>
      <c r="N188" s="18"/>
    </row>
    <row r="189" ht="15.75" customHeight="1">
      <c r="A189" s="39"/>
      <c r="B189" s="39"/>
      <c r="C189" s="39"/>
      <c r="D189" s="47"/>
      <c r="E189" s="47"/>
      <c r="F189" s="42" t="s">
        <v>37</v>
      </c>
      <c r="G189" s="43"/>
      <c r="H189" s="50">
        <f>VLOOKUP(F189,$A$20:$B$20,2,TRUE)</f>
        <v>50000</v>
      </c>
      <c r="I189" s="45">
        <f t="shared" si="1"/>
        <v>0</v>
      </c>
      <c r="J189" s="47"/>
      <c r="K189" s="18"/>
      <c r="L189" s="18"/>
      <c r="M189" s="18"/>
      <c r="N189" s="18"/>
    </row>
    <row r="190" ht="15.75" customHeight="1">
      <c r="A190" s="39"/>
      <c r="B190" s="39"/>
      <c r="C190" s="39"/>
      <c r="D190" s="47"/>
      <c r="E190" s="47"/>
      <c r="F190" s="42" t="s">
        <v>38</v>
      </c>
      <c r="G190" s="43"/>
      <c r="H190" s="50">
        <f>VLOOKUP(F190,$A$21:$B$21,2,TRUE)</f>
        <v>10000</v>
      </c>
      <c r="I190" s="45">
        <f t="shared" si="1"/>
        <v>0</v>
      </c>
      <c r="J190" s="47"/>
      <c r="K190" s="18"/>
      <c r="L190" s="18"/>
      <c r="M190" s="18"/>
      <c r="N190" s="18"/>
    </row>
    <row r="191" ht="15.75" customHeight="1">
      <c r="A191" s="39"/>
      <c r="B191" s="39"/>
      <c r="C191" s="39"/>
      <c r="D191" s="47"/>
      <c r="E191" s="47"/>
      <c r="F191" s="42" t="s">
        <v>39</v>
      </c>
      <c r="G191" s="43"/>
      <c r="H191" s="50">
        <f>VLOOKUP(F191,$A$22:$B$22,2,TRUE)</f>
        <v>1000</v>
      </c>
      <c r="I191" s="45">
        <f t="shared" si="1"/>
        <v>0</v>
      </c>
      <c r="J191" s="47"/>
      <c r="K191" s="18"/>
      <c r="L191" s="18"/>
      <c r="M191" s="18"/>
      <c r="N191" s="18"/>
    </row>
    <row r="192" ht="15.75" customHeight="1">
      <c r="A192" s="39"/>
      <c r="B192" s="39"/>
      <c r="C192" s="39"/>
      <c r="D192" s="47"/>
      <c r="E192" s="47"/>
      <c r="F192" s="42" t="s">
        <v>40</v>
      </c>
      <c r="G192" s="43"/>
      <c r="H192" s="50">
        <f>VLOOKUP(F192,$A$23:$B$23,2,TRUE)</f>
        <v>500</v>
      </c>
      <c r="I192" s="45">
        <f t="shared" si="1"/>
        <v>0</v>
      </c>
      <c r="J192" s="47"/>
      <c r="K192" s="18"/>
      <c r="L192" s="18"/>
      <c r="M192" s="18"/>
      <c r="N192" s="18"/>
    </row>
    <row r="193" ht="15.75" customHeight="1">
      <c r="A193" s="39"/>
      <c r="B193" s="39"/>
      <c r="C193" s="39"/>
      <c r="D193" s="47"/>
      <c r="E193" s="47"/>
      <c r="F193" s="42" t="s">
        <v>41</v>
      </c>
      <c r="G193" s="43"/>
      <c r="H193" s="50">
        <f>VLOOKUP(F193,$A$24:$B$24,2,TRUE)</f>
        <v>200</v>
      </c>
      <c r="I193" s="45">
        <f t="shared" si="1"/>
        <v>0</v>
      </c>
      <c r="J193" s="47"/>
      <c r="K193" s="18"/>
      <c r="L193" s="18"/>
      <c r="M193" s="18"/>
      <c r="N193" s="18"/>
    </row>
    <row r="194" ht="15.75" customHeight="1">
      <c r="A194" s="39"/>
      <c r="B194" s="39"/>
      <c r="C194" s="39"/>
      <c r="D194" s="47"/>
      <c r="E194" s="47"/>
      <c r="F194" s="42" t="s">
        <v>42</v>
      </c>
      <c r="G194" s="43"/>
      <c r="H194" s="50">
        <f>VLOOKUP(F194,$A$25:$B$25,2,TRUE)</f>
        <v>1000</v>
      </c>
      <c r="I194" s="45">
        <f t="shared" si="1"/>
        <v>0</v>
      </c>
      <c r="J194" s="47"/>
      <c r="K194" s="18"/>
      <c r="L194" s="18"/>
      <c r="M194" s="18"/>
      <c r="N194" s="18"/>
    </row>
    <row r="195" ht="15.75" customHeight="1">
      <c r="A195" s="39"/>
      <c r="B195" s="39"/>
      <c r="C195" s="39"/>
      <c r="D195" s="47"/>
      <c r="E195" s="47"/>
      <c r="F195" s="42" t="s">
        <v>17</v>
      </c>
      <c r="G195" s="43"/>
      <c r="H195" s="50">
        <f>VLOOKUP(F195,$A$26:$B$26,2,TRUE)</f>
        <v>300</v>
      </c>
      <c r="I195" s="45">
        <f t="shared" si="1"/>
        <v>0</v>
      </c>
      <c r="J195" s="47"/>
      <c r="K195" s="18"/>
      <c r="L195" s="18"/>
      <c r="M195" s="18"/>
      <c r="N195" s="18"/>
    </row>
    <row r="196" ht="15.75" customHeight="1">
      <c r="A196" s="39"/>
      <c r="B196" s="39"/>
      <c r="C196" s="39"/>
      <c r="D196" s="47"/>
      <c r="E196" s="47"/>
      <c r="F196" s="42" t="s">
        <v>43</v>
      </c>
      <c r="G196" s="43"/>
      <c r="H196" s="50">
        <f>VLOOKUP(F196,$A$27:$B$27,2,TRUE)</f>
        <v>100</v>
      </c>
      <c r="I196" s="45">
        <f t="shared" si="1"/>
        <v>0</v>
      </c>
      <c r="J196" s="47"/>
      <c r="K196" s="18"/>
      <c r="L196" s="18"/>
      <c r="M196" s="18"/>
      <c r="N196" s="18"/>
    </row>
    <row r="197" ht="15.75" customHeight="1">
      <c r="A197" s="39"/>
      <c r="B197" s="39"/>
      <c r="C197" s="39"/>
      <c r="D197" s="47"/>
      <c r="E197" s="47"/>
      <c r="F197" s="42" t="s">
        <v>59</v>
      </c>
      <c r="G197" s="43"/>
      <c r="H197" s="50">
        <f>VLOOKUP(F197,$A$28:$B$28,2,TRUE)</f>
        <v>500</v>
      </c>
      <c r="I197" s="45">
        <f t="shared" si="1"/>
        <v>0</v>
      </c>
      <c r="J197" s="47"/>
      <c r="K197" s="18"/>
      <c r="L197" s="18"/>
      <c r="M197" s="18"/>
      <c r="N197" s="18"/>
    </row>
    <row r="198" ht="15.75" customHeight="1">
      <c r="A198" s="39"/>
      <c r="B198" s="39"/>
      <c r="C198" s="39"/>
      <c r="D198" s="47"/>
      <c r="E198" s="47"/>
      <c r="F198" s="42" t="s">
        <v>13</v>
      </c>
      <c r="G198" s="43"/>
      <c r="H198" s="50">
        <f>VLOOKUP(F198,$A$29:$B$29,2,TRUE)</f>
        <v>1500</v>
      </c>
      <c r="I198" s="45">
        <f t="shared" si="1"/>
        <v>0</v>
      </c>
      <c r="J198" s="47"/>
      <c r="K198" s="18"/>
      <c r="L198" s="18"/>
      <c r="M198" s="18"/>
      <c r="N198" s="18"/>
    </row>
    <row r="199" ht="15.75" customHeight="1">
      <c r="A199" s="39"/>
      <c r="B199" s="39"/>
      <c r="C199" s="39"/>
      <c r="D199" s="47"/>
      <c r="E199" s="47"/>
      <c r="F199" s="42" t="s">
        <v>19</v>
      </c>
      <c r="G199" s="43"/>
      <c r="H199" s="50">
        <f>VLOOKUP(F199,$A$30:$B$30,2,TRUE)</f>
        <v>4000</v>
      </c>
      <c r="I199" s="45">
        <f t="shared" si="1"/>
        <v>0</v>
      </c>
      <c r="J199" s="47"/>
      <c r="K199" s="18"/>
      <c r="L199" s="18"/>
      <c r="M199" s="18"/>
      <c r="N199" s="18"/>
    </row>
    <row r="200" ht="15.75" customHeight="1">
      <c r="A200" s="39"/>
      <c r="B200" s="39"/>
      <c r="C200" s="39"/>
      <c r="D200" s="7"/>
      <c r="E200" s="7"/>
      <c r="F200" s="42" t="s">
        <v>60</v>
      </c>
      <c r="G200" s="43"/>
      <c r="H200" s="50">
        <f>VLOOKUP(F200,$A$31:$B$31,2,TRUE)</f>
        <v>500</v>
      </c>
      <c r="I200" s="45">
        <f t="shared" si="1"/>
        <v>0</v>
      </c>
      <c r="J200" s="7"/>
      <c r="K200" s="18"/>
      <c r="L200" s="18"/>
      <c r="M200" s="18"/>
      <c r="N200" s="18"/>
    </row>
    <row r="201" ht="15.75" customHeight="1">
      <c r="A201" s="39"/>
      <c r="B201" s="39"/>
      <c r="C201" s="39"/>
      <c r="D201" s="52" t="s">
        <v>70</v>
      </c>
      <c r="E201" s="53"/>
      <c r="F201" s="53"/>
      <c r="G201" s="53"/>
      <c r="H201" s="53"/>
      <c r="I201" s="45"/>
      <c r="J201" s="54">
        <f>SUM(J5:J200)</f>
        <v>192200</v>
      </c>
      <c r="K201" s="18"/>
      <c r="L201" s="18"/>
      <c r="M201" s="18"/>
      <c r="N201" s="18"/>
    </row>
    <row r="202" ht="15.75" customHeight="1">
      <c r="A202" s="39"/>
      <c r="B202" s="39"/>
      <c r="C202" s="39"/>
      <c r="D202" s="52" t="s">
        <v>71</v>
      </c>
      <c r="E202" s="53"/>
      <c r="F202" s="53"/>
      <c r="G202" s="53"/>
      <c r="H202" s="53"/>
      <c r="I202" s="45"/>
      <c r="J202" s="54">
        <f>J201*5%</f>
        <v>9610</v>
      </c>
      <c r="K202" s="18"/>
      <c r="L202" s="18"/>
      <c r="M202" s="18"/>
      <c r="N202" s="18"/>
    </row>
    <row r="203" ht="15.75" customHeight="1">
      <c r="A203" s="16"/>
      <c r="B203" s="16"/>
      <c r="C203" s="16"/>
      <c r="D203" s="16"/>
      <c r="E203" s="55"/>
      <c r="F203" s="18"/>
      <c r="G203" s="18"/>
      <c r="H203" s="18"/>
      <c r="I203" s="18"/>
      <c r="J203" s="19"/>
      <c r="K203" s="18"/>
      <c r="L203" s="18"/>
      <c r="M203" s="18"/>
      <c r="N203" s="18"/>
    </row>
    <row r="204" ht="15.75" customHeight="1">
      <c r="A204" s="16"/>
      <c r="B204" s="16"/>
      <c r="C204" s="16"/>
      <c r="D204" s="16"/>
      <c r="E204" s="17"/>
      <c r="F204" s="18"/>
      <c r="G204" s="18"/>
      <c r="H204" s="18"/>
      <c r="I204" s="18"/>
      <c r="J204" s="19"/>
      <c r="K204" s="18"/>
      <c r="L204" s="18"/>
      <c r="M204" s="18"/>
      <c r="N204" s="18"/>
    </row>
    <row r="205" ht="15.75" customHeight="1">
      <c r="A205" s="16"/>
      <c r="B205" s="16"/>
      <c r="C205" s="16"/>
      <c r="D205" s="16"/>
      <c r="E205" s="17"/>
      <c r="F205" s="18"/>
      <c r="G205" s="18"/>
      <c r="H205" s="18"/>
      <c r="I205" s="18"/>
      <c r="J205" s="19"/>
      <c r="K205" s="18"/>
      <c r="L205" s="18"/>
      <c r="M205" s="18"/>
      <c r="N205" s="18"/>
    </row>
    <row r="206" ht="15.75" customHeight="1">
      <c r="A206" s="16"/>
      <c r="B206" s="16"/>
      <c r="C206" s="16"/>
      <c r="D206" s="16"/>
      <c r="E206" s="17"/>
      <c r="F206" s="18"/>
      <c r="G206" s="18"/>
      <c r="H206" s="18"/>
      <c r="I206" s="18"/>
      <c r="J206" s="19"/>
      <c r="K206" s="18"/>
      <c r="L206" s="18"/>
      <c r="M206" s="18"/>
      <c r="N206" s="18"/>
    </row>
    <row r="207" ht="15.75" customHeight="1">
      <c r="A207" s="16"/>
      <c r="B207" s="16"/>
      <c r="C207" s="16"/>
      <c r="D207" s="16"/>
      <c r="E207" s="17"/>
      <c r="F207" s="18"/>
      <c r="G207" s="18"/>
      <c r="H207" s="18"/>
      <c r="I207" s="18"/>
      <c r="J207" s="19"/>
      <c r="K207" s="18"/>
      <c r="L207" s="18"/>
      <c r="M207" s="18"/>
      <c r="N207" s="18"/>
    </row>
    <row r="208" ht="15.75" customHeight="1">
      <c r="A208" s="16"/>
      <c r="B208" s="16"/>
      <c r="C208" s="16"/>
      <c r="D208" s="16"/>
      <c r="E208" s="17"/>
      <c r="F208" s="18"/>
      <c r="G208" s="18"/>
      <c r="H208" s="18"/>
      <c r="I208" s="18"/>
      <c r="J208" s="19"/>
      <c r="K208" s="18"/>
      <c r="L208" s="18"/>
      <c r="M208" s="18"/>
      <c r="N208" s="18"/>
    </row>
    <row r="209" ht="15.75" customHeight="1">
      <c r="A209" s="16"/>
      <c r="B209" s="16"/>
      <c r="C209" s="16"/>
      <c r="D209" s="16"/>
      <c r="E209" s="17"/>
      <c r="F209" s="18"/>
      <c r="G209" s="18"/>
      <c r="H209" s="18"/>
      <c r="I209" s="18"/>
      <c r="J209" s="19"/>
      <c r="K209" s="18"/>
      <c r="L209" s="18"/>
      <c r="M209" s="18"/>
      <c r="N209" s="18"/>
    </row>
    <row r="210" ht="15.75" customHeight="1">
      <c r="A210" s="16"/>
      <c r="B210" s="16"/>
      <c r="C210" s="16"/>
      <c r="D210" s="16"/>
      <c r="E210" s="17"/>
      <c r="F210" s="18"/>
      <c r="G210" s="18"/>
      <c r="H210" s="18"/>
      <c r="I210" s="18"/>
      <c r="J210" s="19"/>
      <c r="K210" s="18"/>
      <c r="L210" s="18"/>
      <c r="M210" s="18"/>
      <c r="N210" s="18"/>
    </row>
    <row r="211" ht="15.75" customHeight="1">
      <c r="A211" s="16"/>
      <c r="B211" s="16"/>
      <c r="C211" s="16"/>
      <c r="D211" s="16"/>
      <c r="E211" s="17"/>
      <c r="J211" s="19"/>
    </row>
    <row r="212" ht="15.75" customHeight="1">
      <c r="A212" s="16"/>
      <c r="B212" s="16"/>
      <c r="C212" s="16"/>
      <c r="D212" s="16"/>
      <c r="E212" s="17"/>
      <c r="J212" s="19"/>
    </row>
    <row r="213" ht="15.75" customHeight="1">
      <c r="A213" s="16"/>
      <c r="B213" s="16"/>
      <c r="C213" s="16"/>
      <c r="D213" s="16"/>
      <c r="E213" s="17"/>
      <c r="J213" s="19"/>
    </row>
    <row r="214" ht="15.75" customHeight="1">
      <c r="A214" s="16"/>
      <c r="B214" s="16"/>
      <c r="C214" s="16"/>
      <c r="D214" s="16"/>
      <c r="E214" s="17"/>
      <c r="J214" s="19"/>
    </row>
    <row r="215" ht="15.75" customHeight="1">
      <c r="A215" s="16"/>
      <c r="B215" s="16"/>
      <c r="C215" s="16"/>
      <c r="D215" s="16"/>
      <c r="E215" s="17"/>
      <c r="J215" s="19"/>
    </row>
    <row r="216" ht="15.75" customHeight="1">
      <c r="A216" s="16"/>
      <c r="B216" s="16"/>
      <c r="C216" s="16"/>
      <c r="D216" s="16"/>
      <c r="E216" s="17"/>
      <c r="J216" s="19"/>
    </row>
    <row r="217" ht="15.75" customHeight="1">
      <c r="A217" s="16"/>
      <c r="B217" s="16"/>
      <c r="C217" s="16"/>
      <c r="D217" s="16"/>
      <c r="E217" s="17"/>
      <c r="J217" s="19"/>
    </row>
    <row r="218" ht="15.75" customHeight="1">
      <c r="A218" s="16"/>
      <c r="B218" s="16"/>
      <c r="C218" s="16"/>
      <c r="D218" s="16"/>
      <c r="E218" s="17"/>
      <c r="J218" s="19"/>
    </row>
    <row r="219" ht="15.75" customHeight="1">
      <c r="A219" s="16"/>
      <c r="B219" s="16"/>
      <c r="C219" s="16"/>
      <c r="D219" s="16"/>
      <c r="E219" s="17"/>
      <c r="J219" s="19"/>
    </row>
    <row r="220" ht="15.75" customHeight="1">
      <c r="A220" s="16"/>
      <c r="B220" s="16"/>
      <c r="C220" s="16"/>
      <c r="D220" s="16"/>
      <c r="E220" s="17"/>
      <c r="J220" s="19"/>
    </row>
    <row r="221" ht="15.75" customHeight="1">
      <c r="A221" s="16"/>
      <c r="B221" s="16"/>
      <c r="C221" s="16"/>
      <c r="D221" s="16"/>
      <c r="E221" s="17"/>
      <c r="J221" s="19"/>
    </row>
    <row r="222" ht="15.75" customHeight="1">
      <c r="A222" s="16"/>
      <c r="B222" s="16"/>
      <c r="C222" s="16"/>
      <c r="D222" s="16"/>
      <c r="E222" s="17"/>
      <c r="J222" s="19"/>
    </row>
    <row r="223" ht="15.75" customHeight="1">
      <c r="A223" s="16"/>
      <c r="B223" s="16"/>
      <c r="C223" s="16"/>
      <c r="D223" s="16"/>
      <c r="E223" s="17"/>
      <c r="J223" s="19"/>
    </row>
    <row r="224" ht="15.75" customHeight="1">
      <c r="A224" s="16"/>
      <c r="B224" s="16"/>
      <c r="C224" s="16"/>
      <c r="D224" s="16"/>
      <c r="E224" s="17"/>
      <c r="J224" s="19"/>
    </row>
    <row r="225" ht="15.75" customHeight="1">
      <c r="A225" s="16"/>
      <c r="B225" s="16"/>
      <c r="C225" s="16"/>
      <c r="D225" s="16"/>
      <c r="E225" s="17"/>
      <c r="J225" s="19"/>
    </row>
    <row r="226" ht="15.75" customHeight="1">
      <c r="A226" s="16"/>
      <c r="B226" s="16"/>
      <c r="C226" s="16"/>
      <c r="D226" s="16"/>
      <c r="E226" s="17"/>
      <c r="J226" s="19"/>
    </row>
    <row r="227" ht="15.75" customHeight="1">
      <c r="A227" s="16"/>
      <c r="B227" s="16"/>
      <c r="C227" s="16"/>
      <c r="D227" s="16"/>
      <c r="E227" s="17"/>
      <c r="J227" s="19"/>
    </row>
    <row r="228" ht="15.75" customHeight="1">
      <c r="A228" s="16"/>
      <c r="B228" s="16"/>
      <c r="C228" s="16"/>
      <c r="D228" s="16"/>
      <c r="E228" s="17"/>
      <c r="J228" s="19"/>
    </row>
    <row r="229" ht="15.75" customHeight="1">
      <c r="A229" s="16"/>
      <c r="B229" s="16"/>
      <c r="C229" s="16"/>
      <c r="D229" s="16"/>
      <c r="E229" s="17"/>
      <c r="J229" s="19"/>
    </row>
    <row r="230" ht="15.75" customHeight="1">
      <c r="A230" s="16"/>
      <c r="B230" s="16"/>
      <c r="C230" s="16"/>
      <c r="D230" s="16"/>
      <c r="E230" s="17"/>
      <c r="J230" s="19"/>
    </row>
    <row r="231" ht="15.75" customHeight="1">
      <c r="A231" s="16"/>
      <c r="B231" s="16"/>
      <c r="C231" s="16"/>
      <c r="D231" s="16"/>
      <c r="E231" s="17"/>
      <c r="J231" s="19"/>
    </row>
    <row r="232" ht="15.75" customHeight="1">
      <c r="A232" s="16"/>
      <c r="B232" s="16"/>
      <c r="C232" s="16"/>
      <c r="D232" s="16"/>
      <c r="E232" s="17"/>
      <c r="J232" s="19"/>
    </row>
    <row r="233" ht="15.75" customHeight="1">
      <c r="A233" s="16"/>
      <c r="B233" s="16"/>
      <c r="C233" s="16"/>
      <c r="D233" s="16"/>
      <c r="E233" s="17"/>
      <c r="J233" s="19"/>
    </row>
    <row r="234" ht="15.75" customHeight="1">
      <c r="A234" s="16"/>
      <c r="B234" s="16"/>
      <c r="C234" s="16"/>
      <c r="D234" s="16"/>
      <c r="E234" s="17"/>
      <c r="J234" s="19"/>
    </row>
    <row r="235" ht="15.75" customHeight="1">
      <c r="A235" s="16"/>
      <c r="B235" s="16"/>
      <c r="C235" s="16"/>
      <c r="D235" s="16"/>
      <c r="E235" s="17"/>
      <c r="J235" s="19"/>
    </row>
    <row r="236" ht="15.75" customHeight="1">
      <c r="A236" s="16"/>
      <c r="B236" s="16"/>
      <c r="C236" s="16"/>
      <c r="D236" s="16"/>
      <c r="E236" s="17"/>
      <c r="J236" s="19"/>
    </row>
    <row r="237" ht="15.75" customHeight="1">
      <c r="A237" s="16"/>
      <c r="B237" s="16"/>
      <c r="C237" s="16"/>
      <c r="D237" s="16"/>
      <c r="E237" s="17"/>
      <c r="J237" s="19"/>
    </row>
    <row r="238" ht="15.75" customHeight="1">
      <c r="A238" s="16"/>
      <c r="B238" s="16"/>
      <c r="C238" s="16"/>
      <c r="D238" s="16"/>
      <c r="E238" s="17"/>
      <c r="J238" s="19"/>
    </row>
    <row r="239" ht="15.75" customHeight="1">
      <c r="A239" s="16"/>
      <c r="B239" s="16"/>
      <c r="C239" s="16"/>
      <c r="D239" s="16"/>
      <c r="E239" s="17"/>
      <c r="J239" s="19"/>
    </row>
    <row r="240" ht="15.75" customHeight="1">
      <c r="A240" s="16"/>
      <c r="B240" s="16"/>
      <c r="C240" s="16"/>
      <c r="D240" s="16"/>
      <c r="E240" s="17"/>
      <c r="J240" s="19"/>
    </row>
    <row r="241" ht="15.75" customHeight="1">
      <c r="A241" s="16"/>
      <c r="B241" s="16"/>
      <c r="C241" s="16"/>
      <c r="D241" s="16"/>
      <c r="E241" s="17"/>
      <c r="J241" s="19"/>
    </row>
    <row r="242" ht="15.75" customHeight="1">
      <c r="A242" s="16"/>
      <c r="B242" s="16"/>
      <c r="C242" s="16"/>
      <c r="D242" s="16"/>
      <c r="E242" s="17"/>
      <c r="J242" s="19"/>
    </row>
    <row r="243" ht="15.75" customHeight="1">
      <c r="A243" s="16"/>
      <c r="B243" s="16"/>
      <c r="C243" s="16"/>
      <c r="D243" s="16"/>
      <c r="E243" s="17"/>
      <c r="J243" s="19"/>
    </row>
    <row r="244" ht="15.75" customHeight="1">
      <c r="A244" s="16"/>
      <c r="B244" s="16"/>
      <c r="C244" s="16"/>
      <c r="D244" s="16"/>
      <c r="E244" s="17"/>
      <c r="J244" s="19"/>
    </row>
    <row r="245" ht="15.75" customHeight="1">
      <c r="A245" s="16"/>
      <c r="B245" s="16"/>
      <c r="C245" s="16"/>
      <c r="D245" s="16"/>
      <c r="E245" s="17"/>
      <c r="J245" s="19"/>
    </row>
    <row r="246" ht="15.75" customHeight="1">
      <c r="A246" s="16"/>
      <c r="B246" s="16"/>
      <c r="C246" s="16"/>
      <c r="D246" s="16"/>
      <c r="E246" s="17"/>
      <c r="J246" s="19"/>
    </row>
    <row r="247" ht="15.75" customHeight="1">
      <c r="A247" s="16"/>
      <c r="B247" s="16"/>
      <c r="C247" s="16"/>
      <c r="D247" s="16"/>
      <c r="E247" s="17"/>
      <c r="J247" s="19"/>
    </row>
    <row r="248" ht="15.75" customHeight="1">
      <c r="A248" s="16"/>
      <c r="B248" s="16"/>
      <c r="C248" s="16"/>
      <c r="D248" s="16"/>
      <c r="E248" s="17"/>
      <c r="J248" s="19"/>
    </row>
    <row r="249" ht="15.75" customHeight="1">
      <c r="A249" s="16"/>
      <c r="B249" s="16"/>
      <c r="C249" s="16"/>
      <c r="D249" s="16"/>
      <c r="E249" s="17"/>
      <c r="J249" s="19"/>
    </row>
    <row r="250" ht="15.75" customHeight="1">
      <c r="A250" s="16"/>
      <c r="B250" s="16"/>
      <c r="C250" s="16"/>
      <c r="D250" s="16"/>
      <c r="E250" s="17"/>
      <c r="J250" s="19"/>
    </row>
    <row r="251" ht="15.75" customHeight="1">
      <c r="A251" s="16"/>
      <c r="B251" s="16"/>
      <c r="C251" s="16"/>
      <c r="D251" s="16"/>
      <c r="E251" s="17"/>
      <c r="J251" s="19"/>
    </row>
    <row r="252" ht="15.75" customHeight="1">
      <c r="A252" s="16"/>
      <c r="B252" s="16"/>
      <c r="C252" s="16"/>
      <c r="D252" s="16"/>
      <c r="E252" s="17"/>
      <c r="J252" s="19"/>
    </row>
    <row r="253" ht="15.75" customHeight="1">
      <c r="A253" s="16"/>
      <c r="B253" s="16"/>
      <c r="C253" s="16"/>
      <c r="D253" s="16"/>
      <c r="E253" s="17"/>
      <c r="J253" s="19"/>
    </row>
    <row r="254" ht="15.75" customHeight="1">
      <c r="A254" s="16"/>
      <c r="B254" s="16"/>
      <c r="C254" s="16"/>
      <c r="D254" s="16"/>
      <c r="E254" s="17"/>
      <c r="J254" s="19"/>
    </row>
    <row r="255" ht="15.75" customHeight="1">
      <c r="A255" s="16"/>
      <c r="B255" s="16"/>
      <c r="C255" s="16"/>
      <c r="D255" s="16"/>
      <c r="E255" s="17"/>
      <c r="J255" s="19"/>
    </row>
    <row r="256" ht="15.75" customHeight="1">
      <c r="A256" s="16"/>
      <c r="B256" s="16"/>
      <c r="C256" s="16"/>
      <c r="D256" s="16"/>
      <c r="E256" s="17"/>
      <c r="J256" s="19"/>
    </row>
    <row r="257" ht="15.75" customHeight="1">
      <c r="A257" s="16"/>
      <c r="B257" s="16"/>
      <c r="C257" s="16"/>
      <c r="D257" s="16"/>
      <c r="E257" s="17"/>
      <c r="J257" s="19"/>
    </row>
    <row r="258" ht="15.75" customHeight="1">
      <c r="A258" s="16"/>
      <c r="B258" s="16"/>
      <c r="C258" s="16"/>
      <c r="D258" s="16"/>
      <c r="E258" s="17"/>
      <c r="J258" s="19"/>
    </row>
    <row r="259" ht="15.75" customHeight="1">
      <c r="A259" s="16"/>
      <c r="B259" s="16"/>
      <c r="C259" s="16"/>
      <c r="D259" s="16"/>
      <c r="E259" s="17"/>
      <c r="J259" s="19"/>
    </row>
    <row r="260" ht="15.75" customHeight="1">
      <c r="A260" s="16"/>
      <c r="B260" s="16"/>
      <c r="C260" s="16"/>
      <c r="D260" s="16"/>
      <c r="E260" s="17"/>
      <c r="J260" s="19"/>
    </row>
    <row r="261" ht="15.75" customHeight="1">
      <c r="A261" s="16"/>
      <c r="B261" s="16"/>
      <c r="C261" s="16"/>
      <c r="D261" s="16"/>
      <c r="E261" s="17"/>
      <c r="J261" s="19"/>
    </row>
    <row r="262" ht="15.75" customHeight="1">
      <c r="A262" s="16"/>
      <c r="B262" s="16"/>
      <c r="C262" s="16"/>
      <c r="D262" s="16"/>
      <c r="E262" s="17"/>
      <c r="J262" s="19"/>
    </row>
    <row r="263" ht="15.75" customHeight="1">
      <c r="A263" s="16"/>
      <c r="B263" s="16"/>
      <c r="C263" s="16"/>
      <c r="D263" s="16"/>
      <c r="E263" s="17"/>
      <c r="J263" s="19"/>
    </row>
    <row r="264" ht="15.75" customHeight="1">
      <c r="A264" s="16"/>
      <c r="B264" s="16"/>
      <c r="C264" s="16"/>
      <c r="D264" s="16"/>
      <c r="E264" s="17"/>
      <c r="J264" s="19"/>
    </row>
    <row r="265" ht="15.75" customHeight="1">
      <c r="A265" s="16"/>
      <c r="B265" s="16"/>
      <c r="C265" s="16"/>
      <c r="D265" s="16"/>
      <c r="E265" s="17"/>
      <c r="J265" s="19"/>
    </row>
    <row r="266" ht="15.75" customHeight="1">
      <c r="A266" s="16"/>
      <c r="B266" s="16"/>
      <c r="C266" s="16"/>
      <c r="D266" s="16"/>
      <c r="E266" s="17"/>
      <c r="J266" s="19"/>
    </row>
    <row r="267" ht="15.75" customHeight="1">
      <c r="A267" s="16"/>
      <c r="B267" s="16"/>
      <c r="C267" s="16"/>
      <c r="D267" s="16"/>
      <c r="E267" s="17"/>
      <c r="J267" s="19"/>
    </row>
    <row r="268" ht="15.75" customHeight="1">
      <c r="A268" s="16"/>
      <c r="B268" s="16"/>
      <c r="C268" s="16"/>
      <c r="D268" s="16"/>
      <c r="E268" s="17"/>
      <c r="J268" s="19"/>
    </row>
    <row r="269" ht="15.75" customHeight="1">
      <c r="A269" s="16"/>
      <c r="B269" s="16"/>
      <c r="C269" s="16"/>
      <c r="D269" s="16"/>
      <c r="E269" s="17"/>
      <c r="J269" s="19"/>
    </row>
    <row r="270" ht="15.75" customHeight="1">
      <c r="A270" s="16"/>
      <c r="B270" s="16"/>
      <c r="C270" s="16"/>
      <c r="D270" s="16"/>
      <c r="E270" s="17"/>
      <c r="J270" s="19"/>
    </row>
    <row r="271" ht="15.75" customHeight="1">
      <c r="A271" s="16"/>
      <c r="B271" s="16"/>
      <c r="C271" s="16"/>
      <c r="D271" s="16"/>
      <c r="E271" s="17"/>
      <c r="J271" s="19"/>
    </row>
    <row r="272" ht="15.75" customHeight="1">
      <c r="A272" s="16"/>
      <c r="B272" s="16"/>
      <c r="C272" s="16"/>
      <c r="D272" s="16"/>
      <c r="E272" s="17"/>
      <c r="J272" s="19"/>
    </row>
    <row r="273" ht="15.75" customHeight="1">
      <c r="A273" s="16"/>
      <c r="B273" s="16"/>
      <c r="C273" s="16"/>
      <c r="D273" s="16"/>
      <c r="E273" s="17"/>
      <c r="J273" s="19"/>
    </row>
    <row r="274" ht="15.75" customHeight="1">
      <c r="A274" s="16"/>
      <c r="B274" s="16"/>
      <c r="C274" s="16"/>
      <c r="D274" s="16"/>
      <c r="E274" s="17"/>
      <c r="J274" s="19"/>
    </row>
    <row r="275" ht="15.75" customHeight="1">
      <c r="A275" s="16"/>
      <c r="B275" s="16"/>
      <c r="C275" s="16"/>
      <c r="D275" s="16"/>
      <c r="E275" s="17"/>
      <c r="J275" s="19"/>
    </row>
    <row r="276" ht="15.75" customHeight="1">
      <c r="A276" s="16"/>
      <c r="B276" s="16"/>
      <c r="C276" s="16"/>
      <c r="D276" s="16"/>
      <c r="E276" s="17"/>
      <c r="J276" s="19"/>
    </row>
    <row r="277" ht="15.75" customHeight="1">
      <c r="A277" s="16"/>
      <c r="B277" s="16"/>
      <c r="C277" s="16"/>
      <c r="D277" s="16"/>
      <c r="E277" s="17"/>
      <c r="J277" s="19"/>
    </row>
    <row r="278" ht="15.75" customHeight="1">
      <c r="A278" s="16"/>
      <c r="B278" s="16"/>
      <c r="C278" s="16"/>
      <c r="D278" s="16"/>
      <c r="E278" s="17"/>
      <c r="J278" s="19"/>
    </row>
    <row r="279" ht="15.75" customHeight="1">
      <c r="A279" s="16"/>
      <c r="B279" s="16"/>
      <c r="C279" s="16"/>
      <c r="D279" s="16"/>
      <c r="E279" s="17"/>
      <c r="J279" s="19"/>
    </row>
    <row r="280" ht="15.75" customHeight="1">
      <c r="A280" s="16"/>
      <c r="B280" s="16"/>
      <c r="C280" s="16"/>
      <c r="D280" s="16"/>
      <c r="E280" s="17"/>
      <c r="J280" s="19"/>
    </row>
    <row r="281" ht="15.75" customHeight="1">
      <c r="A281" s="16"/>
      <c r="B281" s="16"/>
      <c r="C281" s="16"/>
      <c r="D281" s="16"/>
      <c r="E281" s="17"/>
      <c r="J281" s="19"/>
    </row>
    <row r="282" ht="15.75" customHeight="1">
      <c r="A282" s="16"/>
      <c r="B282" s="16"/>
      <c r="C282" s="16"/>
      <c r="D282" s="16"/>
      <c r="E282" s="17"/>
      <c r="J282" s="19"/>
    </row>
    <row r="283" ht="15.75" customHeight="1">
      <c r="A283" s="16"/>
      <c r="B283" s="16"/>
      <c r="C283" s="16"/>
      <c r="D283" s="16"/>
      <c r="E283" s="17"/>
      <c r="J283" s="19"/>
    </row>
    <row r="284" ht="15.75" customHeight="1">
      <c r="A284" s="16"/>
      <c r="B284" s="16"/>
      <c r="C284" s="16"/>
      <c r="D284" s="16"/>
      <c r="E284" s="17"/>
      <c r="J284" s="19"/>
    </row>
    <row r="285" ht="15.75" customHeight="1">
      <c r="A285" s="16"/>
      <c r="B285" s="16"/>
      <c r="C285" s="16"/>
      <c r="D285" s="16"/>
      <c r="E285" s="17"/>
      <c r="J285" s="19"/>
    </row>
    <row r="286" ht="15.75" customHeight="1">
      <c r="A286" s="16"/>
      <c r="B286" s="16"/>
      <c r="C286" s="16"/>
      <c r="D286" s="16"/>
      <c r="E286" s="17"/>
      <c r="J286" s="19"/>
    </row>
    <row r="287" ht="15.75" customHeight="1">
      <c r="A287" s="16"/>
      <c r="B287" s="16"/>
      <c r="C287" s="16"/>
      <c r="D287" s="16"/>
      <c r="E287" s="17"/>
      <c r="J287" s="19"/>
    </row>
    <row r="288" ht="15.75" customHeight="1">
      <c r="A288" s="16"/>
      <c r="B288" s="16"/>
      <c r="C288" s="16"/>
      <c r="D288" s="16"/>
      <c r="E288" s="17"/>
      <c r="J288" s="19"/>
    </row>
    <row r="289" ht="15.75" customHeight="1">
      <c r="A289" s="16"/>
      <c r="B289" s="16"/>
      <c r="C289" s="16"/>
      <c r="D289" s="16"/>
      <c r="E289" s="17"/>
      <c r="J289" s="19"/>
    </row>
    <row r="290" ht="15.75" customHeight="1">
      <c r="A290" s="16"/>
      <c r="B290" s="16"/>
      <c r="C290" s="16"/>
      <c r="D290" s="16"/>
      <c r="E290" s="17"/>
      <c r="J290" s="19"/>
    </row>
    <row r="291" ht="15.75" customHeight="1">
      <c r="A291" s="16"/>
      <c r="B291" s="16"/>
      <c r="C291" s="16"/>
      <c r="D291" s="16"/>
      <c r="E291" s="17"/>
      <c r="J291" s="19"/>
    </row>
    <row r="292" ht="15.75" customHeight="1">
      <c r="A292" s="16"/>
      <c r="B292" s="16"/>
      <c r="C292" s="16"/>
      <c r="D292" s="16"/>
      <c r="E292" s="17"/>
      <c r="J292" s="19"/>
    </row>
    <row r="293" ht="15.75" customHeight="1">
      <c r="A293" s="16"/>
      <c r="B293" s="16"/>
      <c r="C293" s="16"/>
      <c r="D293" s="16"/>
      <c r="E293" s="17"/>
      <c r="J293" s="19"/>
    </row>
    <row r="294" ht="15.75" customHeight="1">
      <c r="A294" s="16"/>
      <c r="B294" s="16"/>
      <c r="C294" s="16"/>
      <c r="D294" s="16"/>
      <c r="E294" s="17"/>
      <c r="J294" s="19"/>
    </row>
    <row r="295" ht="15.75" customHeight="1">
      <c r="A295" s="16"/>
      <c r="B295" s="16"/>
      <c r="C295" s="16"/>
      <c r="D295" s="16"/>
      <c r="E295" s="17"/>
      <c r="J295" s="19"/>
    </row>
    <row r="296" ht="15.75" customHeight="1">
      <c r="A296" s="16"/>
      <c r="B296" s="16"/>
      <c r="C296" s="16"/>
      <c r="D296" s="16"/>
      <c r="E296" s="17"/>
      <c r="J296" s="19"/>
    </row>
    <row r="297" ht="15.75" customHeight="1">
      <c r="A297" s="16"/>
      <c r="B297" s="16"/>
      <c r="C297" s="16"/>
      <c r="D297" s="16"/>
      <c r="E297" s="17"/>
      <c r="J297" s="19"/>
    </row>
    <row r="298" ht="15.75" customHeight="1">
      <c r="A298" s="16"/>
      <c r="B298" s="16"/>
      <c r="C298" s="16"/>
      <c r="D298" s="16"/>
      <c r="E298" s="17"/>
      <c r="J298" s="19"/>
    </row>
    <row r="299" ht="15.75" customHeight="1">
      <c r="A299" s="16"/>
      <c r="B299" s="16"/>
      <c r="C299" s="16"/>
      <c r="D299" s="16"/>
      <c r="E299" s="17"/>
      <c r="J299" s="19"/>
    </row>
    <row r="300" ht="15.75" customHeight="1">
      <c r="A300" s="16"/>
      <c r="B300" s="16"/>
      <c r="C300" s="16"/>
      <c r="D300" s="16"/>
      <c r="E300" s="17"/>
      <c r="J300" s="19"/>
    </row>
    <row r="301" ht="15.75" customHeight="1">
      <c r="A301" s="16"/>
      <c r="B301" s="16"/>
      <c r="C301" s="16"/>
      <c r="D301" s="16"/>
      <c r="E301" s="17"/>
      <c r="J301" s="19"/>
    </row>
    <row r="302" ht="15.75" customHeight="1">
      <c r="A302" s="16"/>
      <c r="B302" s="16"/>
      <c r="C302" s="16"/>
      <c r="D302" s="16"/>
      <c r="E302" s="17"/>
      <c r="J302" s="19"/>
    </row>
    <row r="303" ht="15.75" customHeight="1">
      <c r="A303" s="16"/>
      <c r="B303" s="16"/>
      <c r="C303" s="16"/>
      <c r="D303" s="16"/>
      <c r="E303" s="17"/>
      <c r="J303" s="19"/>
    </row>
    <row r="304" ht="15.75" customHeight="1">
      <c r="A304" s="16"/>
      <c r="B304" s="16"/>
      <c r="C304" s="16"/>
      <c r="D304" s="16"/>
      <c r="E304" s="17"/>
      <c r="J304" s="19"/>
    </row>
    <row r="305" ht="15.75" customHeight="1">
      <c r="A305" s="16"/>
      <c r="B305" s="16"/>
      <c r="C305" s="16"/>
      <c r="D305" s="16"/>
      <c r="E305" s="17"/>
      <c r="J305" s="19"/>
    </row>
    <row r="306" ht="15.75" customHeight="1">
      <c r="A306" s="16"/>
      <c r="B306" s="16"/>
      <c r="C306" s="16"/>
      <c r="D306" s="16"/>
      <c r="E306" s="17"/>
      <c r="J306" s="19"/>
    </row>
    <row r="307" ht="15.75" customHeight="1">
      <c r="A307" s="16"/>
      <c r="B307" s="16"/>
      <c r="C307" s="16"/>
      <c r="D307" s="16"/>
      <c r="E307" s="17"/>
      <c r="J307" s="19"/>
    </row>
    <row r="308" ht="15.75" customHeight="1">
      <c r="A308" s="16"/>
      <c r="B308" s="16"/>
      <c r="C308" s="16"/>
      <c r="D308" s="16"/>
      <c r="E308" s="17"/>
      <c r="J308" s="19"/>
    </row>
    <row r="309" ht="15.75" customHeight="1">
      <c r="A309" s="16"/>
      <c r="B309" s="16"/>
      <c r="C309" s="16"/>
      <c r="D309" s="16"/>
      <c r="E309" s="17"/>
      <c r="J309" s="19"/>
    </row>
    <row r="310" ht="15.75" customHeight="1">
      <c r="A310" s="16"/>
      <c r="B310" s="16"/>
      <c r="C310" s="16"/>
      <c r="D310" s="16"/>
      <c r="E310" s="17"/>
      <c r="J310" s="19"/>
    </row>
    <row r="311" ht="15.75" customHeight="1">
      <c r="A311" s="16"/>
      <c r="B311" s="16"/>
      <c r="C311" s="16"/>
      <c r="D311" s="16"/>
      <c r="E311" s="17"/>
      <c r="J311" s="19"/>
    </row>
    <row r="312" ht="15.75" customHeight="1">
      <c r="A312" s="16"/>
      <c r="B312" s="16"/>
      <c r="C312" s="16"/>
      <c r="D312" s="16"/>
      <c r="E312" s="17"/>
      <c r="J312" s="19"/>
    </row>
    <row r="313" ht="15.75" customHeight="1">
      <c r="A313" s="16"/>
      <c r="B313" s="16"/>
      <c r="C313" s="16"/>
      <c r="D313" s="16"/>
      <c r="E313" s="17"/>
      <c r="J313" s="19"/>
    </row>
    <row r="314" ht="15.75" customHeight="1">
      <c r="A314" s="16"/>
      <c r="B314" s="16"/>
      <c r="C314" s="16"/>
      <c r="D314" s="16"/>
      <c r="E314" s="17"/>
      <c r="J314" s="19"/>
    </row>
    <row r="315" ht="15.75" customHeight="1">
      <c r="A315" s="16"/>
      <c r="B315" s="16"/>
      <c r="C315" s="16"/>
      <c r="D315" s="16"/>
      <c r="E315" s="17"/>
      <c r="J315" s="19"/>
    </row>
    <row r="316" ht="15.75" customHeight="1">
      <c r="A316" s="16"/>
      <c r="B316" s="16"/>
      <c r="C316" s="16"/>
      <c r="D316" s="16"/>
      <c r="E316" s="17"/>
      <c r="J316" s="19"/>
    </row>
    <row r="317" ht="15.75" customHeight="1">
      <c r="A317" s="16"/>
      <c r="B317" s="16"/>
      <c r="C317" s="16"/>
      <c r="D317" s="16"/>
      <c r="E317" s="17"/>
      <c r="J317" s="19"/>
    </row>
    <row r="318" ht="15.75" customHeight="1">
      <c r="A318" s="16"/>
      <c r="B318" s="16"/>
      <c r="C318" s="16"/>
      <c r="D318" s="16"/>
      <c r="E318" s="17"/>
      <c r="J318" s="19"/>
    </row>
    <row r="319" ht="15.75" customHeight="1">
      <c r="A319" s="16"/>
      <c r="B319" s="16"/>
      <c r="C319" s="16"/>
      <c r="D319" s="16"/>
      <c r="E319" s="17"/>
      <c r="J319" s="19"/>
    </row>
    <row r="320" ht="15.75" customHeight="1">
      <c r="A320" s="16"/>
      <c r="B320" s="16"/>
      <c r="C320" s="16"/>
      <c r="D320" s="16"/>
      <c r="E320" s="17"/>
      <c r="J320" s="19"/>
    </row>
    <row r="321" ht="15.75" customHeight="1">
      <c r="A321" s="16"/>
      <c r="B321" s="16"/>
      <c r="C321" s="16"/>
      <c r="D321" s="16"/>
      <c r="E321" s="17"/>
      <c r="J321" s="19"/>
    </row>
    <row r="322" ht="15.75" customHeight="1">
      <c r="A322" s="16"/>
      <c r="B322" s="16"/>
      <c r="C322" s="16"/>
      <c r="D322" s="16"/>
      <c r="E322" s="17"/>
      <c r="J322" s="19"/>
    </row>
    <row r="323" ht="15.75" customHeight="1">
      <c r="A323" s="16"/>
      <c r="B323" s="16"/>
      <c r="C323" s="16"/>
      <c r="D323" s="16"/>
      <c r="E323" s="17"/>
      <c r="J323" s="19"/>
    </row>
    <row r="324" ht="15.75" customHeight="1">
      <c r="A324" s="16"/>
      <c r="B324" s="16"/>
      <c r="C324" s="16"/>
      <c r="D324" s="16"/>
      <c r="E324" s="17"/>
      <c r="J324" s="19"/>
    </row>
    <row r="325" ht="15.75" customHeight="1">
      <c r="A325" s="16"/>
      <c r="B325" s="16"/>
      <c r="C325" s="16"/>
      <c r="D325" s="16"/>
      <c r="E325" s="17"/>
      <c r="J325" s="19"/>
    </row>
    <row r="326" ht="15.75" customHeight="1">
      <c r="A326" s="16"/>
      <c r="B326" s="16"/>
      <c r="C326" s="16"/>
      <c r="D326" s="16"/>
      <c r="E326" s="17"/>
      <c r="J326" s="19"/>
    </row>
    <row r="327" ht="15.75" customHeight="1">
      <c r="A327" s="16"/>
      <c r="B327" s="16"/>
      <c r="C327" s="16"/>
      <c r="D327" s="16"/>
      <c r="E327" s="17"/>
      <c r="J327" s="19"/>
    </row>
    <row r="328" ht="15.75" customHeight="1">
      <c r="A328" s="16"/>
      <c r="B328" s="16"/>
      <c r="C328" s="16"/>
      <c r="D328" s="16"/>
      <c r="E328" s="17"/>
      <c r="J328" s="19"/>
    </row>
    <row r="329" ht="15.75" customHeight="1">
      <c r="A329" s="16"/>
      <c r="B329" s="16"/>
      <c r="C329" s="16"/>
      <c r="D329" s="16"/>
      <c r="E329" s="17"/>
      <c r="J329" s="19"/>
    </row>
    <row r="330" ht="15.75" customHeight="1">
      <c r="A330" s="16"/>
      <c r="B330" s="16"/>
      <c r="C330" s="16"/>
      <c r="D330" s="16"/>
      <c r="E330" s="17"/>
      <c r="J330" s="19"/>
    </row>
    <row r="331" ht="15.75" customHeight="1">
      <c r="A331" s="16"/>
      <c r="B331" s="16"/>
      <c r="C331" s="16"/>
      <c r="D331" s="16"/>
      <c r="E331" s="17"/>
      <c r="J331" s="19"/>
    </row>
    <row r="332" ht="15.75" customHeight="1">
      <c r="A332" s="16"/>
      <c r="B332" s="16"/>
      <c r="C332" s="16"/>
      <c r="D332" s="16"/>
      <c r="E332" s="17"/>
      <c r="J332" s="19"/>
    </row>
    <row r="333" ht="15.75" customHeight="1">
      <c r="A333" s="16"/>
      <c r="B333" s="16"/>
      <c r="C333" s="16"/>
      <c r="D333" s="16"/>
      <c r="E333" s="17"/>
      <c r="J333" s="19"/>
    </row>
    <row r="334" ht="15.75" customHeight="1">
      <c r="A334" s="16"/>
      <c r="B334" s="16"/>
      <c r="C334" s="16"/>
      <c r="D334" s="16"/>
      <c r="E334" s="17"/>
      <c r="J334" s="19"/>
    </row>
    <row r="335" ht="15.75" customHeight="1">
      <c r="A335" s="16"/>
      <c r="B335" s="16"/>
      <c r="C335" s="16"/>
      <c r="D335" s="16"/>
      <c r="E335" s="17"/>
      <c r="J335" s="19"/>
    </row>
    <row r="336" ht="15.75" customHeight="1">
      <c r="A336" s="16"/>
      <c r="B336" s="16"/>
      <c r="C336" s="16"/>
      <c r="D336" s="16"/>
      <c r="E336" s="17"/>
      <c r="J336" s="19"/>
    </row>
    <row r="337" ht="15.75" customHeight="1">
      <c r="A337" s="16"/>
      <c r="B337" s="16"/>
      <c r="C337" s="16"/>
      <c r="D337" s="16"/>
      <c r="E337" s="17"/>
      <c r="J337" s="19"/>
    </row>
    <row r="338" ht="15.75" customHeight="1">
      <c r="A338" s="16"/>
      <c r="B338" s="16"/>
      <c r="C338" s="16"/>
      <c r="D338" s="16"/>
      <c r="E338" s="17"/>
      <c r="J338" s="19"/>
    </row>
    <row r="339" ht="15.75" customHeight="1">
      <c r="A339" s="16"/>
      <c r="B339" s="16"/>
      <c r="C339" s="16"/>
      <c r="D339" s="16"/>
      <c r="E339" s="17"/>
      <c r="J339" s="19"/>
    </row>
    <row r="340" ht="15.75" customHeight="1">
      <c r="A340" s="16"/>
      <c r="B340" s="16"/>
      <c r="C340" s="16"/>
      <c r="D340" s="16"/>
      <c r="E340" s="17"/>
      <c r="J340" s="19"/>
    </row>
    <row r="341" ht="15.75" customHeight="1">
      <c r="A341" s="16"/>
      <c r="B341" s="16"/>
      <c r="C341" s="16"/>
      <c r="D341" s="16"/>
      <c r="E341" s="17"/>
      <c r="J341" s="19"/>
    </row>
    <row r="342" ht="15.75" customHeight="1">
      <c r="A342" s="16"/>
      <c r="B342" s="16"/>
      <c r="C342" s="16"/>
      <c r="D342" s="16"/>
      <c r="E342" s="17"/>
      <c r="J342" s="19"/>
    </row>
    <row r="343" ht="15.75" customHeight="1">
      <c r="A343" s="16"/>
      <c r="B343" s="16"/>
      <c r="C343" s="16"/>
      <c r="D343" s="16"/>
      <c r="E343" s="17"/>
      <c r="J343" s="19"/>
    </row>
    <row r="344" ht="15.75" customHeight="1">
      <c r="A344" s="16"/>
      <c r="B344" s="16"/>
      <c r="C344" s="16"/>
      <c r="D344" s="16"/>
      <c r="E344" s="17"/>
      <c r="J344" s="19"/>
    </row>
    <row r="345" ht="15.75" customHeight="1">
      <c r="A345" s="16"/>
      <c r="B345" s="16"/>
      <c r="C345" s="16"/>
      <c r="D345" s="16"/>
      <c r="E345" s="17"/>
      <c r="J345" s="19"/>
    </row>
    <row r="346" ht="15.75" customHeight="1">
      <c r="A346" s="16"/>
      <c r="B346" s="16"/>
      <c r="C346" s="16"/>
      <c r="D346" s="16"/>
      <c r="E346" s="17"/>
      <c r="J346" s="19"/>
    </row>
    <row r="347" ht="15.75" customHeight="1">
      <c r="A347" s="16"/>
      <c r="B347" s="16"/>
      <c r="C347" s="16"/>
      <c r="D347" s="16"/>
      <c r="E347" s="17"/>
      <c r="J347" s="19"/>
    </row>
    <row r="348" ht="15.75" customHeight="1">
      <c r="A348" s="16"/>
      <c r="B348" s="16"/>
      <c r="C348" s="16"/>
      <c r="D348" s="16"/>
      <c r="E348" s="17"/>
      <c r="J348" s="19"/>
    </row>
    <row r="349" ht="15.75" customHeight="1">
      <c r="A349" s="16"/>
      <c r="B349" s="16"/>
      <c r="C349" s="16"/>
      <c r="D349" s="16"/>
      <c r="E349" s="17"/>
      <c r="J349" s="19"/>
    </row>
    <row r="350" ht="15.75" customHeight="1">
      <c r="A350" s="16"/>
      <c r="B350" s="16"/>
      <c r="C350" s="16"/>
      <c r="D350" s="16"/>
      <c r="E350" s="17"/>
      <c r="J350" s="19"/>
    </row>
    <row r="351" ht="15.75" customHeight="1">
      <c r="A351" s="16"/>
      <c r="B351" s="16"/>
      <c r="C351" s="16"/>
      <c r="D351" s="16"/>
      <c r="E351" s="17"/>
      <c r="J351" s="19"/>
    </row>
    <row r="352" ht="15.75" customHeight="1">
      <c r="A352" s="16"/>
      <c r="B352" s="16"/>
      <c r="C352" s="16"/>
      <c r="D352" s="16"/>
      <c r="E352" s="17"/>
      <c r="J352" s="19"/>
    </row>
    <row r="353" ht="15.75" customHeight="1">
      <c r="A353" s="16"/>
      <c r="B353" s="16"/>
      <c r="C353" s="16"/>
      <c r="D353" s="16"/>
      <c r="E353" s="17"/>
      <c r="J353" s="19"/>
    </row>
    <row r="354" ht="15.75" customHeight="1">
      <c r="E354" s="56"/>
      <c r="J354" s="19"/>
    </row>
    <row r="355" ht="15.75" customHeight="1">
      <c r="E355" s="56"/>
      <c r="J355" s="19"/>
    </row>
    <row r="356" ht="15.75" customHeight="1">
      <c r="E356" s="56"/>
      <c r="J356" s="19"/>
    </row>
  </sheetData>
  <mergeCells count="23">
    <mergeCell ref="J5:J32"/>
    <mergeCell ref="J33:J60"/>
    <mergeCell ref="J145:J172"/>
    <mergeCell ref="J173:J200"/>
    <mergeCell ref="A2:B2"/>
    <mergeCell ref="D2:J2"/>
    <mergeCell ref="L2:M3"/>
    <mergeCell ref="D5:D32"/>
    <mergeCell ref="E5:E32"/>
    <mergeCell ref="D33:D60"/>
    <mergeCell ref="E33:E60"/>
    <mergeCell ref="D117:D144"/>
    <mergeCell ref="D145:D172"/>
    <mergeCell ref="E145:E172"/>
    <mergeCell ref="D173:D200"/>
    <mergeCell ref="E173:E200"/>
    <mergeCell ref="D61:D88"/>
    <mergeCell ref="J61:J88"/>
    <mergeCell ref="D89:D116"/>
    <mergeCell ref="E89:E116"/>
    <mergeCell ref="J89:J116"/>
    <mergeCell ref="E117:E144"/>
    <mergeCell ref="J117:J14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16">
        <v>1.0</v>
      </c>
      <c r="B1" s="16"/>
      <c r="C1" s="16"/>
      <c r="D1" s="16"/>
      <c r="E1" s="17"/>
      <c r="F1" s="18"/>
      <c r="G1" s="18"/>
      <c r="H1" s="18"/>
      <c r="I1" s="18"/>
      <c r="J1" s="19"/>
      <c r="K1" s="18"/>
      <c r="L1" s="18"/>
      <c r="M1" s="18"/>
      <c r="N1" s="18"/>
    </row>
    <row r="2" ht="15.75" customHeight="1">
      <c r="A2" s="20" t="s">
        <v>44</v>
      </c>
      <c r="B2" s="21"/>
      <c r="C2" s="22"/>
      <c r="D2" s="22" t="s">
        <v>45</v>
      </c>
      <c r="K2" s="18"/>
      <c r="L2" s="23" t="s">
        <v>46</v>
      </c>
      <c r="M2" s="24"/>
      <c r="N2" s="18"/>
    </row>
    <row r="3" ht="15.75" customHeight="1">
      <c r="A3" s="25" t="s">
        <v>47</v>
      </c>
      <c r="B3" s="26" t="s">
        <v>48</v>
      </c>
      <c r="C3" s="16"/>
      <c r="D3" s="16"/>
      <c r="E3" s="17"/>
      <c r="F3" s="18"/>
      <c r="G3" s="18"/>
      <c r="H3" s="18"/>
      <c r="I3" s="18"/>
      <c r="J3" s="27"/>
      <c r="K3" s="18"/>
      <c r="L3" s="28"/>
      <c r="M3" s="29"/>
      <c r="N3" s="18"/>
    </row>
    <row r="4" ht="15.75" customHeight="1">
      <c r="A4" s="30" t="s">
        <v>21</v>
      </c>
      <c r="B4" s="31">
        <v>5000.0</v>
      </c>
      <c r="C4" s="32"/>
      <c r="D4" s="33" t="s">
        <v>1</v>
      </c>
      <c r="E4" s="34" t="s">
        <v>49</v>
      </c>
      <c r="F4" s="35" t="s">
        <v>50</v>
      </c>
      <c r="G4" s="36" t="s">
        <v>51</v>
      </c>
      <c r="H4" s="36" t="s">
        <v>52</v>
      </c>
      <c r="I4" s="36" t="s">
        <v>53</v>
      </c>
      <c r="J4" s="37" t="s">
        <v>54</v>
      </c>
      <c r="K4" s="18"/>
      <c r="L4" s="38" t="s">
        <v>55</v>
      </c>
      <c r="M4" s="38" t="s">
        <v>51</v>
      </c>
      <c r="N4" s="18"/>
    </row>
    <row r="5" ht="15.75" customHeight="1">
      <c r="A5" s="30" t="s">
        <v>56</v>
      </c>
      <c r="B5" s="31">
        <v>3000.0</v>
      </c>
      <c r="C5" s="39"/>
      <c r="D5" s="40">
        <v>1.0</v>
      </c>
      <c r="E5" s="41" t="s">
        <v>102</v>
      </c>
      <c r="F5" s="42" t="s">
        <v>21</v>
      </c>
      <c r="G5" s="43"/>
      <c r="H5" s="44">
        <f>VLOOKUP(F5,$A$4:$B$4,2,TRUE)</f>
        <v>5000</v>
      </c>
      <c r="I5" s="45">
        <f t="shared" ref="I5:I118" si="1">H5*G5</f>
        <v>0</v>
      </c>
      <c r="J5" s="46">
        <f>SUM(I5:I32)</f>
        <v>33900</v>
      </c>
      <c r="K5" s="18"/>
      <c r="L5" s="42" t="s">
        <v>21</v>
      </c>
      <c r="M5" s="38">
        <f>SUMIF(F5:F116,"Gelas bersih",G5:G116)</f>
        <v>4</v>
      </c>
      <c r="N5" s="18"/>
    </row>
    <row r="6" ht="15.75" customHeight="1">
      <c r="A6" s="30" t="s">
        <v>58</v>
      </c>
      <c r="B6" s="31">
        <v>1000.0</v>
      </c>
      <c r="C6" s="39"/>
      <c r="D6" s="47"/>
      <c r="E6" s="47"/>
      <c r="F6" s="42" t="s">
        <v>56</v>
      </c>
      <c r="G6" s="43"/>
      <c r="H6" s="48">
        <f>VLOOKUP(F6,$A$5:$B$5,2,TRUE)</f>
        <v>3000</v>
      </c>
      <c r="I6" s="45">
        <f t="shared" si="1"/>
        <v>0</v>
      </c>
      <c r="J6" s="47"/>
      <c r="K6" s="18"/>
      <c r="L6" s="42" t="s">
        <v>56</v>
      </c>
      <c r="M6" s="38">
        <f>SUMIF(F6:F117,"Botol bersih",G6:G117)</f>
        <v>9.5</v>
      </c>
      <c r="N6" s="18"/>
    </row>
    <row r="7" ht="15.75" customHeight="1">
      <c r="A7" s="30" t="s">
        <v>24</v>
      </c>
      <c r="B7" s="31">
        <v>2800.0</v>
      </c>
      <c r="C7" s="39"/>
      <c r="D7" s="47"/>
      <c r="E7" s="47"/>
      <c r="F7" s="42" t="s">
        <v>58</v>
      </c>
      <c r="G7" s="43"/>
      <c r="H7" s="48">
        <f>VLOOKUP(F7,$A$6:$B$6,2,TRUE)</f>
        <v>1000</v>
      </c>
      <c r="I7" s="45">
        <f t="shared" si="1"/>
        <v>0</v>
      </c>
      <c r="J7" s="47"/>
      <c r="K7" s="18"/>
      <c r="L7" s="42" t="s">
        <v>58</v>
      </c>
      <c r="M7" s="38">
        <f>SUMIF(F7:F118,"Botol Warna",G7:G118)</f>
        <v>0</v>
      </c>
      <c r="N7" s="18"/>
    </row>
    <row r="8" ht="15.75" customHeight="1">
      <c r="A8" s="30" t="s">
        <v>25</v>
      </c>
      <c r="B8" s="31">
        <v>3500.0</v>
      </c>
      <c r="C8" s="39"/>
      <c r="D8" s="47"/>
      <c r="E8" s="47"/>
      <c r="F8" s="42" t="s">
        <v>24</v>
      </c>
      <c r="G8" s="43">
        <v>0.5</v>
      </c>
      <c r="H8" s="48">
        <f>VLOOKUP(F8,$A$7:$B$7,2,TRUE)</f>
        <v>2800</v>
      </c>
      <c r="I8" s="45">
        <f t="shared" si="1"/>
        <v>1400</v>
      </c>
      <c r="J8" s="47"/>
      <c r="K8" s="18"/>
      <c r="L8" s="42" t="s">
        <v>24</v>
      </c>
      <c r="M8" s="38">
        <f>SUMIF(F8:F119,"Tutup botol",G8:G119)</f>
        <v>0.5</v>
      </c>
      <c r="N8" s="18"/>
    </row>
    <row r="9" ht="15.75" customHeight="1">
      <c r="A9" s="30" t="s">
        <v>26</v>
      </c>
      <c r="B9" s="31">
        <v>1000.0</v>
      </c>
      <c r="C9" s="39"/>
      <c r="D9" s="47"/>
      <c r="E9" s="47"/>
      <c r="F9" s="42" t="s">
        <v>25</v>
      </c>
      <c r="G9" s="43">
        <v>1.0</v>
      </c>
      <c r="H9" s="48">
        <f>VLOOKUP(F9,$A$8:$B$8,2,TRUE)</f>
        <v>3500</v>
      </c>
      <c r="I9" s="45">
        <f t="shared" si="1"/>
        <v>3500</v>
      </c>
      <c r="J9" s="47"/>
      <c r="K9" s="18"/>
      <c r="L9" s="42" t="s">
        <v>25</v>
      </c>
      <c r="M9" s="38">
        <f>SUMIF(F9:F120,"Tutup galon",G9:G120)</f>
        <v>1</v>
      </c>
      <c r="N9" s="18"/>
    </row>
    <row r="10" ht="15.75" customHeight="1">
      <c r="A10" s="30" t="s">
        <v>27</v>
      </c>
      <c r="B10" s="31">
        <v>2000.0</v>
      </c>
      <c r="C10" s="39"/>
      <c r="D10" s="47"/>
      <c r="E10" s="47"/>
      <c r="F10" s="42" t="s">
        <v>26</v>
      </c>
      <c r="G10" s="43">
        <v>4.0</v>
      </c>
      <c r="H10" s="48">
        <f>VLOOKUP(F10,$A$9:$B$9,2,TRUE)</f>
        <v>1000</v>
      </c>
      <c r="I10" s="45">
        <f t="shared" si="1"/>
        <v>4000</v>
      </c>
      <c r="J10" s="47"/>
      <c r="K10" s="18"/>
      <c r="L10" s="42" t="s">
        <v>26</v>
      </c>
      <c r="M10" s="38">
        <f>SUMIF(F10:F121,"Hitam",G10:G121)</f>
        <v>14.5</v>
      </c>
      <c r="N10" s="18"/>
    </row>
    <row r="11" ht="15.75" customHeight="1">
      <c r="A11" s="30" t="s">
        <v>28</v>
      </c>
      <c r="B11" s="31">
        <v>2000.0</v>
      </c>
      <c r="C11" s="39"/>
      <c r="D11" s="47"/>
      <c r="E11" s="47"/>
      <c r="F11" s="42" t="s">
        <v>27</v>
      </c>
      <c r="G11" s="43"/>
      <c r="H11" s="48">
        <f>VLOOKUP(F11,$A$10:$B$10,2,TRUE)</f>
        <v>2000</v>
      </c>
      <c r="I11" s="45">
        <f t="shared" si="1"/>
        <v>0</v>
      </c>
      <c r="J11" s="47"/>
      <c r="K11" s="18"/>
      <c r="L11" s="42" t="s">
        <v>27</v>
      </c>
      <c r="M11" s="38">
        <f>SUMIF(F11:F122,"Plastik Campur",G11:G122)</f>
        <v>0</v>
      </c>
      <c r="N11" s="18"/>
    </row>
    <row r="12" ht="15.75" customHeight="1">
      <c r="A12" s="30" t="s">
        <v>29</v>
      </c>
      <c r="B12" s="31">
        <v>1300.0</v>
      </c>
      <c r="C12" s="39"/>
      <c r="D12" s="47"/>
      <c r="E12" s="47"/>
      <c r="F12" s="42" t="s">
        <v>28</v>
      </c>
      <c r="G12" s="43">
        <v>8.0</v>
      </c>
      <c r="H12" s="48">
        <f>VLOOKUP(F12,$A$11:$B$11,2,TRUE)</f>
        <v>2000</v>
      </c>
      <c r="I12" s="45">
        <f t="shared" si="1"/>
        <v>16000</v>
      </c>
      <c r="J12" s="47"/>
      <c r="K12" s="18"/>
      <c r="L12" s="42" t="s">
        <v>28</v>
      </c>
      <c r="M12" s="38">
        <f>SUMIF(F12:F123,"Kardus",G12:G123)</f>
        <v>14.5</v>
      </c>
      <c r="N12" s="18"/>
    </row>
    <row r="13" ht="15.75" customHeight="1">
      <c r="A13" s="30" t="s">
        <v>30</v>
      </c>
      <c r="B13" s="31">
        <v>1000.0</v>
      </c>
      <c r="C13" s="39"/>
      <c r="D13" s="47"/>
      <c r="E13" s="47"/>
      <c r="F13" s="42" t="s">
        <v>29</v>
      </c>
      <c r="G13" s="43"/>
      <c r="H13" s="48">
        <f>VLOOKUP(F13,$A$12:$B$12,2,TRUE)</f>
        <v>1300</v>
      </c>
      <c r="I13" s="45">
        <f t="shared" si="1"/>
        <v>0</v>
      </c>
      <c r="J13" s="47"/>
      <c r="K13" s="18"/>
      <c r="L13" s="42" t="s">
        <v>29</v>
      </c>
      <c r="M13" s="38">
        <f>SUMIF(F13:F124,"Kertas Putihan/ HVS",G13:G124)</f>
        <v>0</v>
      </c>
      <c r="N13" s="18"/>
    </row>
    <row r="14" ht="15.75" customHeight="1">
      <c r="A14" s="30" t="s">
        <v>31</v>
      </c>
      <c r="B14" s="31">
        <v>400.0</v>
      </c>
      <c r="C14" s="39"/>
      <c r="D14" s="47"/>
      <c r="E14" s="47"/>
      <c r="F14" s="42" t="s">
        <v>30</v>
      </c>
      <c r="G14" s="43"/>
      <c r="H14" s="48">
        <f>VLOOKUP(F14,$A$13:$B$13,2,TRUE)</f>
        <v>1000</v>
      </c>
      <c r="I14" s="45">
        <f t="shared" si="1"/>
        <v>0</v>
      </c>
      <c r="J14" s="47"/>
      <c r="K14" s="18"/>
      <c r="L14" s="42" t="s">
        <v>30</v>
      </c>
      <c r="M14" s="38">
        <f>SUMIF(F14:F125,"Koran/Buku",G14:G125)</f>
        <v>0</v>
      </c>
      <c r="N14" s="18"/>
    </row>
    <row r="15" ht="15.75" customHeight="1">
      <c r="A15" s="30" t="s">
        <v>32</v>
      </c>
      <c r="B15" s="31">
        <v>7500.0</v>
      </c>
      <c r="C15" s="39"/>
      <c r="D15" s="47"/>
      <c r="E15" s="47"/>
      <c r="F15" s="42" t="s">
        <v>31</v>
      </c>
      <c r="G15" s="43"/>
      <c r="H15" s="48">
        <f>VLOOKUP(F15,$A$14:$B$14,2,TRUE)</f>
        <v>400</v>
      </c>
      <c r="I15" s="45">
        <f t="shared" si="1"/>
        <v>0</v>
      </c>
      <c r="J15" s="47"/>
      <c r="K15" s="18"/>
      <c r="L15" s="42" t="s">
        <v>31</v>
      </c>
      <c r="M15" s="38">
        <f>SUMIF(F15:F126,"Duplex",G15:G126)</f>
        <v>0</v>
      </c>
      <c r="N15" s="18"/>
    </row>
    <row r="16" ht="15.75" customHeight="1">
      <c r="A16" s="30" t="s">
        <v>33</v>
      </c>
      <c r="B16" s="31">
        <v>2000.0</v>
      </c>
      <c r="C16" s="39"/>
      <c r="D16" s="47"/>
      <c r="E16" s="47"/>
      <c r="F16" s="42" t="s">
        <v>32</v>
      </c>
      <c r="G16" s="43"/>
      <c r="H16" s="48">
        <f>VLOOKUP(F16,$A$15:$B$15,2,TRUE)</f>
        <v>7500</v>
      </c>
      <c r="I16" s="45">
        <f t="shared" si="1"/>
        <v>0</v>
      </c>
      <c r="J16" s="47"/>
      <c r="K16" s="18"/>
      <c r="L16" s="42" t="s">
        <v>32</v>
      </c>
      <c r="M16" s="38">
        <f>SUMIF(F16:F127,"Alumunium",G16:G127)</f>
        <v>0</v>
      </c>
      <c r="N16" s="18"/>
    </row>
    <row r="17" ht="15.75" customHeight="1">
      <c r="A17" s="30" t="s">
        <v>34</v>
      </c>
      <c r="B17" s="31">
        <v>800.0</v>
      </c>
      <c r="C17" s="39"/>
      <c r="D17" s="47"/>
      <c r="E17" s="47"/>
      <c r="F17" s="42" t="s">
        <v>33</v>
      </c>
      <c r="G17" s="43">
        <v>4.0</v>
      </c>
      <c r="H17" s="48">
        <f>VLOOKUP(F17,$A$16:$B$16,2,TRUE)</f>
        <v>2000</v>
      </c>
      <c r="I17" s="45">
        <f t="shared" si="1"/>
        <v>8000</v>
      </c>
      <c r="J17" s="47"/>
      <c r="K17" s="18"/>
      <c r="L17" s="42" t="s">
        <v>33</v>
      </c>
      <c r="M17" s="38">
        <f>SUMIF(F17:F128,"Besi",G17:G128)</f>
        <v>4</v>
      </c>
      <c r="N17" s="18"/>
    </row>
    <row r="18" ht="15.75" customHeight="1">
      <c r="A18" s="30" t="s">
        <v>35</v>
      </c>
      <c r="B18" s="31">
        <v>5000.0</v>
      </c>
      <c r="C18" s="39"/>
      <c r="D18" s="47"/>
      <c r="E18" s="47"/>
      <c r="F18" s="42" t="s">
        <v>34</v>
      </c>
      <c r="G18" s="43"/>
      <c r="H18" s="48">
        <f>VLOOKUP(F18,$A$17:$B$17,2,TRUE)</f>
        <v>800</v>
      </c>
      <c r="I18" s="45">
        <f t="shared" si="1"/>
        <v>0</v>
      </c>
      <c r="J18" s="47"/>
      <c r="K18" s="18"/>
      <c r="L18" s="42" t="s">
        <v>34</v>
      </c>
      <c r="M18" s="38">
        <f>SUMIF(F18:F129,"Kaleng kue/susu",G18:G129)</f>
        <v>0</v>
      </c>
      <c r="N18" s="18"/>
    </row>
    <row r="19" ht="15.75" customHeight="1">
      <c r="A19" s="30" t="s">
        <v>36</v>
      </c>
      <c r="B19" s="31">
        <v>2700.0</v>
      </c>
      <c r="C19" s="39"/>
      <c r="D19" s="47"/>
      <c r="E19" s="47"/>
      <c r="F19" s="42" t="s">
        <v>35</v>
      </c>
      <c r="G19" s="43"/>
      <c r="H19" s="48">
        <f>VLOOKUP(F19,$A$18:$B$18,2,TRUE)</f>
        <v>5000</v>
      </c>
      <c r="I19" s="45">
        <f t="shared" si="1"/>
        <v>0</v>
      </c>
      <c r="J19" s="47"/>
      <c r="K19" s="18"/>
      <c r="L19" s="42" t="s">
        <v>35</v>
      </c>
      <c r="M19" s="38">
        <f>SUMIF(F19:F130,"Kaleng Minuman",G19:G130)</f>
        <v>0</v>
      </c>
      <c r="N19" s="18"/>
    </row>
    <row r="20" ht="15.75" customHeight="1">
      <c r="A20" s="30" t="s">
        <v>37</v>
      </c>
      <c r="B20" s="31">
        <v>50000.0</v>
      </c>
      <c r="C20" s="39"/>
      <c r="D20" s="47"/>
      <c r="E20" s="47"/>
      <c r="F20" s="42" t="s">
        <v>36</v>
      </c>
      <c r="G20" s="43"/>
      <c r="H20" s="48">
        <f>VLOOKUP(F20,$A$19:$B$19,2,TRUE)</f>
        <v>2700</v>
      </c>
      <c r="I20" s="45">
        <f t="shared" si="1"/>
        <v>0</v>
      </c>
      <c r="J20" s="47"/>
      <c r="K20" s="18"/>
      <c r="L20" s="42" t="s">
        <v>36</v>
      </c>
      <c r="M20" s="38">
        <f>SUMIF(F20:F131,"Stanless",G20:G131)</f>
        <v>0</v>
      </c>
      <c r="N20" s="18"/>
    </row>
    <row r="21" ht="15.75" customHeight="1">
      <c r="A21" s="30" t="s">
        <v>38</v>
      </c>
      <c r="B21" s="31">
        <v>10000.0</v>
      </c>
      <c r="C21" s="39"/>
      <c r="D21" s="47"/>
      <c r="E21" s="47"/>
      <c r="F21" s="42" t="s">
        <v>37</v>
      </c>
      <c r="G21" s="43"/>
      <c r="H21" s="48">
        <f>VLOOKUP(F21,$A$20:$B$20,2,TRUE)</f>
        <v>50000</v>
      </c>
      <c r="I21" s="45">
        <f t="shared" si="1"/>
        <v>0</v>
      </c>
      <c r="J21" s="47"/>
      <c r="K21" s="18"/>
      <c r="L21" s="42" t="s">
        <v>37</v>
      </c>
      <c r="M21" s="38">
        <f>SUMIF(F21:F132,"Tembaga",G21:G132)</f>
        <v>0</v>
      </c>
      <c r="N21" s="18"/>
    </row>
    <row r="22" ht="15.75" customHeight="1">
      <c r="A22" s="30" t="s">
        <v>39</v>
      </c>
      <c r="B22" s="31">
        <v>1000.0</v>
      </c>
      <c r="C22" s="39"/>
      <c r="D22" s="47"/>
      <c r="E22" s="47"/>
      <c r="F22" s="42" t="s">
        <v>38</v>
      </c>
      <c r="G22" s="43"/>
      <c r="H22" s="48">
        <f>VLOOKUP(F22,$A$21:$B$21,2,TRUE)</f>
        <v>10000</v>
      </c>
      <c r="I22" s="45">
        <f t="shared" si="1"/>
        <v>0</v>
      </c>
      <c r="J22" s="47"/>
      <c r="K22" s="18"/>
      <c r="L22" s="42" t="s">
        <v>38</v>
      </c>
      <c r="M22" s="38">
        <f>SUMIF(F22:F133,"Aki Motor",G22:G133)</f>
        <v>0</v>
      </c>
      <c r="N22" s="18"/>
    </row>
    <row r="23" ht="15.75" customHeight="1">
      <c r="A23" s="30" t="s">
        <v>40</v>
      </c>
      <c r="B23" s="31">
        <v>500.0</v>
      </c>
      <c r="C23" s="39"/>
      <c r="D23" s="47"/>
      <c r="E23" s="47"/>
      <c r="F23" s="42" t="s">
        <v>39</v>
      </c>
      <c r="G23" s="43">
        <v>1.0</v>
      </c>
      <c r="H23" s="48">
        <f>VLOOKUP(F23,$A$22:$B$22,2,TRUE)</f>
        <v>1000</v>
      </c>
      <c r="I23" s="45">
        <f t="shared" si="1"/>
        <v>1000</v>
      </c>
      <c r="J23" s="47"/>
      <c r="K23" s="18"/>
      <c r="L23" s="42" t="s">
        <v>39</v>
      </c>
      <c r="M23" s="38">
        <f>SUMIF(F23:F134,"Paralon",G23:G134)</f>
        <v>1</v>
      </c>
      <c r="N23" s="18"/>
    </row>
    <row r="24" ht="15.75" customHeight="1">
      <c r="A24" s="30" t="s">
        <v>41</v>
      </c>
      <c r="B24" s="31">
        <v>200.0</v>
      </c>
      <c r="C24" s="39"/>
      <c r="D24" s="47"/>
      <c r="E24" s="47"/>
      <c r="F24" s="42" t="s">
        <v>40</v>
      </c>
      <c r="G24" s="43"/>
      <c r="H24" s="48">
        <f>VLOOKUP(F24,$A$23:$B$23,2,TRUE)</f>
        <v>500</v>
      </c>
      <c r="I24" s="45">
        <f t="shared" si="1"/>
        <v>0</v>
      </c>
      <c r="J24" s="47"/>
      <c r="K24" s="18"/>
      <c r="L24" s="42" t="s">
        <v>40</v>
      </c>
      <c r="M24" s="38">
        <f>SUMIF(F24:F135,"Plastik bening",G24:G135)</f>
        <v>0</v>
      </c>
      <c r="N24" s="18"/>
    </row>
    <row r="25" ht="15.75" customHeight="1">
      <c r="A25" s="30" t="s">
        <v>42</v>
      </c>
      <c r="B25" s="31">
        <v>1000.0</v>
      </c>
      <c r="C25" s="39"/>
      <c r="D25" s="47"/>
      <c r="E25" s="47"/>
      <c r="F25" s="42" t="s">
        <v>41</v>
      </c>
      <c r="G25" s="43"/>
      <c r="H25" s="48">
        <f>VLOOKUP(F25,$A$24:$B$24,2,TRUE)</f>
        <v>200</v>
      </c>
      <c r="I25" s="45">
        <f t="shared" si="1"/>
        <v>0</v>
      </c>
      <c r="J25" s="47"/>
      <c r="K25" s="18"/>
      <c r="L25" s="42" t="s">
        <v>41</v>
      </c>
      <c r="M25" s="38">
        <f>SUMIF(F25:F136,"Plastik Warna",G25:G136)</f>
        <v>0</v>
      </c>
      <c r="N25" s="18"/>
    </row>
    <row r="26" ht="15.75" customHeight="1">
      <c r="A26" s="30" t="s">
        <v>17</v>
      </c>
      <c r="B26" s="31">
        <v>300.0</v>
      </c>
      <c r="C26" s="39"/>
      <c r="D26" s="47"/>
      <c r="E26" s="47"/>
      <c r="F26" s="42" t="s">
        <v>42</v>
      </c>
      <c r="G26" s="43"/>
      <c r="H26" s="48">
        <f>VLOOKUP(F26,$A$25:$B$25,2,TRUE)</f>
        <v>1000</v>
      </c>
      <c r="I26" s="45">
        <f t="shared" si="1"/>
        <v>0</v>
      </c>
      <c r="J26" s="47"/>
      <c r="K26" s="18"/>
      <c r="L26" s="42" t="s">
        <v>42</v>
      </c>
      <c r="M26" s="38">
        <f>SUMIF(F26:F137,"Selang",G26:G137)</f>
        <v>0</v>
      </c>
      <c r="N26" s="18"/>
    </row>
    <row r="27" ht="15.75" customHeight="1">
      <c r="A27" s="30" t="s">
        <v>43</v>
      </c>
      <c r="B27" s="31">
        <v>100.0</v>
      </c>
      <c r="C27" s="39"/>
      <c r="D27" s="47"/>
      <c r="E27" s="47"/>
      <c r="F27" s="42" t="s">
        <v>17</v>
      </c>
      <c r="G27" s="43"/>
      <c r="H27" s="48">
        <f>VLOOKUP(F27,$A$26:$B$26,2,TRUE)</f>
        <v>300</v>
      </c>
      <c r="I27" s="45">
        <f t="shared" si="1"/>
        <v>0</v>
      </c>
      <c r="J27" s="47"/>
      <c r="K27" s="18"/>
      <c r="L27" s="42" t="s">
        <v>17</v>
      </c>
      <c r="M27" s="38">
        <f>SUMIF(F27:F138,"Beling",G27:G138)</f>
        <v>15</v>
      </c>
      <c r="N27" s="18"/>
    </row>
    <row r="28" ht="15.75" customHeight="1">
      <c r="A28" s="30" t="s">
        <v>59</v>
      </c>
      <c r="B28" s="31">
        <v>500.0</v>
      </c>
      <c r="C28" s="39"/>
      <c r="D28" s="47"/>
      <c r="E28" s="47"/>
      <c r="F28" s="42" t="s">
        <v>43</v>
      </c>
      <c r="G28" s="43"/>
      <c r="H28" s="48">
        <f>VLOOKUP(F28,$A$27:$B$27,2,TRUE)</f>
        <v>100</v>
      </c>
      <c r="I28" s="45">
        <f t="shared" si="1"/>
        <v>0</v>
      </c>
      <c r="J28" s="47"/>
      <c r="K28" s="18"/>
      <c r="L28" s="42" t="s">
        <v>43</v>
      </c>
      <c r="M28" s="38">
        <f>SUMIF(F28:F139,"Pecahan",G28:G139)</f>
        <v>0</v>
      </c>
      <c r="N28" s="18"/>
    </row>
    <row r="29" ht="15.75" customHeight="1">
      <c r="A29" s="30" t="s">
        <v>13</v>
      </c>
      <c r="B29" s="49">
        <v>1500.0</v>
      </c>
      <c r="C29" s="39"/>
      <c r="D29" s="47"/>
      <c r="E29" s="47"/>
      <c r="F29" s="42" t="s">
        <v>59</v>
      </c>
      <c r="G29" s="43"/>
      <c r="H29" s="48">
        <f>VLOOKUP(F29,$A$28:$B$28,2,TRUE)</f>
        <v>500</v>
      </c>
      <c r="I29" s="45">
        <f t="shared" si="1"/>
        <v>0</v>
      </c>
      <c r="J29" s="47"/>
      <c r="K29" s="18"/>
      <c r="L29" s="42" t="s">
        <v>59</v>
      </c>
      <c r="M29" s="38">
        <f>SUMIF(F29:F140,"Sendal/Sepatu",G29:G140)</f>
        <v>0</v>
      </c>
      <c r="N29" s="18"/>
    </row>
    <row r="30" ht="15.75" customHeight="1">
      <c r="A30" s="30" t="s">
        <v>19</v>
      </c>
      <c r="B30" s="31">
        <v>4000.0</v>
      </c>
      <c r="C30" s="39"/>
      <c r="D30" s="47"/>
      <c r="E30" s="47"/>
      <c r="F30" s="42" t="s">
        <v>13</v>
      </c>
      <c r="G30" s="43"/>
      <c r="H30" s="48">
        <f>VLOOKUP(F30,$A$29:$B$29,2,TRUE)</f>
        <v>1500</v>
      </c>
      <c r="I30" s="45">
        <f t="shared" si="1"/>
        <v>0</v>
      </c>
      <c r="J30" s="47"/>
      <c r="K30" s="18"/>
      <c r="L30" s="42" t="s">
        <v>13</v>
      </c>
      <c r="M30" s="38">
        <f>SUMIF(F30:F141,"Paku",G30:G141)</f>
        <v>0</v>
      </c>
      <c r="N30" s="18"/>
    </row>
    <row r="31" ht="15.75" customHeight="1">
      <c r="A31" s="30" t="s">
        <v>60</v>
      </c>
      <c r="B31" s="31">
        <v>500.0</v>
      </c>
      <c r="C31" s="39"/>
      <c r="D31" s="47"/>
      <c r="E31" s="47"/>
      <c r="F31" s="42" t="s">
        <v>19</v>
      </c>
      <c r="G31" s="43"/>
      <c r="H31" s="48">
        <f>VLOOKUP(F31,$A$30:$B$30,2,TRUE)</f>
        <v>4000</v>
      </c>
      <c r="I31" s="45">
        <f t="shared" si="1"/>
        <v>0</v>
      </c>
      <c r="J31" s="47"/>
      <c r="K31" s="18"/>
      <c r="L31" s="42" t="s">
        <v>19</v>
      </c>
      <c r="M31" s="38">
        <f>SUMIF(F31:F142,"Minyak Jelantah",G31:G142)</f>
        <v>0</v>
      </c>
      <c r="N31" s="18"/>
    </row>
    <row r="32" ht="15.75" customHeight="1">
      <c r="A32" s="39"/>
      <c r="B32" s="39"/>
      <c r="C32" s="39"/>
      <c r="D32" s="7"/>
      <c r="E32" s="7"/>
      <c r="F32" s="42" t="s">
        <v>103</v>
      </c>
      <c r="G32" s="43">
        <v>2.0</v>
      </c>
      <c r="H32" s="48">
        <v>0.0</v>
      </c>
      <c r="I32" s="45">
        <f t="shared" si="1"/>
        <v>0</v>
      </c>
      <c r="J32" s="7"/>
      <c r="K32" s="18"/>
      <c r="L32" s="42" t="s">
        <v>60</v>
      </c>
      <c r="M32" s="38">
        <f>SUMIF(F32:F143,"Lainnya",G32:G143)</f>
        <v>5</v>
      </c>
      <c r="N32" s="18"/>
    </row>
    <row r="33" ht="15.75" customHeight="1">
      <c r="A33" s="39"/>
      <c r="B33" s="39"/>
      <c r="C33" s="39"/>
      <c r="D33" s="40">
        <v>2.0</v>
      </c>
      <c r="E33" s="41" t="s">
        <v>104</v>
      </c>
      <c r="F33" s="42" t="s">
        <v>21</v>
      </c>
      <c r="G33" s="43"/>
      <c r="H33" s="50">
        <f>VLOOKUP(F33,$A$4:$B$4,2,TRUE)</f>
        <v>5000</v>
      </c>
      <c r="I33" s="45">
        <f t="shared" si="1"/>
        <v>0</v>
      </c>
      <c r="J33" s="46">
        <f>SUM(I33:I60)</f>
        <v>9500</v>
      </c>
      <c r="K33" s="18"/>
      <c r="L33" s="18"/>
      <c r="M33" s="18"/>
      <c r="N33" s="18"/>
    </row>
    <row r="34" ht="15.75" customHeight="1">
      <c r="A34" s="39"/>
      <c r="B34" s="39"/>
      <c r="C34" s="39"/>
      <c r="D34" s="47"/>
      <c r="E34" s="47"/>
      <c r="F34" s="42" t="s">
        <v>56</v>
      </c>
      <c r="G34" s="43"/>
      <c r="H34" s="50">
        <f>VLOOKUP(F34,$A$5:$B$5,2,TRUE)</f>
        <v>3000</v>
      </c>
      <c r="I34" s="45">
        <f t="shared" si="1"/>
        <v>0</v>
      </c>
      <c r="J34" s="47"/>
      <c r="K34" s="18"/>
      <c r="L34" s="18"/>
      <c r="M34" s="18"/>
      <c r="N34" s="18"/>
    </row>
    <row r="35" ht="15.75" customHeight="1">
      <c r="A35" s="39"/>
      <c r="B35" s="39"/>
      <c r="C35" s="39"/>
      <c r="D35" s="47"/>
      <c r="E35" s="47"/>
      <c r="F35" s="42" t="s">
        <v>58</v>
      </c>
      <c r="G35" s="43"/>
      <c r="H35" s="50">
        <f>VLOOKUP(F35,$A$6:$B$6,2,TRUE)</f>
        <v>1000</v>
      </c>
      <c r="I35" s="45">
        <f t="shared" si="1"/>
        <v>0</v>
      </c>
      <c r="J35" s="47"/>
      <c r="K35" s="18"/>
      <c r="L35" s="18"/>
      <c r="M35" s="18"/>
      <c r="N35" s="18"/>
    </row>
    <row r="36" ht="15.75" customHeight="1">
      <c r="A36" s="39"/>
      <c r="B36" s="39"/>
      <c r="C36" s="39"/>
      <c r="D36" s="47"/>
      <c r="E36" s="47"/>
      <c r="F36" s="42" t="s">
        <v>24</v>
      </c>
      <c r="G36" s="43"/>
      <c r="H36" s="50">
        <f>VLOOKUP(F36,$A$7:$B$7,2,TRUE)</f>
        <v>2800</v>
      </c>
      <c r="I36" s="45">
        <f t="shared" si="1"/>
        <v>0</v>
      </c>
      <c r="J36" s="47"/>
      <c r="K36" s="18"/>
      <c r="L36" s="18"/>
      <c r="M36" s="18"/>
      <c r="N36" s="18"/>
    </row>
    <row r="37" ht="15.75" customHeight="1">
      <c r="A37" s="39"/>
      <c r="B37" s="39"/>
      <c r="C37" s="39"/>
      <c r="D37" s="47"/>
      <c r="E37" s="47"/>
      <c r="F37" s="42" t="s">
        <v>25</v>
      </c>
      <c r="G37" s="43"/>
      <c r="H37" s="50">
        <f>VLOOKUP(F37,$A$8:$B$8,2,TRUE)</f>
        <v>3500</v>
      </c>
      <c r="I37" s="45">
        <f t="shared" si="1"/>
        <v>0</v>
      </c>
      <c r="J37" s="47"/>
      <c r="K37" s="18"/>
      <c r="L37" s="18"/>
      <c r="M37" s="18"/>
      <c r="N37" s="18"/>
    </row>
    <row r="38" ht="15.75" customHeight="1">
      <c r="A38" s="39"/>
      <c r="B38" s="39"/>
      <c r="C38" s="39"/>
      <c r="D38" s="47"/>
      <c r="E38" s="47"/>
      <c r="F38" s="42" t="s">
        <v>26</v>
      </c>
      <c r="G38" s="43">
        <v>2.5</v>
      </c>
      <c r="H38" s="50">
        <f>VLOOKUP(F38,$A$9:$B$9,2,TRUE)</f>
        <v>1000</v>
      </c>
      <c r="I38" s="45">
        <f t="shared" si="1"/>
        <v>2500</v>
      </c>
      <c r="J38" s="47"/>
      <c r="K38" s="18"/>
      <c r="L38" s="18"/>
      <c r="M38" s="18"/>
      <c r="N38" s="18"/>
    </row>
    <row r="39" ht="15.75" customHeight="1">
      <c r="A39" s="39"/>
      <c r="B39" s="39"/>
      <c r="C39" s="39"/>
      <c r="D39" s="47"/>
      <c r="E39" s="47"/>
      <c r="F39" s="42" t="s">
        <v>27</v>
      </c>
      <c r="G39" s="43"/>
      <c r="H39" s="50">
        <f>VLOOKUP(F39,$A$10:$B$10,2,TRUE)</f>
        <v>2000</v>
      </c>
      <c r="I39" s="45">
        <f t="shared" si="1"/>
        <v>0</v>
      </c>
      <c r="J39" s="47"/>
      <c r="K39" s="18"/>
      <c r="L39" s="18"/>
      <c r="M39" s="18"/>
      <c r="N39" s="18"/>
    </row>
    <row r="40" ht="15.75" customHeight="1">
      <c r="A40" s="39"/>
      <c r="B40" s="39"/>
      <c r="C40" s="39"/>
      <c r="D40" s="47"/>
      <c r="E40" s="47"/>
      <c r="F40" s="42" t="s">
        <v>28</v>
      </c>
      <c r="G40" s="43">
        <v>3.5</v>
      </c>
      <c r="H40" s="50">
        <f>VLOOKUP(F40,$A$11:$B$11,2,TRUE)</f>
        <v>2000</v>
      </c>
      <c r="I40" s="45">
        <f t="shared" si="1"/>
        <v>7000</v>
      </c>
      <c r="J40" s="47"/>
      <c r="K40" s="18"/>
      <c r="L40" s="18"/>
      <c r="M40" s="18"/>
      <c r="N40" s="18"/>
    </row>
    <row r="41" ht="15.75" customHeight="1">
      <c r="A41" s="39"/>
      <c r="B41" s="39"/>
      <c r="C41" s="39"/>
      <c r="D41" s="47"/>
      <c r="E41" s="47"/>
      <c r="F41" s="42" t="s">
        <v>29</v>
      </c>
      <c r="G41" s="43"/>
      <c r="H41" s="50">
        <f>VLOOKUP(F41,$A$12:$B$12,2,TRUE)</f>
        <v>1300</v>
      </c>
      <c r="I41" s="45">
        <f t="shared" si="1"/>
        <v>0</v>
      </c>
      <c r="J41" s="47"/>
      <c r="K41" s="18"/>
      <c r="L41" s="18"/>
      <c r="M41" s="18"/>
      <c r="N41" s="18"/>
    </row>
    <row r="42" ht="15.75" customHeight="1">
      <c r="A42" s="39"/>
      <c r="B42" s="39"/>
      <c r="C42" s="39"/>
      <c r="D42" s="47"/>
      <c r="E42" s="47"/>
      <c r="F42" s="42" t="s">
        <v>30</v>
      </c>
      <c r="G42" s="43"/>
      <c r="H42" s="50">
        <f>VLOOKUP(F42,$A$13:$B$13,2,TRUE)</f>
        <v>1000</v>
      </c>
      <c r="I42" s="45">
        <f t="shared" si="1"/>
        <v>0</v>
      </c>
      <c r="J42" s="47"/>
      <c r="K42" s="18"/>
      <c r="L42" s="18"/>
      <c r="M42" s="18"/>
      <c r="N42" s="18"/>
    </row>
    <row r="43" ht="15.75" customHeight="1">
      <c r="A43" s="39"/>
      <c r="B43" s="39"/>
      <c r="C43" s="39"/>
      <c r="D43" s="47"/>
      <c r="E43" s="47"/>
      <c r="F43" s="42" t="s">
        <v>31</v>
      </c>
      <c r="G43" s="43"/>
      <c r="H43" s="50">
        <f>VLOOKUP(F43,$A$14:$B$14,2,TRUE)</f>
        <v>400</v>
      </c>
      <c r="I43" s="45">
        <f t="shared" si="1"/>
        <v>0</v>
      </c>
      <c r="J43" s="47"/>
      <c r="K43" s="18"/>
      <c r="L43" s="18"/>
      <c r="M43" s="18"/>
      <c r="N43" s="18"/>
    </row>
    <row r="44" ht="15.75" customHeight="1">
      <c r="A44" s="39"/>
      <c r="B44" s="39"/>
      <c r="C44" s="39"/>
      <c r="D44" s="47"/>
      <c r="E44" s="47"/>
      <c r="F44" s="42" t="s">
        <v>32</v>
      </c>
      <c r="G44" s="43"/>
      <c r="H44" s="50">
        <f>VLOOKUP(F44,$A$15:$B$15,2,TRUE)</f>
        <v>7500</v>
      </c>
      <c r="I44" s="45">
        <f t="shared" si="1"/>
        <v>0</v>
      </c>
      <c r="J44" s="47"/>
      <c r="K44" s="18"/>
      <c r="L44" s="18"/>
      <c r="M44" s="18"/>
      <c r="N44" s="18"/>
    </row>
    <row r="45" ht="15.75" customHeight="1">
      <c r="A45" s="39"/>
      <c r="B45" s="39"/>
      <c r="C45" s="39"/>
      <c r="D45" s="47"/>
      <c r="E45" s="47"/>
      <c r="F45" s="42" t="s">
        <v>33</v>
      </c>
      <c r="G45" s="43"/>
      <c r="H45" s="50">
        <f>VLOOKUP(F45,$A$16:$B$16,2,TRUE)</f>
        <v>2000</v>
      </c>
      <c r="I45" s="45">
        <f t="shared" si="1"/>
        <v>0</v>
      </c>
      <c r="J45" s="47"/>
      <c r="K45" s="18"/>
      <c r="L45" s="18"/>
      <c r="M45" s="18"/>
      <c r="N45" s="18"/>
    </row>
    <row r="46" ht="15.75" customHeight="1">
      <c r="A46" s="39"/>
      <c r="B46" s="39"/>
      <c r="C46" s="39"/>
      <c r="D46" s="47"/>
      <c r="E46" s="47"/>
      <c r="F46" s="42" t="s">
        <v>34</v>
      </c>
      <c r="G46" s="43"/>
      <c r="H46" s="50">
        <f>VLOOKUP(F46,$A$17:$B$17,2,TRUE)</f>
        <v>800</v>
      </c>
      <c r="I46" s="45">
        <f t="shared" si="1"/>
        <v>0</v>
      </c>
      <c r="J46" s="47"/>
      <c r="K46" s="18"/>
      <c r="L46" s="18"/>
      <c r="M46" s="18"/>
      <c r="N46" s="18"/>
    </row>
    <row r="47" ht="15.75" customHeight="1">
      <c r="A47" s="39"/>
      <c r="B47" s="39"/>
      <c r="C47" s="39"/>
      <c r="D47" s="47"/>
      <c r="E47" s="47"/>
      <c r="F47" s="42" t="s">
        <v>35</v>
      </c>
      <c r="G47" s="43"/>
      <c r="H47" s="50">
        <f>VLOOKUP(F47,$A$18:$B$18,2,TRUE)</f>
        <v>5000</v>
      </c>
      <c r="I47" s="45">
        <f t="shared" si="1"/>
        <v>0</v>
      </c>
      <c r="J47" s="47"/>
      <c r="K47" s="18"/>
      <c r="L47" s="18"/>
      <c r="M47" s="18"/>
      <c r="N47" s="18"/>
    </row>
    <row r="48" ht="15.75" customHeight="1">
      <c r="A48" s="39"/>
      <c r="B48" s="39"/>
      <c r="C48" s="39"/>
      <c r="D48" s="47"/>
      <c r="E48" s="47"/>
      <c r="F48" s="42" t="s">
        <v>36</v>
      </c>
      <c r="G48" s="43"/>
      <c r="H48" s="50">
        <f>VLOOKUP(F48,$A$19:$B$19,2,TRUE)</f>
        <v>2700</v>
      </c>
      <c r="I48" s="45">
        <f t="shared" si="1"/>
        <v>0</v>
      </c>
      <c r="J48" s="47"/>
      <c r="K48" s="18"/>
      <c r="L48" s="18"/>
      <c r="M48" s="18"/>
      <c r="N48" s="18"/>
    </row>
    <row r="49" ht="15.75" customHeight="1">
      <c r="A49" s="39"/>
      <c r="B49" s="39"/>
      <c r="C49" s="39"/>
      <c r="D49" s="47"/>
      <c r="E49" s="47"/>
      <c r="F49" s="42" t="s">
        <v>37</v>
      </c>
      <c r="G49" s="43"/>
      <c r="H49" s="50">
        <f>VLOOKUP(F49,$A$20:$B$20,2,TRUE)</f>
        <v>50000</v>
      </c>
      <c r="I49" s="45">
        <f t="shared" si="1"/>
        <v>0</v>
      </c>
      <c r="J49" s="47"/>
      <c r="K49" s="18"/>
      <c r="L49" s="18"/>
      <c r="M49" s="18"/>
      <c r="N49" s="18"/>
    </row>
    <row r="50" ht="15.75" customHeight="1">
      <c r="A50" s="39"/>
      <c r="B50" s="39"/>
      <c r="C50" s="39"/>
      <c r="D50" s="47"/>
      <c r="E50" s="47"/>
      <c r="F50" s="42" t="s">
        <v>38</v>
      </c>
      <c r="G50" s="43"/>
      <c r="H50" s="50">
        <f>VLOOKUP(F50,$A$21:$B$21,2,TRUE)</f>
        <v>10000</v>
      </c>
      <c r="I50" s="45">
        <f t="shared" si="1"/>
        <v>0</v>
      </c>
      <c r="J50" s="47"/>
      <c r="K50" s="18"/>
      <c r="L50" s="18"/>
      <c r="M50" s="18"/>
      <c r="N50" s="18"/>
    </row>
    <row r="51" ht="15.75" customHeight="1">
      <c r="A51" s="39"/>
      <c r="B51" s="39"/>
      <c r="C51" s="39"/>
      <c r="D51" s="47"/>
      <c r="E51" s="47"/>
      <c r="F51" s="42" t="s">
        <v>39</v>
      </c>
      <c r="G51" s="43"/>
      <c r="H51" s="50">
        <f>VLOOKUP(F51,$A$22:$B$22,2,TRUE)</f>
        <v>1000</v>
      </c>
      <c r="I51" s="45">
        <f t="shared" si="1"/>
        <v>0</v>
      </c>
      <c r="J51" s="47"/>
      <c r="K51" s="18"/>
      <c r="L51" s="18"/>
      <c r="M51" s="18"/>
      <c r="N51" s="18"/>
    </row>
    <row r="52" ht="15.75" customHeight="1">
      <c r="A52" s="39"/>
      <c r="B52" s="39"/>
      <c r="C52" s="39"/>
      <c r="D52" s="47"/>
      <c r="E52" s="47"/>
      <c r="F52" s="42" t="s">
        <v>40</v>
      </c>
      <c r="G52" s="43"/>
      <c r="H52" s="50">
        <f>VLOOKUP(F52,$A$23:$B$23,2,TRUE)</f>
        <v>500</v>
      </c>
      <c r="I52" s="45">
        <f t="shared" si="1"/>
        <v>0</v>
      </c>
      <c r="J52" s="47"/>
      <c r="K52" s="18"/>
      <c r="L52" s="18"/>
      <c r="M52" s="18"/>
      <c r="N52" s="18"/>
    </row>
    <row r="53" ht="15.75" customHeight="1">
      <c r="A53" s="39"/>
      <c r="B53" s="39"/>
      <c r="C53" s="39"/>
      <c r="D53" s="47"/>
      <c r="E53" s="47"/>
      <c r="F53" s="42" t="s">
        <v>41</v>
      </c>
      <c r="G53" s="43"/>
      <c r="H53" s="50">
        <f>VLOOKUP(F53,$A$24:$B$24,2,TRUE)</f>
        <v>200</v>
      </c>
      <c r="I53" s="45">
        <f t="shared" si="1"/>
        <v>0</v>
      </c>
      <c r="J53" s="47"/>
      <c r="K53" s="18"/>
      <c r="L53" s="18"/>
      <c r="M53" s="18"/>
      <c r="N53" s="18"/>
    </row>
    <row r="54" ht="15.75" customHeight="1">
      <c r="A54" s="39"/>
      <c r="B54" s="39"/>
      <c r="C54" s="39"/>
      <c r="D54" s="47"/>
      <c r="E54" s="47"/>
      <c r="F54" s="42" t="s">
        <v>42</v>
      </c>
      <c r="G54" s="43"/>
      <c r="H54" s="50">
        <f>VLOOKUP(F54,$A$25:$B$25,2,TRUE)</f>
        <v>1000</v>
      </c>
      <c r="I54" s="45">
        <f t="shared" si="1"/>
        <v>0</v>
      </c>
      <c r="J54" s="47"/>
      <c r="K54" s="18"/>
      <c r="L54" s="18"/>
      <c r="M54" s="18"/>
      <c r="N54" s="18"/>
    </row>
    <row r="55" ht="15.75" customHeight="1">
      <c r="A55" s="39"/>
      <c r="B55" s="39"/>
      <c r="C55" s="39"/>
      <c r="D55" s="47"/>
      <c r="E55" s="47"/>
      <c r="F55" s="42" t="s">
        <v>17</v>
      </c>
      <c r="G55" s="43"/>
      <c r="H55" s="50">
        <f>VLOOKUP(F55,$A$26:$B$26,2,TRUE)</f>
        <v>300</v>
      </c>
      <c r="I55" s="45">
        <f t="shared" si="1"/>
        <v>0</v>
      </c>
      <c r="J55" s="47"/>
      <c r="K55" s="18"/>
      <c r="L55" s="18"/>
      <c r="M55" s="18"/>
      <c r="N55" s="18"/>
    </row>
    <row r="56" ht="15.75" customHeight="1">
      <c r="A56" s="39"/>
      <c r="B56" s="39"/>
      <c r="C56" s="39"/>
      <c r="D56" s="47"/>
      <c r="E56" s="47"/>
      <c r="F56" s="42" t="s">
        <v>43</v>
      </c>
      <c r="G56" s="43"/>
      <c r="H56" s="50">
        <f>VLOOKUP(F56,$A$27:$B$27,2,TRUE)</f>
        <v>100</v>
      </c>
      <c r="I56" s="45">
        <f t="shared" si="1"/>
        <v>0</v>
      </c>
      <c r="J56" s="47"/>
      <c r="K56" s="18"/>
      <c r="L56" s="18"/>
      <c r="M56" s="18"/>
      <c r="N56" s="18"/>
    </row>
    <row r="57" ht="15.75" customHeight="1">
      <c r="A57" s="39"/>
      <c r="B57" s="39"/>
      <c r="C57" s="39"/>
      <c r="D57" s="47"/>
      <c r="E57" s="47"/>
      <c r="F57" s="42" t="s">
        <v>59</v>
      </c>
      <c r="G57" s="43"/>
      <c r="H57" s="50">
        <f>VLOOKUP(F57,$A$28:$B$28,2,TRUE)</f>
        <v>500</v>
      </c>
      <c r="I57" s="45">
        <f t="shared" si="1"/>
        <v>0</v>
      </c>
      <c r="J57" s="47"/>
      <c r="K57" s="18"/>
      <c r="L57" s="18"/>
      <c r="M57" s="18"/>
      <c r="N57" s="18"/>
    </row>
    <row r="58" ht="15.75" customHeight="1">
      <c r="A58" s="39"/>
      <c r="B58" s="39"/>
      <c r="C58" s="39"/>
      <c r="D58" s="47"/>
      <c r="E58" s="47"/>
      <c r="F58" s="42" t="s">
        <v>13</v>
      </c>
      <c r="G58" s="43"/>
      <c r="H58" s="51">
        <f>VLOOKUP(F58,$A$29:$B$29,2,TRUE)</f>
        <v>1500</v>
      </c>
      <c r="I58" s="45">
        <f t="shared" si="1"/>
        <v>0</v>
      </c>
      <c r="J58" s="47"/>
      <c r="K58" s="18"/>
      <c r="L58" s="18"/>
      <c r="M58" s="18"/>
      <c r="N58" s="18"/>
    </row>
    <row r="59" ht="15.75" customHeight="1">
      <c r="A59" s="39"/>
      <c r="B59" s="39"/>
      <c r="C59" s="39"/>
      <c r="D59" s="47"/>
      <c r="E59" s="47"/>
      <c r="F59" s="42" t="s">
        <v>19</v>
      </c>
      <c r="G59" s="43"/>
      <c r="H59" s="50">
        <f>VLOOKUP(F59,$A$30:$B$30,2,TRUE)</f>
        <v>4000</v>
      </c>
      <c r="I59" s="45">
        <f t="shared" si="1"/>
        <v>0</v>
      </c>
      <c r="J59" s="47"/>
      <c r="K59" s="18"/>
      <c r="L59" s="18"/>
      <c r="M59" s="18"/>
      <c r="N59" s="18"/>
    </row>
    <row r="60" ht="15.75" customHeight="1">
      <c r="A60" s="39"/>
      <c r="B60" s="39"/>
      <c r="C60" s="39"/>
      <c r="D60" s="7"/>
      <c r="E60" s="7"/>
      <c r="F60" s="42" t="s">
        <v>60</v>
      </c>
      <c r="G60" s="43"/>
      <c r="H60" s="50">
        <f>VLOOKUP(F60,$A$31:$B$31,2,TRUE)</f>
        <v>500</v>
      </c>
      <c r="I60" s="45">
        <f t="shared" si="1"/>
        <v>0</v>
      </c>
      <c r="J60" s="7"/>
      <c r="K60" s="18"/>
      <c r="L60" s="18"/>
      <c r="M60" s="18"/>
      <c r="N60" s="18"/>
    </row>
    <row r="61" ht="15.75" customHeight="1">
      <c r="A61" s="39"/>
      <c r="B61" s="39"/>
      <c r="C61" s="39"/>
      <c r="D61" s="40">
        <v>3.0</v>
      </c>
      <c r="E61" s="41" t="s">
        <v>105</v>
      </c>
      <c r="F61" s="42" t="s">
        <v>21</v>
      </c>
      <c r="G61" s="43">
        <v>4.0</v>
      </c>
      <c r="H61" s="50">
        <f>VLOOKUP(F61,$A$4:$B$4,2,TRUE)</f>
        <v>5000</v>
      </c>
      <c r="I61" s="45">
        <f t="shared" si="1"/>
        <v>20000</v>
      </c>
      <c r="J61" s="46">
        <f>SUM(I61:I88)</f>
        <v>66000</v>
      </c>
      <c r="K61" s="18"/>
      <c r="L61" s="18"/>
      <c r="M61" s="18"/>
      <c r="N61" s="18"/>
    </row>
    <row r="62" ht="15.75" customHeight="1">
      <c r="A62" s="39"/>
      <c r="B62" s="39"/>
      <c r="C62" s="39"/>
      <c r="D62" s="47"/>
      <c r="E62" s="47"/>
      <c r="F62" s="42" t="s">
        <v>56</v>
      </c>
      <c r="G62" s="43">
        <v>9.5</v>
      </c>
      <c r="H62" s="50">
        <f>VLOOKUP(F62,$A$5:$B$5,2,TRUE)</f>
        <v>3000</v>
      </c>
      <c r="I62" s="45">
        <f t="shared" si="1"/>
        <v>28500</v>
      </c>
      <c r="J62" s="47"/>
      <c r="K62" s="18"/>
      <c r="L62" s="18"/>
      <c r="M62" s="18"/>
      <c r="N62" s="18"/>
    </row>
    <row r="63" ht="15.75" customHeight="1">
      <c r="A63" s="39"/>
      <c r="B63" s="39"/>
      <c r="C63" s="39"/>
      <c r="D63" s="47"/>
      <c r="E63" s="47"/>
      <c r="F63" s="42" t="s">
        <v>58</v>
      </c>
      <c r="G63" s="43"/>
      <c r="H63" s="50">
        <f>VLOOKUP(F63,$A$6:$B$6,2,TRUE)</f>
        <v>1000</v>
      </c>
      <c r="I63" s="45">
        <f t="shared" si="1"/>
        <v>0</v>
      </c>
      <c r="J63" s="47"/>
      <c r="K63" s="18"/>
      <c r="L63" s="18"/>
      <c r="M63" s="18"/>
      <c r="N63" s="18"/>
    </row>
    <row r="64" ht="15.75" customHeight="1">
      <c r="A64" s="39"/>
      <c r="B64" s="39"/>
      <c r="C64" s="39"/>
      <c r="D64" s="47"/>
      <c r="E64" s="47"/>
      <c r="F64" s="42" t="s">
        <v>24</v>
      </c>
      <c r="G64" s="43"/>
      <c r="H64" s="50">
        <f>VLOOKUP(F64,$A$7:$B$7,2,TRUE)</f>
        <v>2800</v>
      </c>
      <c r="I64" s="45">
        <f t="shared" si="1"/>
        <v>0</v>
      </c>
      <c r="J64" s="47"/>
      <c r="K64" s="18"/>
      <c r="L64" s="18"/>
      <c r="M64" s="18"/>
      <c r="N64" s="18"/>
    </row>
    <row r="65" ht="15.75" customHeight="1">
      <c r="A65" s="39"/>
      <c r="B65" s="39"/>
      <c r="C65" s="39"/>
      <c r="D65" s="47"/>
      <c r="E65" s="47"/>
      <c r="F65" s="42" t="s">
        <v>25</v>
      </c>
      <c r="G65" s="43"/>
      <c r="H65" s="50">
        <f>VLOOKUP(F65,$A$8:$B$8,2,TRUE)</f>
        <v>3500</v>
      </c>
      <c r="I65" s="45">
        <f t="shared" si="1"/>
        <v>0</v>
      </c>
      <c r="J65" s="47"/>
      <c r="K65" s="18"/>
      <c r="L65" s="18"/>
      <c r="M65" s="18"/>
      <c r="N65" s="18"/>
    </row>
    <row r="66" ht="15.75" customHeight="1">
      <c r="A66" s="39"/>
      <c r="B66" s="39"/>
      <c r="C66" s="39"/>
      <c r="D66" s="47"/>
      <c r="E66" s="47"/>
      <c r="F66" s="42" t="s">
        <v>26</v>
      </c>
      <c r="G66" s="43">
        <v>7.0</v>
      </c>
      <c r="H66" s="50">
        <f>VLOOKUP(F66,$A$9:$B$9,2,TRUE)</f>
        <v>1000</v>
      </c>
      <c r="I66" s="45">
        <f t="shared" si="1"/>
        <v>7000</v>
      </c>
      <c r="J66" s="47"/>
      <c r="K66" s="18"/>
      <c r="L66" s="18"/>
      <c r="M66" s="18"/>
      <c r="N66" s="18"/>
    </row>
    <row r="67" ht="15.75" customHeight="1">
      <c r="A67" s="39"/>
      <c r="B67" s="39"/>
      <c r="C67" s="39"/>
      <c r="D67" s="47"/>
      <c r="E67" s="47"/>
      <c r="F67" s="42" t="s">
        <v>27</v>
      </c>
      <c r="G67" s="43"/>
      <c r="H67" s="50">
        <f>VLOOKUP(F67,$A$10:$B$10,2,TRUE)</f>
        <v>2000</v>
      </c>
      <c r="I67" s="45">
        <f t="shared" si="1"/>
        <v>0</v>
      </c>
      <c r="J67" s="47"/>
      <c r="K67" s="18"/>
      <c r="L67" s="18"/>
      <c r="M67" s="18"/>
      <c r="N67" s="18"/>
    </row>
    <row r="68" ht="15.75" customHeight="1">
      <c r="A68" s="39"/>
      <c r="B68" s="39"/>
      <c r="C68" s="39"/>
      <c r="D68" s="47"/>
      <c r="E68" s="47"/>
      <c r="F68" s="42" t="s">
        <v>28</v>
      </c>
      <c r="G68" s="43">
        <v>3.0</v>
      </c>
      <c r="H68" s="50">
        <f>VLOOKUP(F68,$A$11:$B$11,2,TRUE)</f>
        <v>2000</v>
      </c>
      <c r="I68" s="45">
        <f t="shared" si="1"/>
        <v>6000</v>
      </c>
      <c r="J68" s="47"/>
      <c r="K68" s="18"/>
      <c r="L68" s="18"/>
      <c r="M68" s="18"/>
      <c r="N68" s="18"/>
    </row>
    <row r="69" ht="15.75" customHeight="1">
      <c r="A69" s="39"/>
      <c r="B69" s="39"/>
      <c r="C69" s="39"/>
      <c r="D69" s="47"/>
      <c r="E69" s="47"/>
      <c r="F69" s="42" t="s">
        <v>29</v>
      </c>
      <c r="G69" s="43"/>
      <c r="H69" s="50">
        <f>VLOOKUP(F69,$A$12:$B$12,2,TRUE)</f>
        <v>1300</v>
      </c>
      <c r="I69" s="45">
        <f t="shared" si="1"/>
        <v>0</v>
      </c>
      <c r="J69" s="47"/>
      <c r="K69" s="18"/>
      <c r="L69" s="18"/>
      <c r="M69" s="18"/>
      <c r="N69" s="18"/>
    </row>
    <row r="70" ht="15.75" customHeight="1">
      <c r="A70" s="39"/>
      <c r="B70" s="39"/>
      <c r="C70" s="39"/>
      <c r="D70" s="47"/>
      <c r="E70" s="47"/>
      <c r="F70" s="42" t="s">
        <v>30</v>
      </c>
      <c r="G70" s="43"/>
      <c r="H70" s="50">
        <f>VLOOKUP(F70,$A$13:$B$13,2,TRUE)</f>
        <v>1000</v>
      </c>
      <c r="I70" s="45">
        <f t="shared" si="1"/>
        <v>0</v>
      </c>
      <c r="J70" s="47"/>
      <c r="K70" s="18"/>
      <c r="L70" s="18"/>
      <c r="M70" s="18"/>
      <c r="N70" s="18"/>
    </row>
    <row r="71" ht="15.75" customHeight="1">
      <c r="A71" s="39"/>
      <c r="B71" s="39"/>
      <c r="C71" s="39"/>
      <c r="D71" s="47"/>
      <c r="E71" s="47"/>
      <c r="F71" s="42" t="s">
        <v>31</v>
      </c>
      <c r="G71" s="43"/>
      <c r="H71" s="50">
        <f>VLOOKUP(F71,$A$14:$B$14,2,TRUE)</f>
        <v>400</v>
      </c>
      <c r="I71" s="45">
        <f t="shared" si="1"/>
        <v>0</v>
      </c>
      <c r="J71" s="47"/>
      <c r="K71" s="18"/>
      <c r="L71" s="18"/>
      <c r="M71" s="18"/>
      <c r="N71" s="18"/>
    </row>
    <row r="72" ht="15.75" customHeight="1">
      <c r="A72" s="39"/>
      <c r="B72" s="39"/>
      <c r="C72" s="39"/>
      <c r="D72" s="47"/>
      <c r="E72" s="47"/>
      <c r="F72" s="42" t="s">
        <v>32</v>
      </c>
      <c r="G72" s="43"/>
      <c r="H72" s="50">
        <f>VLOOKUP(F72,$A$15:$B$15,2,TRUE)</f>
        <v>7500</v>
      </c>
      <c r="I72" s="45">
        <f t="shared" si="1"/>
        <v>0</v>
      </c>
      <c r="J72" s="47"/>
      <c r="K72" s="18"/>
      <c r="L72" s="18"/>
      <c r="M72" s="18"/>
      <c r="N72" s="18"/>
    </row>
    <row r="73" ht="15.75" customHeight="1">
      <c r="A73" s="39"/>
      <c r="B73" s="39"/>
      <c r="C73" s="39"/>
      <c r="D73" s="47"/>
      <c r="E73" s="47"/>
      <c r="F73" s="42" t="s">
        <v>33</v>
      </c>
      <c r="G73" s="43"/>
      <c r="H73" s="50">
        <f>VLOOKUP(F73,$A$16:$B$16,2,TRUE)</f>
        <v>2000</v>
      </c>
      <c r="I73" s="45">
        <f t="shared" si="1"/>
        <v>0</v>
      </c>
      <c r="J73" s="47"/>
      <c r="K73" s="18"/>
      <c r="L73" s="18"/>
      <c r="M73" s="18"/>
      <c r="N73" s="18"/>
    </row>
    <row r="74" ht="15.75" customHeight="1">
      <c r="A74" s="39"/>
      <c r="B74" s="39"/>
      <c r="C74" s="39"/>
      <c r="D74" s="47"/>
      <c r="E74" s="47"/>
      <c r="F74" s="42" t="s">
        <v>34</v>
      </c>
      <c r="G74" s="43"/>
      <c r="H74" s="50">
        <f>VLOOKUP(F74,$A$17:$B$17,2,TRUE)</f>
        <v>800</v>
      </c>
      <c r="I74" s="45">
        <f t="shared" si="1"/>
        <v>0</v>
      </c>
      <c r="J74" s="47"/>
      <c r="K74" s="18"/>
      <c r="L74" s="18"/>
      <c r="M74" s="18"/>
      <c r="N74" s="18"/>
    </row>
    <row r="75" ht="15.75" customHeight="1">
      <c r="A75" s="39"/>
      <c r="B75" s="39"/>
      <c r="C75" s="39"/>
      <c r="D75" s="47"/>
      <c r="E75" s="47"/>
      <c r="F75" s="42" t="s">
        <v>35</v>
      </c>
      <c r="G75" s="43"/>
      <c r="H75" s="50">
        <f>VLOOKUP(F75,$A$18:$B$18,2,TRUE)</f>
        <v>5000</v>
      </c>
      <c r="I75" s="45">
        <f t="shared" si="1"/>
        <v>0</v>
      </c>
      <c r="J75" s="47"/>
      <c r="K75" s="18"/>
      <c r="L75" s="18"/>
      <c r="M75" s="18"/>
      <c r="N75" s="18"/>
    </row>
    <row r="76" ht="15.75" customHeight="1">
      <c r="A76" s="39"/>
      <c r="B76" s="39"/>
      <c r="C76" s="39"/>
      <c r="D76" s="47"/>
      <c r="E76" s="47"/>
      <c r="F76" s="42" t="s">
        <v>36</v>
      </c>
      <c r="G76" s="43"/>
      <c r="H76" s="50">
        <f>VLOOKUP(F76,$A$19:$B$19,2,TRUE)</f>
        <v>2700</v>
      </c>
      <c r="I76" s="45">
        <f t="shared" si="1"/>
        <v>0</v>
      </c>
      <c r="J76" s="47"/>
      <c r="K76" s="18"/>
      <c r="L76" s="18"/>
      <c r="M76" s="18"/>
      <c r="N76" s="18"/>
    </row>
    <row r="77" ht="15.75" customHeight="1">
      <c r="A77" s="39"/>
      <c r="B77" s="39"/>
      <c r="C77" s="39"/>
      <c r="D77" s="47"/>
      <c r="E77" s="47"/>
      <c r="F77" s="42" t="s">
        <v>37</v>
      </c>
      <c r="G77" s="43"/>
      <c r="H77" s="50">
        <f>VLOOKUP(F77,$A$20:$B$20,2,TRUE)</f>
        <v>50000</v>
      </c>
      <c r="I77" s="45">
        <f t="shared" si="1"/>
        <v>0</v>
      </c>
      <c r="J77" s="47"/>
      <c r="K77" s="18"/>
      <c r="L77" s="18"/>
      <c r="M77" s="18"/>
      <c r="N77" s="18"/>
    </row>
    <row r="78" ht="15.75" customHeight="1">
      <c r="A78" s="39"/>
      <c r="B78" s="39"/>
      <c r="C78" s="39"/>
      <c r="D78" s="47"/>
      <c r="E78" s="47"/>
      <c r="F78" s="42" t="s">
        <v>38</v>
      </c>
      <c r="G78" s="43"/>
      <c r="H78" s="50">
        <f>VLOOKUP(F78,$A$21:$B$21,2,TRUE)</f>
        <v>10000</v>
      </c>
      <c r="I78" s="45">
        <f t="shared" si="1"/>
        <v>0</v>
      </c>
      <c r="J78" s="47"/>
      <c r="K78" s="18"/>
      <c r="L78" s="18"/>
      <c r="M78" s="18"/>
      <c r="N78" s="18"/>
    </row>
    <row r="79" ht="15.75" customHeight="1">
      <c r="A79" s="39"/>
      <c r="B79" s="39"/>
      <c r="C79" s="39"/>
      <c r="D79" s="47"/>
      <c r="E79" s="47"/>
      <c r="F79" s="42" t="s">
        <v>39</v>
      </c>
      <c r="G79" s="43"/>
      <c r="H79" s="50">
        <f>VLOOKUP(F79,$A$22:$B$22,2,TRUE)</f>
        <v>1000</v>
      </c>
      <c r="I79" s="45">
        <f t="shared" si="1"/>
        <v>0</v>
      </c>
      <c r="J79" s="47"/>
      <c r="K79" s="18"/>
      <c r="L79" s="18"/>
      <c r="M79" s="18"/>
      <c r="N79" s="18"/>
    </row>
    <row r="80" ht="15.75" customHeight="1">
      <c r="A80" s="39"/>
      <c r="B80" s="39"/>
      <c r="C80" s="39"/>
      <c r="D80" s="47"/>
      <c r="E80" s="47"/>
      <c r="F80" s="42" t="s">
        <v>40</v>
      </c>
      <c r="G80" s="43"/>
      <c r="H80" s="50">
        <f>VLOOKUP(F80,$A$23:$B$23,2,TRUE)</f>
        <v>500</v>
      </c>
      <c r="I80" s="45">
        <f t="shared" si="1"/>
        <v>0</v>
      </c>
      <c r="J80" s="47"/>
      <c r="K80" s="18"/>
      <c r="L80" s="18"/>
      <c r="M80" s="18"/>
      <c r="N80" s="18"/>
    </row>
    <row r="81" ht="15.75" customHeight="1">
      <c r="A81" s="39"/>
      <c r="B81" s="39"/>
      <c r="C81" s="39"/>
      <c r="D81" s="47"/>
      <c r="E81" s="47"/>
      <c r="F81" s="42" t="s">
        <v>41</v>
      </c>
      <c r="G81" s="43"/>
      <c r="H81" s="50">
        <f>VLOOKUP(F81,$A$24:$B$24,2,TRUE)</f>
        <v>200</v>
      </c>
      <c r="I81" s="45">
        <f t="shared" si="1"/>
        <v>0</v>
      </c>
      <c r="J81" s="47"/>
      <c r="K81" s="18"/>
      <c r="L81" s="18"/>
      <c r="M81" s="18"/>
      <c r="N81" s="18"/>
    </row>
    <row r="82" ht="15.75" customHeight="1">
      <c r="A82" s="39"/>
      <c r="B82" s="39"/>
      <c r="C82" s="39"/>
      <c r="D82" s="47"/>
      <c r="E82" s="47"/>
      <c r="F82" s="42" t="s">
        <v>42</v>
      </c>
      <c r="G82" s="43"/>
      <c r="H82" s="50">
        <f>VLOOKUP(F82,$A$25:$B$25,2,TRUE)</f>
        <v>1000</v>
      </c>
      <c r="I82" s="45">
        <f t="shared" si="1"/>
        <v>0</v>
      </c>
      <c r="J82" s="47"/>
      <c r="K82" s="18"/>
      <c r="L82" s="18"/>
      <c r="M82" s="18"/>
      <c r="N82" s="18"/>
    </row>
    <row r="83" ht="15.75" customHeight="1">
      <c r="A83" s="39"/>
      <c r="B83" s="39"/>
      <c r="C83" s="39"/>
      <c r="D83" s="47"/>
      <c r="E83" s="47"/>
      <c r="F83" s="42" t="s">
        <v>17</v>
      </c>
      <c r="G83" s="43">
        <v>15.0</v>
      </c>
      <c r="H83" s="50">
        <f>VLOOKUP(F83,$A$26:$B$26,2,TRUE)</f>
        <v>300</v>
      </c>
      <c r="I83" s="45">
        <f t="shared" si="1"/>
        <v>4500</v>
      </c>
      <c r="J83" s="47"/>
      <c r="K83" s="18"/>
      <c r="L83" s="18"/>
      <c r="M83" s="18"/>
      <c r="N83" s="18"/>
    </row>
    <row r="84" ht="15.75" customHeight="1">
      <c r="A84" s="39"/>
      <c r="B84" s="39"/>
      <c r="C84" s="39"/>
      <c r="D84" s="47"/>
      <c r="E84" s="47"/>
      <c r="F84" s="42" t="s">
        <v>43</v>
      </c>
      <c r="G84" s="43"/>
      <c r="H84" s="50">
        <f>VLOOKUP(F84,$A$27:$B$27,2,TRUE)</f>
        <v>100</v>
      </c>
      <c r="I84" s="45">
        <f t="shared" si="1"/>
        <v>0</v>
      </c>
      <c r="J84" s="47"/>
      <c r="K84" s="18"/>
      <c r="L84" s="18"/>
      <c r="M84" s="18"/>
      <c r="N84" s="18"/>
    </row>
    <row r="85" ht="15.75" customHeight="1">
      <c r="A85" s="39"/>
      <c r="B85" s="39"/>
      <c r="C85" s="39"/>
      <c r="D85" s="47"/>
      <c r="E85" s="47"/>
      <c r="F85" s="42" t="s">
        <v>59</v>
      </c>
      <c r="G85" s="43"/>
      <c r="H85" s="50">
        <f>VLOOKUP(F85,$A$28:$B$28,2,TRUE)</f>
        <v>500</v>
      </c>
      <c r="I85" s="45">
        <f t="shared" si="1"/>
        <v>0</v>
      </c>
      <c r="J85" s="47"/>
      <c r="K85" s="18"/>
      <c r="L85" s="18"/>
      <c r="M85" s="18"/>
      <c r="N85" s="18"/>
    </row>
    <row r="86" ht="15.75" customHeight="1">
      <c r="A86" s="39"/>
      <c r="B86" s="39"/>
      <c r="C86" s="39"/>
      <c r="D86" s="47"/>
      <c r="E86" s="47"/>
      <c r="F86" s="42" t="s">
        <v>13</v>
      </c>
      <c r="G86" s="43"/>
      <c r="H86" s="50">
        <f>VLOOKUP(F86,$A$29:$B$29,2,TRUE)</f>
        <v>1500</v>
      </c>
      <c r="I86" s="45">
        <f t="shared" si="1"/>
        <v>0</v>
      </c>
      <c r="J86" s="47"/>
      <c r="K86" s="18"/>
      <c r="L86" s="18"/>
      <c r="M86" s="18"/>
      <c r="N86" s="18"/>
    </row>
    <row r="87" ht="15.75" customHeight="1">
      <c r="A87" s="39"/>
      <c r="B87" s="39"/>
      <c r="C87" s="39"/>
      <c r="D87" s="47"/>
      <c r="E87" s="47"/>
      <c r="F87" s="42" t="s">
        <v>19</v>
      </c>
      <c r="G87" s="43"/>
      <c r="H87" s="50">
        <f>VLOOKUP(F87,$A$30:$B$30,2,TRUE)</f>
        <v>4000</v>
      </c>
      <c r="I87" s="45">
        <f t="shared" si="1"/>
        <v>0</v>
      </c>
      <c r="J87" s="47"/>
      <c r="K87" s="18"/>
      <c r="L87" s="18"/>
      <c r="M87" s="18"/>
      <c r="N87" s="18"/>
    </row>
    <row r="88" ht="15.75" customHeight="1">
      <c r="A88" s="39"/>
      <c r="B88" s="39"/>
      <c r="C88" s="39"/>
      <c r="D88" s="7"/>
      <c r="E88" s="7"/>
      <c r="F88" s="42" t="s">
        <v>60</v>
      </c>
      <c r="G88" s="43">
        <v>5.0</v>
      </c>
      <c r="H88" s="50">
        <v>0.0</v>
      </c>
      <c r="I88" s="45">
        <f t="shared" si="1"/>
        <v>0</v>
      </c>
      <c r="J88" s="7"/>
      <c r="K88" s="18"/>
      <c r="L88" s="18"/>
      <c r="M88" s="18"/>
      <c r="N88" s="18"/>
    </row>
    <row r="89" ht="15.75" customHeight="1">
      <c r="A89" s="39"/>
      <c r="B89" s="39"/>
      <c r="C89" s="39"/>
      <c r="D89" s="40">
        <v>4.0</v>
      </c>
      <c r="E89" s="41" t="s">
        <v>68</v>
      </c>
      <c r="F89" s="42" t="s">
        <v>21</v>
      </c>
      <c r="G89" s="43"/>
      <c r="H89" s="50">
        <f>VLOOKUP(F89,$A$4:$B$4,2,TRUE)</f>
        <v>5000</v>
      </c>
      <c r="I89" s="45">
        <f t="shared" si="1"/>
        <v>0</v>
      </c>
      <c r="J89" s="46">
        <f>SUM(I89:I116)</f>
        <v>1000</v>
      </c>
      <c r="K89" s="18"/>
      <c r="L89" s="18"/>
      <c r="M89" s="18"/>
      <c r="N89" s="18"/>
    </row>
    <row r="90" ht="15.75" customHeight="1">
      <c r="A90" s="39"/>
      <c r="B90" s="39"/>
      <c r="C90" s="39"/>
      <c r="D90" s="47"/>
      <c r="E90" s="47"/>
      <c r="F90" s="42" t="s">
        <v>56</v>
      </c>
      <c r="G90" s="43"/>
      <c r="H90" s="50">
        <f>VLOOKUP(F90,$A$5:$B$5,2,TRUE)</f>
        <v>3000</v>
      </c>
      <c r="I90" s="45">
        <f t="shared" si="1"/>
        <v>0</v>
      </c>
      <c r="J90" s="47"/>
      <c r="K90" s="18"/>
      <c r="L90" s="18"/>
      <c r="M90" s="18"/>
      <c r="N90" s="18"/>
    </row>
    <row r="91" ht="15.75" customHeight="1">
      <c r="A91" s="39"/>
      <c r="B91" s="39"/>
      <c r="C91" s="39"/>
      <c r="D91" s="47"/>
      <c r="E91" s="47"/>
      <c r="F91" s="42" t="s">
        <v>58</v>
      </c>
      <c r="G91" s="43"/>
      <c r="H91" s="50">
        <f>VLOOKUP(F91,$A$6:$B$6,2,TRUE)</f>
        <v>1000</v>
      </c>
      <c r="I91" s="45">
        <f t="shared" si="1"/>
        <v>0</v>
      </c>
      <c r="J91" s="47"/>
      <c r="K91" s="18"/>
      <c r="L91" s="18"/>
      <c r="M91" s="18"/>
      <c r="N91" s="18"/>
    </row>
    <row r="92" ht="15.75" customHeight="1">
      <c r="A92" s="39"/>
      <c r="B92" s="39"/>
      <c r="C92" s="39"/>
      <c r="D92" s="47"/>
      <c r="E92" s="47"/>
      <c r="F92" s="42" t="s">
        <v>24</v>
      </c>
      <c r="G92" s="43"/>
      <c r="H92" s="50">
        <f>VLOOKUP(F92,$A$7:$B$7,2,TRUE)</f>
        <v>2800</v>
      </c>
      <c r="I92" s="45">
        <f t="shared" si="1"/>
        <v>0</v>
      </c>
      <c r="J92" s="47"/>
      <c r="K92" s="18"/>
      <c r="L92" s="18"/>
      <c r="M92" s="18"/>
      <c r="N92" s="18"/>
    </row>
    <row r="93" ht="15.75" customHeight="1">
      <c r="A93" s="39"/>
      <c r="B93" s="39"/>
      <c r="C93" s="39"/>
      <c r="D93" s="47"/>
      <c r="E93" s="47"/>
      <c r="F93" s="42" t="s">
        <v>25</v>
      </c>
      <c r="G93" s="43"/>
      <c r="H93" s="50">
        <f>VLOOKUP(F93,$A$8:$B$8,2,TRUE)</f>
        <v>3500</v>
      </c>
      <c r="I93" s="45">
        <f t="shared" si="1"/>
        <v>0</v>
      </c>
      <c r="J93" s="47"/>
      <c r="K93" s="18"/>
      <c r="L93" s="18"/>
      <c r="M93" s="18"/>
      <c r="N93" s="18"/>
    </row>
    <row r="94" ht="15.75" customHeight="1">
      <c r="A94" s="39"/>
      <c r="B94" s="39"/>
      <c r="C94" s="39"/>
      <c r="D94" s="47"/>
      <c r="E94" s="47"/>
      <c r="F94" s="42" t="s">
        <v>26</v>
      </c>
      <c r="G94" s="43">
        <v>1.0</v>
      </c>
      <c r="H94" s="50">
        <f>VLOOKUP(F94,$A$9:$B$9,2,TRUE)</f>
        <v>1000</v>
      </c>
      <c r="I94" s="45">
        <f t="shared" si="1"/>
        <v>1000</v>
      </c>
      <c r="J94" s="47"/>
      <c r="K94" s="18"/>
      <c r="L94" s="18"/>
      <c r="M94" s="18"/>
      <c r="N94" s="18"/>
    </row>
    <row r="95" ht="15.75" customHeight="1">
      <c r="A95" s="39"/>
      <c r="B95" s="39"/>
      <c r="C95" s="39"/>
      <c r="D95" s="47"/>
      <c r="E95" s="47"/>
      <c r="F95" s="42" t="s">
        <v>27</v>
      </c>
      <c r="G95" s="43"/>
      <c r="H95" s="50">
        <f>VLOOKUP(F95,$A$10:$B$10,2,TRUE)</f>
        <v>2000</v>
      </c>
      <c r="I95" s="45">
        <f t="shared" si="1"/>
        <v>0</v>
      </c>
      <c r="J95" s="47"/>
      <c r="K95" s="18"/>
      <c r="L95" s="18"/>
      <c r="M95" s="18"/>
      <c r="N95" s="18"/>
    </row>
    <row r="96" ht="15.75" customHeight="1">
      <c r="A96" s="39"/>
      <c r="B96" s="39"/>
      <c r="C96" s="39"/>
      <c r="D96" s="47"/>
      <c r="E96" s="47"/>
      <c r="F96" s="42" t="s">
        <v>28</v>
      </c>
      <c r="G96" s="43"/>
      <c r="H96" s="50">
        <f>VLOOKUP(F96,$A$11:$B$11,2,TRUE)</f>
        <v>2000</v>
      </c>
      <c r="I96" s="45">
        <f t="shared" si="1"/>
        <v>0</v>
      </c>
      <c r="J96" s="47"/>
      <c r="K96" s="18"/>
      <c r="L96" s="18"/>
      <c r="M96" s="18"/>
      <c r="N96" s="18"/>
    </row>
    <row r="97" ht="15.75" customHeight="1">
      <c r="A97" s="39"/>
      <c r="B97" s="39"/>
      <c r="C97" s="39"/>
      <c r="D97" s="47"/>
      <c r="E97" s="47"/>
      <c r="F97" s="42" t="s">
        <v>29</v>
      </c>
      <c r="G97" s="43"/>
      <c r="H97" s="50">
        <f>VLOOKUP(F97,$A$12:$B$12,2,TRUE)</f>
        <v>1300</v>
      </c>
      <c r="I97" s="45">
        <f t="shared" si="1"/>
        <v>0</v>
      </c>
      <c r="J97" s="47"/>
      <c r="K97" s="18"/>
      <c r="L97" s="18"/>
      <c r="M97" s="18"/>
      <c r="N97" s="18"/>
    </row>
    <row r="98" ht="15.75" customHeight="1">
      <c r="A98" s="39"/>
      <c r="B98" s="39"/>
      <c r="C98" s="39"/>
      <c r="D98" s="47"/>
      <c r="E98" s="47"/>
      <c r="F98" s="42" t="s">
        <v>30</v>
      </c>
      <c r="G98" s="43"/>
      <c r="H98" s="50">
        <f>VLOOKUP(F98,$A$13:$B$13,2,TRUE)</f>
        <v>1000</v>
      </c>
      <c r="I98" s="45">
        <f t="shared" si="1"/>
        <v>0</v>
      </c>
      <c r="J98" s="47"/>
      <c r="K98" s="18"/>
      <c r="L98" s="18"/>
      <c r="M98" s="18"/>
      <c r="N98" s="18"/>
    </row>
    <row r="99" ht="15.75" customHeight="1">
      <c r="A99" s="39"/>
      <c r="B99" s="39"/>
      <c r="C99" s="39"/>
      <c r="D99" s="47"/>
      <c r="E99" s="47"/>
      <c r="F99" s="42" t="s">
        <v>31</v>
      </c>
      <c r="G99" s="43"/>
      <c r="H99" s="50">
        <f>VLOOKUP(F99,$A$14:$B$14,2,TRUE)</f>
        <v>400</v>
      </c>
      <c r="I99" s="45">
        <f t="shared" si="1"/>
        <v>0</v>
      </c>
      <c r="J99" s="47"/>
      <c r="K99" s="18"/>
      <c r="L99" s="18"/>
      <c r="M99" s="18"/>
      <c r="N99" s="18"/>
    </row>
    <row r="100" ht="15.75" customHeight="1">
      <c r="A100" s="39"/>
      <c r="B100" s="39"/>
      <c r="C100" s="39"/>
      <c r="D100" s="47"/>
      <c r="E100" s="47"/>
      <c r="F100" s="42" t="s">
        <v>32</v>
      </c>
      <c r="G100" s="43"/>
      <c r="H100" s="50">
        <f>VLOOKUP(F100,$A$15:$B$15,2,TRUE)</f>
        <v>7500</v>
      </c>
      <c r="I100" s="45">
        <f t="shared" si="1"/>
        <v>0</v>
      </c>
      <c r="J100" s="47"/>
      <c r="K100" s="18"/>
      <c r="L100" s="18"/>
      <c r="M100" s="18"/>
      <c r="N100" s="18"/>
    </row>
    <row r="101" ht="15.75" customHeight="1">
      <c r="A101" s="39"/>
      <c r="B101" s="39"/>
      <c r="C101" s="39"/>
      <c r="D101" s="47"/>
      <c r="E101" s="47"/>
      <c r="F101" s="42" t="s">
        <v>33</v>
      </c>
      <c r="G101" s="43"/>
      <c r="H101" s="50">
        <f>VLOOKUP(F101,$A$16:$B$16,2,TRUE)</f>
        <v>2000</v>
      </c>
      <c r="I101" s="45">
        <f t="shared" si="1"/>
        <v>0</v>
      </c>
      <c r="J101" s="47"/>
      <c r="K101" s="18"/>
      <c r="L101" s="18"/>
      <c r="M101" s="18"/>
      <c r="N101" s="18"/>
    </row>
    <row r="102" ht="15.75" customHeight="1">
      <c r="A102" s="39"/>
      <c r="B102" s="39"/>
      <c r="C102" s="39"/>
      <c r="D102" s="47"/>
      <c r="E102" s="47"/>
      <c r="F102" s="42" t="s">
        <v>34</v>
      </c>
      <c r="G102" s="43"/>
      <c r="H102" s="50">
        <f>VLOOKUP(F102,$A$17:$B$17,2,TRUE)</f>
        <v>800</v>
      </c>
      <c r="I102" s="45">
        <f t="shared" si="1"/>
        <v>0</v>
      </c>
      <c r="J102" s="47"/>
      <c r="K102" s="18"/>
      <c r="L102" s="18"/>
      <c r="M102" s="18"/>
      <c r="N102" s="18"/>
    </row>
    <row r="103" ht="15.75" customHeight="1">
      <c r="A103" s="39"/>
      <c r="B103" s="39"/>
      <c r="C103" s="39"/>
      <c r="D103" s="47"/>
      <c r="E103" s="47"/>
      <c r="F103" s="42" t="s">
        <v>35</v>
      </c>
      <c r="G103" s="43"/>
      <c r="H103" s="50">
        <f>VLOOKUP(F103,$A$18:$B$18,2,TRUE)</f>
        <v>5000</v>
      </c>
      <c r="I103" s="45">
        <f t="shared" si="1"/>
        <v>0</v>
      </c>
      <c r="J103" s="47"/>
      <c r="K103" s="18"/>
      <c r="L103" s="18"/>
      <c r="M103" s="18"/>
      <c r="N103" s="18"/>
    </row>
    <row r="104" ht="15.75" customHeight="1">
      <c r="A104" s="39"/>
      <c r="B104" s="39"/>
      <c r="C104" s="39"/>
      <c r="D104" s="47"/>
      <c r="E104" s="47"/>
      <c r="F104" s="42" t="s">
        <v>36</v>
      </c>
      <c r="G104" s="43"/>
      <c r="H104" s="50">
        <f>VLOOKUP(F104,$A$19:$B$19,2,TRUE)</f>
        <v>2700</v>
      </c>
      <c r="I104" s="45">
        <f t="shared" si="1"/>
        <v>0</v>
      </c>
      <c r="J104" s="47"/>
      <c r="K104" s="18"/>
      <c r="L104" s="18"/>
      <c r="M104" s="18"/>
      <c r="N104" s="18"/>
    </row>
    <row r="105" ht="15.75" customHeight="1">
      <c r="A105" s="39"/>
      <c r="B105" s="39"/>
      <c r="C105" s="39"/>
      <c r="D105" s="47"/>
      <c r="E105" s="47"/>
      <c r="F105" s="42" t="s">
        <v>37</v>
      </c>
      <c r="G105" s="43"/>
      <c r="H105" s="50">
        <f>VLOOKUP(F105,$A$20:$B$20,2,TRUE)</f>
        <v>50000</v>
      </c>
      <c r="I105" s="45">
        <f t="shared" si="1"/>
        <v>0</v>
      </c>
      <c r="J105" s="47"/>
      <c r="K105" s="18"/>
      <c r="L105" s="18"/>
      <c r="M105" s="18"/>
      <c r="N105" s="18"/>
    </row>
    <row r="106" ht="15.75" customHeight="1">
      <c r="A106" s="39"/>
      <c r="B106" s="39"/>
      <c r="C106" s="39"/>
      <c r="D106" s="47"/>
      <c r="E106" s="47"/>
      <c r="F106" s="42" t="s">
        <v>38</v>
      </c>
      <c r="G106" s="43"/>
      <c r="H106" s="50">
        <f>VLOOKUP(F106,$A$21:$B$21,2,TRUE)</f>
        <v>10000</v>
      </c>
      <c r="I106" s="45">
        <f t="shared" si="1"/>
        <v>0</v>
      </c>
      <c r="J106" s="47"/>
      <c r="K106" s="18"/>
      <c r="L106" s="18"/>
      <c r="M106" s="18"/>
      <c r="N106" s="18"/>
    </row>
    <row r="107" ht="15.75" customHeight="1">
      <c r="A107" s="39"/>
      <c r="B107" s="39"/>
      <c r="C107" s="39"/>
      <c r="D107" s="47"/>
      <c r="E107" s="47"/>
      <c r="F107" s="42" t="s">
        <v>39</v>
      </c>
      <c r="G107" s="43"/>
      <c r="H107" s="50">
        <f>VLOOKUP(F107,$A$22:$B$22,2,TRUE)</f>
        <v>1000</v>
      </c>
      <c r="I107" s="45">
        <f t="shared" si="1"/>
        <v>0</v>
      </c>
      <c r="J107" s="47"/>
      <c r="K107" s="18"/>
      <c r="L107" s="18"/>
      <c r="M107" s="18"/>
      <c r="N107" s="18"/>
    </row>
    <row r="108" ht="15.75" customHeight="1">
      <c r="A108" s="39"/>
      <c r="B108" s="39"/>
      <c r="C108" s="39"/>
      <c r="D108" s="47"/>
      <c r="E108" s="47"/>
      <c r="F108" s="42" t="s">
        <v>40</v>
      </c>
      <c r="G108" s="43"/>
      <c r="H108" s="50">
        <f>VLOOKUP(F108,$A$23:$B$23,2,TRUE)</f>
        <v>500</v>
      </c>
      <c r="I108" s="45">
        <f t="shared" si="1"/>
        <v>0</v>
      </c>
      <c r="J108" s="47"/>
      <c r="K108" s="18"/>
      <c r="L108" s="18"/>
      <c r="M108" s="18"/>
      <c r="N108" s="18"/>
    </row>
    <row r="109" ht="15.75" customHeight="1">
      <c r="A109" s="39"/>
      <c r="B109" s="39"/>
      <c r="C109" s="39"/>
      <c r="D109" s="47"/>
      <c r="E109" s="47"/>
      <c r="F109" s="42" t="s">
        <v>41</v>
      </c>
      <c r="G109" s="43"/>
      <c r="H109" s="50">
        <f>VLOOKUP(F109,$A$24:$B$24,2,TRUE)</f>
        <v>200</v>
      </c>
      <c r="I109" s="45">
        <f t="shared" si="1"/>
        <v>0</v>
      </c>
      <c r="J109" s="47"/>
      <c r="K109" s="18"/>
      <c r="L109" s="18"/>
      <c r="M109" s="18"/>
      <c r="N109" s="18"/>
    </row>
    <row r="110" ht="15.75" customHeight="1">
      <c r="A110" s="39"/>
      <c r="B110" s="39"/>
      <c r="C110" s="39"/>
      <c r="D110" s="47"/>
      <c r="E110" s="47"/>
      <c r="F110" s="42" t="s">
        <v>42</v>
      </c>
      <c r="G110" s="43"/>
      <c r="H110" s="50">
        <f>VLOOKUP(F110,$A$25:$B$25,2,TRUE)</f>
        <v>1000</v>
      </c>
      <c r="I110" s="45">
        <f t="shared" si="1"/>
        <v>0</v>
      </c>
      <c r="J110" s="47"/>
      <c r="K110" s="18"/>
      <c r="L110" s="18"/>
      <c r="M110" s="18"/>
      <c r="N110" s="18"/>
    </row>
    <row r="111" ht="15.75" customHeight="1">
      <c r="A111" s="39"/>
      <c r="B111" s="39"/>
      <c r="C111" s="39"/>
      <c r="D111" s="47"/>
      <c r="E111" s="47"/>
      <c r="F111" s="42" t="s">
        <v>17</v>
      </c>
      <c r="G111" s="43"/>
      <c r="H111" s="50">
        <f>VLOOKUP(F111,$A$26:$B$26,2,TRUE)</f>
        <v>300</v>
      </c>
      <c r="I111" s="45">
        <f t="shared" si="1"/>
        <v>0</v>
      </c>
      <c r="J111" s="47"/>
      <c r="K111" s="18"/>
      <c r="L111" s="18"/>
      <c r="M111" s="18"/>
      <c r="N111" s="18"/>
    </row>
    <row r="112" ht="15.75" customHeight="1">
      <c r="A112" s="39"/>
      <c r="B112" s="39"/>
      <c r="C112" s="39"/>
      <c r="D112" s="47"/>
      <c r="E112" s="47"/>
      <c r="F112" s="42" t="s">
        <v>43</v>
      </c>
      <c r="G112" s="43"/>
      <c r="H112" s="50">
        <f>VLOOKUP(F112,$A$27:$B$27,2,TRUE)</f>
        <v>100</v>
      </c>
      <c r="I112" s="45">
        <f t="shared" si="1"/>
        <v>0</v>
      </c>
      <c r="J112" s="47"/>
      <c r="K112" s="18"/>
      <c r="L112" s="18"/>
      <c r="M112" s="18"/>
      <c r="N112" s="18"/>
    </row>
    <row r="113" ht="15.75" customHeight="1">
      <c r="A113" s="39"/>
      <c r="B113" s="39"/>
      <c r="C113" s="39"/>
      <c r="D113" s="47"/>
      <c r="E113" s="47"/>
      <c r="F113" s="42" t="s">
        <v>59</v>
      </c>
      <c r="G113" s="43"/>
      <c r="H113" s="50">
        <f>VLOOKUP(F113,$A$28:$B$28,2,TRUE)</f>
        <v>500</v>
      </c>
      <c r="I113" s="45">
        <f t="shared" si="1"/>
        <v>0</v>
      </c>
      <c r="J113" s="47"/>
      <c r="K113" s="18"/>
      <c r="L113" s="18"/>
      <c r="M113" s="18"/>
      <c r="N113" s="18"/>
    </row>
    <row r="114" ht="15.75" customHeight="1">
      <c r="A114" s="39"/>
      <c r="B114" s="39"/>
      <c r="C114" s="39"/>
      <c r="D114" s="47"/>
      <c r="E114" s="47"/>
      <c r="F114" s="42" t="s">
        <v>13</v>
      </c>
      <c r="G114" s="43"/>
      <c r="H114" s="50">
        <f>VLOOKUP(F114,$A$29:$B$29,2,TRUE)</f>
        <v>1500</v>
      </c>
      <c r="I114" s="45">
        <f t="shared" si="1"/>
        <v>0</v>
      </c>
      <c r="J114" s="47"/>
      <c r="K114" s="18"/>
      <c r="L114" s="18"/>
      <c r="M114" s="18"/>
      <c r="N114" s="18"/>
    </row>
    <row r="115" ht="15.75" customHeight="1">
      <c r="A115" s="39"/>
      <c r="B115" s="39"/>
      <c r="C115" s="39"/>
      <c r="D115" s="47"/>
      <c r="E115" s="47"/>
      <c r="F115" s="42" t="s">
        <v>19</v>
      </c>
      <c r="G115" s="43"/>
      <c r="H115" s="50">
        <f>VLOOKUP(F115,$A$30:$B$30,2,TRUE)</f>
        <v>4000</v>
      </c>
      <c r="I115" s="45">
        <f t="shared" si="1"/>
        <v>0</v>
      </c>
      <c r="J115" s="47"/>
      <c r="K115" s="18"/>
      <c r="L115" s="18"/>
      <c r="M115" s="18"/>
      <c r="N115" s="18"/>
    </row>
    <row r="116" ht="15.75" customHeight="1">
      <c r="A116" s="39"/>
      <c r="B116" s="39"/>
      <c r="C116" s="39"/>
      <c r="D116" s="7"/>
      <c r="E116" s="7"/>
      <c r="F116" s="42" t="s">
        <v>60</v>
      </c>
      <c r="G116" s="43"/>
      <c r="H116" s="50">
        <f>VLOOKUP(F116,$A$31:$B$31,2,TRUE)</f>
        <v>500</v>
      </c>
      <c r="I116" s="45">
        <f t="shared" si="1"/>
        <v>0</v>
      </c>
      <c r="J116" s="7"/>
      <c r="K116" s="18"/>
      <c r="L116" s="18"/>
      <c r="M116" s="18"/>
      <c r="N116" s="18"/>
    </row>
    <row r="117" ht="15.75" customHeight="1">
      <c r="A117" s="39"/>
      <c r="B117" s="39"/>
      <c r="C117" s="39"/>
      <c r="D117" s="52" t="s">
        <v>70</v>
      </c>
      <c r="E117" s="53"/>
      <c r="F117" s="53"/>
      <c r="G117" s="53"/>
      <c r="H117" s="53"/>
      <c r="I117" s="45">
        <f t="shared" si="1"/>
        <v>0</v>
      </c>
      <c r="J117" s="54">
        <f>SUM(J5:J116)</f>
        <v>110400</v>
      </c>
      <c r="K117" s="18"/>
      <c r="L117" s="18"/>
      <c r="M117" s="18"/>
      <c r="N117" s="18"/>
    </row>
    <row r="118" ht="15.75" customHeight="1">
      <c r="A118" s="39"/>
      <c r="B118" s="39"/>
      <c r="C118" s="39"/>
      <c r="D118" s="52" t="s">
        <v>71</v>
      </c>
      <c r="E118" s="53"/>
      <c r="F118" s="53"/>
      <c r="G118" s="53"/>
      <c r="H118" s="53"/>
      <c r="I118" s="45">
        <f t="shared" si="1"/>
        <v>0</v>
      </c>
      <c r="J118" s="54">
        <f>J117*5%</f>
        <v>5520</v>
      </c>
      <c r="K118" s="18"/>
      <c r="L118" s="18"/>
      <c r="M118" s="18"/>
      <c r="N118" s="18"/>
    </row>
    <row r="119" ht="15.75" customHeight="1">
      <c r="A119" s="16"/>
      <c r="B119" s="16"/>
      <c r="C119" s="16"/>
      <c r="D119" s="16"/>
      <c r="E119" s="55"/>
      <c r="F119" s="18"/>
      <c r="G119" s="18"/>
      <c r="H119" s="18"/>
      <c r="I119" s="18"/>
      <c r="J119" s="19"/>
      <c r="K119" s="18"/>
      <c r="L119" s="18"/>
      <c r="M119" s="18"/>
      <c r="N119" s="18"/>
    </row>
    <row r="120" ht="15.75" customHeight="1">
      <c r="A120" s="16"/>
      <c r="B120" s="16"/>
      <c r="C120" s="16"/>
      <c r="D120" s="16"/>
      <c r="E120" s="17"/>
      <c r="F120" s="18"/>
      <c r="G120" s="18"/>
      <c r="H120" s="18"/>
      <c r="I120" s="18"/>
      <c r="J120" s="19"/>
      <c r="K120" s="18"/>
      <c r="L120" s="18"/>
      <c r="M120" s="18"/>
      <c r="N120" s="18"/>
    </row>
    <row r="121" ht="15.75" customHeight="1">
      <c r="A121" s="16"/>
      <c r="B121" s="16"/>
      <c r="C121" s="16"/>
      <c r="D121" s="16"/>
      <c r="E121" s="17"/>
      <c r="F121" s="18"/>
      <c r="G121" s="18"/>
      <c r="H121" s="18"/>
      <c r="I121" s="18"/>
      <c r="J121" s="19"/>
      <c r="K121" s="18"/>
      <c r="L121" s="18"/>
      <c r="M121" s="18"/>
      <c r="N121" s="18"/>
    </row>
    <row r="122" ht="15.75" customHeight="1">
      <c r="A122" s="16"/>
      <c r="B122" s="16"/>
      <c r="C122" s="16"/>
      <c r="D122" s="16"/>
      <c r="E122" s="17"/>
      <c r="F122" s="18"/>
      <c r="G122" s="18"/>
      <c r="H122" s="18"/>
      <c r="I122" s="18"/>
      <c r="J122" s="19"/>
      <c r="K122" s="18"/>
      <c r="L122" s="18"/>
      <c r="M122" s="18"/>
      <c r="N122" s="18"/>
    </row>
    <row r="123" ht="15.75" customHeight="1">
      <c r="A123" s="16"/>
      <c r="B123" s="16"/>
      <c r="C123" s="16"/>
      <c r="D123" s="16"/>
      <c r="E123" s="17"/>
      <c r="F123" s="18"/>
      <c r="G123" s="18"/>
      <c r="H123" s="18"/>
      <c r="I123" s="18"/>
      <c r="J123" s="19"/>
      <c r="K123" s="18"/>
      <c r="L123" s="18"/>
      <c r="M123" s="18"/>
      <c r="N123" s="18"/>
    </row>
    <row r="124" ht="15.75" customHeight="1">
      <c r="A124" s="16"/>
      <c r="B124" s="16"/>
      <c r="C124" s="16"/>
      <c r="D124" s="16"/>
      <c r="E124" s="17"/>
      <c r="F124" s="18"/>
      <c r="G124" s="18"/>
      <c r="H124" s="18"/>
      <c r="I124" s="18"/>
      <c r="J124" s="19"/>
      <c r="K124" s="18"/>
      <c r="L124" s="18"/>
      <c r="M124" s="18"/>
      <c r="N124" s="18"/>
    </row>
    <row r="125" ht="15.75" customHeight="1">
      <c r="A125" s="16"/>
      <c r="B125" s="16"/>
      <c r="C125" s="16"/>
      <c r="D125" s="16"/>
      <c r="E125" s="17"/>
      <c r="F125" s="18"/>
      <c r="G125" s="18"/>
      <c r="H125" s="18"/>
      <c r="I125" s="18"/>
      <c r="J125" s="19"/>
      <c r="K125" s="18"/>
      <c r="L125" s="18"/>
      <c r="M125" s="18"/>
      <c r="N125" s="18"/>
    </row>
    <row r="126" ht="15.75" customHeight="1">
      <c r="A126" s="16"/>
      <c r="B126" s="16"/>
      <c r="C126" s="16"/>
      <c r="D126" s="16"/>
      <c r="E126" s="17"/>
      <c r="F126" s="18"/>
      <c r="G126" s="18"/>
      <c r="H126" s="18"/>
      <c r="I126" s="18"/>
      <c r="J126" s="19"/>
      <c r="K126" s="18"/>
      <c r="L126" s="18"/>
      <c r="M126" s="18"/>
      <c r="N126" s="18"/>
    </row>
    <row r="127" ht="15.75" customHeight="1">
      <c r="A127" s="16"/>
      <c r="B127" s="16"/>
      <c r="C127" s="16"/>
      <c r="D127" s="16"/>
      <c r="E127" s="17"/>
      <c r="J127" s="19"/>
    </row>
    <row r="128" ht="15.75" customHeight="1">
      <c r="A128" s="16"/>
      <c r="B128" s="16"/>
      <c r="C128" s="16"/>
      <c r="D128" s="16"/>
      <c r="E128" s="17"/>
      <c r="J128" s="19"/>
    </row>
    <row r="129" ht="15.75" customHeight="1">
      <c r="A129" s="16"/>
      <c r="B129" s="16"/>
      <c r="C129" s="16"/>
      <c r="D129" s="16"/>
      <c r="E129" s="17"/>
      <c r="J129" s="19"/>
    </row>
    <row r="130" ht="15.75" customHeight="1">
      <c r="A130" s="16"/>
      <c r="B130" s="16"/>
      <c r="C130" s="16"/>
      <c r="D130" s="16"/>
      <c r="E130" s="17"/>
      <c r="J130" s="19"/>
    </row>
    <row r="131" ht="15.75" customHeight="1">
      <c r="A131" s="16"/>
      <c r="B131" s="16"/>
      <c r="C131" s="16"/>
      <c r="D131" s="16"/>
      <c r="E131" s="17"/>
      <c r="J131" s="19"/>
    </row>
    <row r="132" ht="15.75" customHeight="1">
      <c r="A132" s="16"/>
      <c r="B132" s="16"/>
      <c r="C132" s="16"/>
      <c r="D132" s="16"/>
      <c r="E132" s="17"/>
      <c r="J132" s="19"/>
    </row>
    <row r="133" ht="15.75" customHeight="1">
      <c r="A133" s="16"/>
      <c r="B133" s="16"/>
      <c r="C133" s="16"/>
      <c r="D133" s="16"/>
      <c r="E133" s="17"/>
      <c r="J133" s="19"/>
    </row>
    <row r="134" ht="15.75" customHeight="1">
      <c r="A134" s="16"/>
      <c r="B134" s="16"/>
      <c r="C134" s="16"/>
      <c r="D134" s="16"/>
      <c r="E134" s="17"/>
      <c r="J134" s="19"/>
    </row>
    <row r="135" ht="15.75" customHeight="1">
      <c r="A135" s="16"/>
      <c r="B135" s="16"/>
      <c r="C135" s="16"/>
      <c r="D135" s="16"/>
      <c r="E135" s="17"/>
      <c r="J135" s="19"/>
    </row>
    <row r="136" ht="15.75" customHeight="1">
      <c r="A136" s="16"/>
      <c r="B136" s="16"/>
      <c r="C136" s="16"/>
      <c r="D136" s="16"/>
      <c r="E136" s="17"/>
      <c r="J136" s="19"/>
    </row>
    <row r="137" ht="15.75" customHeight="1">
      <c r="A137" s="16"/>
      <c r="B137" s="16"/>
      <c r="C137" s="16"/>
      <c r="D137" s="16"/>
      <c r="E137" s="17"/>
      <c r="J137" s="19"/>
    </row>
    <row r="138" ht="15.75" customHeight="1">
      <c r="A138" s="16"/>
      <c r="B138" s="16"/>
      <c r="C138" s="16"/>
      <c r="D138" s="16"/>
      <c r="E138" s="17"/>
      <c r="J138" s="19"/>
    </row>
    <row r="139" ht="15.75" customHeight="1">
      <c r="A139" s="16"/>
      <c r="B139" s="16"/>
      <c r="C139" s="16"/>
      <c r="D139" s="16"/>
      <c r="E139" s="17"/>
      <c r="J139" s="19"/>
    </row>
    <row r="140" ht="15.75" customHeight="1">
      <c r="A140" s="16"/>
      <c r="B140" s="16"/>
      <c r="C140" s="16"/>
      <c r="D140" s="16"/>
      <c r="E140" s="17"/>
      <c r="J140" s="19"/>
    </row>
    <row r="141" ht="15.75" customHeight="1">
      <c r="A141" s="16"/>
      <c r="B141" s="16"/>
      <c r="C141" s="16"/>
      <c r="D141" s="16"/>
      <c r="E141" s="17"/>
      <c r="J141" s="19"/>
    </row>
    <row r="142" ht="15.75" customHeight="1">
      <c r="A142" s="16"/>
      <c r="B142" s="16"/>
      <c r="C142" s="16"/>
      <c r="D142" s="16"/>
      <c r="E142" s="17"/>
      <c r="J142" s="19"/>
    </row>
    <row r="143" ht="15.75" customHeight="1">
      <c r="A143" s="16"/>
      <c r="B143" s="16"/>
      <c r="C143" s="16"/>
      <c r="D143" s="16"/>
      <c r="E143" s="17"/>
      <c r="J143" s="19"/>
    </row>
    <row r="144" ht="15.75" customHeight="1">
      <c r="A144" s="16"/>
      <c r="B144" s="16"/>
      <c r="C144" s="16"/>
      <c r="D144" s="16"/>
      <c r="E144" s="17"/>
      <c r="J144" s="19"/>
    </row>
    <row r="145" ht="15.75" customHeight="1">
      <c r="A145" s="16"/>
      <c r="B145" s="16"/>
      <c r="C145" s="16"/>
      <c r="D145" s="16"/>
      <c r="E145" s="17"/>
      <c r="J145" s="19"/>
    </row>
    <row r="146" ht="15.75" customHeight="1">
      <c r="A146" s="16"/>
      <c r="B146" s="16"/>
      <c r="C146" s="16"/>
      <c r="D146" s="16"/>
      <c r="E146" s="17"/>
      <c r="J146" s="19"/>
    </row>
    <row r="147" ht="15.75" customHeight="1">
      <c r="A147" s="16"/>
      <c r="B147" s="16"/>
      <c r="C147" s="16"/>
      <c r="D147" s="16"/>
      <c r="E147" s="17"/>
      <c r="J147" s="19"/>
    </row>
    <row r="148" ht="15.75" customHeight="1">
      <c r="A148" s="16"/>
      <c r="B148" s="16"/>
      <c r="C148" s="16"/>
      <c r="D148" s="16"/>
      <c r="E148" s="17"/>
      <c r="J148" s="19"/>
    </row>
    <row r="149" ht="15.75" customHeight="1">
      <c r="A149" s="16"/>
      <c r="B149" s="16"/>
      <c r="C149" s="16"/>
      <c r="D149" s="16"/>
      <c r="E149" s="17"/>
      <c r="J149" s="19"/>
    </row>
    <row r="150" ht="15.75" customHeight="1">
      <c r="A150" s="16"/>
      <c r="B150" s="16"/>
      <c r="C150" s="16"/>
      <c r="D150" s="16"/>
      <c r="E150" s="17"/>
      <c r="J150" s="19"/>
    </row>
    <row r="151" ht="15.75" customHeight="1">
      <c r="A151" s="16"/>
      <c r="B151" s="16"/>
      <c r="C151" s="16"/>
      <c r="D151" s="16"/>
      <c r="E151" s="17"/>
      <c r="J151" s="19"/>
    </row>
    <row r="152" ht="15.75" customHeight="1">
      <c r="A152" s="16"/>
      <c r="B152" s="16"/>
      <c r="C152" s="16"/>
      <c r="D152" s="16"/>
      <c r="E152" s="17"/>
      <c r="J152" s="19"/>
    </row>
    <row r="153" ht="15.75" customHeight="1">
      <c r="A153" s="16"/>
      <c r="B153" s="16"/>
      <c r="C153" s="16"/>
      <c r="D153" s="16"/>
      <c r="E153" s="17"/>
      <c r="J153" s="19"/>
    </row>
    <row r="154" ht="15.75" customHeight="1">
      <c r="A154" s="16"/>
      <c r="B154" s="16"/>
      <c r="C154" s="16"/>
      <c r="D154" s="16"/>
      <c r="E154" s="17"/>
      <c r="J154" s="19"/>
    </row>
    <row r="155" ht="15.75" customHeight="1">
      <c r="A155" s="16"/>
      <c r="B155" s="16"/>
      <c r="C155" s="16"/>
      <c r="D155" s="16"/>
      <c r="E155" s="17"/>
      <c r="J155" s="19"/>
    </row>
    <row r="156" ht="15.75" customHeight="1">
      <c r="A156" s="16"/>
      <c r="B156" s="16"/>
      <c r="C156" s="16"/>
      <c r="D156" s="16"/>
      <c r="E156" s="17"/>
      <c r="J156" s="19"/>
    </row>
    <row r="157" ht="15.75" customHeight="1">
      <c r="A157" s="16"/>
      <c r="B157" s="16"/>
      <c r="C157" s="16"/>
      <c r="D157" s="16"/>
      <c r="E157" s="17"/>
      <c r="J157" s="19"/>
    </row>
    <row r="158" ht="15.75" customHeight="1">
      <c r="A158" s="16"/>
      <c r="B158" s="16"/>
      <c r="C158" s="16"/>
      <c r="D158" s="16"/>
      <c r="E158" s="17"/>
      <c r="J158" s="19"/>
    </row>
    <row r="159" ht="15.75" customHeight="1">
      <c r="A159" s="16"/>
      <c r="B159" s="16"/>
      <c r="C159" s="16"/>
      <c r="D159" s="16"/>
      <c r="E159" s="17"/>
      <c r="J159" s="19"/>
    </row>
    <row r="160" ht="15.75" customHeight="1">
      <c r="A160" s="16"/>
      <c r="B160" s="16"/>
      <c r="C160" s="16"/>
      <c r="D160" s="16"/>
      <c r="E160" s="17"/>
      <c r="J160" s="19"/>
    </row>
    <row r="161" ht="15.75" customHeight="1">
      <c r="A161" s="16"/>
      <c r="B161" s="16"/>
      <c r="C161" s="16"/>
      <c r="D161" s="16"/>
      <c r="E161" s="17"/>
      <c r="J161" s="19"/>
    </row>
    <row r="162" ht="15.75" customHeight="1">
      <c r="A162" s="16"/>
      <c r="B162" s="16"/>
      <c r="C162" s="16"/>
      <c r="D162" s="16"/>
      <c r="E162" s="17"/>
      <c r="J162" s="19"/>
    </row>
    <row r="163" ht="15.75" customHeight="1">
      <c r="A163" s="16"/>
      <c r="B163" s="16"/>
      <c r="C163" s="16"/>
      <c r="D163" s="16"/>
      <c r="E163" s="17"/>
      <c r="J163" s="19"/>
    </row>
    <row r="164" ht="15.75" customHeight="1">
      <c r="A164" s="16"/>
      <c r="B164" s="16"/>
      <c r="C164" s="16"/>
      <c r="D164" s="16"/>
      <c r="E164" s="17"/>
      <c r="J164" s="19"/>
    </row>
    <row r="165" ht="15.75" customHeight="1">
      <c r="A165" s="16"/>
      <c r="B165" s="16"/>
      <c r="C165" s="16"/>
      <c r="D165" s="16"/>
      <c r="E165" s="17"/>
      <c r="J165" s="19"/>
    </row>
    <row r="166" ht="15.75" customHeight="1">
      <c r="A166" s="16"/>
      <c r="B166" s="16"/>
      <c r="C166" s="16"/>
      <c r="D166" s="16"/>
      <c r="E166" s="17"/>
      <c r="J166" s="19"/>
    </row>
    <row r="167" ht="15.75" customHeight="1">
      <c r="A167" s="16"/>
      <c r="B167" s="16"/>
      <c r="C167" s="16"/>
      <c r="D167" s="16"/>
      <c r="E167" s="17"/>
      <c r="J167" s="19"/>
    </row>
    <row r="168" ht="15.75" customHeight="1">
      <c r="A168" s="16"/>
      <c r="B168" s="16"/>
      <c r="C168" s="16"/>
      <c r="D168" s="16"/>
      <c r="E168" s="17"/>
      <c r="J168" s="19"/>
    </row>
    <row r="169" ht="15.75" customHeight="1">
      <c r="A169" s="16"/>
      <c r="B169" s="16"/>
      <c r="C169" s="16"/>
      <c r="D169" s="16"/>
      <c r="E169" s="17"/>
      <c r="J169" s="19"/>
    </row>
    <row r="170" ht="15.75" customHeight="1">
      <c r="A170" s="16"/>
      <c r="B170" s="16"/>
      <c r="C170" s="16"/>
      <c r="D170" s="16"/>
      <c r="E170" s="17"/>
      <c r="J170" s="19"/>
    </row>
    <row r="171" ht="15.75" customHeight="1">
      <c r="A171" s="16"/>
      <c r="B171" s="16"/>
      <c r="C171" s="16"/>
      <c r="D171" s="16"/>
      <c r="E171" s="17"/>
      <c r="J171" s="19"/>
    </row>
    <row r="172" ht="15.75" customHeight="1">
      <c r="A172" s="16"/>
      <c r="B172" s="16"/>
      <c r="C172" s="16"/>
      <c r="D172" s="16"/>
      <c r="E172" s="17"/>
      <c r="J172" s="19"/>
    </row>
    <row r="173" ht="15.75" customHeight="1">
      <c r="A173" s="16"/>
      <c r="B173" s="16"/>
      <c r="C173" s="16"/>
      <c r="D173" s="16"/>
      <c r="E173" s="17"/>
      <c r="J173" s="19"/>
    </row>
    <row r="174" ht="15.75" customHeight="1">
      <c r="A174" s="16"/>
      <c r="B174" s="16"/>
      <c r="C174" s="16"/>
      <c r="D174" s="16"/>
      <c r="E174" s="17"/>
      <c r="J174" s="19"/>
    </row>
    <row r="175" ht="15.75" customHeight="1">
      <c r="A175" s="16"/>
      <c r="B175" s="16"/>
      <c r="C175" s="16"/>
      <c r="D175" s="16"/>
      <c r="E175" s="17"/>
      <c r="J175" s="19"/>
    </row>
    <row r="176" ht="15.75" customHeight="1">
      <c r="A176" s="16"/>
      <c r="B176" s="16"/>
      <c r="C176" s="16"/>
      <c r="D176" s="16"/>
      <c r="E176" s="17"/>
      <c r="J176" s="19"/>
    </row>
    <row r="177" ht="15.75" customHeight="1">
      <c r="A177" s="16"/>
      <c r="B177" s="16"/>
      <c r="C177" s="16"/>
      <c r="D177" s="16"/>
      <c r="E177" s="17"/>
      <c r="J177" s="19"/>
    </row>
    <row r="178" ht="15.75" customHeight="1">
      <c r="A178" s="16"/>
      <c r="B178" s="16"/>
      <c r="C178" s="16"/>
      <c r="D178" s="16"/>
      <c r="E178" s="17"/>
      <c r="J178" s="19"/>
    </row>
    <row r="179" ht="15.75" customHeight="1">
      <c r="A179" s="16"/>
      <c r="B179" s="16"/>
      <c r="C179" s="16"/>
      <c r="D179" s="16"/>
      <c r="E179" s="17"/>
      <c r="J179" s="19"/>
    </row>
    <row r="180" ht="15.75" customHeight="1">
      <c r="A180" s="16"/>
      <c r="B180" s="16"/>
      <c r="C180" s="16"/>
      <c r="D180" s="16"/>
      <c r="E180" s="17"/>
      <c r="J180" s="19"/>
    </row>
    <row r="181" ht="15.75" customHeight="1">
      <c r="A181" s="16"/>
      <c r="B181" s="16"/>
      <c r="C181" s="16"/>
      <c r="D181" s="16"/>
      <c r="E181" s="17"/>
      <c r="J181" s="19"/>
    </row>
    <row r="182" ht="15.75" customHeight="1">
      <c r="A182" s="16"/>
      <c r="B182" s="16"/>
      <c r="C182" s="16"/>
      <c r="D182" s="16"/>
      <c r="E182" s="17"/>
      <c r="J182" s="19"/>
    </row>
    <row r="183" ht="15.75" customHeight="1">
      <c r="A183" s="16"/>
      <c r="B183" s="16"/>
      <c r="C183" s="16"/>
      <c r="D183" s="16"/>
      <c r="E183" s="17"/>
      <c r="J183" s="19"/>
    </row>
    <row r="184" ht="15.75" customHeight="1">
      <c r="A184" s="16"/>
      <c r="B184" s="16"/>
      <c r="C184" s="16"/>
      <c r="D184" s="16"/>
      <c r="E184" s="17"/>
      <c r="J184" s="19"/>
    </row>
    <row r="185" ht="15.75" customHeight="1">
      <c r="A185" s="16"/>
      <c r="B185" s="16"/>
      <c r="C185" s="16"/>
      <c r="D185" s="16"/>
      <c r="E185" s="17"/>
      <c r="J185" s="19"/>
    </row>
    <row r="186" ht="15.75" customHeight="1">
      <c r="A186" s="16"/>
      <c r="B186" s="16"/>
      <c r="C186" s="16"/>
      <c r="D186" s="16"/>
      <c r="E186" s="17"/>
      <c r="J186" s="19"/>
    </row>
    <row r="187" ht="15.75" customHeight="1">
      <c r="A187" s="16"/>
      <c r="B187" s="16"/>
      <c r="C187" s="16"/>
      <c r="D187" s="16"/>
      <c r="E187" s="17"/>
      <c r="J187" s="19"/>
    </row>
    <row r="188" ht="15.75" customHeight="1">
      <c r="A188" s="16"/>
      <c r="B188" s="16"/>
      <c r="C188" s="16"/>
      <c r="D188" s="16"/>
      <c r="E188" s="17"/>
      <c r="J188" s="19"/>
    </row>
    <row r="189" ht="15.75" customHeight="1">
      <c r="A189" s="16"/>
      <c r="B189" s="16"/>
      <c r="C189" s="16"/>
      <c r="D189" s="16"/>
      <c r="E189" s="17"/>
      <c r="J189" s="19"/>
    </row>
    <row r="190" ht="15.75" customHeight="1">
      <c r="A190" s="16"/>
      <c r="B190" s="16"/>
      <c r="C190" s="16"/>
      <c r="D190" s="16"/>
      <c r="E190" s="17"/>
      <c r="J190" s="19"/>
    </row>
    <row r="191" ht="15.75" customHeight="1">
      <c r="A191" s="16"/>
      <c r="B191" s="16"/>
      <c r="C191" s="16"/>
      <c r="D191" s="16"/>
      <c r="E191" s="17"/>
      <c r="J191" s="19"/>
    </row>
    <row r="192" ht="15.75" customHeight="1">
      <c r="A192" s="16"/>
      <c r="B192" s="16"/>
      <c r="C192" s="16"/>
      <c r="D192" s="16"/>
      <c r="E192" s="17"/>
      <c r="J192" s="19"/>
    </row>
    <row r="193" ht="15.75" customHeight="1">
      <c r="A193" s="16"/>
      <c r="B193" s="16"/>
      <c r="C193" s="16"/>
      <c r="D193" s="16"/>
      <c r="E193" s="17"/>
      <c r="J193" s="19"/>
    </row>
    <row r="194" ht="15.75" customHeight="1">
      <c r="A194" s="16"/>
      <c r="B194" s="16"/>
      <c r="C194" s="16"/>
      <c r="D194" s="16"/>
      <c r="E194" s="17"/>
      <c r="J194" s="19"/>
    </row>
    <row r="195" ht="15.75" customHeight="1">
      <c r="A195" s="16"/>
      <c r="B195" s="16"/>
      <c r="C195" s="16"/>
      <c r="D195" s="16"/>
      <c r="E195" s="17"/>
      <c r="J195" s="19"/>
    </row>
    <row r="196" ht="15.75" customHeight="1">
      <c r="A196" s="16"/>
      <c r="B196" s="16"/>
      <c r="C196" s="16"/>
      <c r="D196" s="16"/>
      <c r="E196" s="17"/>
      <c r="J196" s="19"/>
    </row>
    <row r="197" ht="15.75" customHeight="1">
      <c r="A197" s="16"/>
      <c r="B197" s="16"/>
      <c r="C197" s="16"/>
      <c r="D197" s="16"/>
      <c r="E197" s="17"/>
      <c r="J197" s="19"/>
    </row>
    <row r="198" ht="15.75" customHeight="1">
      <c r="A198" s="16"/>
      <c r="B198" s="16"/>
      <c r="C198" s="16"/>
      <c r="D198" s="16"/>
      <c r="E198" s="17"/>
      <c r="J198" s="19"/>
    </row>
    <row r="199" ht="15.75" customHeight="1">
      <c r="A199" s="16"/>
      <c r="B199" s="16"/>
      <c r="C199" s="16"/>
      <c r="D199" s="16"/>
      <c r="E199" s="17"/>
      <c r="J199" s="19"/>
    </row>
    <row r="200" ht="15.75" customHeight="1">
      <c r="A200" s="16"/>
      <c r="B200" s="16"/>
      <c r="C200" s="16"/>
      <c r="D200" s="16"/>
      <c r="E200" s="17"/>
      <c r="J200" s="19"/>
    </row>
    <row r="201" ht="15.75" customHeight="1">
      <c r="A201" s="16"/>
      <c r="B201" s="16"/>
      <c r="C201" s="16"/>
      <c r="D201" s="16"/>
      <c r="E201" s="17"/>
      <c r="J201" s="19"/>
    </row>
    <row r="202" ht="15.75" customHeight="1">
      <c r="A202" s="16"/>
      <c r="B202" s="16"/>
      <c r="C202" s="16"/>
      <c r="D202" s="16"/>
      <c r="E202" s="17"/>
      <c r="J202" s="19"/>
    </row>
    <row r="203" ht="15.75" customHeight="1">
      <c r="A203" s="16"/>
      <c r="B203" s="16"/>
      <c r="C203" s="16"/>
      <c r="D203" s="16"/>
      <c r="E203" s="17"/>
      <c r="J203" s="19"/>
    </row>
    <row r="204" ht="15.75" customHeight="1">
      <c r="A204" s="16"/>
      <c r="B204" s="16"/>
      <c r="C204" s="16"/>
      <c r="D204" s="16"/>
      <c r="E204" s="17"/>
      <c r="J204" s="19"/>
    </row>
    <row r="205" ht="15.75" customHeight="1">
      <c r="A205" s="16"/>
      <c r="B205" s="16"/>
      <c r="C205" s="16"/>
      <c r="D205" s="16"/>
      <c r="E205" s="17"/>
      <c r="J205" s="19"/>
    </row>
    <row r="206" ht="15.75" customHeight="1">
      <c r="A206" s="16"/>
      <c r="B206" s="16"/>
      <c r="C206" s="16"/>
      <c r="D206" s="16"/>
      <c r="E206" s="17"/>
      <c r="J206" s="19"/>
    </row>
    <row r="207" ht="15.75" customHeight="1">
      <c r="A207" s="16"/>
      <c r="B207" s="16"/>
      <c r="C207" s="16"/>
      <c r="D207" s="16"/>
      <c r="E207" s="17"/>
      <c r="J207" s="19"/>
    </row>
    <row r="208" ht="15.75" customHeight="1">
      <c r="A208" s="16"/>
      <c r="B208" s="16"/>
      <c r="C208" s="16"/>
      <c r="D208" s="16"/>
      <c r="E208" s="17"/>
      <c r="J208" s="19"/>
    </row>
    <row r="209" ht="15.75" customHeight="1">
      <c r="A209" s="16"/>
      <c r="B209" s="16"/>
      <c r="C209" s="16"/>
      <c r="D209" s="16"/>
      <c r="E209" s="17"/>
      <c r="J209" s="19"/>
    </row>
    <row r="210" ht="15.75" customHeight="1">
      <c r="A210" s="16"/>
      <c r="B210" s="16"/>
      <c r="C210" s="16"/>
      <c r="D210" s="16"/>
      <c r="E210" s="17"/>
      <c r="J210" s="19"/>
    </row>
    <row r="211" ht="15.75" customHeight="1">
      <c r="A211" s="16"/>
      <c r="B211" s="16"/>
      <c r="C211" s="16"/>
      <c r="D211" s="16"/>
      <c r="E211" s="17"/>
      <c r="J211" s="19"/>
    </row>
    <row r="212" ht="15.75" customHeight="1">
      <c r="A212" s="16"/>
      <c r="B212" s="16"/>
      <c r="C212" s="16"/>
      <c r="D212" s="16"/>
      <c r="E212" s="17"/>
      <c r="J212" s="19"/>
    </row>
    <row r="213" ht="15.75" customHeight="1">
      <c r="A213" s="16"/>
      <c r="B213" s="16"/>
      <c r="C213" s="16"/>
      <c r="D213" s="16"/>
      <c r="E213" s="17"/>
      <c r="J213" s="19"/>
    </row>
    <row r="214" ht="15.75" customHeight="1">
      <c r="A214" s="16"/>
      <c r="B214" s="16"/>
      <c r="C214" s="16"/>
      <c r="D214" s="16"/>
      <c r="E214" s="17"/>
      <c r="J214" s="19"/>
    </row>
    <row r="215" ht="15.75" customHeight="1">
      <c r="A215" s="16"/>
      <c r="B215" s="16"/>
      <c r="C215" s="16"/>
      <c r="D215" s="16"/>
      <c r="E215" s="17"/>
      <c r="J215" s="19"/>
    </row>
    <row r="216" ht="15.75" customHeight="1">
      <c r="A216" s="16"/>
      <c r="B216" s="16"/>
      <c r="C216" s="16"/>
      <c r="D216" s="16"/>
      <c r="E216" s="17"/>
      <c r="J216" s="19"/>
    </row>
    <row r="217" ht="15.75" customHeight="1">
      <c r="A217" s="16"/>
      <c r="B217" s="16"/>
      <c r="C217" s="16"/>
      <c r="D217" s="16"/>
      <c r="E217" s="17"/>
      <c r="J217" s="19"/>
    </row>
    <row r="218" ht="15.75" customHeight="1">
      <c r="A218" s="16"/>
      <c r="B218" s="16"/>
      <c r="C218" s="16"/>
      <c r="D218" s="16"/>
      <c r="E218" s="17"/>
      <c r="J218" s="19"/>
    </row>
    <row r="219" ht="15.75" customHeight="1">
      <c r="A219" s="16"/>
      <c r="B219" s="16"/>
      <c r="C219" s="16"/>
      <c r="D219" s="16"/>
      <c r="E219" s="17"/>
      <c r="J219" s="19"/>
    </row>
    <row r="220" ht="15.75" customHeight="1">
      <c r="A220" s="16"/>
      <c r="B220" s="16"/>
      <c r="C220" s="16"/>
      <c r="D220" s="16"/>
      <c r="E220" s="17"/>
      <c r="J220" s="19"/>
    </row>
    <row r="221" ht="15.75" customHeight="1">
      <c r="A221" s="16"/>
      <c r="B221" s="16"/>
      <c r="C221" s="16"/>
      <c r="D221" s="16"/>
      <c r="E221" s="17"/>
      <c r="J221" s="19"/>
    </row>
    <row r="222" ht="15.75" customHeight="1">
      <c r="A222" s="16"/>
      <c r="B222" s="16"/>
      <c r="C222" s="16"/>
      <c r="D222" s="16"/>
      <c r="E222" s="17"/>
      <c r="J222" s="19"/>
    </row>
    <row r="223" ht="15.75" customHeight="1">
      <c r="A223" s="16"/>
      <c r="B223" s="16"/>
      <c r="C223" s="16"/>
      <c r="D223" s="16"/>
      <c r="E223" s="17"/>
      <c r="J223" s="19"/>
    </row>
    <row r="224" ht="15.75" customHeight="1">
      <c r="A224" s="16"/>
      <c r="B224" s="16"/>
      <c r="C224" s="16"/>
      <c r="D224" s="16"/>
      <c r="E224" s="17"/>
      <c r="J224" s="19"/>
    </row>
    <row r="225" ht="15.75" customHeight="1">
      <c r="A225" s="16"/>
      <c r="B225" s="16"/>
      <c r="C225" s="16"/>
      <c r="D225" s="16"/>
      <c r="E225" s="17"/>
      <c r="J225" s="19"/>
    </row>
    <row r="226" ht="15.75" customHeight="1">
      <c r="A226" s="16"/>
      <c r="B226" s="16"/>
      <c r="C226" s="16"/>
      <c r="D226" s="16"/>
      <c r="E226" s="17"/>
      <c r="J226" s="19"/>
    </row>
    <row r="227" ht="15.75" customHeight="1">
      <c r="A227" s="16"/>
      <c r="B227" s="16"/>
      <c r="C227" s="16"/>
      <c r="D227" s="16"/>
      <c r="E227" s="17"/>
      <c r="J227" s="19"/>
    </row>
    <row r="228" ht="15.75" customHeight="1">
      <c r="A228" s="16"/>
      <c r="B228" s="16"/>
      <c r="C228" s="16"/>
      <c r="D228" s="16"/>
      <c r="E228" s="17"/>
      <c r="J228" s="19"/>
    </row>
    <row r="229" ht="15.75" customHeight="1">
      <c r="A229" s="16"/>
      <c r="B229" s="16"/>
      <c r="C229" s="16"/>
      <c r="D229" s="16"/>
      <c r="E229" s="17"/>
      <c r="J229" s="19"/>
    </row>
    <row r="230" ht="15.75" customHeight="1">
      <c r="A230" s="16"/>
      <c r="B230" s="16"/>
      <c r="C230" s="16"/>
      <c r="D230" s="16"/>
      <c r="E230" s="17"/>
      <c r="J230" s="19"/>
    </row>
    <row r="231" ht="15.75" customHeight="1">
      <c r="A231" s="16"/>
      <c r="B231" s="16"/>
      <c r="C231" s="16"/>
      <c r="D231" s="16"/>
      <c r="E231" s="17"/>
      <c r="J231" s="19"/>
    </row>
    <row r="232" ht="15.75" customHeight="1">
      <c r="A232" s="16"/>
      <c r="B232" s="16"/>
      <c r="C232" s="16"/>
      <c r="D232" s="16"/>
      <c r="E232" s="17"/>
      <c r="J232" s="19"/>
    </row>
    <row r="233" ht="15.75" customHeight="1">
      <c r="A233" s="16"/>
      <c r="B233" s="16"/>
      <c r="C233" s="16"/>
      <c r="D233" s="16"/>
      <c r="E233" s="17"/>
      <c r="J233" s="19"/>
    </row>
    <row r="234" ht="15.75" customHeight="1">
      <c r="A234" s="16"/>
      <c r="B234" s="16"/>
      <c r="C234" s="16"/>
      <c r="D234" s="16"/>
      <c r="E234" s="17"/>
      <c r="J234" s="19"/>
    </row>
    <row r="235" ht="15.75" customHeight="1">
      <c r="A235" s="16"/>
      <c r="B235" s="16"/>
      <c r="C235" s="16"/>
      <c r="D235" s="16"/>
      <c r="E235" s="17"/>
      <c r="J235" s="19"/>
    </row>
    <row r="236" ht="15.75" customHeight="1">
      <c r="A236" s="16"/>
      <c r="B236" s="16"/>
      <c r="C236" s="16"/>
      <c r="D236" s="16"/>
      <c r="E236" s="17"/>
      <c r="J236" s="19"/>
    </row>
    <row r="237" ht="15.75" customHeight="1">
      <c r="A237" s="16"/>
      <c r="B237" s="16"/>
      <c r="C237" s="16"/>
      <c r="D237" s="16"/>
      <c r="E237" s="17"/>
      <c r="J237" s="19"/>
    </row>
    <row r="238" ht="15.75" customHeight="1">
      <c r="A238" s="16"/>
      <c r="B238" s="16"/>
      <c r="C238" s="16"/>
      <c r="D238" s="16"/>
      <c r="E238" s="17"/>
      <c r="J238" s="19"/>
    </row>
    <row r="239" ht="15.75" customHeight="1">
      <c r="A239" s="16"/>
      <c r="B239" s="16"/>
      <c r="C239" s="16"/>
      <c r="D239" s="16"/>
      <c r="E239" s="17"/>
      <c r="J239" s="19"/>
    </row>
    <row r="240" ht="15.75" customHeight="1">
      <c r="A240" s="16"/>
      <c r="B240" s="16"/>
      <c r="C240" s="16"/>
      <c r="D240" s="16"/>
      <c r="E240" s="17"/>
      <c r="J240" s="19"/>
    </row>
    <row r="241" ht="15.75" customHeight="1">
      <c r="A241" s="16"/>
      <c r="B241" s="16"/>
      <c r="C241" s="16"/>
      <c r="D241" s="16"/>
      <c r="E241" s="17"/>
      <c r="J241" s="19"/>
    </row>
    <row r="242" ht="15.75" customHeight="1">
      <c r="A242" s="16"/>
      <c r="B242" s="16"/>
      <c r="C242" s="16"/>
      <c r="D242" s="16"/>
      <c r="E242" s="17"/>
      <c r="J242" s="19"/>
    </row>
    <row r="243" ht="15.75" customHeight="1">
      <c r="A243" s="16"/>
      <c r="B243" s="16"/>
      <c r="C243" s="16"/>
      <c r="D243" s="16"/>
      <c r="E243" s="17"/>
      <c r="J243" s="19"/>
    </row>
    <row r="244" ht="15.75" customHeight="1">
      <c r="A244" s="16"/>
      <c r="B244" s="16"/>
      <c r="C244" s="16"/>
      <c r="D244" s="16"/>
      <c r="E244" s="17"/>
      <c r="J244" s="19"/>
    </row>
    <row r="245" ht="15.75" customHeight="1">
      <c r="A245" s="16"/>
      <c r="B245" s="16"/>
      <c r="C245" s="16"/>
      <c r="D245" s="16"/>
      <c r="E245" s="17"/>
      <c r="J245" s="19"/>
    </row>
    <row r="246" ht="15.75" customHeight="1">
      <c r="A246" s="16"/>
      <c r="B246" s="16"/>
      <c r="C246" s="16"/>
      <c r="D246" s="16"/>
      <c r="E246" s="17"/>
      <c r="J246" s="19"/>
    </row>
    <row r="247" ht="15.75" customHeight="1">
      <c r="A247" s="16"/>
      <c r="B247" s="16"/>
      <c r="C247" s="16"/>
      <c r="D247" s="16"/>
      <c r="E247" s="17"/>
      <c r="J247" s="19"/>
    </row>
    <row r="248" ht="15.75" customHeight="1">
      <c r="A248" s="16"/>
      <c r="B248" s="16"/>
      <c r="C248" s="16"/>
      <c r="D248" s="16"/>
      <c r="E248" s="17"/>
      <c r="J248" s="19"/>
    </row>
    <row r="249" ht="15.75" customHeight="1">
      <c r="A249" s="16"/>
      <c r="B249" s="16"/>
      <c r="C249" s="16"/>
      <c r="D249" s="16"/>
      <c r="E249" s="17"/>
      <c r="J249" s="19"/>
    </row>
    <row r="250" ht="15.75" customHeight="1">
      <c r="A250" s="16"/>
      <c r="B250" s="16"/>
      <c r="C250" s="16"/>
      <c r="D250" s="16"/>
      <c r="E250" s="17"/>
      <c r="J250" s="19"/>
    </row>
    <row r="251" ht="15.75" customHeight="1">
      <c r="A251" s="16"/>
      <c r="B251" s="16"/>
      <c r="C251" s="16"/>
      <c r="D251" s="16"/>
      <c r="E251" s="17"/>
      <c r="J251" s="19"/>
    </row>
    <row r="252" ht="15.75" customHeight="1">
      <c r="A252" s="16"/>
      <c r="B252" s="16"/>
      <c r="C252" s="16"/>
      <c r="D252" s="16"/>
      <c r="E252" s="17"/>
      <c r="J252" s="19"/>
    </row>
    <row r="253" ht="15.75" customHeight="1">
      <c r="A253" s="16"/>
      <c r="B253" s="16"/>
      <c r="C253" s="16"/>
      <c r="D253" s="16"/>
      <c r="E253" s="17"/>
      <c r="J253" s="19"/>
    </row>
    <row r="254" ht="15.75" customHeight="1">
      <c r="A254" s="16"/>
      <c r="B254" s="16"/>
      <c r="C254" s="16"/>
      <c r="D254" s="16"/>
      <c r="E254" s="17"/>
      <c r="J254" s="19"/>
    </row>
    <row r="255" ht="15.75" customHeight="1">
      <c r="A255" s="16"/>
      <c r="B255" s="16"/>
      <c r="C255" s="16"/>
      <c r="D255" s="16"/>
      <c r="E255" s="17"/>
      <c r="J255" s="19"/>
    </row>
    <row r="256" ht="15.75" customHeight="1">
      <c r="A256" s="16"/>
      <c r="B256" s="16"/>
      <c r="C256" s="16"/>
      <c r="D256" s="16"/>
      <c r="E256" s="17"/>
      <c r="J256" s="19"/>
    </row>
    <row r="257" ht="15.75" customHeight="1">
      <c r="A257" s="16"/>
      <c r="B257" s="16"/>
      <c r="C257" s="16"/>
      <c r="D257" s="16"/>
      <c r="E257" s="17"/>
      <c r="J257" s="19"/>
    </row>
    <row r="258" ht="15.75" customHeight="1">
      <c r="A258" s="16"/>
      <c r="B258" s="16"/>
      <c r="C258" s="16"/>
      <c r="D258" s="16"/>
      <c r="E258" s="17"/>
      <c r="J258" s="19"/>
    </row>
    <row r="259" ht="15.75" customHeight="1">
      <c r="A259" s="16"/>
      <c r="B259" s="16"/>
      <c r="C259" s="16"/>
      <c r="D259" s="16"/>
      <c r="E259" s="17"/>
      <c r="J259" s="19"/>
    </row>
    <row r="260" ht="15.75" customHeight="1">
      <c r="A260" s="16"/>
      <c r="B260" s="16"/>
      <c r="C260" s="16"/>
      <c r="D260" s="16"/>
      <c r="E260" s="17"/>
      <c r="J260" s="19"/>
    </row>
    <row r="261" ht="15.75" customHeight="1">
      <c r="A261" s="16"/>
      <c r="B261" s="16"/>
      <c r="C261" s="16"/>
      <c r="D261" s="16"/>
      <c r="E261" s="17"/>
      <c r="J261" s="19"/>
    </row>
    <row r="262" ht="15.75" customHeight="1">
      <c r="A262" s="16"/>
      <c r="B262" s="16"/>
      <c r="C262" s="16"/>
      <c r="D262" s="16"/>
      <c r="E262" s="17"/>
      <c r="J262" s="19"/>
    </row>
    <row r="263" ht="15.75" customHeight="1">
      <c r="A263" s="16"/>
      <c r="B263" s="16"/>
      <c r="C263" s="16"/>
      <c r="D263" s="16"/>
      <c r="E263" s="17"/>
      <c r="J263" s="19"/>
    </row>
    <row r="264" ht="15.75" customHeight="1">
      <c r="A264" s="16"/>
      <c r="B264" s="16"/>
      <c r="C264" s="16"/>
      <c r="D264" s="16"/>
      <c r="E264" s="17"/>
      <c r="J264" s="19"/>
    </row>
    <row r="265" ht="15.75" customHeight="1">
      <c r="A265" s="16"/>
      <c r="B265" s="16"/>
      <c r="C265" s="16"/>
      <c r="D265" s="16"/>
      <c r="E265" s="17"/>
      <c r="J265" s="19"/>
    </row>
    <row r="266" ht="15.75" customHeight="1">
      <c r="A266" s="16"/>
      <c r="B266" s="16"/>
      <c r="C266" s="16"/>
      <c r="D266" s="16"/>
      <c r="E266" s="17"/>
      <c r="J266" s="19"/>
    </row>
    <row r="267" ht="15.75" customHeight="1">
      <c r="A267" s="16"/>
      <c r="B267" s="16"/>
      <c r="C267" s="16"/>
      <c r="D267" s="16"/>
      <c r="E267" s="17"/>
      <c r="J267" s="19"/>
    </row>
    <row r="268" ht="15.75" customHeight="1">
      <c r="A268" s="16"/>
      <c r="B268" s="16"/>
      <c r="C268" s="16"/>
      <c r="D268" s="16"/>
      <c r="E268" s="17"/>
      <c r="J268" s="19"/>
    </row>
    <row r="269" ht="15.75" customHeight="1">
      <c r="A269" s="16"/>
      <c r="B269" s="16"/>
      <c r="C269" s="16"/>
      <c r="D269" s="16"/>
      <c r="E269" s="17"/>
      <c r="J269" s="19"/>
    </row>
    <row r="270" ht="15.75" customHeight="1">
      <c r="E270" s="56"/>
      <c r="J270" s="19"/>
    </row>
    <row r="271" ht="15.75" customHeight="1">
      <c r="E271" s="56"/>
      <c r="J271" s="19"/>
    </row>
    <row r="272" ht="15.75" customHeight="1">
      <c r="E272" s="56"/>
      <c r="J272" s="19"/>
    </row>
  </sheetData>
  <mergeCells count="15">
    <mergeCell ref="J5:J32"/>
    <mergeCell ref="J33:J60"/>
    <mergeCell ref="J61:J88"/>
    <mergeCell ref="J89:J116"/>
    <mergeCell ref="D61:D88"/>
    <mergeCell ref="E61:E88"/>
    <mergeCell ref="D89:D116"/>
    <mergeCell ref="E89:E116"/>
    <mergeCell ref="A2:B2"/>
    <mergeCell ref="D2:J2"/>
    <mergeCell ref="L2:M3"/>
    <mergeCell ref="D5:D32"/>
    <mergeCell ref="E5:E32"/>
    <mergeCell ref="D33:D60"/>
    <mergeCell ref="E33:E6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16"/>
      <c r="B1" s="16"/>
      <c r="C1" s="16"/>
      <c r="D1" s="16"/>
      <c r="E1" s="17"/>
      <c r="F1" s="18"/>
      <c r="G1" s="18"/>
      <c r="H1" s="18"/>
      <c r="I1" s="18"/>
      <c r="J1" s="19"/>
      <c r="K1" s="18"/>
      <c r="L1" s="18"/>
      <c r="M1" s="18"/>
      <c r="N1" s="18"/>
    </row>
    <row r="2" ht="15.75" customHeight="1">
      <c r="A2" s="20" t="s">
        <v>44</v>
      </c>
      <c r="B2" s="21"/>
      <c r="C2" s="22"/>
      <c r="D2" s="22" t="s">
        <v>45</v>
      </c>
      <c r="K2" s="18"/>
      <c r="L2" s="23" t="s">
        <v>46</v>
      </c>
      <c r="M2" s="24"/>
      <c r="N2" s="18"/>
    </row>
    <row r="3" ht="15.75" customHeight="1">
      <c r="A3" s="25" t="s">
        <v>47</v>
      </c>
      <c r="B3" s="26" t="s">
        <v>48</v>
      </c>
      <c r="C3" s="16"/>
      <c r="D3" s="16"/>
      <c r="E3" s="17"/>
      <c r="F3" s="18"/>
      <c r="G3" s="18"/>
      <c r="H3" s="18"/>
      <c r="I3" s="18"/>
      <c r="J3" s="27"/>
      <c r="K3" s="18"/>
      <c r="L3" s="28"/>
      <c r="M3" s="29"/>
      <c r="N3" s="18"/>
    </row>
    <row r="4" ht="15.75" customHeight="1">
      <c r="A4" s="30" t="s">
        <v>21</v>
      </c>
      <c r="B4" s="31">
        <v>5000.0</v>
      </c>
      <c r="C4" s="32"/>
      <c r="D4" s="33" t="s">
        <v>1</v>
      </c>
      <c r="E4" s="34" t="s">
        <v>49</v>
      </c>
      <c r="F4" s="35" t="s">
        <v>50</v>
      </c>
      <c r="G4" s="36" t="s">
        <v>51</v>
      </c>
      <c r="H4" s="36" t="s">
        <v>52</v>
      </c>
      <c r="I4" s="36" t="s">
        <v>53</v>
      </c>
      <c r="J4" s="37" t="s">
        <v>54</v>
      </c>
      <c r="K4" s="18"/>
      <c r="L4" s="38" t="s">
        <v>55</v>
      </c>
      <c r="M4" s="38" t="s">
        <v>51</v>
      </c>
      <c r="N4" s="18"/>
    </row>
    <row r="5" ht="15.75" customHeight="1">
      <c r="A5" s="30" t="s">
        <v>56</v>
      </c>
      <c r="B5" s="31">
        <v>3000.0</v>
      </c>
      <c r="C5" s="39"/>
      <c r="D5" s="40">
        <v>1.0</v>
      </c>
      <c r="E5" s="41" t="s">
        <v>106</v>
      </c>
      <c r="F5" s="42" t="s">
        <v>21</v>
      </c>
      <c r="G5" s="43"/>
      <c r="H5" s="44">
        <f>VLOOKUP(F5,$A$4:$B$4,2,TRUE)</f>
        <v>5000</v>
      </c>
      <c r="I5" s="45">
        <f t="shared" ref="I5:I286" si="1">G5*H5</f>
        <v>0</v>
      </c>
      <c r="J5" s="46">
        <f>SUM(I5:I32)</f>
        <v>45000</v>
      </c>
      <c r="K5" s="18"/>
      <c r="L5" s="42" t="s">
        <v>21</v>
      </c>
      <c r="M5" s="38">
        <f>SUMIF(F5:F284,"Gelas bersih",G5:G284)</f>
        <v>2</v>
      </c>
      <c r="N5" s="18"/>
    </row>
    <row r="6" ht="15.75" customHeight="1">
      <c r="A6" s="30" t="s">
        <v>58</v>
      </c>
      <c r="B6" s="31">
        <v>1000.0</v>
      </c>
      <c r="C6" s="39"/>
      <c r="D6" s="47"/>
      <c r="E6" s="47"/>
      <c r="F6" s="42" t="s">
        <v>56</v>
      </c>
      <c r="G6" s="43">
        <v>1.0</v>
      </c>
      <c r="H6" s="48">
        <f>VLOOKUP(F6,$A$5:$B$5,2,TRUE)</f>
        <v>3000</v>
      </c>
      <c r="I6" s="45">
        <f t="shared" si="1"/>
        <v>3000</v>
      </c>
      <c r="J6" s="47"/>
      <c r="K6" s="18"/>
      <c r="L6" s="42" t="s">
        <v>56</v>
      </c>
      <c r="M6" s="38">
        <f>SUMIF(F6:F285,"Botol bersih",G6:G285)</f>
        <v>11.5</v>
      </c>
      <c r="N6" s="18"/>
    </row>
    <row r="7" ht="15.75" customHeight="1">
      <c r="A7" s="30" t="s">
        <v>24</v>
      </c>
      <c r="B7" s="31">
        <v>2800.0</v>
      </c>
      <c r="C7" s="39"/>
      <c r="D7" s="47"/>
      <c r="E7" s="47"/>
      <c r="F7" s="42" t="s">
        <v>58</v>
      </c>
      <c r="G7" s="43"/>
      <c r="H7" s="48">
        <f>VLOOKUP(F7,$A$6:$B$6,2,TRUE)</f>
        <v>1000</v>
      </c>
      <c r="I7" s="45">
        <f t="shared" si="1"/>
        <v>0</v>
      </c>
      <c r="J7" s="47"/>
      <c r="K7" s="18"/>
      <c r="L7" s="42" t="s">
        <v>58</v>
      </c>
      <c r="M7" s="38">
        <f>SUMIF(F7:F286,"Botol Warna",G7:G286)</f>
        <v>0</v>
      </c>
      <c r="N7" s="18"/>
    </row>
    <row r="8" ht="15.75" customHeight="1">
      <c r="A8" s="30" t="s">
        <v>25</v>
      </c>
      <c r="B8" s="31">
        <v>3500.0</v>
      </c>
      <c r="C8" s="39"/>
      <c r="D8" s="47"/>
      <c r="E8" s="47"/>
      <c r="F8" s="42" t="s">
        <v>24</v>
      </c>
      <c r="G8" s="43"/>
      <c r="H8" s="48">
        <f>VLOOKUP(F8,$A$7:$B$7,2,TRUE)</f>
        <v>2800</v>
      </c>
      <c r="I8" s="45">
        <f t="shared" si="1"/>
        <v>0</v>
      </c>
      <c r="J8" s="47"/>
      <c r="K8" s="18"/>
      <c r="L8" s="42" t="s">
        <v>24</v>
      </c>
      <c r="M8" s="38">
        <f>SUMIF(F8:F287,"Tutup botol",G8:G287)</f>
        <v>1.5</v>
      </c>
      <c r="N8" s="18"/>
    </row>
    <row r="9" ht="15.75" customHeight="1">
      <c r="A9" s="30" t="s">
        <v>26</v>
      </c>
      <c r="B9" s="31">
        <v>1000.0</v>
      </c>
      <c r="C9" s="39"/>
      <c r="D9" s="47"/>
      <c r="E9" s="47"/>
      <c r="F9" s="42" t="s">
        <v>25</v>
      </c>
      <c r="G9" s="43"/>
      <c r="H9" s="48">
        <f>VLOOKUP(F9,$A$8:$B$8,2,TRUE)</f>
        <v>3500</v>
      </c>
      <c r="I9" s="45">
        <f t="shared" si="1"/>
        <v>0</v>
      </c>
      <c r="J9" s="47"/>
      <c r="K9" s="18"/>
      <c r="L9" s="42" t="s">
        <v>25</v>
      </c>
      <c r="M9" s="38">
        <f>SUMIF(F9:F288,"Tutup galon",G9:G288)</f>
        <v>0.5</v>
      </c>
      <c r="N9" s="18"/>
    </row>
    <row r="10" ht="15.75" customHeight="1">
      <c r="A10" s="30" t="s">
        <v>27</v>
      </c>
      <c r="B10" s="31">
        <v>2000.0</v>
      </c>
      <c r="C10" s="39"/>
      <c r="D10" s="47"/>
      <c r="E10" s="47"/>
      <c r="F10" s="42" t="s">
        <v>26</v>
      </c>
      <c r="G10" s="43"/>
      <c r="H10" s="48">
        <f>VLOOKUP(F10,$A$9:$B$9,2,TRUE)</f>
        <v>1000</v>
      </c>
      <c r="I10" s="45">
        <f t="shared" si="1"/>
        <v>0</v>
      </c>
      <c r="J10" s="47"/>
      <c r="K10" s="18"/>
      <c r="L10" s="42" t="s">
        <v>26</v>
      </c>
      <c r="M10" s="38">
        <f>SUMIF(F10:F289,"Hitam",G10:G289)</f>
        <v>21.5</v>
      </c>
      <c r="N10" s="18"/>
    </row>
    <row r="11" ht="15.75" customHeight="1">
      <c r="A11" s="30" t="s">
        <v>28</v>
      </c>
      <c r="B11" s="31">
        <v>2000.0</v>
      </c>
      <c r="C11" s="39"/>
      <c r="D11" s="47"/>
      <c r="E11" s="47"/>
      <c r="F11" s="42" t="s">
        <v>27</v>
      </c>
      <c r="G11" s="43">
        <v>1.0</v>
      </c>
      <c r="H11" s="48">
        <f>VLOOKUP(F11,$A$10:$B$10,2,TRUE)</f>
        <v>2000</v>
      </c>
      <c r="I11" s="45">
        <f t="shared" si="1"/>
        <v>2000</v>
      </c>
      <c r="J11" s="47"/>
      <c r="K11" s="18"/>
      <c r="L11" s="42" t="s">
        <v>27</v>
      </c>
      <c r="M11" s="38">
        <f>SUMIF(F11:F290,"Plastik Campur",G11:G290)</f>
        <v>7.5</v>
      </c>
      <c r="N11" s="18"/>
    </row>
    <row r="12" ht="15.75" customHeight="1">
      <c r="A12" s="30" t="s">
        <v>29</v>
      </c>
      <c r="B12" s="31">
        <v>1300.0</v>
      </c>
      <c r="C12" s="39"/>
      <c r="D12" s="47"/>
      <c r="E12" s="47"/>
      <c r="F12" s="42" t="s">
        <v>28</v>
      </c>
      <c r="G12" s="43"/>
      <c r="H12" s="48">
        <f>VLOOKUP(F12,$A$11:$B$11,2,TRUE)</f>
        <v>2000</v>
      </c>
      <c r="I12" s="45">
        <f t="shared" si="1"/>
        <v>0</v>
      </c>
      <c r="J12" s="47"/>
      <c r="K12" s="18"/>
      <c r="L12" s="42" t="s">
        <v>28</v>
      </c>
      <c r="M12" s="38">
        <f>SUMIF(F12:F291,"Kardus",G12:G291)</f>
        <v>8</v>
      </c>
      <c r="N12" s="18"/>
    </row>
    <row r="13" ht="15.75" customHeight="1">
      <c r="A13" s="30" t="s">
        <v>30</v>
      </c>
      <c r="B13" s="31">
        <v>1000.0</v>
      </c>
      <c r="C13" s="39"/>
      <c r="D13" s="47"/>
      <c r="E13" s="47"/>
      <c r="F13" s="42" t="s">
        <v>29</v>
      </c>
      <c r="G13" s="43"/>
      <c r="H13" s="48">
        <f>VLOOKUP(F13,$A$12:$B$12,2,TRUE)</f>
        <v>1300</v>
      </c>
      <c r="I13" s="45">
        <f t="shared" si="1"/>
        <v>0</v>
      </c>
      <c r="J13" s="47"/>
      <c r="K13" s="18"/>
      <c r="L13" s="42" t="s">
        <v>29</v>
      </c>
      <c r="M13" s="38">
        <f>SUMIF(F13:F292,"Kertas Putihan/ HVS",G13:G292)</f>
        <v>1</v>
      </c>
      <c r="N13" s="18"/>
    </row>
    <row r="14" ht="15.75" customHeight="1">
      <c r="A14" s="30" t="s">
        <v>31</v>
      </c>
      <c r="B14" s="31">
        <v>400.0</v>
      </c>
      <c r="C14" s="39"/>
      <c r="D14" s="47"/>
      <c r="E14" s="47"/>
      <c r="F14" s="42" t="s">
        <v>30</v>
      </c>
      <c r="G14" s="43"/>
      <c r="H14" s="48">
        <f>VLOOKUP(F14,$A$13:$B$13,2,TRUE)</f>
        <v>1000</v>
      </c>
      <c r="I14" s="45">
        <f t="shared" si="1"/>
        <v>0</v>
      </c>
      <c r="J14" s="47"/>
      <c r="K14" s="18"/>
      <c r="L14" s="42" t="s">
        <v>30</v>
      </c>
      <c r="M14" s="38">
        <f>SUMIF(F14:F293,"Koran/Buku",G14:G293)</f>
        <v>0</v>
      </c>
      <c r="N14" s="18"/>
    </row>
    <row r="15" ht="15.75" customHeight="1">
      <c r="A15" s="30" t="s">
        <v>32</v>
      </c>
      <c r="B15" s="31">
        <v>7500.0</v>
      </c>
      <c r="C15" s="39"/>
      <c r="D15" s="47"/>
      <c r="E15" s="47"/>
      <c r="F15" s="42" t="s">
        <v>31</v>
      </c>
      <c r="G15" s="43"/>
      <c r="H15" s="48">
        <f>VLOOKUP(F15,$A$14:$B$14,2,TRUE)</f>
        <v>400</v>
      </c>
      <c r="I15" s="45">
        <f t="shared" si="1"/>
        <v>0</v>
      </c>
      <c r="J15" s="47"/>
      <c r="K15" s="18"/>
      <c r="L15" s="42" t="s">
        <v>31</v>
      </c>
      <c r="M15" s="38">
        <f>SUMIF(F15:F294,"Duplex",G15:G294)</f>
        <v>2</v>
      </c>
      <c r="N15" s="18"/>
    </row>
    <row r="16" ht="15.75" customHeight="1">
      <c r="A16" s="30" t="s">
        <v>33</v>
      </c>
      <c r="B16" s="31">
        <v>2000.0</v>
      </c>
      <c r="C16" s="39"/>
      <c r="D16" s="47"/>
      <c r="E16" s="47"/>
      <c r="F16" s="42" t="s">
        <v>32</v>
      </c>
      <c r="G16" s="43"/>
      <c r="H16" s="48">
        <f>VLOOKUP(F16,$A$15:$B$15,2,TRUE)</f>
        <v>7500</v>
      </c>
      <c r="I16" s="45">
        <f t="shared" si="1"/>
        <v>0</v>
      </c>
      <c r="J16" s="47"/>
      <c r="K16" s="18"/>
      <c r="L16" s="42" t="s">
        <v>32</v>
      </c>
      <c r="M16" s="38">
        <f>SUMIF(F16:F295,"Alumunium",G16:G295)</f>
        <v>0</v>
      </c>
      <c r="N16" s="18"/>
    </row>
    <row r="17" ht="15.75" customHeight="1">
      <c r="A17" s="30" t="s">
        <v>34</v>
      </c>
      <c r="B17" s="31">
        <v>800.0</v>
      </c>
      <c r="C17" s="39"/>
      <c r="D17" s="47"/>
      <c r="E17" s="47"/>
      <c r="F17" s="42" t="s">
        <v>33</v>
      </c>
      <c r="G17" s="43"/>
      <c r="H17" s="48">
        <f>VLOOKUP(F17,$A$16:$B$16,2,TRUE)</f>
        <v>2000</v>
      </c>
      <c r="I17" s="45">
        <f t="shared" si="1"/>
        <v>0</v>
      </c>
      <c r="J17" s="47"/>
      <c r="K17" s="18"/>
      <c r="L17" s="42" t="s">
        <v>33</v>
      </c>
      <c r="M17" s="38">
        <f>SUMIF(F17:F296,"Besi",G17:G296)</f>
        <v>2</v>
      </c>
      <c r="N17" s="18"/>
    </row>
    <row r="18" ht="15.75" customHeight="1">
      <c r="A18" s="30" t="s">
        <v>35</v>
      </c>
      <c r="B18" s="31">
        <v>5000.0</v>
      </c>
      <c r="C18" s="39"/>
      <c r="D18" s="47"/>
      <c r="E18" s="47"/>
      <c r="F18" s="42" t="s">
        <v>34</v>
      </c>
      <c r="G18" s="43"/>
      <c r="H18" s="48">
        <f>VLOOKUP(F18,$A$17:$B$17,2,TRUE)</f>
        <v>800</v>
      </c>
      <c r="I18" s="45">
        <f t="shared" si="1"/>
        <v>0</v>
      </c>
      <c r="J18" s="47"/>
      <c r="K18" s="18"/>
      <c r="L18" s="42" t="s">
        <v>34</v>
      </c>
      <c r="M18" s="38">
        <f>SUMIF(F18:F297,"Kaleng kue/susu",G18:G297)</f>
        <v>0</v>
      </c>
      <c r="N18" s="18"/>
    </row>
    <row r="19" ht="15.75" customHeight="1">
      <c r="A19" s="30" t="s">
        <v>36</v>
      </c>
      <c r="B19" s="31">
        <v>2700.0</v>
      </c>
      <c r="C19" s="39"/>
      <c r="D19" s="47"/>
      <c r="E19" s="47"/>
      <c r="F19" s="42" t="s">
        <v>35</v>
      </c>
      <c r="G19" s="43"/>
      <c r="H19" s="48">
        <f>VLOOKUP(F19,$A$18:$B$18,2,TRUE)</f>
        <v>5000</v>
      </c>
      <c r="I19" s="45">
        <f t="shared" si="1"/>
        <v>0</v>
      </c>
      <c r="J19" s="47"/>
      <c r="K19" s="18"/>
      <c r="L19" s="42" t="s">
        <v>35</v>
      </c>
      <c r="M19" s="38">
        <f>SUMIF(F19:F298,"Kaleng Minuman",G19:G298)</f>
        <v>0</v>
      </c>
      <c r="N19" s="18"/>
    </row>
    <row r="20" ht="15.75" customHeight="1">
      <c r="A20" s="30" t="s">
        <v>37</v>
      </c>
      <c r="B20" s="31">
        <v>50000.0</v>
      </c>
      <c r="C20" s="39"/>
      <c r="D20" s="47"/>
      <c r="E20" s="47"/>
      <c r="F20" s="42" t="s">
        <v>36</v>
      </c>
      <c r="G20" s="43"/>
      <c r="H20" s="48">
        <f>VLOOKUP(F20,$A$19:$B$19,2,TRUE)</f>
        <v>2700</v>
      </c>
      <c r="I20" s="45">
        <f t="shared" si="1"/>
        <v>0</v>
      </c>
      <c r="J20" s="47"/>
      <c r="K20" s="18"/>
      <c r="L20" s="42" t="s">
        <v>36</v>
      </c>
      <c r="M20" s="38">
        <f>SUMIF(F20:F299,"Stanless",G20:G299)</f>
        <v>0</v>
      </c>
      <c r="N20" s="18"/>
    </row>
    <row r="21" ht="15.75" customHeight="1">
      <c r="A21" s="30" t="s">
        <v>38</v>
      </c>
      <c r="B21" s="31">
        <v>10000.0</v>
      </c>
      <c r="C21" s="39"/>
      <c r="D21" s="47"/>
      <c r="E21" s="47"/>
      <c r="F21" s="42" t="s">
        <v>37</v>
      </c>
      <c r="G21" s="43"/>
      <c r="H21" s="48">
        <f>VLOOKUP(F21,$A$20:$B$20,2,TRUE)</f>
        <v>50000</v>
      </c>
      <c r="I21" s="45">
        <f t="shared" si="1"/>
        <v>0</v>
      </c>
      <c r="J21" s="47"/>
      <c r="K21" s="18"/>
      <c r="L21" s="42" t="s">
        <v>37</v>
      </c>
      <c r="M21" s="38">
        <f>SUMIF(F21:F300,"Tembaga",G21:G300)</f>
        <v>0</v>
      </c>
      <c r="N21" s="18"/>
    </row>
    <row r="22" ht="15.75" customHeight="1">
      <c r="A22" s="30" t="s">
        <v>39</v>
      </c>
      <c r="B22" s="31">
        <v>1000.0</v>
      </c>
      <c r="C22" s="39"/>
      <c r="D22" s="47"/>
      <c r="E22" s="47"/>
      <c r="F22" s="42" t="s">
        <v>38</v>
      </c>
      <c r="G22" s="43"/>
      <c r="H22" s="48">
        <f>VLOOKUP(F22,$A$21:$B$21,2,TRUE)</f>
        <v>10000</v>
      </c>
      <c r="I22" s="45">
        <f t="shared" si="1"/>
        <v>0</v>
      </c>
      <c r="J22" s="47"/>
      <c r="K22" s="18"/>
      <c r="L22" s="42" t="s">
        <v>38</v>
      </c>
      <c r="M22" s="38">
        <f>SUMIF(F22:F301,"Aki Motor",G22:G301)</f>
        <v>0</v>
      </c>
      <c r="N22" s="18"/>
    </row>
    <row r="23" ht="15.75" customHeight="1">
      <c r="A23" s="30" t="s">
        <v>40</v>
      </c>
      <c r="B23" s="31">
        <v>500.0</v>
      </c>
      <c r="C23" s="39"/>
      <c r="D23" s="47"/>
      <c r="E23" s="47"/>
      <c r="F23" s="42" t="s">
        <v>39</v>
      </c>
      <c r="G23" s="43"/>
      <c r="H23" s="48">
        <f>VLOOKUP(F23,$A$22:$B$22,2,TRUE)</f>
        <v>1000</v>
      </c>
      <c r="I23" s="45">
        <f t="shared" si="1"/>
        <v>0</v>
      </c>
      <c r="J23" s="47"/>
      <c r="K23" s="18"/>
      <c r="L23" s="42" t="s">
        <v>39</v>
      </c>
      <c r="M23" s="38">
        <f>SUMIF(F23:F302,"Paralon",G23:G302)</f>
        <v>0</v>
      </c>
      <c r="N23" s="18"/>
    </row>
    <row r="24" ht="15.75" customHeight="1">
      <c r="A24" s="30" t="s">
        <v>41</v>
      </c>
      <c r="B24" s="31">
        <v>200.0</v>
      </c>
      <c r="C24" s="39"/>
      <c r="D24" s="47"/>
      <c r="E24" s="47"/>
      <c r="F24" s="42" t="s">
        <v>40</v>
      </c>
      <c r="G24" s="43"/>
      <c r="H24" s="48">
        <f>VLOOKUP(F24,$A$23:$B$23,2,TRUE)</f>
        <v>500</v>
      </c>
      <c r="I24" s="45">
        <f t="shared" si="1"/>
        <v>0</v>
      </c>
      <c r="J24" s="47"/>
      <c r="K24" s="18"/>
      <c r="L24" s="42" t="s">
        <v>40</v>
      </c>
      <c r="M24" s="38">
        <f>SUMIF(F24:F303,"Plastik bening",G24:G303)</f>
        <v>1</v>
      </c>
      <c r="N24" s="18"/>
    </row>
    <row r="25" ht="15.75" customHeight="1">
      <c r="A25" s="30" t="s">
        <v>42</v>
      </c>
      <c r="B25" s="31">
        <v>1000.0</v>
      </c>
      <c r="C25" s="39"/>
      <c r="D25" s="47"/>
      <c r="E25" s="47"/>
      <c r="F25" s="42" t="s">
        <v>41</v>
      </c>
      <c r="G25" s="43"/>
      <c r="H25" s="48">
        <f>VLOOKUP(F25,$A$24:$B$24,2,TRUE)</f>
        <v>200</v>
      </c>
      <c r="I25" s="45">
        <f t="shared" si="1"/>
        <v>0</v>
      </c>
      <c r="J25" s="47"/>
      <c r="K25" s="18"/>
      <c r="L25" s="42" t="s">
        <v>41</v>
      </c>
      <c r="M25" s="38">
        <f>SUMIF(F25:F304,"Plastik Warna",G25:G304)</f>
        <v>1.5</v>
      </c>
      <c r="N25" s="18"/>
    </row>
    <row r="26" ht="15.75" customHeight="1">
      <c r="A26" s="30" t="s">
        <v>17</v>
      </c>
      <c r="B26" s="31">
        <v>300.0</v>
      </c>
      <c r="C26" s="39"/>
      <c r="D26" s="47"/>
      <c r="E26" s="47"/>
      <c r="F26" s="42" t="s">
        <v>42</v>
      </c>
      <c r="G26" s="43"/>
      <c r="H26" s="48">
        <f>VLOOKUP(F26,$A$25:$B$25,2,TRUE)</f>
        <v>1000</v>
      </c>
      <c r="I26" s="45">
        <f t="shared" si="1"/>
        <v>0</v>
      </c>
      <c r="J26" s="47"/>
      <c r="K26" s="18"/>
      <c r="L26" s="42" t="s">
        <v>42</v>
      </c>
      <c r="M26" s="38">
        <f>SUMIF(F26:F305,"Selang",G26:G305)</f>
        <v>0</v>
      </c>
      <c r="N26" s="18"/>
    </row>
    <row r="27" ht="15.75" customHeight="1">
      <c r="A27" s="30" t="s">
        <v>43</v>
      </c>
      <c r="B27" s="31">
        <v>100.0</v>
      </c>
      <c r="C27" s="39"/>
      <c r="D27" s="47"/>
      <c r="E27" s="47"/>
      <c r="F27" s="42" t="s">
        <v>17</v>
      </c>
      <c r="G27" s="43"/>
      <c r="H27" s="48">
        <f>VLOOKUP(F27,$A$26:$B$26,2,TRUE)</f>
        <v>300</v>
      </c>
      <c r="I27" s="45">
        <f t="shared" si="1"/>
        <v>0</v>
      </c>
      <c r="J27" s="47"/>
      <c r="K27" s="18"/>
      <c r="L27" s="42" t="s">
        <v>17</v>
      </c>
      <c r="M27" s="38">
        <f>SUMIF(F27:F306,"Beling",G27:G306)</f>
        <v>0</v>
      </c>
      <c r="N27" s="18"/>
    </row>
    <row r="28" ht="15.75" customHeight="1">
      <c r="A28" s="30" t="s">
        <v>59</v>
      </c>
      <c r="B28" s="31">
        <v>500.0</v>
      </c>
      <c r="C28" s="39"/>
      <c r="D28" s="47"/>
      <c r="E28" s="47"/>
      <c r="F28" s="42" t="s">
        <v>43</v>
      </c>
      <c r="G28" s="43"/>
      <c r="H28" s="48">
        <f>VLOOKUP(F28,$A$27:$B$27,2,TRUE)</f>
        <v>100</v>
      </c>
      <c r="I28" s="45">
        <f t="shared" si="1"/>
        <v>0</v>
      </c>
      <c r="J28" s="47"/>
      <c r="K28" s="18"/>
      <c r="L28" s="42" t="s">
        <v>43</v>
      </c>
      <c r="M28" s="38">
        <f>SUMIF(F28:F307,"Pecahan",G28:G307)</f>
        <v>0</v>
      </c>
      <c r="N28" s="18"/>
    </row>
    <row r="29" ht="15.75" customHeight="1">
      <c r="A29" s="30" t="s">
        <v>13</v>
      </c>
      <c r="B29" s="49">
        <v>1500.0</v>
      </c>
      <c r="C29" s="39"/>
      <c r="D29" s="47"/>
      <c r="E29" s="47"/>
      <c r="F29" s="42" t="s">
        <v>59</v>
      </c>
      <c r="G29" s="43"/>
      <c r="H29" s="48">
        <f>VLOOKUP(F29,$A$28:$B$28,2,TRUE)</f>
        <v>500</v>
      </c>
      <c r="I29" s="45">
        <f t="shared" si="1"/>
        <v>0</v>
      </c>
      <c r="J29" s="47"/>
      <c r="K29" s="18"/>
      <c r="L29" s="42" t="s">
        <v>59</v>
      </c>
      <c r="M29" s="38">
        <f>SUMIF(F29:F308,"Sendal/Sepatu",G29:G308)</f>
        <v>0</v>
      </c>
      <c r="N29" s="18"/>
    </row>
    <row r="30" ht="15.75" customHeight="1">
      <c r="A30" s="30" t="s">
        <v>19</v>
      </c>
      <c r="B30" s="31">
        <v>4000.0</v>
      </c>
      <c r="C30" s="39"/>
      <c r="D30" s="47"/>
      <c r="E30" s="47"/>
      <c r="F30" s="42" t="s">
        <v>13</v>
      </c>
      <c r="G30" s="43"/>
      <c r="H30" s="48">
        <f>VLOOKUP(F30,$A$29:$B$29,2,TRUE)</f>
        <v>1500</v>
      </c>
      <c r="I30" s="45">
        <f t="shared" si="1"/>
        <v>0</v>
      </c>
      <c r="J30" s="47"/>
      <c r="K30" s="18"/>
      <c r="L30" s="42" t="s">
        <v>13</v>
      </c>
      <c r="M30" s="38">
        <f>SUMIF(F30:F309,"Paku",G30:G309)</f>
        <v>3.5</v>
      </c>
      <c r="N30" s="18"/>
    </row>
    <row r="31" ht="15.75" customHeight="1">
      <c r="A31" s="30" t="s">
        <v>60</v>
      </c>
      <c r="B31" s="31">
        <v>500.0</v>
      </c>
      <c r="C31" s="39"/>
      <c r="D31" s="47"/>
      <c r="E31" s="47"/>
      <c r="F31" s="42" t="s">
        <v>19</v>
      </c>
      <c r="G31" s="43">
        <v>10.0</v>
      </c>
      <c r="H31" s="48">
        <f>VLOOKUP(F31,$A$30:$B$30,2,TRUE)</f>
        <v>4000</v>
      </c>
      <c r="I31" s="45">
        <f t="shared" si="1"/>
        <v>40000</v>
      </c>
      <c r="J31" s="47"/>
      <c r="K31" s="18"/>
      <c r="L31" s="42" t="s">
        <v>19</v>
      </c>
      <c r="M31" s="38">
        <f>SUMIF(F31:F310,"Minyak Jelantah",G31:G310)</f>
        <v>10</v>
      </c>
      <c r="N31" s="18"/>
    </row>
    <row r="32" ht="15.75" customHeight="1">
      <c r="A32" s="39"/>
      <c r="B32" s="39"/>
      <c r="C32" s="39"/>
      <c r="D32" s="7"/>
      <c r="E32" s="7"/>
      <c r="F32" s="42" t="s">
        <v>61</v>
      </c>
      <c r="G32" s="43"/>
      <c r="H32" s="48">
        <v>500.0</v>
      </c>
      <c r="I32" s="45">
        <f t="shared" si="1"/>
        <v>0</v>
      </c>
      <c r="J32" s="7"/>
      <c r="K32" s="18"/>
      <c r="L32" s="42" t="s">
        <v>60</v>
      </c>
      <c r="M32" s="38">
        <f>SUMIF(F32:F311,"Lainnya",G32:G311)</f>
        <v>7</v>
      </c>
      <c r="N32" s="18"/>
    </row>
    <row r="33" ht="15.75" customHeight="1">
      <c r="A33" s="39"/>
      <c r="B33" s="39"/>
      <c r="C33" s="39"/>
      <c r="D33" s="40">
        <v>2.0</v>
      </c>
      <c r="E33" s="63" t="s">
        <v>107</v>
      </c>
      <c r="F33" s="42" t="s">
        <v>21</v>
      </c>
      <c r="G33" s="43"/>
      <c r="H33" s="50">
        <f>VLOOKUP(F33,$A$4:$B$4,2,TRUE)</f>
        <v>5000</v>
      </c>
      <c r="I33" s="45">
        <f t="shared" si="1"/>
        <v>0</v>
      </c>
      <c r="J33" s="46">
        <f>SUM(I33:I60)</f>
        <v>6000</v>
      </c>
      <c r="K33" s="18"/>
      <c r="L33" s="18"/>
      <c r="M33" s="18"/>
      <c r="N33" s="18"/>
    </row>
    <row r="34" ht="15.75" customHeight="1">
      <c r="A34" s="39"/>
      <c r="B34" s="39"/>
      <c r="C34" s="39"/>
      <c r="D34" s="47"/>
      <c r="E34" s="47"/>
      <c r="F34" s="42" t="s">
        <v>56</v>
      </c>
      <c r="G34" s="43"/>
      <c r="H34" s="50">
        <f>VLOOKUP(F34,$A$5:$B$5,2,TRUE)</f>
        <v>3000</v>
      </c>
      <c r="I34" s="45">
        <f t="shared" si="1"/>
        <v>0</v>
      </c>
      <c r="J34" s="47"/>
      <c r="K34" s="18"/>
      <c r="L34" s="18"/>
      <c r="M34" s="18"/>
      <c r="N34" s="18"/>
    </row>
    <row r="35" ht="15.75" customHeight="1">
      <c r="A35" s="39"/>
      <c r="B35" s="39"/>
      <c r="C35" s="39"/>
      <c r="D35" s="47"/>
      <c r="E35" s="47"/>
      <c r="F35" s="42" t="s">
        <v>58</v>
      </c>
      <c r="G35" s="43"/>
      <c r="H35" s="50">
        <f>VLOOKUP(F35,$A$6:$B$6,2,TRUE)</f>
        <v>1000</v>
      </c>
      <c r="I35" s="45">
        <f t="shared" si="1"/>
        <v>0</v>
      </c>
      <c r="J35" s="47"/>
      <c r="K35" s="18"/>
      <c r="L35" s="18"/>
      <c r="M35" s="18"/>
      <c r="N35" s="18"/>
    </row>
    <row r="36" ht="15.75" customHeight="1">
      <c r="A36" s="39"/>
      <c r="B36" s="39"/>
      <c r="C36" s="39"/>
      <c r="D36" s="47"/>
      <c r="E36" s="47"/>
      <c r="F36" s="42" t="s">
        <v>24</v>
      </c>
      <c r="G36" s="43"/>
      <c r="H36" s="50">
        <f>VLOOKUP(F36,$A$7:$B$7,2,TRUE)</f>
        <v>2800</v>
      </c>
      <c r="I36" s="45">
        <f t="shared" si="1"/>
        <v>0</v>
      </c>
      <c r="J36" s="47"/>
      <c r="K36" s="18"/>
      <c r="L36" s="18"/>
      <c r="M36" s="18"/>
      <c r="N36" s="18"/>
    </row>
    <row r="37" ht="15.75" customHeight="1">
      <c r="A37" s="39"/>
      <c r="B37" s="39"/>
      <c r="C37" s="39"/>
      <c r="D37" s="47"/>
      <c r="E37" s="47"/>
      <c r="F37" s="42" t="s">
        <v>25</v>
      </c>
      <c r="G37" s="43"/>
      <c r="H37" s="50">
        <f>VLOOKUP(F37,$A$8:$B$8,2,TRUE)</f>
        <v>3500</v>
      </c>
      <c r="I37" s="45">
        <f t="shared" si="1"/>
        <v>0</v>
      </c>
      <c r="J37" s="47"/>
      <c r="K37" s="18"/>
      <c r="L37" s="18"/>
      <c r="M37" s="18"/>
      <c r="N37" s="18"/>
    </row>
    <row r="38" ht="15.75" customHeight="1">
      <c r="A38" s="39"/>
      <c r="B38" s="39"/>
      <c r="C38" s="39"/>
      <c r="D38" s="47"/>
      <c r="E38" s="47"/>
      <c r="F38" s="42" t="s">
        <v>26</v>
      </c>
      <c r="G38" s="43">
        <v>2.0</v>
      </c>
      <c r="H38" s="50">
        <f>VLOOKUP(F38,$A$9:$B$9,2,TRUE)</f>
        <v>1000</v>
      </c>
      <c r="I38" s="45">
        <f t="shared" si="1"/>
        <v>2000</v>
      </c>
      <c r="J38" s="47"/>
      <c r="K38" s="18"/>
      <c r="L38" s="18"/>
      <c r="M38" s="18"/>
      <c r="N38" s="18"/>
    </row>
    <row r="39" ht="15.75" customHeight="1">
      <c r="A39" s="39"/>
      <c r="B39" s="39"/>
      <c r="C39" s="39"/>
      <c r="D39" s="47"/>
      <c r="E39" s="47"/>
      <c r="F39" s="42" t="s">
        <v>27</v>
      </c>
      <c r="G39" s="43"/>
      <c r="H39" s="50">
        <f>VLOOKUP(F39,$A$10:$B$10,2,TRUE)</f>
        <v>2000</v>
      </c>
      <c r="I39" s="45">
        <f t="shared" si="1"/>
        <v>0</v>
      </c>
      <c r="J39" s="47"/>
      <c r="K39" s="18"/>
      <c r="L39" s="18"/>
      <c r="M39" s="18"/>
      <c r="N39" s="18"/>
    </row>
    <row r="40" ht="15.75" customHeight="1">
      <c r="A40" s="39"/>
      <c r="B40" s="39"/>
      <c r="C40" s="39"/>
      <c r="D40" s="47"/>
      <c r="E40" s="47"/>
      <c r="F40" s="42" t="s">
        <v>28</v>
      </c>
      <c r="G40" s="43">
        <v>2.0</v>
      </c>
      <c r="H40" s="50">
        <f>VLOOKUP(F40,$A$11:$B$11,2,TRUE)</f>
        <v>2000</v>
      </c>
      <c r="I40" s="45">
        <f t="shared" si="1"/>
        <v>4000</v>
      </c>
      <c r="J40" s="47"/>
      <c r="K40" s="18"/>
      <c r="L40" s="18"/>
      <c r="M40" s="18"/>
      <c r="N40" s="18"/>
    </row>
    <row r="41" ht="15.75" customHeight="1">
      <c r="A41" s="39"/>
      <c r="B41" s="39"/>
      <c r="C41" s="39"/>
      <c r="D41" s="47"/>
      <c r="E41" s="47"/>
      <c r="F41" s="42" t="s">
        <v>29</v>
      </c>
      <c r="G41" s="43"/>
      <c r="H41" s="50">
        <f>VLOOKUP(F41,$A$12:$B$12,2,TRUE)</f>
        <v>1300</v>
      </c>
      <c r="I41" s="45">
        <f t="shared" si="1"/>
        <v>0</v>
      </c>
      <c r="J41" s="47"/>
      <c r="K41" s="18"/>
      <c r="L41" s="18"/>
      <c r="M41" s="18"/>
      <c r="N41" s="18"/>
    </row>
    <row r="42" ht="15.75" customHeight="1">
      <c r="A42" s="39"/>
      <c r="B42" s="39"/>
      <c r="C42" s="39"/>
      <c r="D42" s="47"/>
      <c r="E42" s="47"/>
      <c r="F42" s="42" t="s">
        <v>30</v>
      </c>
      <c r="G42" s="43"/>
      <c r="H42" s="50">
        <f>VLOOKUP(F42,$A$13:$B$13,2,TRUE)</f>
        <v>1000</v>
      </c>
      <c r="I42" s="45">
        <f t="shared" si="1"/>
        <v>0</v>
      </c>
      <c r="J42" s="47"/>
      <c r="K42" s="18"/>
      <c r="L42" s="18"/>
      <c r="M42" s="18"/>
      <c r="N42" s="18"/>
    </row>
    <row r="43" ht="15.75" customHeight="1">
      <c r="A43" s="39"/>
      <c r="B43" s="39"/>
      <c r="C43" s="39"/>
      <c r="D43" s="47"/>
      <c r="E43" s="47"/>
      <c r="F43" s="42" t="s">
        <v>31</v>
      </c>
      <c r="G43" s="43"/>
      <c r="H43" s="50">
        <f>VLOOKUP(F43,$A$14:$B$14,2,TRUE)</f>
        <v>400</v>
      </c>
      <c r="I43" s="45">
        <f t="shared" si="1"/>
        <v>0</v>
      </c>
      <c r="J43" s="47"/>
      <c r="K43" s="18"/>
      <c r="L43" s="18"/>
      <c r="M43" s="18"/>
      <c r="N43" s="18"/>
    </row>
    <row r="44" ht="15.75" customHeight="1">
      <c r="A44" s="39"/>
      <c r="B44" s="39"/>
      <c r="C44" s="39"/>
      <c r="D44" s="47"/>
      <c r="E44" s="47"/>
      <c r="F44" s="42" t="s">
        <v>32</v>
      </c>
      <c r="G44" s="43"/>
      <c r="H44" s="50">
        <f>VLOOKUP(F44,$A$15:$B$15,2,TRUE)</f>
        <v>7500</v>
      </c>
      <c r="I44" s="45">
        <f t="shared" si="1"/>
        <v>0</v>
      </c>
      <c r="J44" s="47"/>
      <c r="K44" s="18"/>
      <c r="L44" s="18"/>
      <c r="M44" s="18"/>
      <c r="N44" s="18"/>
    </row>
    <row r="45" ht="15.75" customHeight="1">
      <c r="A45" s="39"/>
      <c r="B45" s="39"/>
      <c r="C45" s="39"/>
      <c r="D45" s="47"/>
      <c r="E45" s="47"/>
      <c r="F45" s="42" t="s">
        <v>33</v>
      </c>
      <c r="G45" s="43"/>
      <c r="H45" s="50">
        <f>VLOOKUP(F45,$A$16:$B$16,2,TRUE)</f>
        <v>2000</v>
      </c>
      <c r="I45" s="45">
        <f t="shared" si="1"/>
        <v>0</v>
      </c>
      <c r="J45" s="47"/>
      <c r="K45" s="18"/>
      <c r="L45" s="18"/>
      <c r="M45" s="18"/>
      <c r="N45" s="18"/>
    </row>
    <row r="46" ht="15.75" customHeight="1">
      <c r="A46" s="39"/>
      <c r="B46" s="39"/>
      <c r="C46" s="39"/>
      <c r="D46" s="47"/>
      <c r="E46" s="47"/>
      <c r="F46" s="42" t="s">
        <v>34</v>
      </c>
      <c r="G46" s="43"/>
      <c r="H46" s="50">
        <f>VLOOKUP(F46,$A$17:$B$17,2,TRUE)</f>
        <v>800</v>
      </c>
      <c r="I46" s="45">
        <f t="shared" si="1"/>
        <v>0</v>
      </c>
      <c r="J46" s="47"/>
      <c r="K46" s="18"/>
      <c r="L46" s="18"/>
      <c r="M46" s="18"/>
      <c r="N46" s="18"/>
    </row>
    <row r="47" ht="15.75" customHeight="1">
      <c r="A47" s="39"/>
      <c r="B47" s="39"/>
      <c r="C47" s="39"/>
      <c r="D47" s="47"/>
      <c r="E47" s="47"/>
      <c r="F47" s="42" t="s">
        <v>35</v>
      </c>
      <c r="G47" s="43"/>
      <c r="H47" s="50">
        <f>VLOOKUP(F47,$A$18:$B$18,2,TRUE)</f>
        <v>5000</v>
      </c>
      <c r="I47" s="45">
        <f t="shared" si="1"/>
        <v>0</v>
      </c>
      <c r="J47" s="47"/>
      <c r="K47" s="18"/>
      <c r="L47" s="18"/>
      <c r="M47" s="18"/>
      <c r="N47" s="18"/>
    </row>
    <row r="48" ht="15.75" customHeight="1">
      <c r="A48" s="39"/>
      <c r="B48" s="39"/>
      <c r="C48" s="39"/>
      <c r="D48" s="47"/>
      <c r="E48" s="47"/>
      <c r="F48" s="42" t="s">
        <v>36</v>
      </c>
      <c r="G48" s="43"/>
      <c r="H48" s="50">
        <f>VLOOKUP(F48,$A$19:$B$19,2,TRUE)</f>
        <v>2700</v>
      </c>
      <c r="I48" s="45">
        <f t="shared" si="1"/>
        <v>0</v>
      </c>
      <c r="J48" s="47"/>
      <c r="K48" s="18"/>
      <c r="L48" s="18"/>
      <c r="M48" s="18"/>
      <c r="N48" s="18"/>
    </row>
    <row r="49" ht="15.75" customHeight="1">
      <c r="A49" s="39"/>
      <c r="B49" s="39"/>
      <c r="C49" s="39"/>
      <c r="D49" s="47"/>
      <c r="E49" s="47"/>
      <c r="F49" s="42" t="s">
        <v>37</v>
      </c>
      <c r="G49" s="43"/>
      <c r="H49" s="50">
        <f>VLOOKUP(F49,$A$20:$B$20,2,TRUE)</f>
        <v>50000</v>
      </c>
      <c r="I49" s="45">
        <f t="shared" si="1"/>
        <v>0</v>
      </c>
      <c r="J49" s="47"/>
      <c r="K49" s="18"/>
      <c r="L49" s="18"/>
      <c r="M49" s="18"/>
      <c r="N49" s="18"/>
    </row>
    <row r="50" ht="15.75" customHeight="1">
      <c r="A50" s="39"/>
      <c r="B50" s="39"/>
      <c r="C50" s="39"/>
      <c r="D50" s="47"/>
      <c r="E50" s="47"/>
      <c r="F50" s="42" t="s">
        <v>38</v>
      </c>
      <c r="G50" s="43"/>
      <c r="H50" s="50">
        <f>VLOOKUP(F50,$A$21:$B$21,2,TRUE)</f>
        <v>10000</v>
      </c>
      <c r="I50" s="45">
        <f t="shared" si="1"/>
        <v>0</v>
      </c>
      <c r="J50" s="47"/>
      <c r="K50" s="18"/>
      <c r="L50" s="18"/>
      <c r="M50" s="18"/>
      <c r="N50" s="18"/>
    </row>
    <row r="51" ht="15.75" customHeight="1">
      <c r="A51" s="39"/>
      <c r="B51" s="39"/>
      <c r="C51" s="39"/>
      <c r="D51" s="47"/>
      <c r="E51" s="47"/>
      <c r="F51" s="42" t="s">
        <v>39</v>
      </c>
      <c r="G51" s="43"/>
      <c r="H51" s="50">
        <f>VLOOKUP(F51,$A$22:$B$22,2,TRUE)</f>
        <v>1000</v>
      </c>
      <c r="I51" s="45">
        <f t="shared" si="1"/>
        <v>0</v>
      </c>
      <c r="J51" s="47"/>
      <c r="K51" s="18"/>
      <c r="L51" s="18"/>
      <c r="M51" s="18"/>
      <c r="N51" s="18"/>
    </row>
    <row r="52" ht="15.75" customHeight="1">
      <c r="A52" s="39"/>
      <c r="B52" s="39"/>
      <c r="C52" s="39"/>
      <c r="D52" s="47"/>
      <c r="E52" s="47"/>
      <c r="F52" s="42" t="s">
        <v>40</v>
      </c>
      <c r="G52" s="43"/>
      <c r="H52" s="50">
        <f>VLOOKUP(F52,$A$23:$B$23,2,TRUE)</f>
        <v>500</v>
      </c>
      <c r="I52" s="45">
        <f t="shared" si="1"/>
        <v>0</v>
      </c>
      <c r="J52" s="47"/>
      <c r="K52" s="18"/>
      <c r="L52" s="18"/>
      <c r="M52" s="18"/>
      <c r="N52" s="18"/>
    </row>
    <row r="53" ht="15.75" customHeight="1">
      <c r="A53" s="39"/>
      <c r="B53" s="39"/>
      <c r="C53" s="39"/>
      <c r="D53" s="47"/>
      <c r="E53" s="47"/>
      <c r="F53" s="42" t="s">
        <v>41</v>
      </c>
      <c r="G53" s="43"/>
      <c r="H53" s="50">
        <f>VLOOKUP(F53,$A$24:$B$24,2,TRUE)</f>
        <v>200</v>
      </c>
      <c r="I53" s="45">
        <f t="shared" si="1"/>
        <v>0</v>
      </c>
      <c r="J53" s="47"/>
      <c r="K53" s="18"/>
      <c r="L53" s="18"/>
      <c r="M53" s="18"/>
      <c r="N53" s="18"/>
    </row>
    <row r="54" ht="15.75" customHeight="1">
      <c r="A54" s="39"/>
      <c r="B54" s="39"/>
      <c r="C54" s="39"/>
      <c r="D54" s="47"/>
      <c r="E54" s="47"/>
      <c r="F54" s="42" t="s">
        <v>42</v>
      </c>
      <c r="G54" s="43"/>
      <c r="H54" s="50">
        <f>VLOOKUP(F54,$A$25:$B$25,2,TRUE)</f>
        <v>1000</v>
      </c>
      <c r="I54" s="45">
        <f t="shared" si="1"/>
        <v>0</v>
      </c>
      <c r="J54" s="47"/>
      <c r="K54" s="18"/>
      <c r="L54" s="18"/>
      <c r="M54" s="18"/>
      <c r="N54" s="18"/>
    </row>
    <row r="55" ht="15.75" customHeight="1">
      <c r="A55" s="39"/>
      <c r="B55" s="39"/>
      <c r="C55" s="39"/>
      <c r="D55" s="47"/>
      <c r="E55" s="47"/>
      <c r="F55" s="42" t="s">
        <v>17</v>
      </c>
      <c r="G55" s="43"/>
      <c r="H55" s="50">
        <f>VLOOKUP(F55,$A$26:$B$26,2,TRUE)</f>
        <v>300</v>
      </c>
      <c r="I55" s="45">
        <f t="shared" si="1"/>
        <v>0</v>
      </c>
      <c r="J55" s="47"/>
      <c r="K55" s="18"/>
      <c r="L55" s="18"/>
      <c r="M55" s="18"/>
      <c r="N55" s="18"/>
    </row>
    <row r="56" ht="15.75" customHeight="1">
      <c r="A56" s="39"/>
      <c r="B56" s="39"/>
      <c r="C56" s="39"/>
      <c r="D56" s="47"/>
      <c r="E56" s="47"/>
      <c r="F56" s="42" t="s">
        <v>43</v>
      </c>
      <c r="G56" s="43"/>
      <c r="H56" s="50">
        <f>VLOOKUP(F56,$A$27:$B$27,2,TRUE)</f>
        <v>100</v>
      </c>
      <c r="I56" s="45">
        <f t="shared" si="1"/>
        <v>0</v>
      </c>
      <c r="J56" s="47"/>
      <c r="K56" s="18"/>
      <c r="L56" s="18"/>
      <c r="M56" s="18"/>
      <c r="N56" s="18"/>
    </row>
    <row r="57" ht="15.75" customHeight="1">
      <c r="A57" s="39"/>
      <c r="B57" s="39"/>
      <c r="C57" s="39"/>
      <c r="D57" s="47"/>
      <c r="E57" s="47"/>
      <c r="F57" s="42" t="s">
        <v>59</v>
      </c>
      <c r="G57" s="43"/>
      <c r="H57" s="50">
        <f>VLOOKUP(F57,$A$28:$B$28,2,TRUE)</f>
        <v>500</v>
      </c>
      <c r="I57" s="45">
        <f t="shared" si="1"/>
        <v>0</v>
      </c>
      <c r="J57" s="47"/>
      <c r="K57" s="18"/>
      <c r="L57" s="18"/>
      <c r="M57" s="18"/>
      <c r="N57" s="18"/>
    </row>
    <row r="58" ht="15.75" customHeight="1">
      <c r="A58" s="39"/>
      <c r="B58" s="39"/>
      <c r="C58" s="39"/>
      <c r="D58" s="47"/>
      <c r="E58" s="47"/>
      <c r="F58" s="42" t="s">
        <v>13</v>
      </c>
      <c r="G58" s="43"/>
      <c r="H58" s="51">
        <f>VLOOKUP(F58,$A$29:$B$29,2,TRUE)</f>
        <v>1500</v>
      </c>
      <c r="I58" s="45">
        <f t="shared" si="1"/>
        <v>0</v>
      </c>
      <c r="J58" s="47"/>
      <c r="K58" s="18"/>
      <c r="L58" s="18"/>
      <c r="M58" s="18"/>
      <c r="N58" s="18"/>
    </row>
    <row r="59" ht="15.75" customHeight="1">
      <c r="A59" s="39"/>
      <c r="B59" s="39"/>
      <c r="C59" s="39"/>
      <c r="D59" s="47"/>
      <c r="E59" s="47"/>
      <c r="F59" s="42" t="s">
        <v>19</v>
      </c>
      <c r="G59" s="43"/>
      <c r="H59" s="50">
        <f>VLOOKUP(F59,$A$30:$B$30,2,TRUE)</f>
        <v>4000</v>
      </c>
      <c r="I59" s="45">
        <f t="shared" si="1"/>
        <v>0</v>
      </c>
      <c r="J59" s="47"/>
      <c r="K59" s="18"/>
      <c r="L59" s="18"/>
      <c r="M59" s="18"/>
      <c r="N59" s="18"/>
    </row>
    <row r="60" ht="15.75" customHeight="1">
      <c r="A60" s="39"/>
      <c r="B60" s="39"/>
      <c r="C60" s="39"/>
      <c r="D60" s="7"/>
      <c r="E60" s="7"/>
      <c r="F60" s="42" t="s">
        <v>60</v>
      </c>
      <c r="G60" s="43"/>
      <c r="H60" s="50">
        <f>VLOOKUP(F60,$A$31:$B$31,2,TRUE)</f>
        <v>500</v>
      </c>
      <c r="I60" s="45">
        <f t="shared" si="1"/>
        <v>0</v>
      </c>
      <c r="J60" s="7"/>
      <c r="K60" s="18"/>
      <c r="L60" s="18"/>
      <c r="M60" s="18"/>
      <c r="N60" s="18"/>
    </row>
    <row r="61" ht="15.75" customHeight="1">
      <c r="A61" s="39"/>
      <c r="B61" s="39"/>
      <c r="C61" s="39"/>
      <c r="D61" s="40">
        <v>3.0</v>
      </c>
      <c r="E61" s="41" t="s">
        <v>108</v>
      </c>
      <c r="F61" s="42" t="s">
        <v>21</v>
      </c>
      <c r="G61" s="43"/>
      <c r="H61" s="50">
        <f>VLOOKUP(F61,$A$4:$B$4,2,TRUE)</f>
        <v>5000</v>
      </c>
      <c r="I61" s="45">
        <f t="shared" si="1"/>
        <v>0</v>
      </c>
      <c r="J61" s="46">
        <f>SUM(I61:I88)</f>
        <v>11000</v>
      </c>
      <c r="K61" s="18"/>
      <c r="L61" s="18"/>
      <c r="M61" s="18"/>
      <c r="N61" s="18"/>
    </row>
    <row r="62" ht="15.75" customHeight="1">
      <c r="A62" s="39"/>
      <c r="B62" s="39"/>
      <c r="C62" s="39"/>
      <c r="D62" s="47"/>
      <c r="E62" s="47"/>
      <c r="F62" s="42" t="s">
        <v>56</v>
      </c>
      <c r="G62" s="43"/>
      <c r="H62" s="50">
        <f>VLOOKUP(F62,$A$5:$B$5,2,TRUE)</f>
        <v>3000</v>
      </c>
      <c r="I62" s="45">
        <f t="shared" si="1"/>
        <v>0</v>
      </c>
      <c r="J62" s="47"/>
      <c r="K62" s="18"/>
      <c r="L62" s="18"/>
      <c r="M62" s="18"/>
      <c r="N62" s="18"/>
    </row>
    <row r="63" ht="15.75" customHeight="1">
      <c r="A63" s="39"/>
      <c r="B63" s="39"/>
      <c r="C63" s="39"/>
      <c r="D63" s="47"/>
      <c r="E63" s="47"/>
      <c r="F63" s="42" t="s">
        <v>58</v>
      </c>
      <c r="G63" s="43"/>
      <c r="H63" s="50">
        <f>VLOOKUP(F63,$A$6:$B$6,2,TRUE)</f>
        <v>1000</v>
      </c>
      <c r="I63" s="45">
        <f t="shared" si="1"/>
        <v>0</v>
      </c>
      <c r="J63" s="47"/>
      <c r="K63" s="18"/>
      <c r="L63" s="18"/>
      <c r="M63" s="18"/>
      <c r="N63" s="18"/>
    </row>
    <row r="64" ht="15.75" customHeight="1">
      <c r="A64" s="39"/>
      <c r="B64" s="39"/>
      <c r="C64" s="39"/>
      <c r="D64" s="47"/>
      <c r="E64" s="47"/>
      <c r="F64" s="42" t="s">
        <v>24</v>
      </c>
      <c r="G64" s="43"/>
      <c r="H64" s="50">
        <f>VLOOKUP(F64,$A$7:$B$7,2,TRUE)</f>
        <v>2800</v>
      </c>
      <c r="I64" s="45">
        <f t="shared" si="1"/>
        <v>0</v>
      </c>
      <c r="J64" s="47"/>
      <c r="K64" s="18"/>
      <c r="L64" s="18"/>
      <c r="M64" s="18"/>
      <c r="N64" s="18"/>
    </row>
    <row r="65" ht="15.75" customHeight="1">
      <c r="A65" s="39"/>
      <c r="B65" s="39"/>
      <c r="C65" s="39"/>
      <c r="D65" s="47"/>
      <c r="E65" s="47"/>
      <c r="F65" s="42" t="s">
        <v>25</v>
      </c>
      <c r="G65" s="43"/>
      <c r="H65" s="50">
        <f>VLOOKUP(F65,$A$8:$B$8,2,TRUE)</f>
        <v>3500</v>
      </c>
      <c r="I65" s="45">
        <f t="shared" si="1"/>
        <v>0</v>
      </c>
      <c r="J65" s="47"/>
      <c r="K65" s="18"/>
      <c r="L65" s="18"/>
      <c r="M65" s="18"/>
      <c r="N65" s="18"/>
    </row>
    <row r="66" ht="15.75" customHeight="1">
      <c r="A66" s="39"/>
      <c r="B66" s="39"/>
      <c r="C66" s="39"/>
      <c r="D66" s="47"/>
      <c r="E66" s="47"/>
      <c r="F66" s="42" t="s">
        <v>26</v>
      </c>
      <c r="G66" s="43">
        <v>11.0</v>
      </c>
      <c r="H66" s="50">
        <f>VLOOKUP(F66,$A$9:$B$9,2,TRUE)</f>
        <v>1000</v>
      </c>
      <c r="I66" s="45">
        <f t="shared" si="1"/>
        <v>11000</v>
      </c>
      <c r="J66" s="47"/>
      <c r="K66" s="18"/>
      <c r="L66" s="18"/>
      <c r="M66" s="18"/>
      <c r="N66" s="18"/>
    </row>
    <row r="67" ht="15.75" customHeight="1">
      <c r="A67" s="39"/>
      <c r="B67" s="39"/>
      <c r="C67" s="39"/>
      <c r="D67" s="47"/>
      <c r="E67" s="47"/>
      <c r="F67" s="42" t="s">
        <v>27</v>
      </c>
      <c r="G67" s="43"/>
      <c r="H67" s="50">
        <f>VLOOKUP(F67,$A$10:$B$10,2,TRUE)</f>
        <v>2000</v>
      </c>
      <c r="I67" s="45">
        <f t="shared" si="1"/>
        <v>0</v>
      </c>
      <c r="J67" s="47"/>
      <c r="K67" s="18"/>
      <c r="L67" s="18"/>
      <c r="M67" s="18"/>
      <c r="N67" s="18"/>
    </row>
    <row r="68" ht="15.75" customHeight="1">
      <c r="A68" s="39"/>
      <c r="B68" s="39"/>
      <c r="C68" s="39"/>
      <c r="D68" s="47"/>
      <c r="E68" s="47"/>
      <c r="F68" s="42" t="s">
        <v>28</v>
      </c>
      <c r="G68" s="43"/>
      <c r="H68" s="50">
        <f>VLOOKUP(F68,$A$11:$B$11,2,TRUE)</f>
        <v>2000</v>
      </c>
      <c r="I68" s="45">
        <f t="shared" si="1"/>
        <v>0</v>
      </c>
      <c r="J68" s="47"/>
      <c r="K68" s="18"/>
      <c r="L68" s="18"/>
      <c r="M68" s="18"/>
      <c r="N68" s="18"/>
    </row>
    <row r="69" ht="15.75" customHeight="1">
      <c r="A69" s="39"/>
      <c r="B69" s="39"/>
      <c r="C69" s="39"/>
      <c r="D69" s="47"/>
      <c r="E69" s="47"/>
      <c r="F69" s="42" t="s">
        <v>29</v>
      </c>
      <c r="G69" s="43"/>
      <c r="H69" s="50">
        <f>VLOOKUP(F69,$A$12:$B$12,2,TRUE)</f>
        <v>1300</v>
      </c>
      <c r="I69" s="45">
        <f t="shared" si="1"/>
        <v>0</v>
      </c>
      <c r="J69" s="47"/>
      <c r="K69" s="18"/>
      <c r="L69" s="18"/>
      <c r="M69" s="18"/>
      <c r="N69" s="18"/>
    </row>
    <row r="70" ht="15.75" customHeight="1">
      <c r="A70" s="39"/>
      <c r="B70" s="39"/>
      <c r="C70" s="39"/>
      <c r="D70" s="47"/>
      <c r="E70" s="47"/>
      <c r="F70" s="42" t="s">
        <v>30</v>
      </c>
      <c r="G70" s="43"/>
      <c r="H70" s="50">
        <f>VLOOKUP(F70,$A$13:$B$13,2,TRUE)</f>
        <v>1000</v>
      </c>
      <c r="I70" s="45">
        <f t="shared" si="1"/>
        <v>0</v>
      </c>
      <c r="J70" s="47"/>
      <c r="K70" s="18"/>
      <c r="L70" s="18"/>
      <c r="M70" s="18"/>
      <c r="N70" s="18"/>
    </row>
    <row r="71" ht="15.75" customHeight="1">
      <c r="A71" s="39"/>
      <c r="B71" s="39"/>
      <c r="C71" s="39"/>
      <c r="D71" s="47"/>
      <c r="E71" s="47"/>
      <c r="F71" s="42" t="s">
        <v>31</v>
      </c>
      <c r="G71" s="43"/>
      <c r="H71" s="50">
        <f>VLOOKUP(F71,$A$14:$B$14,2,TRUE)</f>
        <v>400</v>
      </c>
      <c r="I71" s="45">
        <f t="shared" si="1"/>
        <v>0</v>
      </c>
      <c r="J71" s="47"/>
      <c r="K71" s="18"/>
      <c r="L71" s="18"/>
      <c r="M71" s="18"/>
      <c r="N71" s="18"/>
    </row>
    <row r="72" ht="15.75" customHeight="1">
      <c r="A72" s="39"/>
      <c r="B72" s="39"/>
      <c r="C72" s="39"/>
      <c r="D72" s="47"/>
      <c r="E72" s="47"/>
      <c r="F72" s="42" t="s">
        <v>32</v>
      </c>
      <c r="G72" s="43"/>
      <c r="H72" s="50">
        <f>VLOOKUP(F72,$A$15:$B$15,2,TRUE)</f>
        <v>7500</v>
      </c>
      <c r="I72" s="45">
        <f t="shared" si="1"/>
        <v>0</v>
      </c>
      <c r="J72" s="47"/>
      <c r="K72" s="18"/>
      <c r="L72" s="18"/>
      <c r="M72" s="18"/>
      <c r="N72" s="18"/>
    </row>
    <row r="73" ht="15.75" customHeight="1">
      <c r="A73" s="39"/>
      <c r="B73" s="39"/>
      <c r="C73" s="39"/>
      <c r="D73" s="47"/>
      <c r="E73" s="47"/>
      <c r="F73" s="42" t="s">
        <v>33</v>
      </c>
      <c r="G73" s="43"/>
      <c r="H73" s="50">
        <f>VLOOKUP(F73,$A$16:$B$16,2,TRUE)</f>
        <v>2000</v>
      </c>
      <c r="I73" s="45">
        <f t="shared" si="1"/>
        <v>0</v>
      </c>
      <c r="J73" s="47"/>
      <c r="K73" s="18"/>
      <c r="L73" s="18"/>
      <c r="M73" s="18"/>
      <c r="N73" s="18"/>
    </row>
    <row r="74" ht="15.75" customHeight="1">
      <c r="A74" s="39"/>
      <c r="B74" s="39"/>
      <c r="C74" s="39"/>
      <c r="D74" s="47"/>
      <c r="E74" s="47"/>
      <c r="F74" s="42" t="s">
        <v>34</v>
      </c>
      <c r="G74" s="43"/>
      <c r="H74" s="50">
        <f>VLOOKUP(F74,$A$17:$B$17,2,TRUE)</f>
        <v>800</v>
      </c>
      <c r="I74" s="45">
        <f t="shared" si="1"/>
        <v>0</v>
      </c>
      <c r="J74" s="47"/>
      <c r="K74" s="18"/>
      <c r="L74" s="18"/>
      <c r="M74" s="18"/>
      <c r="N74" s="18"/>
    </row>
    <row r="75" ht="15.75" customHeight="1">
      <c r="A75" s="39"/>
      <c r="B75" s="39"/>
      <c r="C75" s="39"/>
      <c r="D75" s="47"/>
      <c r="E75" s="47"/>
      <c r="F75" s="42" t="s">
        <v>35</v>
      </c>
      <c r="G75" s="43"/>
      <c r="H75" s="50">
        <f>VLOOKUP(F75,$A$18:$B$18,2,TRUE)</f>
        <v>5000</v>
      </c>
      <c r="I75" s="45">
        <f t="shared" si="1"/>
        <v>0</v>
      </c>
      <c r="J75" s="47"/>
      <c r="K75" s="18"/>
      <c r="L75" s="18"/>
      <c r="M75" s="18"/>
      <c r="N75" s="18"/>
    </row>
    <row r="76" ht="15.75" customHeight="1">
      <c r="A76" s="39"/>
      <c r="B76" s="39"/>
      <c r="C76" s="39"/>
      <c r="D76" s="47"/>
      <c r="E76" s="47"/>
      <c r="F76" s="42" t="s">
        <v>36</v>
      </c>
      <c r="G76" s="43"/>
      <c r="H76" s="50">
        <f>VLOOKUP(F76,$A$19:$B$19,2,TRUE)</f>
        <v>2700</v>
      </c>
      <c r="I76" s="45">
        <f t="shared" si="1"/>
        <v>0</v>
      </c>
      <c r="J76" s="47"/>
      <c r="K76" s="18"/>
      <c r="L76" s="18"/>
      <c r="M76" s="18"/>
      <c r="N76" s="18"/>
    </row>
    <row r="77" ht="15.75" customHeight="1">
      <c r="A77" s="39"/>
      <c r="B77" s="39"/>
      <c r="C77" s="39"/>
      <c r="D77" s="47"/>
      <c r="E77" s="47"/>
      <c r="F77" s="42" t="s">
        <v>37</v>
      </c>
      <c r="G77" s="43"/>
      <c r="H77" s="50">
        <f>VLOOKUP(F77,$A$20:$B$20,2,TRUE)</f>
        <v>50000</v>
      </c>
      <c r="I77" s="45">
        <f t="shared" si="1"/>
        <v>0</v>
      </c>
      <c r="J77" s="47"/>
      <c r="K77" s="18"/>
      <c r="L77" s="18"/>
      <c r="M77" s="18"/>
      <c r="N77" s="18"/>
    </row>
    <row r="78" ht="15.75" customHeight="1">
      <c r="A78" s="39"/>
      <c r="B78" s="39"/>
      <c r="C78" s="39"/>
      <c r="D78" s="47"/>
      <c r="E78" s="47"/>
      <c r="F78" s="42" t="s">
        <v>38</v>
      </c>
      <c r="G78" s="43"/>
      <c r="H78" s="50">
        <f>VLOOKUP(F78,$A$21:$B$21,2,TRUE)</f>
        <v>10000</v>
      </c>
      <c r="I78" s="45">
        <f t="shared" si="1"/>
        <v>0</v>
      </c>
      <c r="J78" s="47"/>
      <c r="K78" s="18"/>
      <c r="L78" s="18"/>
      <c r="M78" s="18"/>
      <c r="N78" s="18"/>
    </row>
    <row r="79" ht="15.75" customHeight="1">
      <c r="A79" s="39"/>
      <c r="B79" s="39"/>
      <c r="C79" s="39"/>
      <c r="D79" s="47"/>
      <c r="E79" s="47"/>
      <c r="F79" s="42" t="s">
        <v>39</v>
      </c>
      <c r="G79" s="43"/>
      <c r="H79" s="50">
        <f>VLOOKUP(F79,$A$22:$B$22,2,TRUE)</f>
        <v>1000</v>
      </c>
      <c r="I79" s="45">
        <f t="shared" si="1"/>
        <v>0</v>
      </c>
      <c r="J79" s="47"/>
      <c r="K79" s="18"/>
      <c r="L79" s="18"/>
      <c r="M79" s="18"/>
      <c r="N79" s="18"/>
    </row>
    <row r="80" ht="15.75" customHeight="1">
      <c r="A80" s="39"/>
      <c r="B80" s="39"/>
      <c r="C80" s="39"/>
      <c r="D80" s="47"/>
      <c r="E80" s="47"/>
      <c r="F80" s="42" t="s">
        <v>40</v>
      </c>
      <c r="G80" s="43"/>
      <c r="H80" s="50">
        <f>VLOOKUP(F80,$A$23:$B$23,2,TRUE)</f>
        <v>500</v>
      </c>
      <c r="I80" s="45">
        <f t="shared" si="1"/>
        <v>0</v>
      </c>
      <c r="J80" s="47"/>
      <c r="K80" s="18"/>
      <c r="L80" s="18"/>
      <c r="M80" s="18"/>
      <c r="N80" s="18"/>
    </row>
    <row r="81" ht="15.75" customHeight="1">
      <c r="A81" s="39"/>
      <c r="B81" s="39"/>
      <c r="C81" s="39"/>
      <c r="D81" s="47"/>
      <c r="E81" s="47"/>
      <c r="F81" s="42" t="s">
        <v>41</v>
      </c>
      <c r="G81" s="43"/>
      <c r="H81" s="50">
        <f>VLOOKUP(F81,$A$24:$B$24,2,TRUE)</f>
        <v>200</v>
      </c>
      <c r="I81" s="45">
        <f t="shared" si="1"/>
        <v>0</v>
      </c>
      <c r="J81" s="47"/>
      <c r="K81" s="18"/>
      <c r="L81" s="18"/>
      <c r="M81" s="18"/>
      <c r="N81" s="18"/>
    </row>
    <row r="82" ht="15.75" customHeight="1">
      <c r="A82" s="39"/>
      <c r="B82" s="39"/>
      <c r="C82" s="39"/>
      <c r="D82" s="47"/>
      <c r="E82" s="47"/>
      <c r="F82" s="42" t="s">
        <v>42</v>
      </c>
      <c r="G82" s="43"/>
      <c r="H82" s="50">
        <f>VLOOKUP(F82,$A$25:$B$25,2,TRUE)</f>
        <v>1000</v>
      </c>
      <c r="I82" s="45">
        <f t="shared" si="1"/>
        <v>0</v>
      </c>
      <c r="J82" s="47"/>
      <c r="K82" s="18"/>
      <c r="L82" s="18"/>
      <c r="M82" s="18"/>
      <c r="N82" s="18"/>
    </row>
    <row r="83" ht="15.75" customHeight="1">
      <c r="A83" s="39"/>
      <c r="B83" s="39"/>
      <c r="C83" s="39"/>
      <c r="D83" s="47"/>
      <c r="E83" s="47"/>
      <c r="F83" s="42" t="s">
        <v>17</v>
      </c>
      <c r="G83" s="43"/>
      <c r="H83" s="50">
        <f>VLOOKUP(F83,$A$26:$B$26,2,TRUE)</f>
        <v>300</v>
      </c>
      <c r="I83" s="45">
        <f t="shared" si="1"/>
        <v>0</v>
      </c>
      <c r="J83" s="47"/>
      <c r="K83" s="18"/>
      <c r="L83" s="18"/>
      <c r="M83" s="18"/>
      <c r="N83" s="18"/>
    </row>
    <row r="84" ht="15.75" customHeight="1">
      <c r="A84" s="39"/>
      <c r="B84" s="39"/>
      <c r="C84" s="39"/>
      <c r="D84" s="47"/>
      <c r="E84" s="47"/>
      <c r="F84" s="42" t="s">
        <v>43</v>
      </c>
      <c r="G84" s="43"/>
      <c r="H84" s="50">
        <f>VLOOKUP(F84,$A$27:$B$27,2,TRUE)</f>
        <v>100</v>
      </c>
      <c r="I84" s="45">
        <f t="shared" si="1"/>
        <v>0</v>
      </c>
      <c r="J84" s="47"/>
      <c r="K84" s="18"/>
      <c r="L84" s="18"/>
      <c r="M84" s="18"/>
      <c r="N84" s="18"/>
    </row>
    <row r="85" ht="15.75" customHeight="1">
      <c r="A85" s="39"/>
      <c r="B85" s="39"/>
      <c r="C85" s="39"/>
      <c r="D85" s="47"/>
      <c r="E85" s="47"/>
      <c r="F85" s="42" t="s">
        <v>59</v>
      </c>
      <c r="G85" s="43"/>
      <c r="H85" s="50">
        <f>VLOOKUP(F85,$A$28:$B$28,2,TRUE)</f>
        <v>500</v>
      </c>
      <c r="I85" s="45">
        <f t="shared" si="1"/>
        <v>0</v>
      </c>
      <c r="J85" s="47"/>
      <c r="K85" s="18"/>
      <c r="L85" s="18"/>
      <c r="M85" s="18"/>
      <c r="N85" s="18"/>
    </row>
    <row r="86" ht="15.75" customHeight="1">
      <c r="A86" s="39"/>
      <c r="B86" s="39"/>
      <c r="C86" s="39"/>
      <c r="D86" s="47"/>
      <c r="E86" s="47"/>
      <c r="F86" s="42" t="s">
        <v>13</v>
      </c>
      <c r="G86" s="43"/>
      <c r="H86" s="50">
        <f>VLOOKUP(F86,$A$29:$B$29,2,TRUE)</f>
        <v>1500</v>
      </c>
      <c r="I86" s="45">
        <f t="shared" si="1"/>
        <v>0</v>
      </c>
      <c r="J86" s="47"/>
      <c r="K86" s="18"/>
      <c r="L86" s="18"/>
      <c r="M86" s="18"/>
      <c r="N86" s="18"/>
    </row>
    <row r="87" ht="15.75" customHeight="1">
      <c r="A87" s="39"/>
      <c r="B87" s="39"/>
      <c r="C87" s="39"/>
      <c r="D87" s="47"/>
      <c r="E87" s="47"/>
      <c r="F87" s="42" t="s">
        <v>19</v>
      </c>
      <c r="G87" s="43"/>
      <c r="H87" s="50">
        <f>VLOOKUP(F87,$A$30:$B$30,2,TRUE)</f>
        <v>4000</v>
      </c>
      <c r="I87" s="45">
        <f t="shared" si="1"/>
        <v>0</v>
      </c>
      <c r="J87" s="47"/>
      <c r="K87" s="18"/>
      <c r="L87" s="18"/>
      <c r="M87" s="18"/>
      <c r="N87" s="18"/>
    </row>
    <row r="88" ht="15.75" customHeight="1">
      <c r="A88" s="39"/>
      <c r="B88" s="39"/>
      <c r="C88" s="39"/>
      <c r="D88" s="7"/>
      <c r="E88" s="7"/>
      <c r="F88" s="42" t="s">
        <v>60</v>
      </c>
      <c r="G88" s="43"/>
      <c r="H88" s="50">
        <f>VLOOKUP(F88,$A$31:$B$31,2,TRUE)</f>
        <v>500</v>
      </c>
      <c r="I88" s="45">
        <f t="shared" si="1"/>
        <v>0</v>
      </c>
      <c r="J88" s="7"/>
      <c r="K88" s="18"/>
      <c r="L88" s="18"/>
      <c r="M88" s="18"/>
      <c r="N88" s="18"/>
    </row>
    <row r="89" ht="15.75" customHeight="1">
      <c r="A89" s="39"/>
      <c r="B89" s="39"/>
      <c r="C89" s="39"/>
      <c r="D89" s="40">
        <v>4.0</v>
      </c>
      <c r="E89" s="41" t="s">
        <v>109</v>
      </c>
      <c r="F89" s="42" t="s">
        <v>21</v>
      </c>
      <c r="G89" s="43"/>
      <c r="H89" s="50">
        <f>VLOOKUP(F89,$A$4:$B$4,2,TRUE)</f>
        <v>5000</v>
      </c>
      <c r="I89" s="45">
        <f t="shared" si="1"/>
        <v>0</v>
      </c>
      <c r="J89" s="46">
        <f>SUM(I89:I116)</f>
        <v>4000</v>
      </c>
      <c r="K89" s="18"/>
      <c r="L89" s="18"/>
      <c r="M89" s="18"/>
      <c r="N89" s="18"/>
    </row>
    <row r="90" ht="15.75" customHeight="1">
      <c r="A90" s="39"/>
      <c r="B90" s="39"/>
      <c r="C90" s="39"/>
      <c r="D90" s="47"/>
      <c r="E90" s="47"/>
      <c r="F90" s="42" t="s">
        <v>56</v>
      </c>
      <c r="G90" s="43"/>
      <c r="H90" s="50">
        <f>VLOOKUP(F90,$A$5:$B$5,2,TRUE)</f>
        <v>3000</v>
      </c>
      <c r="I90" s="45">
        <f t="shared" si="1"/>
        <v>0</v>
      </c>
      <c r="J90" s="47"/>
      <c r="K90" s="18"/>
      <c r="L90" s="18"/>
      <c r="M90" s="18"/>
      <c r="N90" s="18"/>
    </row>
    <row r="91" ht="15.75" customHeight="1">
      <c r="A91" s="39"/>
      <c r="B91" s="39"/>
      <c r="C91" s="39"/>
      <c r="D91" s="47"/>
      <c r="E91" s="47"/>
      <c r="F91" s="42" t="s">
        <v>58</v>
      </c>
      <c r="G91" s="43"/>
      <c r="H91" s="50">
        <f>VLOOKUP(F91,$A$6:$B$6,2,TRUE)</f>
        <v>1000</v>
      </c>
      <c r="I91" s="45">
        <f t="shared" si="1"/>
        <v>0</v>
      </c>
      <c r="J91" s="47"/>
      <c r="K91" s="18"/>
      <c r="L91" s="18"/>
      <c r="M91" s="18"/>
      <c r="N91" s="18"/>
    </row>
    <row r="92" ht="15.75" customHeight="1">
      <c r="A92" s="39"/>
      <c r="B92" s="39"/>
      <c r="C92" s="39"/>
      <c r="D92" s="47"/>
      <c r="E92" s="47"/>
      <c r="F92" s="42" t="s">
        <v>24</v>
      </c>
      <c r="G92" s="43"/>
      <c r="H92" s="50">
        <f>VLOOKUP(F92,$A$7:$B$7,2,TRUE)</f>
        <v>2800</v>
      </c>
      <c r="I92" s="45">
        <f t="shared" si="1"/>
        <v>0</v>
      </c>
      <c r="J92" s="47"/>
      <c r="K92" s="18"/>
      <c r="L92" s="18"/>
      <c r="M92" s="18"/>
      <c r="N92" s="18"/>
    </row>
    <row r="93" ht="15.75" customHeight="1">
      <c r="A93" s="39"/>
      <c r="B93" s="39"/>
      <c r="C93" s="39"/>
      <c r="D93" s="47"/>
      <c r="E93" s="47"/>
      <c r="F93" s="42" t="s">
        <v>25</v>
      </c>
      <c r="G93" s="43"/>
      <c r="H93" s="50">
        <f>VLOOKUP(F93,$A$8:$B$8,2,TRUE)</f>
        <v>3500</v>
      </c>
      <c r="I93" s="45">
        <f t="shared" si="1"/>
        <v>0</v>
      </c>
      <c r="J93" s="47"/>
      <c r="K93" s="18"/>
      <c r="L93" s="18"/>
      <c r="M93" s="18"/>
      <c r="N93" s="18"/>
    </row>
    <row r="94" ht="15.75" customHeight="1">
      <c r="A94" s="39"/>
      <c r="B94" s="39"/>
      <c r="C94" s="39"/>
      <c r="D94" s="47"/>
      <c r="E94" s="47"/>
      <c r="F94" s="42" t="s">
        <v>26</v>
      </c>
      <c r="G94" s="43"/>
      <c r="H94" s="50">
        <f>VLOOKUP(F94,$A$9:$B$9,2,TRUE)</f>
        <v>1000</v>
      </c>
      <c r="I94" s="45">
        <f t="shared" si="1"/>
        <v>0</v>
      </c>
      <c r="J94" s="47"/>
      <c r="K94" s="18"/>
      <c r="L94" s="18"/>
      <c r="M94" s="18"/>
      <c r="N94" s="18"/>
    </row>
    <row r="95" ht="15.75" customHeight="1">
      <c r="A95" s="39"/>
      <c r="B95" s="39"/>
      <c r="C95" s="39"/>
      <c r="D95" s="47"/>
      <c r="E95" s="47"/>
      <c r="F95" s="42" t="s">
        <v>27</v>
      </c>
      <c r="G95" s="43">
        <v>2.0</v>
      </c>
      <c r="H95" s="50">
        <f>VLOOKUP(F95,$A$10:$B$10,2,TRUE)</f>
        <v>2000</v>
      </c>
      <c r="I95" s="45">
        <f t="shared" si="1"/>
        <v>4000</v>
      </c>
      <c r="J95" s="47"/>
      <c r="K95" s="18"/>
      <c r="L95" s="18"/>
      <c r="M95" s="18"/>
      <c r="N95" s="18"/>
    </row>
    <row r="96" ht="15.75" customHeight="1">
      <c r="A96" s="39"/>
      <c r="B96" s="39"/>
      <c r="C96" s="39"/>
      <c r="D96" s="47"/>
      <c r="E96" s="47"/>
      <c r="F96" s="42" t="s">
        <v>28</v>
      </c>
      <c r="G96" s="43"/>
      <c r="H96" s="50">
        <f>VLOOKUP(F96,$A$11:$B$11,2,TRUE)</f>
        <v>2000</v>
      </c>
      <c r="I96" s="45">
        <f t="shared" si="1"/>
        <v>0</v>
      </c>
      <c r="J96" s="47"/>
      <c r="K96" s="18"/>
      <c r="L96" s="18"/>
      <c r="M96" s="18"/>
      <c r="N96" s="18"/>
    </row>
    <row r="97" ht="15.75" customHeight="1">
      <c r="A97" s="39"/>
      <c r="B97" s="39"/>
      <c r="C97" s="39"/>
      <c r="D97" s="47"/>
      <c r="E97" s="47"/>
      <c r="F97" s="42" t="s">
        <v>29</v>
      </c>
      <c r="G97" s="43"/>
      <c r="H97" s="50">
        <f>VLOOKUP(F97,$A$12:$B$12,2,TRUE)</f>
        <v>1300</v>
      </c>
      <c r="I97" s="45">
        <f t="shared" si="1"/>
        <v>0</v>
      </c>
      <c r="J97" s="47"/>
      <c r="K97" s="18"/>
      <c r="L97" s="18"/>
      <c r="M97" s="18"/>
      <c r="N97" s="18"/>
    </row>
    <row r="98" ht="15.75" customHeight="1">
      <c r="A98" s="39"/>
      <c r="B98" s="39"/>
      <c r="C98" s="39"/>
      <c r="D98" s="47"/>
      <c r="E98" s="47"/>
      <c r="F98" s="42" t="s">
        <v>30</v>
      </c>
      <c r="G98" s="43"/>
      <c r="H98" s="50">
        <f>VLOOKUP(F98,$A$13:$B$13,2,TRUE)</f>
        <v>1000</v>
      </c>
      <c r="I98" s="45">
        <f t="shared" si="1"/>
        <v>0</v>
      </c>
      <c r="J98" s="47"/>
      <c r="K98" s="18"/>
      <c r="L98" s="18"/>
      <c r="M98" s="18"/>
      <c r="N98" s="18"/>
    </row>
    <row r="99" ht="15.75" customHeight="1">
      <c r="A99" s="39"/>
      <c r="B99" s="39"/>
      <c r="C99" s="39"/>
      <c r="D99" s="47"/>
      <c r="E99" s="47"/>
      <c r="F99" s="42" t="s">
        <v>31</v>
      </c>
      <c r="G99" s="43"/>
      <c r="H99" s="50">
        <f>VLOOKUP(F99,$A$14:$B$14,2,TRUE)</f>
        <v>400</v>
      </c>
      <c r="I99" s="45">
        <f t="shared" si="1"/>
        <v>0</v>
      </c>
      <c r="J99" s="47"/>
      <c r="K99" s="18"/>
      <c r="L99" s="18"/>
      <c r="M99" s="18"/>
      <c r="N99" s="18"/>
    </row>
    <row r="100" ht="15.75" customHeight="1">
      <c r="A100" s="39"/>
      <c r="B100" s="39"/>
      <c r="C100" s="39"/>
      <c r="D100" s="47"/>
      <c r="E100" s="47"/>
      <c r="F100" s="42" t="s">
        <v>32</v>
      </c>
      <c r="G100" s="43"/>
      <c r="H100" s="50">
        <f>VLOOKUP(F100,$A$15:$B$15,2,TRUE)</f>
        <v>7500</v>
      </c>
      <c r="I100" s="45">
        <f t="shared" si="1"/>
        <v>0</v>
      </c>
      <c r="J100" s="47"/>
      <c r="K100" s="18"/>
      <c r="L100" s="18"/>
      <c r="M100" s="18"/>
      <c r="N100" s="18"/>
    </row>
    <row r="101" ht="15.75" customHeight="1">
      <c r="A101" s="39"/>
      <c r="B101" s="39"/>
      <c r="C101" s="39"/>
      <c r="D101" s="47"/>
      <c r="E101" s="47"/>
      <c r="F101" s="42" t="s">
        <v>33</v>
      </c>
      <c r="G101" s="43"/>
      <c r="H101" s="50">
        <f>VLOOKUP(F101,$A$16:$B$16,2,TRUE)</f>
        <v>2000</v>
      </c>
      <c r="I101" s="45">
        <f t="shared" si="1"/>
        <v>0</v>
      </c>
      <c r="J101" s="47"/>
      <c r="K101" s="18"/>
      <c r="L101" s="18"/>
      <c r="M101" s="18"/>
      <c r="N101" s="18"/>
    </row>
    <row r="102" ht="15.75" customHeight="1">
      <c r="A102" s="39"/>
      <c r="B102" s="39"/>
      <c r="C102" s="39"/>
      <c r="D102" s="47"/>
      <c r="E102" s="47"/>
      <c r="F102" s="42" t="s">
        <v>34</v>
      </c>
      <c r="G102" s="43"/>
      <c r="H102" s="50">
        <f>VLOOKUP(F102,$A$17:$B$17,2,TRUE)</f>
        <v>800</v>
      </c>
      <c r="I102" s="45">
        <f t="shared" si="1"/>
        <v>0</v>
      </c>
      <c r="J102" s="47"/>
      <c r="K102" s="18"/>
      <c r="L102" s="18"/>
      <c r="M102" s="18"/>
      <c r="N102" s="18"/>
    </row>
    <row r="103" ht="15.75" customHeight="1">
      <c r="A103" s="39"/>
      <c r="B103" s="39"/>
      <c r="C103" s="39"/>
      <c r="D103" s="47"/>
      <c r="E103" s="47"/>
      <c r="F103" s="42" t="s">
        <v>35</v>
      </c>
      <c r="G103" s="43"/>
      <c r="H103" s="50">
        <f>VLOOKUP(F103,$A$18:$B$18,2,TRUE)</f>
        <v>5000</v>
      </c>
      <c r="I103" s="45">
        <f t="shared" si="1"/>
        <v>0</v>
      </c>
      <c r="J103" s="47"/>
      <c r="K103" s="18"/>
      <c r="L103" s="18"/>
      <c r="M103" s="18"/>
      <c r="N103" s="18"/>
    </row>
    <row r="104" ht="15.75" customHeight="1">
      <c r="A104" s="39"/>
      <c r="B104" s="39"/>
      <c r="C104" s="39"/>
      <c r="D104" s="47"/>
      <c r="E104" s="47"/>
      <c r="F104" s="42" t="s">
        <v>36</v>
      </c>
      <c r="G104" s="43"/>
      <c r="H104" s="50">
        <f>VLOOKUP(F104,$A$19:$B$19,2,TRUE)</f>
        <v>2700</v>
      </c>
      <c r="I104" s="45">
        <f t="shared" si="1"/>
        <v>0</v>
      </c>
      <c r="J104" s="47"/>
      <c r="K104" s="18"/>
      <c r="L104" s="18"/>
      <c r="M104" s="18"/>
      <c r="N104" s="18"/>
    </row>
    <row r="105" ht="15.75" customHeight="1">
      <c r="A105" s="39"/>
      <c r="B105" s="39"/>
      <c r="C105" s="39"/>
      <c r="D105" s="47"/>
      <c r="E105" s="47"/>
      <c r="F105" s="42" t="s">
        <v>37</v>
      </c>
      <c r="G105" s="43"/>
      <c r="H105" s="50">
        <f>VLOOKUP(F105,$A$20:$B$20,2,TRUE)</f>
        <v>50000</v>
      </c>
      <c r="I105" s="45">
        <f t="shared" si="1"/>
        <v>0</v>
      </c>
      <c r="J105" s="47"/>
      <c r="K105" s="18"/>
      <c r="L105" s="18"/>
      <c r="M105" s="18"/>
      <c r="N105" s="18"/>
    </row>
    <row r="106" ht="15.75" customHeight="1">
      <c r="A106" s="39"/>
      <c r="B106" s="39"/>
      <c r="C106" s="39"/>
      <c r="D106" s="47"/>
      <c r="E106" s="47"/>
      <c r="F106" s="42" t="s">
        <v>38</v>
      </c>
      <c r="G106" s="43"/>
      <c r="H106" s="50">
        <f>VLOOKUP(F106,$A$21:$B$21,2,TRUE)</f>
        <v>10000</v>
      </c>
      <c r="I106" s="45">
        <f t="shared" si="1"/>
        <v>0</v>
      </c>
      <c r="J106" s="47"/>
      <c r="K106" s="18"/>
      <c r="L106" s="18"/>
      <c r="M106" s="18"/>
      <c r="N106" s="18"/>
    </row>
    <row r="107" ht="15.75" customHeight="1">
      <c r="A107" s="39"/>
      <c r="B107" s="39"/>
      <c r="C107" s="39"/>
      <c r="D107" s="47"/>
      <c r="E107" s="47"/>
      <c r="F107" s="42" t="s">
        <v>39</v>
      </c>
      <c r="G107" s="43"/>
      <c r="H107" s="50">
        <f>VLOOKUP(F107,$A$22:$B$22,2,TRUE)</f>
        <v>1000</v>
      </c>
      <c r="I107" s="45">
        <f t="shared" si="1"/>
        <v>0</v>
      </c>
      <c r="J107" s="47"/>
      <c r="K107" s="18"/>
      <c r="L107" s="18"/>
      <c r="M107" s="18"/>
      <c r="N107" s="18"/>
    </row>
    <row r="108" ht="15.75" customHeight="1">
      <c r="A108" s="39"/>
      <c r="B108" s="39"/>
      <c r="C108" s="39"/>
      <c r="D108" s="47"/>
      <c r="E108" s="47"/>
      <c r="F108" s="42" t="s">
        <v>40</v>
      </c>
      <c r="G108" s="43"/>
      <c r="H108" s="50">
        <f>VLOOKUP(F108,$A$23:$B$23,2,TRUE)</f>
        <v>500</v>
      </c>
      <c r="I108" s="45">
        <f t="shared" si="1"/>
        <v>0</v>
      </c>
      <c r="J108" s="47"/>
      <c r="K108" s="18"/>
      <c r="L108" s="18"/>
      <c r="M108" s="18"/>
      <c r="N108" s="18"/>
    </row>
    <row r="109" ht="15.75" customHeight="1">
      <c r="A109" s="39"/>
      <c r="B109" s="39"/>
      <c r="C109" s="39"/>
      <c r="D109" s="47"/>
      <c r="E109" s="47"/>
      <c r="F109" s="42" t="s">
        <v>41</v>
      </c>
      <c r="G109" s="43"/>
      <c r="H109" s="50">
        <f>VLOOKUP(F109,$A$24:$B$24,2,TRUE)</f>
        <v>200</v>
      </c>
      <c r="I109" s="45">
        <f t="shared" si="1"/>
        <v>0</v>
      </c>
      <c r="J109" s="47"/>
      <c r="K109" s="18"/>
      <c r="L109" s="18"/>
      <c r="M109" s="18"/>
      <c r="N109" s="18"/>
    </row>
    <row r="110" ht="15.75" customHeight="1">
      <c r="A110" s="39"/>
      <c r="B110" s="39"/>
      <c r="C110" s="39"/>
      <c r="D110" s="47"/>
      <c r="E110" s="47"/>
      <c r="F110" s="42" t="s">
        <v>42</v>
      </c>
      <c r="G110" s="43"/>
      <c r="H110" s="50">
        <f>VLOOKUP(F110,$A$25:$B$25,2,TRUE)</f>
        <v>1000</v>
      </c>
      <c r="I110" s="45">
        <f t="shared" si="1"/>
        <v>0</v>
      </c>
      <c r="J110" s="47"/>
      <c r="K110" s="18"/>
      <c r="L110" s="18"/>
      <c r="M110" s="18"/>
      <c r="N110" s="18"/>
    </row>
    <row r="111" ht="15.75" customHeight="1">
      <c r="A111" s="39"/>
      <c r="B111" s="39"/>
      <c r="C111" s="39"/>
      <c r="D111" s="47"/>
      <c r="E111" s="47"/>
      <c r="F111" s="42" t="s">
        <v>17</v>
      </c>
      <c r="G111" s="43"/>
      <c r="H111" s="50">
        <f>VLOOKUP(F111,$A$26:$B$26,2,TRUE)</f>
        <v>300</v>
      </c>
      <c r="I111" s="45">
        <f t="shared" si="1"/>
        <v>0</v>
      </c>
      <c r="J111" s="47"/>
      <c r="K111" s="18"/>
      <c r="L111" s="18"/>
      <c r="M111" s="18"/>
      <c r="N111" s="18"/>
    </row>
    <row r="112" ht="15.75" customHeight="1">
      <c r="A112" s="39"/>
      <c r="B112" s="39"/>
      <c r="C112" s="39"/>
      <c r="D112" s="47"/>
      <c r="E112" s="47"/>
      <c r="F112" s="42" t="s">
        <v>43</v>
      </c>
      <c r="G112" s="43"/>
      <c r="H112" s="50">
        <f>VLOOKUP(F112,$A$27:$B$27,2,TRUE)</f>
        <v>100</v>
      </c>
      <c r="I112" s="45">
        <f t="shared" si="1"/>
        <v>0</v>
      </c>
      <c r="J112" s="47"/>
      <c r="K112" s="18"/>
      <c r="L112" s="18"/>
      <c r="M112" s="18"/>
      <c r="N112" s="18"/>
    </row>
    <row r="113" ht="15.75" customHeight="1">
      <c r="A113" s="39"/>
      <c r="B113" s="39"/>
      <c r="C113" s="39"/>
      <c r="D113" s="47"/>
      <c r="E113" s="47"/>
      <c r="F113" s="42" t="s">
        <v>59</v>
      </c>
      <c r="G113" s="43"/>
      <c r="H113" s="50">
        <f>VLOOKUP(F113,$A$28:$B$28,2,TRUE)</f>
        <v>500</v>
      </c>
      <c r="I113" s="45">
        <f t="shared" si="1"/>
        <v>0</v>
      </c>
      <c r="J113" s="47"/>
      <c r="K113" s="18"/>
      <c r="L113" s="18"/>
      <c r="M113" s="18"/>
      <c r="N113" s="18"/>
    </row>
    <row r="114" ht="15.75" customHeight="1">
      <c r="A114" s="39"/>
      <c r="B114" s="39"/>
      <c r="C114" s="39"/>
      <c r="D114" s="47"/>
      <c r="E114" s="47"/>
      <c r="F114" s="42" t="s">
        <v>13</v>
      </c>
      <c r="G114" s="43"/>
      <c r="H114" s="50">
        <f>VLOOKUP(F114,$A$29:$B$29,2,TRUE)</f>
        <v>1500</v>
      </c>
      <c r="I114" s="45">
        <f t="shared" si="1"/>
        <v>0</v>
      </c>
      <c r="J114" s="47"/>
      <c r="K114" s="18"/>
      <c r="L114" s="18"/>
      <c r="M114" s="18"/>
      <c r="N114" s="18"/>
    </row>
    <row r="115" ht="15.75" customHeight="1">
      <c r="A115" s="39"/>
      <c r="B115" s="39"/>
      <c r="C115" s="39"/>
      <c r="D115" s="47"/>
      <c r="E115" s="47"/>
      <c r="F115" s="42" t="s">
        <v>19</v>
      </c>
      <c r="G115" s="43"/>
      <c r="H115" s="50">
        <f>VLOOKUP(F115,$A$30:$B$30,2,TRUE)</f>
        <v>4000</v>
      </c>
      <c r="I115" s="45">
        <f t="shared" si="1"/>
        <v>0</v>
      </c>
      <c r="J115" s="47"/>
      <c r="K115" s="18"/>
      <c r="L115" s="18"/>
      <c r="M115" s="18"/>
      <c r="N115" s="18"/>
    </row>
    <row r="116" ht="15.75" customHeight="1">
      <c r="A116" s="39"/>
      <c r="B116" s="39"/>
      <c r="C116" s="39"/>
      <c r="D116" s="7"/>
      <c r="E116" s="7"/>
      <c r="F116" s="42" t="s">
        <v>60</v>
      </c>
      <c r="G116" s="43">
        <v>2.0</v>
      </c>
      <c r="H116" s="50"/>
      <c r="I116" s="45">
        <f t="shared" si="1"/>
        <v>0</v>
      </c>
      <c r="J116" s="7"/>
      <c r="K116" s="18"/>
      <c r="L116" s="18"/>
      <c r="M116" s="18"/>
      <c r="N116" s="18"/>
    </row>
    <row r="117" ht="15.75" customHeight="1">
      <c r="A117" s="39"/>
      <c r="B117" s="39"/>
      <c r="C117" s="39"/>
      <c r="D117" s="40">
        <v>5.0</v>
      </c>
      <c r="E117" s="41" t="s">
        <v>110</v>
      </c>
      <c r="F117" s="42" t="s">
        <v>21</v>
      </c>
      <c r="G117" s="43"/>
      <c r="H117" s="50">
        <f>VLOOKUP(F117,$A$4:$B$4,2,TRUE)</f>
        <v>5000</v>
      </c>
      <c r="I117" s="45">
        <f t="shared" si="1"/>
        <v>0</v>
      </c>
      <c r="J117" s="46">
        <f>SUM(I117:I144)</f>
        <v>9000</v>
      </c>
      <c r="K117" s="18"/>
      <c r="L117" s="18"/>
      <c r="M117" s="18"/>
      <c r="N117" s="18"/>
    </row>
    <row r="118" ht="15.75" customHeight="1">
      <c r="A118" s="39"/>
      <c r="B118" s="39"/>
      <c r="C118" s="39"/>
      <c r="D118" s="47"/>
      <c r="E118" s="47"/>
      <c r="F118" s="42" t="s">
        <v>56</v>
      </c>
      <c r="G118" s="43">
        <v>1.5</v>
      </c>
      <c r="H118" s="50">
        <f>VLOOKUP(F118,$A$5:$B$5,2,TRUE)</f>
        <v>3000</v>
      </c>
      <c r="I118" s="45">
        <f t="shared" si="1"/>
        <v>4500</v>
      </c>
      <c r="J118" s="47"/>
      <c r="K118" s="18"/>
      <c r="L118" s="18"/>
      <c r="M118" s="18"/>
      <c r="N118" s="18"/>
    </row>
    <row r="119" ht="15.75" customHeight="1">
      <c r="A119" s="39"/>
      <c r="B119" s="39"/>
      <c r="C119" s="39"/>
      <c r="D119" s="47"/>
      <c r="E119" s="47"/>
      <c r="F119" s="42" t="s">
        <v>58</v>
      </c>
      <c r="G119" s="43"/>
      <c r="H119" s="50">
        <f>VLOOKUP(F119,$A$6:$B$6,2,TRUE)</f>
        <v>1000</v>
      </c>
      <c r="I119" s="45">
        <f t="shared" si="1"/>
        <v>0</v>
      </c>
      <c r="J119" s="47"/>
      <c r="K119" s="18"/>
      <c r="L119" s="18"/>
      <c r="M119" s="18"/>
      <c r="N119" s="18"/>
    </row>
    <row r="120" ht="15.75" customHeight="1">
      <c r="A120" s="39"/>
      <c r="B120" s="39"/>
      <c r="C120" s="39"/>
      <c r="D120" s="47"/>
      <c r="E120" s="47"/>
      <c r="F120" s="42" t="s">
        <v>24</v>
      </c>
      <c r="G120" s="43">
        <v>0.5</v>
      </c>
      <c r="H120" s="50">
        <f>VLOOKUP(F120,$A$7:$B$7,2,TRUE)</f>
        <v>2800</v>
      </c>
      <c r="I120" s="45">
        <f t="shared" si="1"/>
        <v>1400</v>
      </c>
      <c r="J120" s="47"/>
      <c r="K120" s="18"/>
      <c r="L120" s="18"/>
      <c r="M120" s="18"/>
      <c r="N120" s="18"/>
    </row>
    <row r="121" ht="15.75" customHeight="1">
      <c r="A121" s="39"/>
      <c r="B121" s="39"/>
      <c r="C121" s="39"/>
      <c r="D121" s="47"/>
      <c r="E121" s="47"/>
      <c r="F121" s="42" t="s">
        <v>25</v>
      </c>
      <c r="G121" s="43"/>
      <c r="H121" s="50">
        <f>VLOOKUP(F121,$A$8:$B$8,2,TRUE)</f>
        <v>3500</v>
      </c>
      <c r="I121" s="45">
        <f t="shared" si="1"/>
        <v>0</v>
      </c>
      <c r="J121" s="47"/>
      <c r="K121" s="18"/>
      <c r="L121" s="18"/>
      <c r="M121" s="18"/>
      <c r="N121" s="18"/>
    </row>
    <row r="122" ht="15.75" customHeight="1">
      <c r="A122" s="39"/>
      <c r="B122" s="39"/>
      <c r="C122" s="39"/>
      <c r="D122" s="47"/>
      <c r="E122" s="47"/>
      <c r="F122" s="42" t="s">
        <v>26</v>
      </c>
      <c r="G122" s="43">
        <v>2.0</v>
      </c>
      <c r="H122" s="50">
        <f>VLOOKUP(F122,$A$9:$B$9,2,TRUE)</f>
        <v>1000</v>
      </c>
      <c r="I122" s="45">
        <f t="shared" si="1"/>
        <v>2000</v>
      </c>
      <c r="J122" s="47"/>
      <c r="K122" s="18"/>
      <c r="L122" s="18"/>
      <c r="M122" s="18"/>
      <c r="N122" s="18"/>
    </row>
    <row r="123" ht="15.75" customHeight="1">
      <c r="A123" s="39"/>
      <c r="B123" s="39"/>
      <c r="C123" s="39"/>
      <c r="D123" s="47"/>
      <c r="E123" s="47"/>
      <c r="F123" s="42" t="s">
        <v>27</v>
      </c>
      <c r="G123" s="43"/>
      <c r="H123" s="50">
        <f>VLOOKUP(F123,$A$10:$B$10,2,TRUE)</f>
        <v>2000</v>
      </c>
      <c r="I123" s="45">
        <f t="shared" si="1"/>
        <v>0</v>
      </c>
      <c r="J123" s="47"/>
      <c r="K123" s="18"/>
      <c r="L123" s="18"/>
      <c r="M123" s="18"/>
      <c r="N123" s="18"/>
    </row>
    <row r="124" ht="15.75" customHeight="1">
      <c r="A124" s="39"/>
      <c r="B124" s="39"/>
      <c r="C124" s="39"/>
      <c r="D124" s="47"/>
      <c r="E124" s="47"/>
      <c r="F124" s="42" t="s">
        <v>28</v>
      </c>
      <c r="G124" s="43"/>
      <c r="H124" s="50">
        <f>VLOOKUP(F124,$A$11:$B$11,2,TRUE)</f>
        <v>2000</v>
      </c>
      <c r="I124" s="45">
        <f t="shared" si="1"/>
        <v>0</v>
      </c>
      <c r="J124" s="47"/>
      <c r="K124" s="18"/>
      <c r="L124" s="18"/>
      <c r="M124" s="18"/>
      <c r="N124" s="18"/>
    </row>
    <row r="125" ht="15.75" customHeight="1">
      <c r="A125" s="39"/>
      <c r="B125" s="39"/>
      <c r="C125" s="39"/>
      <c r="D125" s="47"/>
      <c r="E125" s="47"/>
      <c r="F125" s="42" t="s">
        <v>29</v>
      </c>
      <c r="G125" s="43"/>
      <c r="H125" s="50">
        <f>VLOOKUP(F125,$A$12:$B$12,2,TRUE)</f>
        <v>1300</v>
      </c>
      <c r="I125" s="45">
        <f t="shared" si="1"/>
        <v>0</v>
      </c>
      <c r="J125" s="47"/>
      <c r="K125" s="18"/>
      <c r="L125" s="18"/>
      <c r="M125" s="18"/>
      <c r="N125" s="18"/>
    </row>
    <row r="126" ht="15.75" customHeight="1">
      <c r="A126" s="39"/>
      <c r="B126" s="39"/>
      <c r="C126" s="39"/>
      <c r="D126" s="47"/>
      <c r="E126" s="47"/>
      <c r="F126" s="42" t="s">
        <v>30</v>
      </c>
      <c r="G126" s="43"/>
      <c r="H126" s="50">
        <f>VLOOKUP(F126,$A$13:$B$13,2,TRUE)</f>
        <v>1000</v>
      </c>
      <c r="I126" s="45">
        <f t="shared" si="1"/>
        <v>0</v>
      </c>
      <c r="J126" s="47"/>
      <c r="K126" s="18"/>
      <c r="L126" s="18"/>
      <c r="M126" s="18"/>
      <c r="N126" s="18"/>
    </row>
    <row r="127" ht="15.75" customHeight="1">
      <c r="A127" s="39"/>
      <c r="B127" s="39"/>
      <c r="C127" s="39"/>
      <c r="D127" s="47"/>
      <c r="E127" s="47"/>
      <c r="F127" s="42" t="s">
        <v>31</v>
      </c>
      <c r="G127" s="43">
        <v>1.0</v>
      </c>
      <c r="H127" s="50">
        <f>VLOOKUP(F127,$A$14:$B$14,2,TRUE)</f>
        <v>400</v>
      </c>
      <c r="I127" s="45">
        <f t="shared" si="1"/>
        <v>400</v>
      </c>
      <c r="J127" s="47"/>
      <c r="K127" s="18"/>
      <c r="L127" s="18"/>
      <c r="M127" s="18"/>
      <c r="N127" s="18"/>
    </row>
    <row r="128" ht="15.75" customHeight="1">
      <c r="A128" s="39"/>
      <c r="B128" s="39"/>
      <c r="C128" s="39"/>
      <c r="D128" s="47"/>
      <c r="E128" s="47"/>
      <c r="F128" s="42" t="s">
        <v>32</v>
      </c>
      <c r="G128" s="43"/>
      <c r="H128" s="50">
        <f>VLOOKUP(F128,$A$15:$B$15,2,TRUE)</f>
        <v>7500</v>
      </c>
      <c r="I128" s="45">
        <f t="shared" si="1"/>
        <v>0</v>
      </c>
      <c r="J128" s="47"/>
      <c r="K128" s="18"/>
      <c r="L128" s="18"/>
      <c r="M128" s="18"/>
      <c r="N128" s="18"/>
    </row>
    <row r="129" ht="15.75" customHeight="1">
      <c r="A129" s="39"/>
      <c r="B129" s="39"/>
      <c r="C129" s="39"/>
      <c r="D129" s="47"/>
      <c r="E129" s="47"/>
      <c r="F129" s="42" t="s">
        <v>33</v>
      </c>
      <c r="G129" s="43"/>
      <c r="H129" s="50">
        <f>VLOOKUP(F129,$A$16:$B$16,2,TRUE)</f>
        <v>2000</v>
      </c>
      <c r="I129" s="45">
        <f t="shared" si="1"/>
        <v>0</v>
      </c>
      <c r="J129" s="47"/>
      <c r="K129" s="18"/>
      <c r="L129" s="18"/>
      <c r="M129" s="18"/>
      <c r="N129" s="18"/>
    </row>
    <row r="130" ht="15.75" customHeight="1">
      <c r="A130" s="39"/>
      <c r="B130" s="39"/>
      <c r="C130" s="39"/>
      <c r="D130" s="47"/>
      <c r="E130" s="47"/>
      <c r="F130" s="42" t="s">
        <v>34</v>
      </c>
      <c r="G130" s="43"/>
      <c r="H130" s="50">
        <f>VLOOKUP(F130,$A$17:$B$17,2,TRUE)</f>
        <v>800</v>
      </c>
      <c r="I130" s="45">
        <f t="shared" si="1"/>
        <v>0</v>
      </c>
      <c r="J130" s="47"/>
      <c r="K130" s="18"/>
      <c r="L130" s="18"/>
      <c r="M130" s="18"/>
      <c r="N130" s="18"/>
    </row>
    <row r="131" ht="15.75" customHeight="1">
      <c r="A131" s="39"/>
      <c r="B131" s="39"/>
      <c r="C131" s="39"/>
      <c r="D131" s="47"/>
      <c r="E131" s="47"/>
      <c r="F131" s="42" t="s">
        <v>35</v>
      </c>
      <c r="G131" s="43"/>
      <c r="H131" s="50">
        <f>VLOOKUP(F131,$A$18:$B$18,2,TRUE)</f>
        <v>5000</v>
      </c>
      <c r="I131" s="45">
        <f t="shared" si="1"/>
        <v>0</v>
      </c>
      <c r="J131" s="47"/>
      <c r="K131" s="18"/>
      <c r="L131" s="18"/>
      <c r="M131" s="18"/>
      <c r="N131" s="18"/>
    </row>
    <row r="132" ht="15.75" customHeight="1">
      <c r="A132" s="39"/>
      <c r="B132" s="39"/>
      <c r="C132" s="39"/>
      <c r="D132" s="47"/>
      <c r="E132" s="47"/>
      <c r="F132" s="42" t="s">
        <v>36</v>
      </c>
      <c r="G132" s="43"/>
      <c r="H132" s="50">
        <f>VLOOKUP(F132,$A$19:$B$19,2,TRUE)</f>
        <v>2700</v>
      </c>
      <c r="I132" s="45">
        <f t="shared" si="1"/>
        <v>0</v>
      </c>
      <c r="J132" s="47"/>
      <c r="K132" s="18"/>
      <c r="L132" s="18"/>
      <c r="M132" s="18"/>
      <c r="N132" s="18"/>
    </row>
    <row r="133" ht="15.75" customHeight="1">
      <c r="A133" s="39"/>
      <c r="B133" s="39"/>
      <c r="C133" s="39"/>
      <c r="D133" s="47"/>
      <c r="E133" s="47"/>
      <c r="F133" s="42" t="s">
        <v>37</v>
      </c>
      <c r="G133" s="43"/>
      <c r="H133" s="50">
        <f>VLOOKUP(F133,$A$20:$B$20,2,TRUE)</f>
        <v>50000</v>
      </c>
      <c r="I133" s="45">
        <f t="shared" si="1"/>
        <v>0</v>
      </c>
      <c r="J133" s="47"/>
      <c r="K133" s="18"/>
      <c r="L133" s="18"/>
      <c r="M133" s="18"/>
      <c r="N133" s="18"/>
    </row>
    <row r="134" ht="15.75" customHeight="1">
      <c r="A134" s="39"/>
      <c r="B134" s="39"/>
      <c r="C134" s="39"/>
      <c r="D134" s="47"/>
      <c r="E134" s="47"/>
      <c r="F134" s="42" t="s">
        <v>38</v>
      </c>
      <c r="G134" s="43"/>
      <c r="H134" s="50">
        <f>VLOOKUP(F134,$A$21:$B$21,2,TRUE)</f>
        <v>10000</v>
      </c>
      <c r="I134" s="45">
        <f t="shared" si="1"/>
        <v>0</v>
      </c>
      <c r="J134" s="47"/>
      <c r="K134" s="18"/>
      <c r="L134" s="18"/>
      <c r="M134" s="18"/>
      <c r="N134" s="18"/>
    </row>
    <row r="135" ht="15.75" customHeight="1">
      <c r="A135" s="39"/>
      <c r="B135" s="39"/>
      <c r="C135" s="39"/>
      <c r="D135" s="47"/>
      <c r="E135" s="47"/>
      <c r="F135" s="42" t="s">
        <v>39</v>
      </c>
      <c r="G135" s="43"/>
      <c r="H135" s="50">
        <f>VLOOKUP(F135,$A$22:$B$22,2,TRUE)</f>
        <v>1000</v>
      </c>
      <c r="I135" s="45">
        <f t="shared" si="1"/>
        <v>0</v>
      </c>
      <c r="J135" s="47"/>
      <c r="K135" s="18"/>
      <c r="L135" s="18"/>
      <c r="M135" s="18"/>
      <c r="N135" s="18"/>
    </row>
    <row r="136" ht="15.75" customHeight="1">
      <c r="A136" s="39"/>
      <c r="B136" s="39"/>
      <c r="C136" s="39"/>
      <c r="D136" s="47"/>
      <c r="E136" s="47"/>
      <c r="F136" s="42" t="s">
        <v>40</v>
      </c>
      <c r="G136" s="43">
        <v>1.0</v>
      </c>
      <c r="H136" s="50">
        <f>VLOOKUP(F136,$A$23:$B$23,2,TRUE)</f>
        <v>500</v>
      </c>
      <c r="I136" s="45">
        <f t="shared" si="1"/>
        <v>500</v>
      </c>
      <c r="J136" s="47"/>
      <c r="K136" s="18"/>
      <c r="L136" s="18"/>
      <c r="M136" s="18"/>
      <c r="N136" s="18"/>
    </row>
    <row r="137" ht="15.75" customHeight="1">
      <c r="A137" s="39"/>
      <c r="B137" s="39"/>
      <c r="C137" s="39"/>
      <c r="D137" s="47"/>
      <c r="E137" s="47"/>
      <c r="F137" s="42" t="s">
        <v>41</v>
      </c>
      <c r="G137" s="43">
        <v>1.0</v>
      </c>
      <c r="H137" s="50">
        <f>VLOOKUP(F137,$A$24:$B$24,2,TRUE)</f>
        <v>200</v>
      </c>
      <c r="I137" s="45">
        <f t="shared" si="1"/>
        <v>200</v>
      </c>
      <c r="J137" s="47"/>
      <c r="K137" s="18"/>
      <c r="L137" s="18"/>
      <c r="M137" s="18"/>
      <c r="N137" s="18"/>
    </row>
    <row r="138" ht="15.75" customHeight="1">
      <c r="A138" s="39"/>
      <c r="B138" s="39"/>
      <c r="C138" s="39"/>
      <c r="D138" s="47"/>
      <c r="E138" s="47"/>
      <c r="F138" s="42" t="s">
        <v>42</v>
      </c>
      <c r="G138" s="43"/>
      <c r="H138" s="50">
        <f>VLOOKUP(F138,$A$25:$B$25,2,TRUE)</f>
        <v>1000</v>
      </c>
      <c r="I138" s="45">
        <f t="shared" si="1"/>
        <v>0</v>
      </c>
      <c r="J138" s="47"/>
      <c r="K138" s="18"/>
      <c r="L138" s="18"/>
      <c r="M138" s="18"/>
      <c r="N138" s="18"/>
    </row>
    <row r="139" ht="15.75" customHeight="1">
      <c r="A139" s="39"/>
      <c r="B139" s="39"/>
      <c r="C139" s="39"/>
      <c r="D139" s="47"/>
      <c r="E139" s="47"/>
      <c r="F139" s="42" t="s">
        <v>17</v>
      </c>
      <c r="G139" s="43"/>
      <c r="H139" s="50">
        <f>VLOOKUP(F139,$A$26:$B$26,2,TRUE)</f>
        <v>300</v>
      </c>
      <c r="I139" s="45">
        <f t="shared" si="1"/>
        <v>0</v>
      </c>
      <c r="J139" s="47"/>
      <c r="K139" s="18"/>
      <c r="L139" s="18"/>
      <c r="M139" s="18"/>
      <c r="N139" s="18"/>
    </row>
    <row r="140" ht="15.75" customHeight="1">
      <c r="A140" s="39"/>
      <c r="B140" s="39"/>
      <c r="C140" s="39"/>
      <c r="D140" s="47"/>
      <c r="E140" s="47"/>
      <c r="F140" s="42" t="s">
        <v>43</v>
      </c>
      <c r="G140" s="43"/>
      <c r="H140" s="50">
        <f>VLOOKUP(F140,$A$27:$B$27,2,TRUE)</f>
        <v>100</v>
      </c>
      <c r="I140" s="45">
        <f t="shared" si="1"/>
        <v>0</v>
      </c>
      <c r="J140" s="47"/>
      <c r="K140" s="18"/>
      <c r="L140" s="18"/>
      <c r="M140" s="18"/>
      <c r="N140" s="18"/>
    </row>
    <row r="141" ht="15.75" customHeight="1">
      <c r="A141" s="39"/>
      <c r="B141" s="39"/>
      <c r="C141" s="39"/>
      <c r="D141" s="47"/>
      <c r="E141" s="47"/>
      <c r="F141" s="42" t="s">
        <v>59</v>
      </c>
      <c r="G141" s="43"/>
      <c r="H141" s="50">
        <f>VLOOKUP(F141,$A$28:$B$28,2,TRUE)</f>
        <v>500</v>
      </c>
      <c r="I141" s="45">
        <f t="shared" si="1"/>
        <v>0</v>
      </c>
      <c r="J141" s="47"/>
      <c r="K141" s="18"/>
      <c r="L141" s="18"/>
      <c r="M141" s="18"/>
      <c r="N141" s="18"/>
    </row>
    <row r="142" ht="15.75" customHeight="1">
      <c r="A142" s="39"/>
      <c r="B142" s="39"/>
      <c r="C142" s="39"/>
      <c r="D142" s="47"/>
      <c r="E142" s="47"/>
      <c r="F142" s="42" t="s">
        <v>13</v>
      </c>
      <c r="G142" s="43"/>
      <c r="H142" s="50">
        <f>VLOOKUP(F142,$A$29:$B$29,2,TRUE)</f>
        <v>1500</v>
      </c>
      <c r="I142" s="45">
        <f t="shared" si="1"/>
        <v>0</v>
      </c>
      <c r="J142" s="47"/>
      <c r="K142" s="18"/>
      <c r="L142" s="18"/>
      <c r="M142" s="18"/>
      <c r="N142" s="18"/>
    </row>
    <row r="143" ht="15.75" customHeight="1">
      <c r="A143" s="39"/>
      <c r="B143" s="39"/>
      <c r="C143" s="39"/>
      <c r="D143" s="47"/>
      <c r="E143" s="47"/>
      <c r="F143" s="42" t="s">
        <v>19</v>
      </c>
      <c r="G143" s="43"/>
      <c r="H143" s="50">
        <f>VLOOKUP(F143,$A$30:$B$30,2,TRUE)</f>
        <v>4000</v>
      </c>
      <c r="I143" s="45">
        <f t="shared" si="1"/>
        <v>0</v>
      </c>
      <c r="J143" s="47"/>
      <c r="K143" s="18"/>
      <c r="L143" s="18"/>
      <c r="M143" s="18"/>
      <c r="N143" s="18"/>
    </row>
    <row r="144" ht="15.75" customHeight="1">
      <c r="A144" s="39"/>
      <c r="B144" s="39"/>
      <c r="C144" s="39"/>
      <c r="D144" s="7"/>
      <c r="E144" s="7"/>
      <c r="F144" s="42" t="s">
        <v>60</v>
      </c>
      <c r="G144" s="43"/>
      <c r="H144" s="50">
        <v>1.0</v>
      </c>
      <c r="I144" s="45">
        <f t="shared" si="1"/>
        <v>0</v>
      </c>
      <c r="J144" s="7"/>
      <c r="K144" s="18"/>
      <c r="L144" s="18"/>
      <c r="M144" s="18"/>
      <c r="N144" s="18"/>
    </row>
    <row r="145" ht="15.75" customHeight="1">
      <c r="A145" s="39"/>
      <c r="B145" s="39"/>
      <c r="C145" s="39"/>
      <c r="D145" s="40">
        <v>6.0</v>
      </c>
      <c r="E145" s="41" t="s">
        <v>111</v>
      </c>
      <c r="F145" s="42" t="s">
        <v>21</v>
      </c>
      <c r="G145" s="43"/>
      <c r="H145" s="50">
        <f>VLOOKUP(F145,$A$4:$B$4,2,TRUE)</f>
        <v>5000</v>
      </c>
      <c r="I145" s="45">
        <f t="shared" si="1"/>
        <v>0</v>
      </c>
      <c r="J145" s="46">
        <f>SUM(I145:I172)</f>
        <v>18400</v>
      </c>
      <c r="K145" s="18"/>
      <c r="L145" s="18"/>
      <c r="M145" s="18"/>
      <c r="N145" s="18"/>
    </row>
    <row r="146" ht="15.75" customHeight="1">
      <c r="A146" s="39"/>
      <c r="B146" s="39"/>
      <c r="C146" s="39"/>
      <c r="D146" s="47"/>
      <c r="E146" s="47"/>
      <c r="F146" s="42" t="s">
        <v>56</v>
      </c>
      <c r="G146" s="43">
        <v>3.5</v>
      </c>
      <c r="H146" s="50">
        <f>VLOOKUP(F146,$A$5:$B$5,2,TRUE)</f>
        <v>3000</v>
      </c>
      <c r="I146" s="45">
        <f t="shared" si="1"/>
        <v>10500</v>
      </c>
      <c r="J146" s="47"/>
      <c r="K146" s="18"/>
      <c r="L146" s="18"/>
      <c r="M146" s="18"/>
      <c r="N146" s="18"/>
    </row>
    <row r="147" ht="15.75" customHeight="1">
      <c r="A147" s="39"/>
      <c r="B147" s="39"/>
      <c r="C147" s="39"/>
      <c r="D147" s="47"/>
      <c r="E147" s="47"/>
      <c r="F147" s="42" t="s">
        <v>58</v>
      </c>
      <c r="G147" s="43"/>
      <c r="H147" s="50">
        <f>VLOOKUP(F147,$A$6:$B$6,2,TRUE)</f>
        <v>1000</v>
      </c>
      <c r="I147" s="45">
        <f t="shared" si="1"/>
        <v>0</v>
      </c>
      <c r="J147" s="47"/>
      <c r="K147" s="18"/>
      <c r="L147" s="18"/>
      <c r="M147" s="18"/>
      <c r="N147" s="18"/>
    </row>
    <row r="148" ht="15.75" customHeight="1">
      <c r="A148" s="39"/>
      <c r="B148" s="39"/>
      <c r="C148" s="39"/>
      <c r="D148" s="47"/>
      <c r="E148" s="47"/>
      <c r="F148" s="42" t="s">
        <v>24</v>
      </c>
      <c r="G148" s="43">
        <v>0.5</v>
      </c>
      <c r="H148" s="50">
        <f>VLOOKUP(F148,$A$7:$B$7,2,TRUE)</f>
        <v>2800</v>
      </c>
      <c r="I148" s="45">
        <f t="shared" si="1"/>
        <v>1400</v>
      </c>
      <c r="J148" s="47"/>
      <c r="K148" s="18"/>
      <c r="L148" s="18"/>
      <c r="M148" s="18"/>
      <c r="N148" s="18"/>
    </row>
    <row r="149" ht="15.75" customHeight="1">
      <c r="A149" s="39"/>
      <c r="B149" s="39"/>
      <c r="C149" s="39"/>
      <c r="D149" s="47"/>
      <c r="E149" s="47"/>
      <c r="F149" s="42" t="s">
        <v>25</v>
      </c>
      <c r="G149" s="43">
        <v>0.5</v>
      </c>
      <c r="H149" s="50">
        <f>VLOOKUP(F149,$A$8:$B$8,2,TRUE)</f>
        <v>3500</v>
      </c>
      <c r="I149" s="45">
        <f t="shared" si="1"/>
        <v>1750</v>
      </c>
      <c r="J149" s="47"/>
      <c r="K149" s="18"/>
      <c r="L149" s="18"/>
      <c r="M149" s="18"/>
      <c r="N149" s="18"/>
    </row>
    <row r="150" ht="15.75" customHeight="1">
      <c r="A150" s="39"/>
      <c r="B150" s="39"/>
      <c r="C150" s="39"/>
      <c r="D150" s="47"/>
      <c r="E150" s="47"/>
      <c r="F150" s="42" t="s">
        <v>26</v>
      </c>
      <c r="G150" s="43">
        <v>2.5</v>
      </c>
      <c r="H150" s="50">
        <f>VLOOKUP(F150,$A$9:$B$9,2,TRUE)</f>
        <v>1000</v>
      </c>
      <c r="I150" s="45">
        <f t="shared" si="1"/>
        <v>2500</v>
      </c>
      <c r="J150" s="47"/>
      <c r="K150" s="18"/>
      <c r="L150" s="18"/>
      <c r="M150" s="18"/>
      <c r="N150" s="18"/>
    </row>
    <row r="151" ht="15.75" customHeight="1">
      <c r="A151" s="39"/>
      <c r="B151" s="39"/>
      <c r="C151" s="39"/>
      <c r="D151" s="47"/>
      <c r="E151" s="47"/>
      <c r="F151" s="42" t="s">
        <v>27</v>
      </c>
      <c r="G151" s="43"/>
      <c r="H151" s="50">
        <f>VLOOKUP(F151,$A$10:$B$10,2,TRUE)</f>
        <v>2000</v>
      </c>
      <c r="I151" s="45">
        <f t="shared" si="1"/>
        <v>0</v>
      </c>
      <c r="J151" s="47"/>
      <c r="K151" s="18"/>
      <c r="L151" s="18"/>
      <c r="M151" s="18"/>
      <c r="N151" s="18"/>
    </row>
    <row r="152" ht="15.75" customHeight="1">
      <c r="A152" s="39"/>
      <c r="B152" s="39"/>
      <c r="C152" s="39"/>
      <c r="D152" s="47"/>
      <c r="E152" s="47"/>
      <c r="F152" s="42" t="s">
        <v>28</v>
      </c>
      <c r="G152" s="43"/>
      <c r="H152" s="50">
        <f>VLOOKUP(F152,$A$11:$B$11,2,TRUE)</f>
        <v>2000</v>
      </c>
      <c r="I152" s="45">
        <f t="shared" si="1"/>
        <v>0</v>
      </c>
      <c r="J152" s="47"/>
      <c r="K152" s="18"/>
      <c r="L152" s="18"/>
      <c r="M152" s="18"/>
      <c r="N152" s="18"/>
    </row>
    <row r="153" ht="15.75" customHeight="1">
      <c r="A153" s="39"/>
      <c r="B153" s="39"/>
      <c r="C153" s="39"/>
      <c r="D153" s="47"/>
      <c r="E153" s="47"/>
      <c r="F153" s="42" t="s">
        <v>29</v>
      </c>
      <c r="G153" s="43"/>
      <c r="H153" s="50">
        <f>VLOOKUP(F153,$A$12:$B$12,2,TRUE)</f>
        <v>1300</v>
      </c>
      <c r="I153" s="45">
        <f t="shared" si="1"/>
        <v>0</v>
      </c>
      <c r="J153" s="47"/>
      <c r="K153" s="18"/>
      <c r="L153" s="18"/>
      <c r="M153" s="18"/>
      <c r="N153" s="18"/>
    </row>
    <row r="154" ht="15.75" customHeight="1">
      <c r="A154" s="39"/>
      <c r="B154" s="39"/>
      <c r="C154" s="39"/>
      <c r="D154" s="47"/>
      <c r="E154" s="47"/>
      <c r="F154" s="42" t="s">
        <v>30</v>
      </c>
      <c r="G154" s="43"/>
      <c r="H154" s="50">
        <f>VLOOKUP(F154,$A$13:$B$13,2,TRUE)</f>
        <v>1000</v>
      </c>
      <c r="I154" s="45">
        <f t="shared" si="1"/>
        <v>0</v>
      </c>
      <c r="J154" s="47"/>
      <c r="K154" s="18"/>
      <c r="L154" s="18"/>
      <c r="M154" s="18"/>
      <c r="N154" s="18"/>
    </row>
    <row r="155" ht="15.75" customHeight="1">
      <c r="A155" s="39"/>
      <c r="B155" s="39"/>
      <c r="C155" s="39"/>
      <c r="D155" s="47"/>
      <c r="E155" s="47"/>
      <c r="F155" s="42" t="s">
        <v>31</v>
      </c>
      <c r="G155" s="43"/>
      <c r="H155" s="50">
        <f>VLOOKUP(F155,$A$14:$B$14,2,TRUE)</f>
        <v>400</v>
      </c>
      <c r="I155" s="45">
        <f t="shared" si="1"/>
        <v>0</v>
      </c>
      <c r="J155" s="47"/>
      <c r="K155" s="18"/>
      <c r="L155" s="18"/>
      <c r="M155" s="18"/>
      <c r="N155" s="18"/>
    </row>
    <row r="156" ht="15.75" customHeight="1">
      <c r="A156" s="39"/>
      <c r="B156" s="39"/>
      <c r="C156" s="39"/>
      <c r="D156" s="47"/>
      <c r="E156" s="47"/>
      <c r="F156" s="42" t="s">
        <v>32</v>
      </c>
      <c r="G156" s="43"/>
      <c r="H156" s="50">
        <f>VLOOKUP(F156,$A$15:$B$15,2,TRUE)</f>
        <v>7500</v>
      </c>
      <c r="I156" s="45">
        <f t="shared" si="1"/>
        <v>0</v>
      </c>
      <c r="J156" s="47"/>
      <c r="K156" s="18"/>
      <c r="L156" s="18"/>
      <c r="M156" s="18"/>
      <c r="N156" s="18"/>
    </row>
    <row r="157" ht="15.75" customHeight="1">
      <c r="A157" s="39"/>
      <c r="B157" s="39"/>
      <c r="C157" s="39"/>
      <c r="D157" s="47"/>
      <c r="E157" s="47"/>
      <c r="F157" s="42" t="s">
        <v>33</v>
      </c>
      <c r="G157" s="43"/>
      <c r="H157" s="50">
        <f>VLOOKUP(F157,$A$16:$B$16,2,TRUE)</f>
        <v>2000</v>
      </c>
      <c r="I157" s="45">
        <f t="shared" si="1"/>
        <v>0</v>
      </c>
      <c r="J157" s="47"/>
      <c r="K157" s="18"/>
      <c r="L157" s="18"/>
      <c r="M157" s="18"/>
      <c r="N157" s="18"/>
    </row>
    <row r="158" ht="15.75" customHeight="1">
      <c r="A158" s="39"/>
      <c r="B158" s="39"/>
      <c r="C158" s="39"/>
      <c r="D158" s="47"/>
      <c r="E158" s="47"/>
      <c r="F158" s="42" t="s">
        <v>34</v>
      </c>
      <c r="G158" s="43"/>
      <c r="H158" s="50">
        <f>VLOOKUP(F158,$A$17:$B$17,2,TRUE)</f>
        <v>800</v>
      </c>
      <c r="I158" s="45">
        <f t="shared" si="1"/>
        <v>0</v>
      </c>
      <c r="J158" s="47"/>
      <c r="K158" s="18"/>
      <c r="L158" s="18"/>
      <c r="M158" s="18"/>
      <c r="N158" s="18"/>
    </row>
    <row r="159" ht="15.75" customHeight="1">
      <c r="A159" s="39"/>
      <c r="B159" s="39"/>
      <c r="C159" s="39"/>
      <c r="D159" s="47"/>
      <c r="E159" s="47"/>
      <c r="F159" s="42" t="s">
        <v>35</v>
      </c>
      <c r="G159" s="43"/>
      <c r="H159" s="50">
        <f>VLOOKUP(F159,$A$18:$B$18,2,TRUE)</f>
        <v>5000</v>
      </c>
      <c r="I159" s="45">
        <f t="shared" si="1"/>
        <v>0</v>
      </c>
      <c r="J159" s="47"/>
      <c r="K159" s="18"/>
      <c r="L159" s="18"/>
      <c r="M159" s="18"/>
      <c r="N159" s="18"/>
    </row>
    <row r="160" ht="15.75" customHeight="1">
      <c r="A160" s="39"/>
      <c r="B160" s="39"/>
      <c r="C160" s="39"/>
      <c r="D160" s="47"/>
      <c r="E160" s="47"/>
      <c r="F160" s="42" t="s">
        <v>36</v>
      </c>
      <c r="G160" s="43"/>
      <c r="H160" s="50">
        <f>VLOOKUP(F160,$A$19:$B$19,2,TRUE)</f>
        <v>2700</v>
      </c>
      <c r="I160" s="45">
        <f t="shared" si="1"/>
        <v>0</v>
      </c>
      <c r="J160" s="47"/>
      <c r="K160" s="18"/>
      <c r="L160" s="18"/>
      <c r="M160" s="18"/>
      <c r="N160" s="18"/>
    </row>
    <row r="161" ht="15.75" customHeight="1">
      <c r="A161" s="39"/>
      <c r="B161" s="39"/>
      <c r="C161" s="39"/>
      <c r="D161" s="47"/>
      <c r="E161" s="47"/>
      <c r="F161" s="42" t="s">
        <v>37</v>
      </c>
      <c r="G161" s="43"/>
      <c r="H161" s="50">
        <f>VLOOKUP(F161,$A$20:$B$20,2,TRUE)</f>
        <v>50000</v>
      </c>
      <c r="I161" s="45">
        <f t="shared" si="1"/>
        <v>0</v>
      </c>
      <c r="J161" s="47"/>
      <c r="K161" s="18"/>
      <c r="L161" s="18"/>
      <c r="M161" s="18"/>
      <c r="N161" s="18"/>
    </row>
    <row r="162" ht="15.75" customHeight="1">
      <c r="A162" s="39"/>
      <c r="B162" s="39"/>
      <c r="C162" s="39"/>
      <c r="D162" s="47"/>
      <c r="E162" s="47"/>
      <c r="F162" s="42" t="s">
        <v>38</v>
      </c>
      <c r="G162" s="43"/>
      <c r="H162" s="50">
        <f>VLOOKUP(F162,$A$21:$B$21,2,TRUE)</f>
        <v>10000</v>
      </c>
      <c r="I162" s="45">
        <f t="shared" si="1"/>
        <v>0</v>
      </c>
      <c r="J162" s="47"/>
      <c r="K162" s="18"/>
      <c r="L162" s="18"/>
      <c r="M162" s="18"/>
      <c r="N162" s="18"/>
    </row>
    <row r="163" ht="15.75" customHeight="1">
      <c r="A163" s="39"/>
      <c r="B163" s="39"/>
      <c r="C163" s="39"/>
      <c r="D163" s="47"/>
      <c r="E163" s="47"/>
      <c r="F163" s="42" t="s">
        <v>39</v>
      </c>
      <c r="G163" s="43"/>
      <c r="H163" s="50">
        <f>VLOOKUP(F163,$A$22:$B$22,2,TRUE)</f>
        <v>1000</v>
      </c>
      <c r="I163" s="45">
        <f t="shared" si="1"/>
        <v>0</v>
      </c>
      <c r="J163" s="47"/>
      <c r="K163" s="18"/>
      <c r="L163" s="18"/>
      <c r="M163" s="18"/>
      <c r="N163" s="18"/>
    </row>
    <row r="164" ht="15.75" customHeight="1">
      <c r="A164" s="39"/>
      <c r="B164" s="39"/>
      <c r="C164" s="39"/>
      <c r="D164" s="47"/>
      <c r="E164" s="47"/>
      <c r="F164" s="42" t="s">
        <v>40</v>
      </c>
      <c r="G164" s="43"/>
      <c r="H164" s="50">
        <f>VLOOKUP(F164,$A$23:$B$23,2,TRUE)</f>
        <v>500</v>
      </c>
      <c r="I164" s="45">
        <f t="shared" si="1"/>
        <v>0</v>
      </c>
      <c r="J164" s="47"/>
      <c r="K164" s="18"/>
      <c r="L164" s="18"/>
      <c r="M164" s="18"/>
      <c r="N164" s="18"/>
    </row>
    <row r="165" ht="15.75" customHeight="1">
      <c r="A165" s="39"/>
      <c r="B165" s="39"/>
      <c r="C165" s="39"/>
      <c r="D165" s="47"/>
      <c r="E165" s="47"/>
      <c r="F165" s="42" t="s">
        <v>41</v>
      </c>
      <c r="G165" s="43"/>
      <c r="H165" s="50">
        <f>VLOOKUP(F165,$A$24:$B$24,2,TRUE)</f>
        <v>200</v>
      </c>
      <c r="I165" s="45">
        <f t="shared" si="1"/>
        <v>0</v>
      </c>
      <c r="J165" s="47"/>
      <c r="K165" s="18"/>
      <c r="L165" s="18"/>
      <c r="M165" s="18"/>
      <c r="N165" s="18"/>
    </row>
    <row r="166" ht="15.75" customHeight="1">
      <c r="A166" s="39"/>
      <c r="B166" s="39"/>
      <c r="C166" s="39"/>
      <c r="D166" s="47"/>
      <c r="E166" s="47"/>
      <c r="F166" s="42" t="s">
        <v>42</v>
      </c>
      <c r="G166" s="43"/>
      <c r="H166" s="50">
        <f>VLOOKUP(F166,$A$25:$B$25,2,TRUE)</f>
        <v>1000</v>
      </c>
      <c r="I166" s="45">
        <f t="shared" si="1"/>
        <v>0</v>
      </c>
      <c r="J166" s="47"/>
      <c r="K166" s="18"/>
      <c r="L166" s="18"/>
      <c r="M166" s="18"/>
      <c r="N166" s="18"/>
    </row>
    <row r="167" ht="15.75" customHeight="1">
      <c r="A167" s="39"/>
      <c r="B167" s="39"/>
      <c r="C167" s="39"/>
      <c r="D167" s="47"/>
      <c r="E167" s="47"/>
      <c r="F167" s="42" t="s">
        <v>17</v>
      </c>
      <c r="G167" s="43"/>
      <c r="H167" s="50">
        <f>VLOOKUP(F167,$A$26:$B$26,2,TRUE)</f>
        <v>300</v>
      </c>
      <c r="I167" s="45">
        <f t="shared" si="1"/>
        <v>0</v>
      </c>
      <c r="J167" s="47"/>
      <c r="K167" s="18"/>
      <c r="L167" s="18"/>
      <c r="M167" s="18"/>
      <c r="N167" s="18"/>
    </row>
    <row r="168" ht="15.75" customHeight="1">
      <c r="A168" s="39"/>
      <c r="B168" s="39"/>
      <c r="C168" s="39"/>
      <c r="D168" s="47"/>
      <c r="E168" s="47"/>
      <c r="F168" s="42" t="s">
        <v>43</v>
      </c>
      <c r="G168" s="43"/>
      <c r="H168" s="50">
        <f>VLOOKUP(F168,$A$27:$B$27,2,TRUE)</f>
        <v>100</v>
      </c>
      <c r="I168" s="45">
        <f t="shared" si="1"/>
        <v>0</v>
      </c>
      <c r="J168" s="47"/>
      <c r="K168" s="18"/>
      <c r="L168" s="18"/>
      <c r="M168" s="18"/>
      <c r="N168" s="18"/>
    </row>
    <row r="169" ht="15.75" customHeight="1">
      <c r="A169" s="39"/>
      <c r="B169" s="39"/>
      <c r="C169" s="39"/>
      <c r="D169" s="47"/>
      <c r="E169" s="47"/>
      <c r="F169" s="42" t="s">
        <v>59</v>
      </c>
      <c r="G169" s="43"/>
      <c r="H169" s="50">
        <f>VLOOKUP(F169,$A$28:$B$28,2,TRUE)</f>
        <v>500</v>
      </c>
      <c r="I169" s="45">
        <f t="shared" si="1"/>
        <v>0</v>
      </c>
      <c r="J169" s="47"/>
      <c r="K169" s="18"/>
      <c r="L169" s="18"/>
      <c r="M169" s="18"/>
      <c r="N169" s="18"/>
    </row>
    <row r="170" ht="15.75" customHeight="1">
      <c r="A170" s="39"/>
      <c r="B170" s="39"/>
      <c r="C170" s="39"/>
      <c r="D170" s="47"/>
      <c r="E170" s="47"/>
      <c r="F170" s="42" t="s">
        <v>13</v>
      </c>
      <c r="G170" s="43">
        <v>1.5</v>
      </c>
      <c r="H170" s="50">
        <f>VLOOKUP(F170,$A$29:$B$29,2,TRUE)</f>
        <v>1500</v>
      </c>
      <c r="I170" s="45">
        <f t="shared" si="1"/>
        <v>2250</v>
      </c>
      <c r="J170" s="47"/>
      <c r="K170" s="18"/>
      <c r="L170" s="18"/>
      <c r="M170" s="18"/>
      <c r="N170" s="18"/>
    </row>
    <row r="171" ht="15.75" customHeight="1">
      <c r="A171" s="39"/>
      <c r="B171" s="39"/>
      <c r="C171" s="39"/>
      <c r="D171" s="47"/>
      <c r="E171" s="47"/>
      <c r="F171" s="42" t="s">
        <v>19</v>
      </c>
      <c r="G171" s="43"/>
      <c r="H171" s="50">
        <f>VLOOKUP(F171,$A$30:$B$30,2,TRUE)</f>
        <v>4000</v>
      </c>
      <c r="I171" s="45">
        <f t="shared" si="1"/>
        <v>0</v>
      </c>
      <c r="J171" s="47"/>
      <c r="K171" s="18"/>
      <c r="L171" s="18"/>
      <c r="M171" s="18"/>
      <c r="N171" s="18"/>
    </row>
    <row r="172" ht="15.75" customHeight="1">
      <c r="A172" s="39"/>
      <c r="B172" s="39"/>
      <c r="C172" s="39"/>
      <c r="D172" s="7"/>
      <c r="E172" s="7"/>
      <c r="F172" s="42" t="s">
        <v>60</v>
      </c>
      <c r="G172" s="43"/>
      <c r="H172" s="50">
        <f>VLOOKUP(F172,$A$31:$B$31,2,TRUE)</f>
        <v>500</v>
      </c>
      <c r="I172" s="45">
        <f t="shared" si="1"/>
        <v>0</v>
      </c>
      <c r="J172" s="7"/>
      <c r="K172" s="18"/>
      <c r="L172" s="18"/>
      <c r="M172" s="18"/>
      <c r="N172" s="18"/>
    </row>
    <row r="173" ht="15.75" customHeight="1">
      <c r="A173" s="39"/>
      <c r="B173" s="39"/>
      <c r="C173" s="39"/>
      <c r="D173" s="40">
        <v>7.0</v>
      </c>
      <c r="E173" s="41" t="s">
        <v>112</v>
      </c>
      <c r="F173" s="42" t="s">
        <v>21</v>
      </c>
      <c r="G173" s="43">
        <v>1.0</v>
      </c>
      <c r="H173" s="50">
        <f>VLOOKUP(F173,$A$4:$B$4,2,TRUE)</f>
        <v>5000</v>
      </c>
      <c r="I173" s="45">
        <f t="shared" si="1"/>
        <v>5000</v>
      </c>
      <c r="J173" s="46">
        <f>SUM(I173:I200)</f>
        <v>32500</v>
      </c>
      <c r="K173" s="18"/>
      <c r="L173" s="18"/>
      <c r="M173" s="18"/>
      <c r="N173" s="18"/>
    </row>
    <row r="174" ht="15.75" customHeight="1">
      <c r="A174" s="39"/>
      <c r="B174" s="39"/>
      <c r="C174" s="39"/>
      <c r="D174" s="47"/>
      <c r="E174" s="47"/>
      <c r="F174" s="42" t="s">
        <v>56</v>
      </c>
      <c r="G174" s="43">
        <v>3.5</v>
      </c>
      <c r="H174" s="50">
        <f>VLOOKUP(F174,$A$5:$B$5,2,TRUE)</f>
        <v>3000</v>
      </c>
      <c r="I174" s="45">
        <f t="shared" si="1"/>
        <v>10500</v>
      </c>
      <c r="J174" s="47"/>
      <c r="K174" s="18"/>
      <c r="L174" s="18"/>
      <c r="M174" s="18"/>
      <c r="N174" s="18"/>
    </row>
    <row r="175" ht="15.75" customHeight="1">
      <c r="A175" s="39"/>
      <c r="B175" s="39"/>
      <c r="C175" s="39"/>
      <c r="D175" s="47"/>
      <c r="E175" s="47"/>
      <c r="F175" s="42" t="s">
        <v>58</v>
      </c>
      <c r="G175" s="43"/>
      <c r="H175" s="50">
        <f>VLOOKUP(F175,$A$6:$B$6,2,TRUE)</f>
        <v>1000</v>
      </c>
      <c r="I175" s="45">
        <f t="shared" si="1"/>
        <v>0</v>
      </c>
      <c r="J175" s="47"/>
      <c r="K175" s="18"/>
      <c r="L175" s="18"/>
      <c r="M175" s="18"/>
      <c r="N175" s="18"/>
    </row>
    <row r="176" ht="15.75" customHeight="1">
      <c r="A176" s="39"/>
      <c r="B176" s="39"/>
      <c r="C176" s="39"/>
      <c r="D176" s="47"/>
      <c r="E176" s="47"/>
      <c r="F176" s="42" t="s">
        <v>24</v>
      </c>
      <c r="G176" s="43"/>
      <c r="H176" s="50">
        <f>VLOOKUP(F176,$A$7:$B$7,2,TRUE)</f>
        <v>2800</v>
      </c>
      <c r="I176" s="45">
        <f t="shared" si="1"/>
        <v>0</v>
      </c>
      <c r="J176" s="47"/>
      <c r="K176" s="18"/>
      <c r="L176" s="18"/>
      <c r="M176" s="18"/>
      <c r="N176" s="18"/>
    </row>
    <row r="177" ht="15.75" customHeight="1">
      <c r="A177" s="39"/>
      <c r="B177" s="39"/>
      <c r="C177" s="39"/>
      <c r="D177" s="47"/>
      <c r="E177" s="47"/>
      <c r="F177" s="42" t="s">
        <v>25</v>
      </c>
      <c r="G177" s="43"/>
      <c r="H177" s="50">
        <f>VLOOKUP(F177,$A$8:$B$8,2,TRUE)</f>
        <v>3500</v>
      </c>
      <c r="I177" s="45">
        <f t="shared" si="1"/>
        <v>0</v>
      </c>
      <c r="J177" s="47"/>
      <c r="K177" s="18"/>
      <c r="L177" s="18"/>
      <c r="M177" s="18"/>
      <c r="N177" s="18"/>
    </row>
    <row r="178" ht="15.75" customHeight="1">
      <c r="A178" s="39"/>
      <c r="B178" s="39"/>
      <c r="C178" s="39"/>
      <c r="D178" s="47"/>
      <c r="E178" s="47"/>
      <c r="F178" s="42" t="s">
        <v>26</v>
      </c>
      <c r="G178" s="43">
        <v>2.0</v>
      </c>
      <c r="H178" s="50">
        <f>VLOOKUP(F178,$A$9:$B$9,2,TRUE)</f>
        <v>1000</v>
      </c>
      <c r="I178" s="45">
        <f t="shared" si="1"/>
        <v>2000</v>
      </c>
      <c r="J178" s="47"/>
      <c r="K178" s="18"/>
      <c r="L178" s="18"/>
      <c r="M178" s="18"/>
      <c r="N178" s="18"/>
    </row>
    <row r="179" ht="15.75" customHeight="1">
      <c r="A179" s="39"/>
      <c r="B179" s="39"/>
      <c r="C179" s="39"/>
      <c r="D179" s="47"/>
      <c r="E179" s="47"/>
      <c r="F179" s="42" t="s">
        <v>27</v>
      </c>
      <c r="G179" s="43">
        <v>3.5</v>
      </c>
      <c r="H179" s="50">
        <f>VLOOKUP(F179,$A$10:$B$10,2,TRUE)</f>
        <v>2000</v>
      </c>
      <c r="I179" s="45">
        <f t="shared" si="1"/>
        <v>7000</v>
      </c>
      <c r="J179" s="47"/>
      <c r="K179" s="18"/>
      <c r="L179" s="18"/>
      <c r="M179" s="18"/>
      <c r="N179" s="18"/>
    </row>
    <row r="180" ht="15.75" customHeight="1">
      <c r="A180" s="39"/>
      <c r="B180" s="39"/>
      <c r="C180" s="39"/>
      <c r="D180" s="47"/>
      <c r="E180" s="47"/>
      <c r="F180" s="42" t="s">
        <v>28</v>
      </c>
      <c r="G180" s="43">
        <v>2.0</v>
      </c>
      <c r="H180" s="50">
        <f>VLOOKUP(F180,$A$11:$B$11,2,TRUE)</f>
        <v>2000</v>
      </c>
      <c r="I180" s="45">
        <f t="shared" si="1"/>
        <v>4000</v>
      </c>
      <c r="J180" s="47"/>
      <c r="K180" s="18"/>
      <c r="L180" s="18"/>
      <c r="M180" s="18"/>
      <c r="N180" s="18"/>
    </row>
    <row r="181" ht="15.75" customHeight="1">
      <c r="A181" s="39"/>
      <c r="B181" s="39"/>
      <c r="C181" s="39"/>
      <c r="D181" s="47"/>
      <c r="E181" s="47"/>
      <c r="F181" s="42" t="s">
        <v>29</v>
      </c>
      <c r="G181" s="43"/>
      <c r="H181" s="50">
        <f>VLOOKUP(F181,$A$12:$B$12,2,TRUE)</f>
        <v>1300</v>
      </c>
      <c r="I181" s="45">
        <f t="shared" si="1"/>
        <v>0</v>
      </c>
      <c r="J181" s="47"/>
      <c r="K181" s="18"/>
      <c r="L181" s="18"/>
      <c r="M181" s="18"/>
      <c r="N181" s="18"/>
    </row>
    <row r="182" ht="15.75" customHeight="1">
      <c r="A182" s="39"/>
      <c r="B182" s="39"/>
      <c r="C182" s="39"/>
      <c r="D182" s="47"/>
      <c r="E182" s="47"/>
      <c r="F182" s="42" t="s">
        <v>30</v>
      </c>
      <c r="G182" s="43"/>
      <c r="H182" s="50">
        <f>VLOOKUP(F182,$A$13:$B$13,2,TRUE)</f>
        <v>1000</v>
      </c>
      <c r="I182" s="45">
        <f t="shared" si="1"/>
        <v>0</v>
      </c>
      <c r="J182" s="47"/>
      <c r="K182" s="18"/>
      <c r="L182" s="18"/>
      <c r="M182" s="18"/>
      <c r="N182" s="18"/>
    </row>
    <row r="183" ht="15.75" customHeight="1">
      <c r="A183" s="39"/>
      <c r="B183" s="39"/>
      <c r="C183" s="39"/>
      <c r="D183" s="47"/>
      <c r="E183" s="47"/>
      <c r="F183" s="42" t="s">
        <v>31</v>
      </c>
      <c r="G183" s="43"/>
      <c r="H183" s="50">
        <f>VLOOKUP(F183,$A$14:$B$14,2,TRUE)</f>
        <v>400</v>
      </c>
      <c r="I183" s="45">
        <f t="shared" si="1"/>
        <v>0</v>
      </c>
      <c r="J183" s="47"/>
      <c r="K183" s="18"/>
      <c r="L183" s="18"/>
      <c r="M183" s="18"/>
      <c r="N183" s="18"/>
    </row>
    <row r="184" ht="15.75" customHeight="1">
      <c r="A184" s="39"/>
      <c r="B184" s="39"/>
      <c r="C184" s="39"/>
      <c r="D184" s="47"/>
      <c r="E184" s="47"/>
      <c r="F184" s="42" t="s">
        <v>32</v>
      </c>
      <c r="G184" s="43"/>
      <c r="H184" s="50">
        <f>VLOOKUP(F184,$A$15:$B$15,2,TRUE)</f>
        <v>7500</v>
      </c>
      <c r="I184" s="45">
        <f t="shared" si="1"/>
        <v>0</v>
      </c>
      <c r="J184" s="47"/>
      <c r="K184" s="18"/>
      <c r="L184" s="18"/>
      <c r="M184" s="18"/>
      <c r="N184" s="18"/>
    </row>
    <row r="185" ht="15.75" customHeight="1">
      <c r="A185" s="39"/>
      <c r="B185" s="39"/>
      <c r="C185" s="39"/>
      <c r="D185" s="47"/>
      <c r="E185" s="47"/>
      <c r="F185" s="42" t="s">
        <v>33</v>
      </c>
      <c r="G185" s="43">
        <v>2.0</v>
      </c>
      <c r="H185" s="50">
        <f>VLOOKUP(F185,$A$16:$B$16,2,TRUE)</f>
        <v>2000</v>
      </c>
      <c r="I185" s="45">
        <f t="shared" si="1"/>
        <v>4000</v>
      </c>
      <c r="J185" s="47"/>
      <c r="K185" s="18"/>
      <c r="L185" s="18"/>
      <c r="M185" s="18"/>
      <c r="N185" s="18"/>
    </row>
    <row r="186" ht="15.75" customHeight="1">
      <c r="A186" s="39"/>
      <c r="B186" s="39"/>
      <c r="C186" s="39"/>
      <c r="D186" s="47"/>
      <c r="E186" s="47"/>
      <c r="F186" s="42" t="s">
        <v>34</v>
      </c>
      <c r="G186" s="43"/>
      <c r="H186" s="50">
        <f>VLOOKUP(F186,$A$17:$B$17,2,TRUE)</f>
        <v>800</v>
      </c>
      <c r="I186" s="45">
        <f t="shared" si="1"/>
        <v>0</v>
      </c>
      <c r="J186" s="47"/>
      <c r="K186" s="18"/>
      <c r="L186" s="18"/>
      <c r="M186" s="18"/>
      <c r="N186" s="18"/>
    </row>
    <row r="187" ht="15.75" customHeight="1">
      <c r="A187" s="39"/>
      <c r="B187" s="39"/>
      <c r="C187" s="39"/>
      <c r="D187" s="47"/>
      <c r="E187" s="47"/>
      <c r="F187" s="42" t="s">
        <v>35</v>
      </c>
      <c r="G187" s="43"/>
      <c r="H187" s="50">
        <f>VLOOKUP(F187,$A$18:$B$18,2,TRUE)</f>
        <v>5000</v>
      </c>
      <c r="I187" s="45">
        <f t="shared" si="1"/>
        <v>0</v>
      </c>
      <c r="J187" s="47"/>
      <c r="K187" s="18"/>
      <c r="L187" s="18"/>
      <c r="M187" s="18"/>
      <c r="N187" s="18"/>
    </row>
    <row r="188" ht="15.75" customHeight="1">
      <c r="A188" s="39"/>
      <c r="B188" s="39"/>
      <c r="C188" s="39"/>
      <c r="D188" s="47"/>
      <c r="E188" s="47"/>
      <c r="F188" s="42" t="s">
        <v>36</v>
      </c>
      <c r="G188" s="43"/>
      <c r="H188" s="50">
        <f>VLOOKUP(F188,$A$19:$B$19,2,TRUE)</f>
        <v>2700</v>
      </c>
      <c r="I188" s="45">
        <f t="shared" si="1"/>
        <v>0</v>
      </c>
      <c r="J188" s="47"/>
      <c r="K188" s="18"/>
      <c r="L188" s="18"/>
      <c r="M188" s="18"/>
      <c r="N188" s="18"/>
    </row>
    <row r="189" ht="15.75" customHeight="1">
      <c r="A189" s="39"/>
      <c r="B189" s="39"/>
      <c r="C189" s="39"/>
      <c r="D189" s="47"/>
      <c r="E189" s="47"/>
      <c r="F189" s="42" t="s">
        <v>37</v>
      </c>
      <c r="G189" s="43"/>
      <c r="H189" s="50">
        <f>VLOOKUP(F189,$A$20:$B$20,2,TRUE)</f>
        <v>50000</v>
      </c>
      <c r="I189" s="45">
        <f t="shared" si="1"/>
        <v>0</v>
      </c>
      <c r="J189" s="47"/>
      <c r="K189" s="18"/>
      <c r="L189" s="18"/>
      <c r="M189" s="18"/>
      <c r="N189" s="18"/>
    </row>
    <row r="190" ht="15.75" customHeight="1">
      <c r="A190" s="39"/>
      <c r="B190" s="39"/>
      <c r="C190" s="39"/>
      <c r="D190" s="47"/>
      <c r="E190" s="47"/>
      <c r="F190" s="42" t="s">
        <v>38</v>
      </c>
      <c r="G190" s="43"/>
      <c r="H190" s="50">
        <f>VLOOKUP(F190,$A$21:$B$21,2,TRUE)</f>
        <v>10000</v>
      </c>
      <c r="I190" s="45">
        <f t="shared" si="1"/>
        <v>0</v>
      </c>
      <c r="J190" s="47"/>
      <c r="K190" s="18"/>
      <c r="L190" s="18"/>
      <c r="M190" s="18"/>
      <c r="N190" s="18"/>
    </row>
    <row r="191" ht="15.75" customHeight="1">
      <c r="A191" s="39"/>
      <c r="B191" s="39"/>
      <c r="C191" s="39"/>
      <c r="D191" s="47"/>
      <c r="E191" s="47"/>
      <c r="F191" s="42" t="s">
        <v>39</v>
      </c>
      <c r="G191" s="43"/>
      <c r="H191" s="50">
        <f>VLOOKUP(F191,$A$22:$B$22,2,TRUE)</f>
        <v>1000</v>
      </c>
      <c r="I191" s="45">
        <f t="shared" si="1"/>
        <v>0</v>
      </c>
      <c r="J191" s="47"/>
      <c r="K191" s="18"/>
      <c r="L191" s="18"/>
      <c r="M191" s="18"/>
      <c r="N191" s="18"/>
    </row>
    <row r="192" ht="15.75" customHeight="1">
      <c r="A192" s="39"/>
      <c r="B192" s="39"/>
      <c r="C192" s="39"/>
      <c r="D192" s="47"/>
      <c r="E192" s="47"/>
      <c r="F192" s="42" t="s">
        <v>40</v>
      </c>
      <c r="G192" s="43"/>
      <c r="H192" s="50">
        <f>VLOOKUP(F192,$A$23:$B$23,2,TRUE)</f>
        <v>500</v>
      </c>
      <c r="I192" s="45">
        <f t="shared" si="1"/>
        <v>0</v>
      </c>
      <c r="J192" s="47"/>
      <c r="K192" s="18"/>
      <c r="L192" s="18"/>
      <c r="M192" s="18"/>
      <c r="N192" s="18"/>
    </row>
    <row r="193" ht="15.75" customHeight="1">
      <c r="A193" s="39"/>
      <c r="B193" s="39"/>
      <c r="C193" s="39"/>
      <c r="D193" s="47"/>
      <c r="E193" s="47"/>
      <c r="F193" s="42" t="s">
        <v>41</v>
      </c>
      <c r="G193" s="43"/>
      <c r="H193" s="50">
        <f>VLOOKUP(F193,$A$24:$B$24,2,TRUE)</f>
        <v>200</v>
      </c>
      <c r="I193" s="45">
        <f t="shared" si="1"/>
        <v>0</v>
      </c>
      <c r="J193" s="47"/>
      <c r="K193" s="18"/>
      <c r="L193" s="18"/>
      <c r="M193" s="18"/>
      <c r="N193" s="18"/>
    </row>
    <row r="194" ht="15.75" customHeight="1">
      <c r="A194" s="39"/>
      <c r="B194" s="39"/>
      <c r="C194" s="39"/>
      <c r="D194" s="47"/>
      <c r="E194" s="47"/>
      <c r="F194" s="42" t="s">
        <v>42</v>
      </c>
      <c r="G194" s="43"/>
      <c r="H194" s="50">
        <f>VLOOKUP(F194,$A$25:$B$25,2,TRUE)</f>
        <v>1000</v>
      </c>
      <c r="I194" s="45">
        <f t="shared" si="1"/>
        <v>0</v>
      </c>
      <c r="J194" s="47"/>
      <c r="K194" s="18"/>
      <c r="L194" s="18"/>
      <c r="M194" s="18"/>
      <c r="N194" s="18"/>
    </row>
    <row r="195" ht="15.75" customHeight="1">
      <c r="A195" s="39"/>
      <c r="B195" s="39"/>
      <c r="C195" s="39"/>
      <c r="D195" s="47"/>
      <c r="E195" s="47"/>
      <c r="F195" s="42" t="s">
        <v>17</v>
      </c>
      <c r="G195" s="43"/>
      <c r="H195" s="50">
        <f>VLOOKUP(F195,$A$26:$B$26,2,TRUE)</f>
        <v>300</v>
      </c>
      <c r="I195" s="45">
        <f t="shared" si="1"/>
        <v>0</v>
      </c>
      <c r="J195" s="47"/>
      <c r="K195" s="18"/>
      <c r="L195" s="18"/>
      <c r="M195" s="18"/>
      <c r="N195" s="18"/>
    </row>
    <row r="196" ht="15.75" customHeight="1">
      <c r="A196" s="39"/>
      <c r="B196" s="39"/>
      <c r="C196" s="39"/>
      <c r="D196" s="47"/>
      <c r="E196" s="47"/>
      <c r="F196" s="42" t="s">
        <v>43</v>
      </c>
      <c r="G196" s="43"/>
      <c r="H196" s="50">
        <f>VLOOKUP(F196,$A$27:$B$27,2,TRUE)</f>
        <v>100</v>
      </c>
      <c r="I196" s="45">
        <f t="shared" si="1"/>
        <v>0</v>
      </c>
      <c r="J196" s="47"/>
      <c r="K196" s="18"/>
      <c r="L196" s="18"/>
      <c r="M196" s="18"/>
      <c r="N196" s="18"/>
    </row>
    <row r="197" ht="15.75" customHeight="1">
      <c r="A197" s="39"/>
      <c r="B197" s="39"/>
      <c r="C197" s="39"/>
      <c r="D197" s="47"/>
      <c r="E197" s="47"/>
      <c r="F197" s="42" t="s">
        <v>59</v>
      </c>
      <c r="G197" s="43"/>
      <c r="H197" s="50">
        <f>VLOOKUP(F197,$A$28:$B$28,2,TRUE)</f>
        <v>500</v>
      </c>
      <c r="I197" s="45">
        <f t="shared" si="1"/>
        <v>0</v>
      </c>
      <c r="J197" s="47"/>
      <c r="K197" s="18"/>
      <c r="L197" s="18"/>
      <c r="M197" s="18"/>
      <c r="N197" s="18"/>
    </row>
    <row r="198" ht="15.75" customHeight="1">
      <c r="A198" s="39"/>
      <c r="B198" s="39"/>
      <c r="C198" s="39"/>
      <c r="D198" s="47"/>
      <c r="E198" s="47"/>
      <c r="F198" s="42" t="s">
        <v>13</v>
      </c>
      <c r="G198" s="43"/>
      <c r="H198" s="50">
        <f>VLOOKUP(F198,$A$29:$B$29,2,TRUE)</f>
        <v>1500</v>
      </c>
      <c r="I198" s="45">
        <f t="shared" si="1"/>
        <v>0</v>
      </c>
      <c r="J198" s="47"/>
      <c r="K198" s="18"/>
      <c r="L198" s="18"/>
      <c r="M198" s="18"/>
      <c r="N198" s="18"/>
    </row>
    <row r="199" ht="15.75" customHeight="1">
      <c r="A199" s="39"/>
      <c r="B199" s="39"/>
      <c r="C199" s="39"/>
      <c r="D199" s="47"/>
      <c r="E199" s="47"/>
      <c r="F199" s="42" t="s">
        <v>19</v>
      </c>
      <c r="G199" s="43"/>
      <c r="H199" s="50">
        <f>VLOOKUP(F199,$A$30:$B$30,2,TRUE)</f>
        <v>4000</v>
      </c>
      <c r="I199" s="45">
        <f t="shared" si="1"/>
        <v>0</v>
      </c>
      <c r="J199" s="47"/>
      <c r="K199" s="18"/>
      <c r="L199" s="18"/>
      <c r="M199" s="18"/>
      <c r="N199" s="18"/>
    </row>
    <row r="200" ht="15.75" customHeight="1">
      <c r="A200" s="39"/>
      <c r="B200" s="39"/>
      <c r="C200" s="39"/>
      <c r="D200" s="7"/>
      <c r="E200" s="7"/>
      <c r="F200" s="42" t="s">
        <v>60</v>
      </c>
      <c r="G200" s="43">
        <v>2.0</v>
      </c>
      <c r="H200" s="50"/>
      <c r="I200" s="45">
        <f t="shared" si="1"/>
        <v>0</v>
      </c>
      <c r="J200" s="7"/>
      <c r="K200" s="18"/>
      <c r="L200" s="18"/>
      <c r="M200" s="18"/>
      <c r="N200" s="18"/>
    </row>
    <row r="201" ht="15.75" customHeight="1">
      <c r="A201" s="39"/>
      <c r="B201" s="39"/>
      <c r="C201" s="39"/>
      <c r="D201" s="40">
        <v>8.0</v>
      </c>
      <c r="E201" s="41" t="s">
        <v>113</v>
      </c>
      <c r="F201" s="42" t="s">
        <v>21</v>
      </c>
      <c r="G201" s="43"/>
      <c r="H201" s="50">
        <f>VLOOKUP(F201,$A$4:$B$4,2,TRUE)</f>
        <v>5000</v>
      </c>
      <c r="I201" s="45">
        <f t="shared" si="1"/>
        <v>0</v>
      </c>
      <c r="J201" s="46">
        <f>SUM(I201:I228)</f>
        <v>2000</v>
      </c>
      <c r="K201" s="18"/>
      <c r="L201" s="18"/>
      <c r="M201" s="18"/>
      <c r="N201" s="18"/>
    </row>
    <row r="202" ht="15.75" customHeight="1">
      <c r="A202" s="39"/>
      <c r="B202" s="39"/>
      <c r="C202" s="39"/>
      <c r="D202" s="47"/>
      <c r="E202" s="47"/>
      <c r="F202" s="42" t="s">
        <v>56</v>
      </c>
      <c r="G202" s="43"/>
      <c r="H202" s="50">
        <f>VLOOKUP(F202,$A$5:$B$5,2,TRUE)</f>
        <v>3000</v>
      </c>
      <c r="I202" s="45">
        <f t="shared" si="1"/>
        <v>0</v>
      </c>
      <c r="J202" s="47"/>
      <c r="K202" s="18"/>
      <c r="L202" s="18"/>
      <c r="M202" s="18"/>
      <c r="N202" s="18"/>
    </row>
    <row r="203" ht="15.75" customHeight="1">
      <c r="A203" s="39"/>
      <c r="B203" s="39"/>
      <c r="C203" s="39"/>
      <c r="D203" s="47"/>
      <c r="E203" s="47"/>
      <c r="F203" s="42" t="s">
        <v>58</v>
      </c>
      <c r="G203" s="43"/>
      <c r="H203" s="50">
        <f>VLOOKUP(F203,$A$6:$B$6,2,TRUE)</f>
        <v>1000</v>
      </c>
      <c r="I203" s="45">
        <f t="shared" si="1"/>
        <v>0</v>
      </c>
      <c r="J203" s="47"/>
      <c r="K203" s="18"/>
      <c r="L203" s="18"/>
      <c r="M203" s="18"/>
      <c r="N203" s="18"/>
    </row>
    <row r="204" ht="15.75" customHeight="1">
      <c r="A204" s="39"/>
      <c r="B204" s="39"/>
      <c r="C204" s="39"/>
      <c r="D204" s="47"/>
      <c r="E204" s="47"/>
      <c r="F204" s="42" t="s">
        <v>24</v>
      </c>
      <c r="G204" s="43"/>
      <c r="H204" s="50">
        <f>VLOOKUP(F204,$A$7:$B$7,2,TRUE)</f>
        <v>2800</v>
      </c>
      <c r="I204" s="45">
        <f t="shared" si="1"/>
        <v>0</v>
      </c>
      <c r="J204" s="47"/>
      <c r="K204" s="18"/>
      <c r="L204" s="18"/>
      <c r="M204" s="18"/>
      <c r="N204" s="18"/>
    </row>
    <row r="205" ht="15.75" customHeight="1">
      <c r="A205" s="39"/>
      <c r="B205" s="39"/>
      <c r="C205" s="39"/>
      <c r="D205" s="47"/>
      <c r="E205" s="47"/>
      <c r="F205" s="42" t="s">
        <v>25</v>
      </c>
      <c r="G205" s="43"/>
      <c r="H205" s="50">
        <f>VLOOKUP(F205,$A$8:$B$8,2,TRUE)</f>
        <v>3500</v>
      </c>
      <c r="I205" s="45">
        <f t="shared" si="1"/>
        <v>0</v>
      </c>
      <c r="J205" s="47"/>
      <c r="K205" s="18"/>
      <c r="L205" s="18"/>
      <c r="M205" s="18"/>
      <c r="N205" s="18"/>
    </row>
    <row r="206" ht="15.75" customHeight="1">
      <c r="A206" s="39"/>
      <c r="B206" s="39"/>
      <c r="C206" s="39"/>
      <c r="D206" s="47"/>
      <c r="E206" s="47"/>
      <c r="F206" s="42" t="s">
        <v>26</v>
      </c>
      <c r="G206" s="43"/>
      <c r="H206" s="50">
        <f>VLOOKUP(F206,$A$9:$B$9,2,TRUE)</f>
        <v>1000</v>
      </c>
      <c r="I206" s="45">
        <f t="shared" si="1"/>
        <v>0</v>
      </c>
      <c r="J206" s="47"/>
      <c r="K206" s="18"/>
      <c r="L206" s="18"/>
      <c r="M206" s="18"/>
      <c r="N206" s="18"/>
    </row>
    <row r="207" ht="15.75" customHeight="1">
      <c r="A207" s="39"/>
      <c r="B207" s="39"/>
      <c r="C207" s="39"/>
      <c r="D207" s="47"/>
      <c r="E207" s="47"/>
      <c r="F207" s="42" t="s">
        <v>27</v>
      </c>
      <c r="G207" s="43">
        <v>1.0</v>
      </c>
      <c r="H207" s="50">
        <f>VLOOKUP(F207,$A$10:$B$10,2,TRUE)</f>
        <v>2000</v>
      </c>
      <c r="I207" s="45">
        <f t="shared" si="1"/>
        <v>2000</v>
      </c>
      <c r="J207" s="47"/>
      <c r="K207" s="18"/>
      <c r="L207" s="18"/>
      <c r="M207" s="18"/>
      <c r="N207" s="18"/>
    </row>
    <row r="208" ht="15.75" customHeight="1">
      <c r="A208" s="39"/>
      <c r="B208" s="39"/>
      <c r="C208" s="39"/>
      <c r="D208" s="47"/>
      <c r="E208" s="47"/>
      <c r="F208" s="42" t="s">
        <v>28</v>
      </c>
      <c r="G208" s="43"/>
      <c r="H208" s="50">
        <f>VLOOKUP(F208,$A$11:$B$11,2,TRUE)</f>
        <v>2000</v>
      </c>
      <c r="I208" s="45">
        <f t="shared" si="1"/>
        <v>0</v>
      </c>
      <c r="J208" s="47"/>
      <c r="K208" s="18"/>
      <c r="L208" s="18"/>
      <c r="M208" s="18"/>
      <c r="N208" s="18"/>
    </row>
    <row r="209" ht="15.75" customHeight="1">
      <c r="A209" s="39"/>
      <c r="B209" s="39"/>
      <c r="C209" s="39"/>
      <c r="D209" s="47"/>
      <c r="E209" s="47"/>
      <c r="F209" s="42" t="s">
        <v>29</v>
      </c>
      <c r="G209" s="43"/>
      <c r="H209" s="50">
        <f>VLOOKUP(F209,$A$12:$B$12,2,TRUE)</f>
        <v>1300</v>
      </c>
      <c r="I209" s="45">
        <f t="shared" si="1"/>
        <v>0</v>
      </c>
      <c r="J209" s="47"/>
      <c r="K209" s="18"/>
      <c r="L209" s="18"/>
      <c r="M209" s="18"/>
      <c r="N209" s="18"/>
    </row>
    <row r="210" ht="15.75" customHeight="1">
      <c r="A210" s="39"/>
      <c r="B210" s="39"/>
      <c r="C210" s="39"/>
      <c r="D210" s="47"/>
      <c r="E210" s="47"/>
      <c r="F210" s="42" t="s">
        <v>30</v>
      </c>
      <c r="G210" s="43"/>
      <c r="H210" s="50">
        <f>VLOOKUP(F210,$A$13:$B$13,2,TRUE)</f>
        <v>1000</v>
      </c>
      <c r="I210" s="45">
        <f t="shared" si="1"/>
        <v>0</v>
      </c>
      <c r="J210" s="47"/>
      <c r="K210" s="18"/>
      <c r="L210" s="18"/>
      <c r="M210" s="18"/>
      <c r="N210" s="18"/>
    </row>
    <row r="211" ht="15.75" customHeight="1">
      <c r="A211" s="39"/>
      <c r="B211" s="39"/>
      <c r="C211" s="39"/>
      <c r="D211" s="47"/>
      <c r="E211" s="47"/>
      <c r="F211" s="42" t="s">
        <v>31</v>
      </c>
      <c r="G211" s="43"/>
      <c r="H211" s="50">
        <f>VLOOKUP(F211,$A$14:$B$14,2,TRUE)</f>
        <v>400</v>
      </c>
      <c r="I211" s="45">
        <f t="shared" si="1"/>
        <v>0</v>
      </c>
      <c r="J211" s="47"/>
      <c r="K211" s="18"/>
      <c r="L211" s="18"/>
      <c r="M211" s="18"/>
      <c r="N211" s="18"/>
    </row>
    <row r="212" ht="15.75" customHeight="1">
      <c r="A212" s="39"/>
      <c r="B212" s="39"/>
      <c r="C212" s="39"/>
      <c r="D212" s="47"/>
      <c r="E212" s="47"/>
      <c r="F212" s="42" t="s">
        <v>32</v>
      </c>
      <c r="G212" s="43"/>
      <c r="H212" s="50">
        <f>VLOOKUP(F212,$A$15:$B$15,2,TRUE)</f>
        <v>7500</v>
      </c>
      <c r="I212" s="45">
        <f t="shared" si="1"/>
        <v>0</v>
      </c>
      <c r="J212" s="47"/>
      <c r="K212" s="18"/>
      <c r="L212" s="18"/>
      <c r="M212" s="18"/>
      <c r="N212" s="18"/>
    </row>
    <row r="213" ht="15.75" customHeight="1">
      <c r="A213" s="39"/>
      <c r="B213" s="39"/>
      <c r="C213" s="39"/>
      <c r="D213" s="47"/>
      <c r="E213" s="47"/>
      <c r="F213" s="42" t="s">
        <v>33</v>
      </c>
      <c r="G213" s="43"/>
      <c r="H213" s="50">
        <f>VLOOKUP(F213,$A$16:$B$16,2,TRUE)</f>
        <v>2000</v>
      </c>
      <c r="I213" s="45">
        <f t="shared" si="1"/>
        <v>0</v>
      </c>
      <c r="J213" s="47"/>
      <c r="K213" s="18"/>
      <c r="L213" s="18"/>
      <c r="M213" s="18"/>
      <c r="N213" s="18"/>
    </row>
    <row r="214" ht="15.75" customHeight="1">
      <c r="A214" s="39"/>
      <c r="B214" s="39"/>
      <c r="C214" s="39"/>
      <c r="D214" s="47"/>
      <c r="E214" s="47"/>
      <c r="F214" s="42" t="s">
        <v>34</v>
      </c>
      <c r="G214" s="43"/>
      <c r="H214" s="50">
        <f>VLOOKUP(F214,$A$17:$B$17,2,TRUE)</f>
        <v>800</v>
      </c>
      <c r="I214" s="45">
        <f t="shared" si="1"/>
        <v>0</v>
      </c>
      <c r="J214" s="47"/>
      <c r="K214" s="18"/>
      <c r="L214" s="18"/>
      <c r="M214" s="18"/>
      <c r="N214" s="18"/>
    </row>
    <row r="215" ht="15.75" customHeight="1">
      <c r="A215" s="39"/>
      <c r="B215" s="39"/>
      <c r="C215" s="39"/>
      <c r="D215" s="47"/>
      <c r="E215" s="47"/>
      <c r="F215" s="42" t="s">
        <v>35</v>
      </c>
      <c r="G215" s="43"/>
      <c r="H215" s="50">
        <f>VLOOKUP(F215,$A$18:$B$18,2,TRUE)</f>
        <v>5000</v>
      </c>
      <c r="I215" s="45">
        <f t="shared" si="1"/>
        <v>0</v>
      </c>
      <c r="J215" s="47"/>
      <c r="K215" s="18"/>
      <c r="L215" s="18"/>
      <c r="M215" s="18"/>
      <c r="N215" s="18"/>
    </row>
    <row r="216" ht="15.75" customHeight="1">
      <c r="A216" s="39"/>
      <c r="B216" s="39"/>
      <c r="C216" s="39"/>
      <c r="D216" s="47"/>
      <c r="E216" s="47"/>
      <c r="F216" s="42" t="s">
        <v>36</v>
      </c>
      <c r="G216" s="43"/>
      <c r="H216" s="50">
        <f>VLOOKUP(F216,$A$19:$B$19,2,TRUE)</f>
        <v>2700</v>
      </c>
      <c r="I216" s="45">
        <f t="shared" si="1"/>
        <v>0</v>
      </c>
      <c r="J216" s="47"/>
      <c r="K216" s="18"/>
      <c r="L216" s="18"/>
      <c r="M216" s="18"/>
      <c r="N216" s="18"/>
    </row>
    <row r="217" ht="15.75" customHeight="1">
      <c r="A217" s="39"/>
      <c r="B217" s="39"/>
      <c r="C217" s="39"/>
      <c r="D217" s="47"/>
      <c r="E217" s="47"/>
      <c r="F217" s="42" t="s">
        <v>37</v>
      </c>
      <c r="G217" s="43"/>
      <c r="H217" s="50">
        <f>VLOOKUP(F217,$A$20:$B$20,2,TRUE)</f>
        <v>50000</v>
      </c>
      <c r="I217" s="45">
        <f t="shared" si="1"/>
        <v>0</v>
      </c>
      <c r="J217" s="47"/>
      <c r="K217" s="18"/>
      <c r="L217" s="18"/>
      <c r="M217" s="18"/>
      <c r="N217" s="18"/>
    </row>
    <row r="218" ht="15.75" customHeight="1">
      <c r="A218" s="39"/>
      <c r="B218" s="39"/>
      <c r="C218" s="39"/>
      <c r="D218" s="47"/>
      <c r="E218" s="47"/>
      <c r="F218" s="42" t="s">
        <v>38</v>
      </c>
      <c r="G218" s="43"/>
      <c r="H218" s="50">
        <f>VLOOKUP(F218,$A$21:$B$21,2,TRUE)</f>
        <v>10000</v>
      </c>
      <c r="I218" s="45">
        <f t="shared" si="1"/>
        <v>0</v>
      </c>
      <c r="J218" s="47"/>
      <c r="K218" s="18"/>
      <c r="L218" s="18"/>
      <c r="M218" s="18"/>
      <c r="N218" s="18"/>
    </row>
    <row r="219" ht="15.75" customHeight="1">
      <c r="A219" s="39"/>
      <c r="B219" s="39"/>
      <c r="C219" s="39"/>
      <c r="D219" s="47"/>
      <c r="E219" s="47"/>
      <c r="F219" s="42" t="s">
        <v>39</v>
      </c>
      <c r="G219" s="43"/>
      <c r="H219" s="50">
        <f>VLOOKUP(F219,$A$22:$B$22,2,TRUE)</f>
        <v>1000</v>
      </c>
      <c r="I219" s="45">
        <f t="shared" si="1"/>
        <v>0</v>
      </c>
      <c r="J219" s="47"/>
      <c r="K219" s="18"/>
      <c r="L219" s="18"/>
      <c r="M219" s="18"/>
      <c r="N219" s="18"/>
    </row>
    <row r="220" ht="15.75" customHeight="1">
      <c r="A220" s="39"/>
      <c r="B220" s="39"/>
      <c r="C220" s="39"/>
      <c r="D220" s="47"/>
      <c r="E220" s="47"/>
      <c r="F220" s="42" t="s">
        <v>40</v>
      </c>
      <c r="G220" s="43"/>
      <c r="H220" s="50">
        <f>VLOOKUP(F220,$A$23:$B$23,2,TRUE)</f>
        <v>500</v>
      </c>
      <c r="I220" s="45">
        <f t="shared" si="1"/>
        <v>0</v>
      </c>
      <c r="J220" s="47"/>
      <c r="K220" s="18"/>
      <c r="L220" s="18"/>
      <c r="M220" s="18"/>
      <c r="N220" s="18"/>
    </row>
    <row r="221" ht="15.75" customHeight="1">
      <c r="A221" s="39"/>
      <c r="B221" s="39"/>
      <c r="C221" s="39"/>
      <c r="D221" s="47"/>
      <c r="E221" s="47"/>
      <c r="F221" s="42" t="s">
        <v>41</v>
      </c>
      <c r="G221" s="43"/>
      <c r="H221" s="50">
        <f>VLOOKUP(F221,$A$24:$B$24,2,TRUE)</f>
        <v>200</v>
      </c>
      <c r="I221" s="45">
        <f t="shared" si="1"/>
        <v>0</v>
      </c>
      <c r="J221" s="47"/>
      <c r="K221" s="18"/>
      <c r="L221" s="18"/>
      <c r="M221" s="18"/>
      <c r="N221" s="18"/>
    </row>
    <row r="222" ht="15.75" customHeight="1">
      <c r="A222" s="39"/>
      <c r="B222" s="39"/>
      <c r="C222" s="39"/>
      <c r="D222" s="47"/>
      <c r="E222" s="47"/>
      <c r="F222" s="42" t="s">
        <v>42</v>
      </c>
      <c r="G222" s="43"/>
      <c r="H222" s="50">
        <f>VLOOKUP(F222,$A$25:$B$25,2,TRUE)</f>
        <v>1000</v>
      </c>
      <c r="I222" s="45">
        <f t="shared" si="1"/>
        <v>0</v>
      </c>
      <c r="J222" s="47"/>
      <c r="K222" s="18"/>
      <c r="L222" s="18"/>
      <c r="M222" s="18"/>
      <c r="N222" s="18"/>
    </row>
    <row r="223" ht="15.75" customHeight="1">
      <c r="A223" s="39"/>
      <c r="B223" s="39"/>
      <c r="C223" s="39"/>
      <c r="D223" s="47"/>
      <c r="E223" s="47"/>
      <c r="F223" s="42" t="s">
        <v>17</v>
      </c>
      <c r="G223" s="43"/>
      <c r="H223" s="50">
        <f>VLOOKUP(F223,$A$26:$B$26,2,TRUE)</f>
        <v>300</v>
      </c>
      <c r="I223" s="45">
        <f t="shared" si="1"/>
        <v>0</v>
      </c>
      <c r="J223" s="47"/>
      <c r="K223" s="18"/>
      <c r="L223" s="18"/>
      <c r="M223" s="18"/>
      <c r="N223" s="18"/>
    </row>
    <row r="224" ht="15.75" customHeight="1">
      <c r="A224" s="39"/>
      <c r="B224" s="39"/>
      <c r="C224" s="39"/>
      <c r="D224" s="47"/>
      <c r="E224" s="47"/>
      <c r="F224" s="42" t="s">
        <v>43</v>
      </c>
      <c r="G224" s="43"/>
      <c r="H224" s="50">
        <f>VLOOKUP(F224,$A$27:$B$27,2,TRUE)</f>
        <v>100</v>
      </c>
      <c r="I224" s="45">
        <f t="shared" si="1"/>
        <v>0</v>
      </c>
      <c r="J224" s="47"/>
      <c r="K224" s="18"/>
      <c r="L224" s="18"/>
      <c r="M224" s="18"/>
      <c r="N224" s="18"/>
    </row>
    <row r="225" ht="15.75" customHeight="1">
      <c r="A225" s="39"/>
      <c r="B225" s="39"/>
      <c r="C225" s="39"/>
      <c r="D225" s="47"/>
      <c r="E225" s="47"/>
      <c r="F225" s="42" t="s">
        <v>59</v>
      </c>
      <c r="G225" s="43"/>
      <c r="H225" s="50">
        <f>VLOOKUP(F225,$A$28:$B$28,2,TRUE)</f>
        <v>500</v>
      </c>
      <c r="I225" s="45">
        <f t="shared" si="1"/>
        <v>0</v>
      </c>
      <c r="J225" s="47"/>
      <c r="K225" s="18"/>
      <c r="L225" s="18"/>
      <c r="M225" s="18"/>
      <c r="N225" s="18"/>
    </row>
    <row r="226" ht="15.75" customHeight="1">
      <c r="A226" s="39"/>
      <c r="B226" s="39"/>
      <c r="C226" s="39"/>
      <c r="D226" s="47"/>
      <c r="E226" s="47"/>
      <c r="F226" s="42" t="s">
        <v>13</v>
      </c>
      <c r="G226" s="43"/>
      <c r="H226" s="50">
        <f>VLOOKUP(F226,$A$29:$B$29,2,TRUE)</f>
        <v>1500</v>
      </c>
      <c r="I226" s="45">
        <f t="shared" si="1"/>
        <v>0</v>
      </c>
      <c r="J226" s="47"/>
      <c r="K226" s="18"/>
      <c r="L226" s="18"/>
      <c r="M226" s="18"/>
      <c r="N226" s="18"/>
    </row>
    <row r="227" ht="15.75" customHeight="1">
      <c r="A227" s="39"/>
      <c r="B227" s="39"/>
      <c r="C227" s="39"/>
      <c r="D227" s="47"/>
      <c r="E227" s="47"/>
      <c r="F227" s="42" t="s">
        <v>19</v>
      </c>
      <c r="G227" s="43"/>
      <c r="H227" s="50">
        <f>VLOOKUP(F227,$A$30:$B$30,2,TRUE)</f>
        <v>4000</v>
      </c>
      <c r="I227" s="45">
        <f t="shared" si="1"/>
        <v>0</v>
      </c>
      <c r="J227" s="47"/>
      <c r="K227" s="18"/>
      <c r="L227" s="18"/>
      <c r="M227" s="18"/>
      <c r="N227" s="18"/>
    </row>
    <row r="228" ht="15.75" customHeight="1">
      <c r="A228" s="39"/>
      <c r="B228" s="39"/>
      <c r="C228" s="39"/>
      <c r="D228" s="7"/>
      <c r="E228" s="7"/>
      <c r="F228" s="42" t="s">
        <v>60</v>
      </c>
      <c r="G228" s="43"/>
      <c r="H228" s="50">
        <f>VLOOKUP(F228,$A$31:$B$31,2,TRUE)</f>
        <v>500</v>
      </c>
      <c r="I228" s="45">
        <f t="shared" si="1"/>
        <v>0</v>
      </c>
      <c r="J228" s="7"/>
      <c r="K228" s="18"/>
      <c r="L228" s="18"/>
      <c r="M228" s="18"/>
      <c r="N228" s="18"/>
    </row>
    <row r="229" ht="15.75" customHeight="1">
      <c r="A229" s="39"/>
      <c r="B229" s="39"/>
      <c r="C229" s="39"/>
      <c r="D229" s="40">
        <v>9.0</v>
      </c>
      <c r="E229" s="41" t="s">
        <v>114</v>
      </c>
      <c r="F229" s="42" t="s">
        <v>21</v>
      </c>
      <c r="G229" s="43">
        <v>1.0</v>
      </c>
      <c r="H229" s="50">
        <f>VLOOKUP(F229,$A$4:$B$4,2,TRUE)</f>
        <v>5000</v>
      </c>
      <c r="I229" s="45">
        <f t="shared" si="1"/>
        <v>5000</v>
      </c>
      <c r="J229" s="46">
        <f>SUM(I229:I256)</f>
        <v>24200</v>
      </c>
      <c r="K229" s="18"/>
      <c r="L229" s="18"/>
      <c r="M229" s="18"/>
      <c r="N229" s="18"/>
    </row>
    <row r="230" ht="15.75" customHeight="1">
      <c r="A230" s="39"/>
      <c r="B230" s="39"/>
      <c r="C230" s="39"/>
      <c r="D230" s="47"/>
      <c r="E230" s="47"/>
      <c r="F230" s="42" t="s">
        <v>56</v>
      </c>
      <c r="G230" s="43">
        <v>2.0</v>
      </c>
      <c r="H230" s="50">
        <f>VLOOKUP(F230,$A$5:$B$5,2,TRUE)</f>
        <v>3000</v>
      </c>
      <c r="I230" s="45">
        <f t="shared" si="1"/>
        <v>6000</v>
      </c>
      <c r="J230" s="47"/>
      <c r="K230" s="18"/>
      <c r="L230" s="18"/>
      <c r="M230" s="18"/>
      <c r="N230" s="18"/>
    </row>
    <row r="231" ht="15.75" customHeight="1">
      <c r="A231" s="39"/>
      <c r="B231" s="39"/>
      <c r="C231" s="39"/>
      <c r="D231" s="47"/>
      <c r="E231" s="47"/>
      <c r="F231" s="42" t="s">
        <v>58</v>
      </c>
      <c r="G231" s="43"/>
      <c r="H231" s="50">
        <f>VLOOKUP(F231,$A$6:$B$6,2,TRUE)</f>
        <v>1000</v>
      </c>
      <c r="I231" s="45">
        <f t="shared" si="1"/>
        <v>0</v>
      </c>
      <c r="J231" s="47"/>
      <c r="K231" s="18"/>
      <c r="L231" s="18"/>
      <c r="M231" s="18"/>
      <c r="N231" s="18"/>
    </row>
    <row r="232" ht="15.75" customHeight="1">
      <c r="A232" s="39"/>
      <c r="B232" s="39"/>
      <c r="C232" s="39"/>
      <c r="D232" s="47"/>
      <c r="E232" s="47"/>
      <c r="F232" s="42" t="s">
        <v>24</v>
      </c>
      <c r="G232" s="43">
        <v>0.5</v>
      </c>
      <c r="H232" s="50">
        <f>VLOOKUP(F232,$A$7:$B$7,2,TRUE)</f>
        <v>2800</v>
      </c>
      <c r="I232" s="45">
        <f t="shared" si="1"/>
        <v>1400</v>
      </c>
      <c r="J232" s="47"/>
      <c r="K232" s="18"/>
      <c r="L232" s="18"/>
      <c r="M232" s="18"/>
      <c r="N232" s="18"/>
    </row>
    <row r="233" ht="15.75" customHeight="1">
      <c r="A233" s="39"/>
      <c r="B233" s="39"/>
      <c r="C233" s="39"/>
      <c r="D233" s="47"/>
      <c r="E233" s="47"/>
      <c r="F233" s="42" t="s">
        <v>25</v>
      </c>
      <c r="G233" s="43"/>
      <c r="H233" s="50">
        <f>VLOOKUP(F233,$A$8:$B$8,2,TRUE)</f>
        <v>3500</v>
      </c>
      <c r="I233" s="45">
        <f t="shared" si="1"/>
        <v>0</v>
      </c>
      <c r="J233" s="47"/>
      <c r="K233" s="18"/>
      <c r="L233" s="18"/>
      <c r="M233" s="18"/>
      <c r="N233" s="18"/>
    </row>
    <row r="234" ht="15.75" customHeight="1">
      <c r="A234" s="39"/>
      <c r="B234" s="39"/>
      <c r="C234" s="39"/>
      <c r="D234" s="47"/>
      <c r="E234" s="47"/>
      <c r="F234" s="42" t="s">
        <v>26</v>
      </c>
      <c r="G234" s="43">
        <v>2.0</v>
      </c>
      <c r="H234" s="50">
        <f>VLOOKUP(F234,$A$9:$B$9,2,TRUE)</f>
        <v>1000</v>
      </c>
      <c r="I234" s="45">
        <f t="shared" si="1"/>
        <v>2000</v>
      </c>
      <c r="J234" s="47"/>
      <c r="K234" s="18"/>
      <c r="L234" s="18"/>
      <c r="M234" s="18"/>
      <c r="N234" s="18"/>
    </row>
    <row r="235" ht="15.75" customHeight="1">
      <c r="A235" s="39"/>
      <c r="B235" s="39"/>
      <c r="C235" s="39"/>
      <c r="D235" s="47"/>
      <c r="E235" s="47"/>
      <c r="F235" s="42" t="s">
        <v>27</v>
      </c>
      <c r="G235" s="43"/>
      <c r="H235" s="50">
        <f>VLOOKUP(F235,$A$10:$B$10,2,TRUE)</f>
        <v>2000</v>
      </c>
      <c r="I235" s="45">
        <f t="shared" si="1"/>
        <v>0</v>
      </c>
      <c r="J235" s="47"/>
      <c r="K235" s="18"/>
      <c r="L235" s="18"/>
      <c r="M235" s="18"/>
      <c r="N235" s="18"/>
    </row>
    <row r="236" ht="15.75" customHeight="1">
      <c r="A236" s="39"/>
      <c r="B236" s="39"/>
      <c r="C236" s="39"/>
      <c r="D236" s="47"/>
      <c r="E236" s="47"/>
      <c r="F236" s="42" t="s">
        <v>28</v>
      </c>
      <c r="G236" s="43">
        <v>4.0</v>
      </c>
      <c r="H236" s="50">
        <f>VLOOKUP(F236,$A$11:$B$11,2,TRUE)</f>
        <v>2000</v>
      </c>
      <c r="I236" s="45">
        <f t="shared" si="1"/>
        <v>8000</v>
      </c>
      <c r="J236" s="47"/>
      <c r="K236" s="18"/>
      <c r="L236" s="18"/>
      <c r="M236" s="18"/>
      <c r="N236" s="18"/>
    </row>
    <row r="237" ht="15.75" customHeight="1">
      <c r="A237" s="39"/>
      <c r="B237" s="39"/>
      <c r="C237" s="39"/>
      <c r="D237" s="47"/>
      <c r="E237" s="47"/>
      <c r="F237" s="42" t="s">
        <v>29</v>
      </c>
      <c r="G237" s="43">
        <v>1.0</v>
      </c>
      <c r="H237" s="50">
        <f>VLOOKUP(F237,$A$12:$B$12,2,TRUE)</f>
        <v>1300</v>
      </c>
      <c r="I237" s="45">
        <f t="shared" si="1"/>
        <v>1300</v>
      </c>
      <c r="J237" s="47"/>
      <c r="K237" s="18"/>
      <c r="L237" s="18"/>
      <c r="M237" s="18"/>
      <c r="N237" s="18"/>
    </row>
    <row r="238" ht="15.75" customHeight="1">
      <c r="A238" s="39"/>
      <c r="B238" s="39"/>
      <c r="C238" s="39"/>
      <c r="D238" s="47"/>
      <c r="E238" s="47"/>
      <c r="F238" s="42" t="s">
        <v>30</v>
      </c>
      <c r="G238" s="43"/>
      <c r="H238" s="50">
        <f>VLOOKUP(F238,$A$13:$B$13,2,TRUE)</f>
        <v>1000</v>
      </c>
      <c r="I238" s="45">
        <f t="shared" si="1"/>
        <v>0</v>
      </c>
      <c r="J238" s="47"/>
      <c r="K238" s="18"/>
      <c r="L238" s="18"/>
      <c r="M238" s="18"/>
      <c r="N238" s="18"/>
    </row>
    <row r="239" ht="15.75" customHeight="1">
      <c r="A239" s="39"/>
      <c r="B239" s="39"/>
      <c r="C239" s="39"/>
      <c r="D239" s="47"/>
      <c r="E239" s="47"/>
      <c r="F239" s="42" t="s">
        <v>31</v>
      </c>
      <c r="G239" s="43">
        <v>1.0</v>
      </c>
      <c r="H239" s="50">
        <f>VLOOKUP(F239,$A$14:$B$14,2,TRUE)</f>
        <v>400</v>
      </c>
      <c r="I239" s="45">
        <f t="shared" si="1"/>
        <v>400</v>
      </c>
      <c r="J239" s="47"/>
      <c r="K239" s="18"/>
      <c r="L239" s="18"/>
      <c r="M239" s="18"/>
      <c r="N239" s="18"/>
    </row>
    <row r="240" ht="15.75" customHeight="1">
      <c r="A240" s="39"/>
      <c r="B240" s="39"/>
      <c r="C240" s="39"/>
      <c r="D240" s="47"/>
      <c r="E240" s="47"/>
      <c r="F240" s="42" t="s">
        <v>32</v>
      </c>
      <c r="G240" s="43"/>
      <c r="H240" s="50">
        <f>VLOOKUP(F240,$A$15:$B$15,2,TRUE)</f>
        <v>7500</v>
      </c>
      <c r="I240" s="45">
        <f t="shared" si="1"/>
        <v>0</v>
      </c>
      <c r="J240" s="47"/>
      <c r="K240" s="18"/>
      <c r="L240" s="18"/>
      <c r="M240" s="18"/>
      <c r="N240" s="18"/>
    </row>
    <row r="241" ht="15.75" customHeight="1">
      <c r="A241" s="39"/>
      <c r="B241" s="39"/>
      <c r="C241" s="39"/>
      <c r="D241" s="47"/>
      <c r="E241" s="47"/>
      <c r="F241" s="42" t="s">
        <v>33</v>
      </c>
      <c r="G241" s="43"/>
      <c r="H241" s="50">
        <f>VLOOKUP(F241,$A$16:$B$16,2,TRUE)</f>
        <v>2000</v>
      </c>
      <c r="I241" s="45">
        <f t="shared" si="1"/>
        <v>0</v>
      </c>
      <c r="J241" s="47"/>
      <c r="K241" s="18"/>
      <c r="L241" s="18"/>
      <c r="M241" s="18"/>
      <c r="N241" s="18"/>
    </row>
    <row r="242" ht="15.75" customHeight="1">
      <c r="A242" s="39"/>
      <c r="B242" s="39"/>
      <c r="C242" s="39"/>
      <c r="D242" s="47"/>
      <c r="E242" s="47"/>
      <c r="F242" s="42" t="s">
        <v>34</v>
      </c>
      <c r="G242" s="43"/>
      <c r="H242" s="50">
        <f>VLOOKUP(F242,$A$17:$B$17,2,TRUE)</f>
        <v>800</v>
      </c>
      <c r="I242" s="45">
        <f t="shared" si="1"/>
        <v>0</v>
      </c>
      <c r="J242" s="47"/>
      <c r="K242" s="18"/>
      <c r="L242" s="18"/>
      <c r="M242" s="18"/>
      <c r="N242" s="18"/>
    </row>
    <row r="243" ht="15.75" customHeight="1">
      <c r="A243" s="39"/>
      <c r="B243" s="39"/>
      <c r="C243" s="39"/>
      <c r="D243" s="47"/>
      <c r="E243" s="47"/>
      <c r="F243" s="42" t="s">
        <v>35</v>
      </c>
      <c r="G243" s="43"/>
      <c r="H243" s="50">
        <f>VLOOKUP(F243,$A$18:$B$18,2,TRUE)</f>
        <v>5000</v>
      </c>
      <c r="I243" s="45">
        <f t="shared" si="1"/>
        <v>0</v>
      </c>
      <c r="J243" s="47"/>
      <c r="K243" s="18"/>
      <c r="L243" s="18"/>
      <c r="M243" s="18"/>
      <c r="N243" s="18"/>
    </row>
    <row r="244" ht="15.75" customHeight="1">
      <c r="A244" s="39"/>
      <c r="B244" s="39"/>
      <c r="C244" s="39"/>
      <c r="D244" s="47"/>
      <c r="E244" s="47"/>
      <c r="F244" s="42" t="s">
        <v>36</v>
      </c>
      <c r="G244" s="43"/>
      <c r="H244" s="50">
        <f>VLOOKUP(F244,$A$19:$B$19,2,TRUE)</f>
        <v>2700</v>
      </c>
      <c r="I244" s="45">
        <f t="shared" si="1"/>
        <v>0</v>
      </c>
      <c r="J244" s="47"/>
      <c r="K244" s="18"/>
      <c r="L244" s="18"/>
      <c r="M244" s="18"/>
      <c r="N244" s="18"/>
    </row>
    <row r="245" ht="15.75" customHeight="1">
      <c r="A245" s="39"/>
      <c r="B245" s="39"/>
      <c r="C245" s="39"/>
      <c r="D245" s="47"/>
      <c r="E245" s="47"/>
      <c r="F245" s="42" t="s">
        <v>37</v>
      </c>
      <c r="G245" s="43"/>
      <c r="H245" s="50">
        <f>VLOOKUP(F245,$A$20:$B$20,2,TRUE)</f>
        <v>50000</v>
      </c>
      <c r="I245" s="45">
        <f t="shared" si="1"/>
        <v>0</v>
      </c>
      <c r="J245" s="47"/>
      <c r="K245" s="18"/>
      <c r="L245" s="18"/>
      <c r="M245" s="18"/>
      <c r="N245" s="18"/>
    </row>
    <row r="246" ht="15.75" customHeight="1">
      <c r="A246" s="39"/>
      <c r="B246" s="39"/>
      <c r="C246" s="39"/>
      <c r="D246" s="47"/>
      <c r="E246" s="47"/>
      <c r="F246" s="42" t="s">
        <v>38</v>
      </c>
      <c r="G246" s="43"/>
      <c r="H246" s="50">
        <f>VLOOKUP(F246,$A$21:$B$21,2,TRUE)</f>
        <v>10000</v>
      </c>
      <c r="I246" s="45">
        <f t="shared" si="1"/>
        <v>0</v>
      </c>
      <c r="J246" s="47"/>
      <c r="K246" s="18"/>
      <c r="L246" s="18"/>
      <c r="M246" s="18"/>
      <c r="N246" s="18"/>
    </row>
    <row r="247" ht="15.75" customHeight="1">
      <c r="A247" s="39"/>
      <c r="B247" s="39"/>
      <c r="C247" s="39"/>
      <c r="D247" s="47"/>
      <c r="E247" s="47"/>
      <c r="F247" s="42" t="s">
        <v>39</v>
      </c>
      <c r="G247" s="43"/>
      <c r="H247" s="50">
        <f>VLOOKUP(F247,$A$22:$B$22,2,TRUE)</f>
        <v>1000</v>
      </c>
      <c r="I247" s="45">
        <f t="shared" si="1"/>
        <v>0</v>
      </c>
      <c r="J247" s="47"/>
      <c r="K247" s="18"/>
      <c r="L247" s="18"/>
      <c r="M247" s="18"/>
      <c r="N247" s="18"/>
    </row>
    <row r="248" ht="15.75" customHeight="1">
      <c r="A248" s="39"/>
      <c r="B248" s="39"/>
      <c r="C248" s="39"/>
      <c r="D248" s="47"/>
      <c r="E248" s="47"/>
      <c r="F248" s="42" t="s">
        <v>40</v>
      </c>
      <c r="G248" s="43"/>
      <c r="H248" s="50">
        <f>VLOOKUP(F248,$A$23:$B$23,2,TRUE)</f>
        <v>500</v>
      </c>
      <c r="I248" s="45">
        <f t="shared" si="1"/>
        <v>0</v>
      </c>
      <c r="J248" s="47"/>
      <c r="K248" s="18"/>
      <c r="L248" s="18"/>
      <c r="M248" s="18"/>
      <c r="N248" s="18"/>
    </row>
    <row r="249" ht="15.75" customHeight="1">
      <c r="A249" s="39"/>
      <c r="B249" s="39"/>
      <c r="C249" s="39"/>
      <c r="D249" s="47"/>
      <c r="E249" s="47"/>
      <c r="F249" s="42" t="s">
        <v>41</v>
      </c>
      <c r="G249" s="43">
        <v>0.5</v>
      </c>
      <c r="H249" s="50">
        <f>VLOOKUP(F249,$A$24:$B$24,2,TRUE)</f>
        <v>200</v>
      </c>
      <c r="I249" s="45">
        <f t="shared" si="1"/>
        <v>100</v>
      </c>
      <c r="J249" s="47"/>
      <c r="K249" s="18"/>
      <c r="L249" s="18"/>
      <c r="M249" s="18"/>
      <c r="N249" s="18"/>
    </row>
    <row r="250" ht="15.75" customHeight="1">
      <c r="A250" s="39"/>
      <c r="B250" s="39"/>
      <c r="C250" s="39"/>
      <c r="D250" s="47"/>
      <c r="E250" s="47"/>
      <c r="F250" s="42" t="s">
        <v>42</v>
      </c>
      <c r="G250" s="43"/>
      <c r="H250" s="50">
        <f>VLOOKUP(F250,$A$25:$B$25,2,TRUE)</f>
        <v>1000</v>
      </c>
      <c r="I250" s="45">
        <f t="shared" si="1"/>
        <v>0</v>
      </c>
      <c r="J250" s="47"/>
      <c r="K250" s="18"/>
      <c r="L250" s="18"/>
      <c r="M250" s="18"/>
      <c r="N250" s="18"/>
    </row>
    <row r="251" ht="15.75" customHeight="1">
      <c r="A251" s="39"/>
      <c r="B251" s="39"/>
      <c r="C251" s="39"/>
      <c r="D251" s="47"/>
      <c r="E251" s="47"/>
      <c r="F251" s="42" t="s">
        <v>17</v>
      </c>
      <c r="G251" s="43"/>
      <c r="H251" s="50">
        <f>VLOOKUP(F251,$A$26:$B$26,2,TRUE)</f>
        <v>300</v>
      </c>
      <c r="I251" s="45">
        <f t="shared" si="1"/>
        <v>0</v>
      </c>
      <c r="J251" s="47"/>
      <c r="K251" s="18"/>
      <c r="L251" s="18"/>
      <c r="M251" s="18"/>
      <c r="N251" s="18"/>
    </row>
    <row r="252" ht="15.75" customHeight="1">
      <c r="A252" s="39"/>
      <c r="B252" s="39"/>
      <c r="C252" s="39"/>
      <c r="D252" s="47"/>
      <c r="E252" s="47"/>
      <c r="F252" s="42" t="s">
        <v>43</v>
      </c>
      <c r="G252" s="43"/>
      <c r="H252" s="50">
        <f>VLOOKUP(F252,$A$27:$B$27,2,TRUE)</f>
        <v>100</v>
      </c>
      <c r="I252" s="45">
        <f t="shared" si="1"/>
        <v>0</v>
      </c>
      <c r="J252" s="47"/>
      <c r="K252" s="18"/>
      <c r="L252" s="18"/>
      <c r="M252" s="18"/>
      <c r="N252" s="18"/>
    </row>
    <row r="253" ht="15.75" customHeight="1">
      <c r="A253" s="39"/>
      <c r="B253" s="39"/>
      <c r="C253" s="39"/>
      <c r="D253" s="47"/>
      <c r="E253" s="47"/>
      <c r="F253" s="42" t="s">
        <v>59</v>
      </c>
      <c r="G253" s="43"/>
      <c r="H253" s="50">
        <f>VLOOKUP(F253,$A$28:$B$28,2,TRUE)</f>
        <v>500</v>
      </c>
      <c r="I253" s="45">
        <f t="shared" si="1"/>
        <v>0</v>
      </c>
      <c r="J253" s="47"/>
      <c r="K253" s="18"/>
      <c r="L253" s="18"/>
      <c r="M253" s="18"/>
      <c r="N253" s="18"/>
    </row>
    <row r="254" ht="15.75" customHeight="1">
      <c r="A254" s="39"/>
      <c r="B254" s="39"/>
      <c r="C254" s="39"/>
      <c r="D254" s="47"/>
      <c r="E254" s="47"/>
      <c r="F254" s="42" t="s">
        <v>13</v>
      </c>
      <c r="G254" s="43"/>
      <c r="H254" s="50">
        <f>VLOOKUP(F254,$A$29:$B$29,2,TRUE)</f>
        <v>1500</v>
      </c>
      <c r="I254" s="45">
        <f t="shared" si="1"/>
        <v>0</v>
      </c>
      <c r="J254" s="47"/>
      <c r="K254" s="18"/>
      <c r="L254" s="18"/>
      <c r="M254" s="18"/>
      <c r="N254" s="18"/>
    </row>
    <row r="255" ht="15.75" customHeight="1">
      <c r="A255" s="39"/>
      <c r="B255" s="39"/>
      <c r="C255" s="39"/>
      <c r="D255" s="47"/>
      <c r="E255" s="47"/>
      <c r="F255" s="42" t="s">
        <v>19</v>
      </c>
      <c r="G255" s="43"/>
      <c r="H255" s="50">
        <f>VLOOKUP(F255,$A$30:$B$30,2,TRUE)</f>
        <v>4000</v>
      </c>
      <c r="I255" s="45">
        <f t="shared" si="1"/>
        <v>0</v>
      </c>
      <c r="J255" s="47"/>
      <c r="K255" s="18"/>
      <c r="L255" s="18"/>
      <c r="M255" s="18"/>
      <c r="N255" s="18"/>
    </row>
    <row r="256" ht="15.75" customHeight="1">
      <c r="A256" s="39"/>
      <c r="B256" s="39"/>
      <c r="C256" s="39"/>
      <c r="D256" s="7"/>
      <c r="E256" s="7"/>
      <c r="F256" s="42" t="s">
        <v>60</v>
      </c>
      <c r="G256" s="43">
        <v>3.0</v>
      </c>
      <c r="H256" s="50"/>
      <c r="I256" s="45">
        <f t="shared" si="1"/>
        <v>0</v>
      </c>
      <c r="J256" s="7"/>
      <c r="K256" s="18"/>
      <c r="L256" s="18"/>
      <c r="M256" s="18"/>
      <c r="N256" s="18"/>
    </row>
    <row r="257" ht="15.75" customHeight="1">
      <c r="A257" s="39"/>
      <c r="B257" s="39"/>
      <c r="C257" s="39"/>
      <c r="D257" s="40">
        <v>10.0</v>
      </c>
      <c r="E257" s="41" t="s">
        <v>115</v>
      </c>
      <c r="F257" s="42" t="s">
        <v>21</v>
      </c>
      <c r="G257" s="43"/>
      <c r="H257" s="50">
        <f>VLOOKUP(F257,$A$4:$B$4,2,TRUE)</f>
        <v>5000</v>
      </c>
      <c r="I257" s="45">
        <f t="shared" si="1"/>
        <v>0</v>
      </c>
      <c r="J257" s="46">
        <f>SUM(I257:I284)</f>
        <v>3000</v>
      </c>
      <c r="K257" s="18"/>
      <c r="L257" s="18"/>
      <c r="M257" s="18"/>
      <c r="N257" s="18"/>
    </row>
    <row r="258" ht="15.75" customHeight="1">
      <c r="A258" s="39"/>
      <c r="B258" s="39"/>
      <c r="C258" s="39"/>
      <c r="D258" s="47"/>
      <c r="E258" s="47"/>
      <c r="F258" s="42" t="s">
        <v>56</v>
      </c>
      <c r="G258" s="43"/>
      <c r="H258" s="50">
        <f>VLOOKUP(F258,$A$5:$B$5,2,TRUE)</f>
        <v>3000</v>
      </c>
      <c r="I258" s="45">
        <f t="shared" si="1"/>
        <v>0</v>
      </c>
      <c r="J258" s="47"/>
      <c r="K258" s="18"/>
      <c r="L258" s="18"/>
      <c r="M258" s="18"/>
      <c r="N258" s="18"/>
    </row>
    <row r="259" ht="15.75" customHeight="1">
      <c r="A259" s="39"/>
      <c r="B259" s="39"/>
      <c r="C259" s="39"/>
      <c r="D259" s="47"/>
      <c r="E259" s="47"/>
      <c r="F259" s="42" t="s">
        <v>58</v>
      </c>
      <c r="G259" s="43"/>
      <c r="H259" s="50">
        <f>VLOOKUP(F259,$A$6:$B$6,2,TRUE)</f>
        <v>1000</v>
      </c>
      <c r="I259" s="45">
        <f t="shared" si="1"/>
        <v>0</v>
      </c>
      <c r="J259" s="47"/>
      <c r="K259" s="18"/>
      <c r="L259" s="18"/>
      <c r="M259" s="18"/>
      <c r="N259" s="18"/>
    </row>
    <row r="260" ht="15.75" customHeight="1">
      <c r="A260" s="39"/>
      <c r="B260" s="39"/>
      <c r="C260" s="39"/>
      <c r="D260" s="47"/>
      <c r="E260" s="47"/>
      <c r="F260" s="42" t="s">
        <v>24</v>
      </c>
      <c r="G260" s="43"/>
      <c r="H260" s="50">
        <f>VLOOKUP(F260,$A$7:$B$7,2,TRUE)</f>
        <v>2800</v>
      </c>
      <c r="I260" s="45">
        <f t="shared" si="1"/>
        <v>0</v>
      </c>
      <c r="J260" s="47"/>
      <c r="K260" s="18"/>
      <c r="L260" s="18"/>
      <c r="M260" s="18"/>
      <c r="N260" s="18"/>
    </row>
    <row r="261" ht="15.75" customHeight="1">
      <c r="A261" s="39"/>
      <c r="B261" s="39"/>
      <c r="C261" s="39"/>
      <c r="D261" s="47"/>
      <c r="E261" s="47"/>
      <c r="F261" s="42" t="s">
        <v>25</v>
      </c>
      <c r="G261" s="43"/>
      <c r="H261" s="50">
        <f>VLOOKUP(F261,$A$8:$B$8,2,TRUE)</f>
        <v>3500</v>
      </c>
      <c r="I261" s="45">
        <f t="shared" si="1"/>
        <v>0</v>
      </c>
      <c r="J261" s="47"/>
      <c r="K261" s="18"/>
      <c r="L261" s="18"/>
      <c r="M261" s="18"/>
      <c r="N261" s="18"/>
    </row>
    <row r="262" ht="15.75" customHeight="1">
      <c r="A262" s="39"/>
      <c r="B262" s="39"/>
      <c r="C262" s="39"/>
      <c r="D262" s="47"/>
      <c r="E262" s="47"/>
      <c r="F262" s="42" t="s">
        <v>26</v>
      </c>
      <c r="G262" s="43"/>
      <c r="H262" s="50">
        <f>VLOOKUP(F262,$A$9:$B$9,2,TRUE)</f>
        <v>1000</v>
      </c>
      <c r="I262" s="45">
        <f t="shared" si="1"/>
        <v>0</v>
      </c>
      <c r="J262" s="47"/>
      <c r="K262" s="18"/>
      <c r="L262" s="18"/>
      <c r="M262" s="18"/>
      <c r="N262" s="18"/>
    </row>
    <row r="263" ht="15.75" customHeight="1">
      <c r="A263" s="39"/>
      <c r="B263" s="39"/>
      <c r="C263" s="39"/>
      <c r="D263" s="47"/>
      <c r="E263" s="47"/>
      <c r="F263" s="42" t="s">
        <v>27</v>
      </c>
      <c r="G263" s="43"/>
      <c r="H263" s="50">
        <f>VLOOKUP(F263,$A$10:$B$10,2,TRUE)</f>
        <v>2000</v>
      </c>
      <c r="I263" s="45">
        <f t="shared" si="1"/>
        <v>0</v>
      </c>
      <c r="J263" s="47"/>
      <c r="K263" s="18"/>
      <c r="L263" s="18"/>
      <c r="M263" s="18"/>
      <c r="N263" s="18"/>
    </row>
    <row r="264" ht="15.75" customHeight="1">
      <c r="A264" s="39"/>
      <c r="B264" s="39"/>
      <c r="C264" s="39"/>
      <c r="D264" s="47"/>
      <c r="E264" s="47"/>
      <c r="F264" s="42" t="s">
        <v>28</v>
      </c>
      <c r="G264" s="43"/>
      <c r="H264" s="50">
        <f>VLOOKUP(F264,$A$11:$B$11,2,TRUE)</f>
        <v>2000</v>
      </c>
      <c r="I264" s="45">
        <f t="shared" si="1"/>
        <v>0</v>
      </c>
      <c r="J264" s="47"/>
      <c r="K264" s="18"/>
      <c r="L264" s="18"/>
      <c r="M264" s="18"/>
      <c r="N264" s="18"/>
    </row>
    <row r="265" ht="15.75" customHeight="1">
      <c r="A265" s="39"/>
      <c r="B265" s="39"/>
      <c r="C265" s="39"/>
      <c r="D265" s="47"/>
      <c r="E265" s="47"/>
      <c r="F265" s="42" t="s">
        <v>29</v>
      </c>
      <c r="G265" s="43"/>
      <c r="H265" s="50">
        <f>VLOOKUP(F265,$A$12:$B$12,2,TRUE)</f>
        <v>1300</v>
      </c>
      <c r="I265" s="45">
        <f t="shared" si="1"/>
        <v>0</v>
      </c>
      <c r="J265" s="47"/>
      <c r="K265" s="18"/>
      <c r="L265" s="18"/>
      <c r="M265" s="18"/>
      <c r="N265" s="18"/>
    </row>
    <row r="266" ht="15.75" customHeight="1">
      <c r="A266" s="39"/>
      <c r="B266" s="39"/>
      <c r="C266" s="39"/>
      <c r="D266" s="47"/>
      <c r="E266" s="47"/>
      <c r="F266" s="42" t="s">
        <v>30</v>
      </c>
      <c r="G266" s="43"/>
      <c r="H266" s="50">
        <f>VLOOKUP(F266,$A$13:$B$13,2,TRUE)</f>
        <v>1000</v>
      </c>
      <c r="I266" s="45">
        <f t="shared" si="1"/>
        <v>0</v>
      </c>
      <c r="J266" s="47"/>
      <c r="K266" s="18"/>
      <c r="L266" s="18"/>
      <c r="M266" s="18"/>
      <c r="N266" s="18"/>
    </row>
    <row r="267" ht="15.75" customHeight="1">
      <c r="A267" s="39"/>
      <c r="B267" s="39"/>
      <c r="C267" s="39"/>
      <c r="D267" s="47"/>
      <c r="E267" s="47"/>
      <c r="F267" s="42" t="s">
        <v>31</v>
      </c>
      <c r="G267" s="43"/>
      <c r="H267" s="50">
        <f>VLOOKUP(F267,$A$14:$B$14,2,TRUE)</f>
        <v>400</v>
      </c>
      <c r="I267" s="45">
        <f t="shared" si="1"/>
        <v>0</v>
      </c>
      <c r="J267" s="47"/>
      <c r="K267" s="18"/>
      <c r="L267" s="18"/>
      <c r="M267" s="18"/>
      <c r="N267" s="18"/>
    </row>
    <row r="268" ht="15.75" customHeight="1">
      <c r="A268" s="39"/>
      <c r="B268" s="39"/>
      <c r="C268" s="39"/>
      <c r="D268" s="47"/>
      <c r="E268" s="47"/>
      <c r="F268" s="42" t="s">
        <v>32</v>
      </c>
      <c r="G268" s="43"/>
      <c r="H268" s="50">
        <f>VLOOKUP(F268,$A$15:$B$15,2,TRUE)</f>
        <v>7500</v>
      </c>
      <c r="I268" s="45">
        <f t="shared" si="1"/>
        <v>0</v>
      </c>
      <c r="J268" s="47"/>
      <c r="K268" s="18"/>
      <c r="L268" s="18"/>
      <c r="M268" s="18"/>
      <c r="N268" s="18"/>
    </row>
    <row r="269" ht="15.75" customHeight="1">
      <c r="A269" s="39"/>
      <c r="B269" s="39"/>
      <c r="C269" s="39"/>
      <c r="D269" s="47"/>
      <c r="E269" s="47"/>
      <c r="F269" s="42" t="s">
        <v>33</v>
      </c>
      <c r="G269" s="43"/>
      <c r="H269" s="50">
        <f>VLOOKUP(F269,$A$16:$B$16,2,TRUE)</f>
        <v>2000</v>
      </c>
      <c r="I269" s="45">
        <f t="shared" si="1"/>
        <v>0</v>
      </c>
      <c r="J269" s="47"/>
      <c r="K269" s="18"/>
      <c r="L269" s="18"/>
      <c r="M269" s="18"/>
      <c r="N269" s="18"/>
    </row>
    <row r="270" ht="15.75" customHeight="1">
      <c r="A270" s="39"/>
      <c r="B270" s="39"/>
      <c r="C270" s="39"/>
      <c r="D270" s="47"/>
      <c r="E270" s="47"/>
      <c r="F270" s="42" t="s">
        <v>34</v>
      </c>
      <c r="G270" s="43"/>
      <c r="H270" s="50">
        <f>VLOOKUP(F270,$A$17:$B$17,2,TRUE)</f>
        <v>800</v>
      </c>
      <c r="I270" s="45">
        <f t="shared" si="1"/>
        <v>0</v>
      </c>
      <c r="J270" s="47"/>
      <c r="K270" s="18"/>
      <c r="L270" s="18"/>
      <c r="M270" s="18"/>
      <c r="N270" s="18"/>
    </row>
    <row r="271" ht="15.75" customHeight="1">
      <c r="A271" s="39"/>
      <c r="B271" s="39"/>
      <c r="C271" s="39"/>
      <c r="D271" s="47"/>
      <c r="E271" s="47"/>
      <c r="F271" s="42" t="s">
        <v>35</v>
      </c>
      <c r="G271" s="43"/>
      <c r="H271" s="50">
        <f>VLOOKUP(F271,$A$18:$B$18,2,TRUE)</f>
        <v>5000</v>
      </c>
      <c r="I271" s="45">
        <f t="shared" si="1"/>
        <v>0</v>
      </c>
      <c r="J271" s="47"/>
      <c r="K271" s="18"/>
      <c r="L271" s="18"/>
      <c r="M271" s="18"/>
      <c r="N271" s="18"/>
    </row>
    <row r="272" ht="15.75" customHeight="1">
      <c r="A272" s="39"/>
      <c r="B272" s="39"/>
      <c r="C272" s="39"/>
      <c r="D272" s="47"/>
      <c r="E272" s="47"/>
      <c r="F272" s="42" t="s">
        <v>36</v>
      </c>
      <c r="G272" s="43"/>
      <c r="H272" s="50">
        <f>VLOOKUP(F272,$A$19:$B$19,2,TRUE)</f>
        <v>2700</v>
      </c>
      <c r="I272" s="45">
        <f t="shared" si="1"/>
        <v>0</v>
      </c>
      <c r="J272" s="47"/>
      <c r="K272" s="18"/>
      <c r="L272" s="18"/>
      <c r="M272" s="18"/>
      <c r="N272" s="18"/>
    </row>
    <row r="273" ht="15.75" customHeight="1">
      <c r="A273" s="39"/>
      <c r="B273" s="39"/>
      <c r="C273" s="39"/>
      <c r="D273" s="47"/>
      <c r="E273" s="47"/>
      <c r="F273" s="42" t="s">
        <v>37</v>
      </c>
      <c r="G273" s="43"/>
      <c r="H273" s="50">
        <f>VLOOKUP(F273,$A$20:$B$20,2,TRUE)</f>
        <v>50000</v>
      </c>
      <c r="I273" s="45">
        <f t="shared" si="1"/>
        <v>0</v>
      </c>
      <c r="J273" s="47"/>
      <c r="K273" s="18"/>
      <c r="L273" s="18"/>
      <c r="M273" s="18"/>
      <c r="N273" s="18"/>
    </row>
    <row r="274" ht="15.75" customHeight="1">
      <c r="A274" s="39"/>
      <c r="B274" s="39"/>
      <c r="C274" s="39"/>
      <c r="D274" s="47"/>
      <c r="E274" s="47"/>
      <c r="F274" s="42" t="s">
        <v>38</v>
      </c>
      <c r="G274" s="43"/>
      <c r="H274" s="50">
        <f>VLOOKUP(F274,$A$21:$B$21,2,TRUE)</f>
        <v>10000</v>
      </c>
      <c r="I274" s="45">
        <f t="shared" si="1"/>
        <v>0</v>
      </c>
      <c r="J274" s="47"/>
      <c r="K274" s="18"/>
      <c r="L274" s="18"/>
      <c r="M274" s="18"/>
      <c r="N274" s="18"/>
    </row>
    <row r="275" ht="15.75" customHeight="1">
      <c r="A275" s="39"/>
      <c r="B275" s="39"/>
      <c r="C275" s="39"/>
      <c r="D275" s="47"/>
      <c r="E275" s="47"/>
      <c r="F275" s="42" t="s">
        <v>39</v>
      </c>
      <c r="G275" s="43"/>
      <c r="H275" s="50">
        <f>VLOOKUP(F275,$A$22:$B$22,2,TRUE)</f>
        <v>1000</v>
      </c>
      <c r="I275" s="45">
        <f t="shared" si="1"/>
        <v>0</v>
      </c>
      <c r="J275" s="47"/>
      <c r="K275" s="18"/>
      <c r="L275" s="18"/>
      <c r="M275" s="18"/>
      <c r="N275" s="18"/>
    </row>
    <row r="276" ht="15.75" customHeight="1">
      <c r="A276" s="39"/>
      <c r="B276" s="39"/>
      <c r="C276" s="39"/>
      <c r="D276" s="47"/>
      <c r="E276" s="47"/>
      <c r="F276" s="42" t="s">
        <v>40</v>
      </c>
      <c r="G276" s="43"/>
      <c r="H276" s="50">
        <f>VLOOKUP(F276,$A$23:$B$23,2,TRUE)</f>
        <v>500</v>
      </c>
      <c r="I276" s="45">
        <f t="shared" si="1"/>
        <v>0</v>
      </c>
      <c r="J276" s="47"/>
      <c r="K276" s="18"/>
      <c r="L276" s="18"/>
      <c r="M276" s="18"/>
      <c r="N276" s="18"/>
    </row>
    <row r="277" ht="15.75" customHeight="1">
      <c r="A277" s="39"/>
      <c r="B277" s="39"/>
      <c r="C277" s="39"/>
      <c r="D277" s="47"/>
      <c r="E277" s="47"/>
      <c r="F277" s="42" t="s">
        <v>41</v>
      </c>
      <c r="G277" s="43"/>
      <c r="H277" s="50">
        <f>VLOOKUP(F277,$A$24:$B$24,2,TRUE)</f>
        <v>200</v>
      </c>
      <c r="I277" s="45">
        <f t="shared" si="1"/>
        <v>0</v>
      </c>
      <c r="J277" s="47"/>
      <c r="K277" s="18"/>
      <c r="L277" s="18"/>
      <c r="M277" s="18"/>
      <c r="N277" s="18"/>
    </row>
    <row r="278" ht="15.75" customHeight="1">
      <c r="A278" s="39"/>
      <c r="B278" s="39"/>
      <c r="C278" s="39"/>
      <c r="D278" s="47"/>
      <c r="E278" s="47"/>
      <c r="F278" s="42" t="s">
        <v>42</v>
      </c>
      <c r="G278" s="43"/>
      <c r="H278" s="50">
        <f>VLOOKUP(F278,$A$25:$B$25,2,TRUE)</f>
        <v>1000</v>
      </c>
      <c r="I278" s="45">
        <f t="shared" si="1"/>
        <v>0</v>
      </c>
      <c r="J278" s="47"/>
      <c r="K278" s="18"/>
      <c r="L278" s="18"/>
      <c r="M278" s="18"/>
      <c r="N278" s="18"/>
    </row>
    <row r="279" ht="15.75" customHeight="1">
      <c r="A279" s="39"/>
      <c r="B279" s="39"/>
      <c r="C279" s="39"/>
      <c r="D279" s="47"/>
      <c r="E279" s="47"/>
      <c r="F279" s="42" t="s">
        <v>17</v>
      </c>
      <c r="G279" s="43"/>
      <c r="H279" s="50">
        <f>VLOOKUP(F279,$A$26:$B$26,2,TRUE)</f>
        <v>300</v>
      </c>
      <c r="I279" s="45">
        <f t="shared" si="1"/>
        <v>0</v>
      </c>
      <c r="J279" s="47"/>
      <c r="K279" s="18"/>
      <c r="L279" s="18"/>
      <c r="M279" s="18"/>
      <c r="N279" s="18"/>
    </row>
    <row r="280" ht="15.75" customHeight="1">
      <c r="A280" s="39"/>
      <c r="B280" s="39"/>
      <c r="C280" s="39"/>
      <c r="D280" s="47"/>
      <c r="E280" s="47"/>
      <c r="F280" s="42" t="s">
        <v>43</v>
      </c>
      <c r="G280" s="43"/>
      <c r="H280" s="50">
        <f>VLOOKUP(F280,$A$27:$B$27,2,TRUE)</f>
        <v>100</v>
      </c>
      <c r="I280" s="45">
        <f t="shared" si="1"/>
        <v>0</v>
      </c>
      <c r="J280" s="47"/>
      <c r="K280" s="18"/>
      <c r="L280" s="18"/>
      <c r="M280" s="18"/>
      <c r="N280" s="18"/>
    </row>
    <row r="281" ht="15.75" customHeight="1">
      <c r="A281" s="39"/>
      <c r="B281" s="39"/>
      <c r="C281" s="39"/>
      <c r="D281" s="47"/>
      <c r="E281" s="47"/>
      <c r="F281" s="42" t="s">
        <v>59</v>
      </c>
      <c r="G281" s="43"/>
      <c r="H281" s="50">
        <f>VLOOKUP(F281,$A$28:$B$28,2,TRUE)</f>
        <v>500</v>
      </c>
      <c r="I281" s="45">
        <f t="shared" si="1"/>
        <v>0</v>
      </c>
      <c r="J281" s="47"/>
      <c r="K281" s="18"/>
      <c r="L281" s="18"/>
      <c r="M281" s="18"/>
      <c r="N281" s="18"/>
    </row>
    <row r="282" ht="15.75" customHeight="1">
      <c r="A282" s="39"/>
      <c r="B282" s="39"/>
      <c r="C282" s="39"/>
      <c r="D282" s="47"/>
      <c r="E282" s="47"/>
      <c r="F282" s="42" t="s">
        <v>13</v>
      </c>
      <c r="G282" s="43">
        <v>2.0</v>
      </c>
      <c r="H282" s="50">
        <f>VLOOKUP(F282,$A$29:$B$29,2,TRUE)</f>
        <v>1500</v>
      </c>
      <c r="I282" s="45">
        <f t="shared" si="1"/>
        <v>3000</v>
      </c>
      <c r="J282" s="47"/>
      <c r="K282" s="18"/>
      <c r="L282" s="18"/>
      <c r="M282" s="18"/>
      <c r="N282" s="18"/>
    </row>
    <row r="283" ht="15.75" customHeight="1">
      <c r="A283" s="39"/>
      <c r="B283" s="39"/>
      <c r="C283" s="39"/>
      <c r="D283" s="47"/>
      <c r="E283" s="47"/>
      <c r="F283" s="42" t="s">
        <v>19</v>
      </c>
      <c r="G283" s="43"/>
      <c r="H283" s="50">
        <f>VLOOKUP(F283,$A$30:$B$30,2,TRUE)</f>
        <v>4000</v>
      </c>
      <c r="I283" s="45">
        <f t="shared" si="1"/>
        <v>0</v>
      </c>
      <c r="J283" s="47"/>
      <c r="K283" s="18"/>
      <c r="L283" s="18"/>
      <c r="M283" s="18"/>
      <c r="N283" s="18"/>
    </row>
    <row r="284" ht="15.75" customHeight="1">
      <c r="A284" s="39"/>
      <c r="B284" s="39"/>
      <c r="C284" s="39"/>
      <c r="D284" s="7"/>
      <c r="E284" s="7"/>
      <c r="F284" s="42" t="s">
        <v>60</v>
      </c>
      <c r="G284" s="43"/>
      <c r="H284" s="50">
        <f>VLOOKUP(F284,$A$31:$B$31,2,TRUE)</f>
        <v>500</v>
      </c>
      <c r="I284" s="45">
        <f t="shared" si="1"/>
        <v>0</v>
      </c>
      <c r="J284" s="7"/>
      <c r="K284" s="18"/>
      <c r="L284" s="18"/>
      <c r="M284" s="18"/>
      <c r="N284" s="18"/>
    </row>
    <row r="285" ht="15.75" customHeight="1">
      <c r="A285" s="39"/>
      <c r="B285" s="39"/>
      <c r="C285" s="39"/>
      <c r="D285" s="52" t="s">
        <v>70</v>
      </c>
      <c r="E285" s="53"/>
      <c r="F285" s="53"/>
      <c r="G285" s="53"/>
      <c r="H285" s="53"/>
      <c r="I285" s="45">
        <f t="shared" si="1"/>
        <v>0</v>
      </c>
      <c r="J285" s="54">
        <f>SUM(J5:J284)</f>
        <v>155100</v>
      </c>
      <c r="K285" s="18"/>
      <c r="L285" s="18"/>
      <c r="M285" s="18"/>
      <c r="N285" s="18"/>
    </row>
    <row r="286" ht="15.75" customHeight="1">
      <c r="A286" s="39"/>
      <c r="B286" s="39"/>
      <c r="C286" s="39"/>
      <c r="D286" s="52" t="s">
        <v>71</v>
      </c>
      <c r="E286" s="53"/>
      <c r="F286" s="53"/>
      <c r="G286" s="53"/>
      <c r="H286" s="53"/>
      <c r="I286" s="45">
        <f t="shared" si="1"/>
        <v>0</v>
      </c>
      <c r="J286" s="54">
        <f>J285*5%</f>
        <v>7755</v>
      </c>
      <c r="K286" s="18"/>
      <c r="L286" s="18"/>
      <c r="M286" s="18"/>
      <c r="N286" s="18"/>
    </row>
    <row r="287" ht="15.75" customHeight="1">
      <c r="A287" s="16"/>
      <c r="B287" s="16"/>
      <c r="C287" s="16"/>
      <c r="D287" s="16"/>
      <c r="E287" s="55"/>
      <c r="F287" s="18"/>
      <c r="G287" s="18"/>
      <c r="H287" s="18"/>
      <c r="I287" s="18"/>
      <c r="J287" s="19"/>
      <c r="K287" s="18"/>
      <c r="L287" s="18"/>
      <c r="M287" s="18"/>
      <c r="N287" s="18"/>
    </row>
    <row r="288" ht="15.75" customHeight="1">
      <c r="A288" s="16"/>
      <c r="B288" s="16"/>
      <c r="C288" s="16"/>
      <c r="D288" s="16"/>
      <c r="E288" s="17"/>
      <c r="F288" s="18"/>
      <c r="G288" s="18"/>
      <c r="H288" s="18"/>
      <c r="I288" s="18"/>
      <c r="J288" s="19"/>
      <c r="K288" s="18"/>
      <c r="L288" s="18"/>
      <c r="M288" s="18"/>
      <c r="N288" s="18"/>
    </row>
    <row r="289" ht="15.75" customHeight="1">
      <c r="A289" s="16"/>
      <c r="B289" s="16"/>
      <c r="C289" s="16"/>
      <c r="D289" s="16"/>
      <c r="E289" s="17"/>
      <c r="F289" s="18"/>
      <c r="G289" s="18"/>
      <c r="H289" s="18"/>
      <c r="I289" s="18"/>
      <c r="J289" s="19"/>
      <c r="K289" s="18"/>
      <c r="L289" s="18"/>
      <c r="M289" s="18"/>
      <c r="N289" s="18"/>
    </row>
    <row r="290" ht="15.75" customHeight="1">
      <c r="A290" s="16"/>
      <c r="B290" s="16"/>
      <c r="C290" s="16"/>
      <c r="D290" s="16"/>
      <c r="E290" s="17"/>
      <c r="F290" s="18"/>
      <c r="G290" s="18"/>
      <c r="H290" s="18"/>
      <c r="I290" s="18"/>
      <c r="J290" s="19"/>
      <c r="K290" s="18"/>
      <c r="L290" s="18"/>
      <c r="M290" s="18"/>
      <c r="N290" s="18"/>
    </row>
    <row r="291" ht="15.75" customHeight="1">
      <c r="A291" s="16"/>
      <c r="B291" s="16"/>
      <c r="C291" s="16"/>
      <c r="D291" s="16"/>
      <c r="E291" s="17"/>
      <c r="F291" s="18"/>
      <c r="G291" s="18"/>
      <c r="H291" s="18"/>
      <c r="I291" s="18"/>
      <c r="J291" s="19"/>
      <c r="K291" s="18"/>
      <c r="L291" s="18"/>
      <c r="M291" s="18"/>
      <c r="N291" s="18"/>
    </row>
    <row r="292" ht="15.75" customHeight="1">
      <c r="A292" s="16"/>
      <c r="B292" s="16"/>
      <c r="C292" s="16"/>
      <c r="D292" s="16"/>
      <c r="E292" s="17"/>
      <c r="F292" s="18"/>
      <c r="G292" s="18"/>
      <c r="H292" s="18"/>
      <c r="I292" s="18"/>
      <c r="J292" s="19"/>
      <c r="K292" s="18"/>
      <c r="L292" s="18"/>
      <c r="M292" s="18"/>
      <c r="N292" s="18"/>
    </row>
    <row r="293" ht="15.75" customHeight="1">
      <c r="A293" s="16"/>
      <c r="B293" s="16"/>
      <c r="C293" s="16"/>
      <c r="D293" s="16"/>
      <c r="E293" s="17"/>
      <c r="F293" s="18"/>
      <c r="G293" s="18"/>
      <c r="H293" s="18"/>
      <c r="I293" s="18"/>
      <c r="J293" s="19"/>
      <c r="K293" s="18"/>
      <c r="L293" s="18"/>
      <c r="M293" s="18"/>
      <c r="N293" s="18"/>
    </row>
    <row r="294" ht="15.75" customHeight="1">
      <c r="A294" s="16"/>
      <c r="B294" s="16"/>
      <c r="C294" s="16"/>
      <c r="D294" s="16"/>
      <c r="E294" s="17"/>
      <c r="F294" s="18"/>
      <c r="G294" s="18"/>
      <c r="H294" s="18"/>
      <c r="I294" s="18"/>
      <c r="J294" s="19"/>
      <c r="K294" s="18"/>
      <c r="L294" s="18"/>
      <c r="M294" s="18"/>
      <c r="N294" s="18"/>
    </row>
    <row r="295" ht="15.75" customHeight="1">
      <c r="A295" s="16"/>
      <c r="B295" s="16"/>
      <c r="C295" s="16"/>
      <c r="D295" s="16"/>
      <c r="E295" s="17"/>
      <c r="J295" s="19"/>
    </row>
    <row r="296" ht="15.75" customHeight="1">
      <c r="A296" s="16"/>
      <c r="B296" s="16"/>
      <c r="C296" s="16"/>
      <c r="D296" s="16"/>
      <c r="E296" s="17"/>
      <c r="J296" s="19"/>
    </row>
    <row r="297" ht="15.75" customHeight="1">
      <c r="A297" s="16"/>
      <c r="B297" s="16"/>
      <c r="C297" s="16"/>
      <c r="D297" s="16"/>
      <c r="E297" s="17"/>
      <c r="J297" s="19"/>
    </row>
    <row r="298" ht="15.75" customHeight="1">
      <c r="A298" s="16"/>
      <c r="B298" s="16"/>
      <c r="C298" s="16"/>
      <c r="D298" s="16"/>
      <c r="E298" s="17"/>
      <c r="J298" s="19"/>
    </row>
    <row r="299" ht="15.75" customHeight="1">
      <c r="A299" s="16"/>
      <c r="B299" s="16"/>
      <c r="C299" s="16"/>
      <c r="D299" s="16"/>
      <c r="E299" s="17"/>
      <c r="J299" s="19"/>
    </row>
    <row r="300" ht="15.75" customHeight="1">
      <c r="A300" s="16"/>
      <c r="B300" s="16"/>
      <c r="C300" s="16"/>
      <c r="D300" s="16"/>
      <c r="E300" s="17"/>
      <c r="J300" s="19"/>
    </row>
    <row r="301" ht="15.75" customHeight="1">
      <c r="A301" s="16"/>
      <c r="B301" s="16"/>
      <c r="C301" s="16"/>
      <c r="D301" s="16"/>
      <c r="E301" s="17"/>
      <c r="J301" s="19"/>
    </row>
    <row r="302" ht="15.75" customHeight="1">
      <c r="A302" s="16"/>
      <c r="B302" s="16"/>
      <c r="C302" s="16"/>
      <c r="D302" s="16"/>
      <c r="E302" s="17"/>
      <c r="J302" s="19"/>
    </row>
    <row r="303" ht="15.75" customHeight="1">
      <c r="A303" s="16"/>
      <c r="B303" s="16"/>
      <c r="C303" s="16"/>
      <c r="D303" s="16"/>
      <c r="E303" s="17"/>
      <c r="J303" s="19"/>
    </row>
    <row r="304" ht="15.75" customHeight="1">
      <c r="A304" s="16"/>
      <c r="B304" s="16"/>
      <c r="C304" s="16"/>
      <c r="D304" s="16"/>
      <c r="E304" s="17"/>
      <c r="J304" s="19"/>
    </row>
    <row r="305" ht="15.75" customHeight="1">
      <c r="A305" s="16"/>
      <c r="B305" s="16"/>
      <c r="C305" s="16"/>
      <c r="D305" s="16"/>
      <c r="E305" s="17"/>
      <c r="J305" s="19"/>
    </row>
    <row r="306" ht="15.75" customHeight="1">
      <c r="A306" s="16"/>
      <c r="B306" s="16"/>
      <c r="C306" s="16"/>
      <c r="D306" s="16"/>
      <c r="E306" s="17"/>
      <c r="J306" s="19"/>
    </row>
    <row r="307" ht="15.75" customHeight="1">
      <c r="A307" s="16"/>
      <c r="B307" s="16"/>
      <c r="C307" s="16"/>
      <c r="D307" s="16"/>
      <c r="E307" s="17"/>
      <c r="J307" s="19"/>
    </row>
    <row r="308" ht="15.75" customHeight="1">
      <c r="A308" s="16"/>
      <c r="B308" s="16"/>
      <c r="C308" s="16"/>
      <c r="D308" s="16"/>
      <c r="E308" s="17"/>
      <c r="J308" s="19"/>
    </row>
    <row r="309" ht="15.75" customHeight="1">
      <c r="A309" s="16"/>
      <c r="B309" s="16"/>
      <c r="C309" s="16"/>
      <c r="D309" s="16"/>
      <c r="E309" s="17"/>
      <c r="J309" s="19"/>
    </row>
    <row r="310" ht="15.75" customHeight="1">
      <c r="A310" s="16"/>
      <c r="B310" s="16"/>
      <c r="C310" s="16"/>
      <c r="D310" s="16"/>
      <c r="E310" s="17"/>
      <c r="J310" s="19"/>
    </row>
    <row r="311" ht="15.75" customHeight="1">
      <c r="A311" s="16"/>
      <c r="B311" s="16"/>
      <c r="C311" s="16"/>
      <c r="D311" s="16"/>
      <c r="E311" s="17"/>
      <c r="J311" s="19"/>
    </row>
    <row r="312" ht="15.75" customHeight="1">
      <c r="A312" s="16"/>
      <c r="B312" s="16"/>
      <c r="C312" s="16"/>
      <c r="D312" s="16"/>
      <c r="E312" s="17"/>
      <c r="J312" s="19"/>
    </row>
    <row r="313" ht="15.75" customHeight="1">
      <c r="A313" s="16"/>
      <c r="B313" s="16"/>
      <c r="C313" s="16"/>
      <c r="D313" s="16"/>
      <c r="E313" s="17"/>
      <c r="J313" s="19"/>
    </row>
    <row r="314" ht="15.75" customHeight="1">
      <c r="A314" s="16"/>
      <c r="B314" s="16"/>
      <c r="C314" s="16"/>
      <c r="D314" s="16"/>
      <c r="E314" s="17"/>
      <c r="J314" s="19"/>
    </row>
    <row r="315" ht="15.75" customHeight="1">
      <c r="A315" s="16"/>
      <c r="B315" s="16"/>
      <c r="C315" s="16"/>
      <c r="D315" s="16"/>
      <c r="E315" s="17"/>
      <c r="J315" s="19"/>
    </row>
    <row r="316" ht="15.75" customHeight="1">
      <c r="A316" s="16"/>
      <c r="B316" s="16"/>
      <c r="C316" s="16"/>
      <c r="D316" s="16"/>
      <c r="E316" s="17"/>
      <c r="J316" s="19"/>
    </row>
    <row r="317" ht="15.75" customHeight="1">
      <c r="A317" s="16"/>
      <c r="B317" s="16"/>
      <c r="C317" s="16"/>
      <c r="D317" s="16"/>
      <c r="E317" s="17"/>
      <c r="J317" s="19"/>
    </row>
    <row r="318" ht="15.75" customHeight="1">
      <c r="A318" s="16"/>
      <c r="B318" s="16"/>
      <c r="C318" s="16"/>
      <c r="D318" s="16"/>
      <c r="E318" s="17"/>
      <c r="J318" s="19"/>
    </row>
    <row r="319" ht="15.75" customHeight="1">
      <c r="A319" s="16"/>
      <c r="B319" s="16"/>
      <c r="C319" s="16"/>
      <c r="D319" s="16"/>
      <c r="E319" s="17"/>
      <c r="J319" s="19"/>
    </row>
    <row r="320" ht="15.75" customHeight="1">
      <c r="A320" s="16"/>
      <c r="B320" s="16"/>
      <c r="C320" s="16"/>
      <c r="D320" s="16"/>
      <c r="E320" s="17"/>
      <c r="J320" s="19"/>
    </row>
    <row r="321" ht="15.75" customHeight="1">
      <c r="A321" s="16"/>
      <c r="B321" s="16"/>
      <c r="C321" s="16"/>
      <c r="D321" s="16"/>
      <c r="E321" s="17"/>
      <c r="J321" s="19"/>
    </row>
    <row r="322" ht="15.75" customHeight="1">
      <c r="A322" s="16"/>
      <c r="B322" s="16"/>
      <c r="C322" s="16"/>
      <c r="D322" s="16"/>
      <c r="E322" s="17"/>
      <c r="J322" s="19"/>
    </row>
    <row r="323" ht="15.75" customHeight="1">
      <c r="A323" s="16"/>
      <c r="B323" s="16"/>
      <c r="C323" s="16"/>
      <c r="D323" s="16"/>
      <c r="E323" s="17"/>
      <c r="J323" s="19"/>
    </row>
    <row r="324" ht="15.75" customHeight="1">
      <c r="A324" s="16"/>
      <c r="B324" s="16"/>
      <c r="C324" s="16"/>
      <c r="D324" s="16"/>
      <c r="E324" s="17"/>
      <c r="J324" s="19"/>
    </row>
    <row r="325" ht="15.75" customHeight="1">
      <c r="A325" s="16"/>
      <c r="B325" s="16"/>
      <c r="C325" s="16"/>
      <c r="D325" s="16"/>
      <c r="E325" s="17"/>
      <c r="J325" s="19"/>
    </row>
    <row r="326" ht="15.75" customHeight="1">
      <c r="A326" s="16"/>
      <c r="B326" s="16"/>
      <c r="C326" s="16"/>
      <c r="D326" s="16"/>
      <c r="E326" s="17"/>
      <c r="J326" s="19"/>
    </row>
    <row r="327" ht="15.75" customHeight="1">
      <c r="A327" s="16"/>
      <c r="B327" s="16"/>
      <c r="C327" s="16"/>
      <c r="D327" s="16"/>
      <c r="E327" s="17"/>
      <c r="J327" s="19"/>
    </row>
    <row r="328" ht="15.75" customHeight="1">
      <c r="A328" s="16"/>
      <c r="B328" s="16"/>
      <c r="C328" s="16"/>
      <c r="D328" s="16"/>
      <c r="E328" s="17"/>
      <c r="J328" s="19"/>
    </row>
    <row r="329" ht="15.75" customHeight="1">
      <c r="A329" s="16"/>
      <c r="B329" s="16"/>
      <c r="C329" s="16"/>
      <c r="D329" s="16"/>
      <c r="E329" s="17"/>
      <c r="J329" s="19"/>
    </row>
    <row r="330" ht="15.75" customHeight="1">
      <c r="A330" s="16"/>
      <c r="B330" s="16"/>
      <c r="C330" s="16"/>
      <c r="D330" s="16"/>
      <c r="E330" s="17"/>
      <c r="J330" s="19"/>
    </row>
    <row r="331" ht="15.75" customHeight="1">
      <c r="A331" s="16"/>
      <c r="B331" s="16"/>
      <c r="C331" s="16"/>
      <c r="D331" s="16"/>
      <c r="E331" s="17"/>
      <c r="J331" s="19"/>
    </row>
    <row r="332" ht="15.75" customHeight="1">
      <c r="A332" s="16"/>
      <c r="B332" s="16"/>
      <c r="C332" s="16"/>
      <c r="D332" s="16"/>
      <c r="E332" s="17"/>
      <c r="J332" s="19"/>
    </row>
    <row r="333" ht="15.75" customHeight="1">
      <c r="A333" s="16"/>
      <c r="B333" s="16"/>
      <c r="C333" s="16"/>
      <c r="D333" s="16"/>
      <c r="E333" s="17"/>
      <c r="J333" s="19"/>
    </row>
    <row r="334" ht="15.75" customHeight="1">
      <c r="A334" s="16"/>
      <c r="B334" s="16"/>
      <c r="C334" s="16"/>
      <c r="D334" s="16"/>
      <c r="E334" s="17"/>
      <c r="J334" s="19"/>
    </row>
    <row r="335" ht="15.75" customHeight="1">
      <c r="A335" s="16"/>
      <c r="B335" s="16"/>
      <c r="C335" s="16"/>
      <c r="D335" s="16"/>
      <c r="E335" s="17"/>
      <c r="J335" s="19"/>
    </row>
    <row r="336" ht="15.75" customHeight="1">
      <c r="A336" s="16"/>
      <c r="B336" s="16"/>
      <c r="C336" s="16"/>
      <c r="D336" s="16"/>
      <c r="E336" s="17"/>
      <c r="J336" s="19"/>
    </row>
    <row r="337" ht="15.75" customHeight="1">
      <c r="A337" s="16"/>
      <c r="B337" s="16"/>
      <c r="C337" s="16"/>
      <c r="D337" s="16"/>
      <c r="E337" s="17"/>
      <c r="J337" s="19"/>
    </row>
    <row r="338" ht="15.75" customHeight="1">
      <c r="A338" s="16"/>
      <c r="B338" s="16"/>
      <c r="C338" s="16"/>
      <c r="D338" s="16"/>
      <c r="E338" s="17"/>
      <c r="J338" s="19"/>
    </row>
    <row r="339" ht="15.75" customHeight="1">
      <c r="A339" s="16"/>
      <c r="B339" s="16"/>
      <c r="C339" s="16"/>
      <c r="D339" s="16"/>
      <c r="E339" s="17"/>
      <c r="J339" s="19"/>
    </row>
    <row r="340" ht="15.75" customHeight="1">
      <c r="A340" s="16"/>
      <c r="B340" s="16"/>
      <c r="C340" s="16"/>
      <c r="D340" s="16"/>
      <c r="E340" s="17"/>
      <c r="J340" s="19"/>
    </row>
    <row r="341" ht="15.75" customHeight="1">
      <c r="A341" s="16"/>
      <c r="B341" s="16"/>
      <c r="C341" s="16"/>
      <c r="D341" s="16"/>
      <c r="E341" s="17"/>
      <c r="J341" s="19"/>
    </row>
    <row r="342" ht="15.75" customHeight="1">
      <c r="A342" s="16"/>
      <c r="B342" s="16"/>
      <c r="C342" s="16"/>
      <c r="D342" s="16"/>
      <c r="E342" s="17"/>
      <c r="J342" s="19"/>
    </row>
    <row r="343" ht="15.75" customHeight="1">
      <c r="A343" s="16"/>
      <c r="B343" s="16"/>
      <c r="C343" s="16"/>
      <c r="D343" s="16"/>
      <c r="E343" s="17"/>
      <c r="J343" s="19"/>
    </row>
    <row r="344" ht="15.75" customHeight="1">
      <c r="A344" s="16"/>
      <c r="B344" s="16"/>
      <c r="C344" s="16"/>
      <c r="D344" s="16"/>
      <c r="E344" s="17"/>
      <c r="J344" s="19"/>
    </row>
    <row r="345" ht="15.75" customHeight="1">
      <c r="A345" s="16"/>
      <c r="B345" s="16"/>
      <c r="C345" s="16"/>
      <c r="D345" s="16"/>
      <c r="E345" s="17"/>
      <c r="J345" s="19"/>
    </row>
    <row r="346" ht="15.75" customHeight="1">
      <c r="A346" s="16"/>
      <c r="B346" s="16"/>
      <c r="C346" s="16"/>
      <c r="D346" s="16"/>
      <c r="E346" s="17"/>
      <c r="J346" s="19"/>
    </row>
    <row r="347" ht="15.75" customHeight="1">
      <c r="A347" s="16"/>
      <c r="B347" s="16"/>
      <c r="C347" s="16"/>
      <c r="D347" s="16"/>
      <c r="E347" s="17"/>
      <c r="J347" s="19"/>
    </row>
    <row r="348" ht="15.75" customHeight="1">
      <c r="A348" s="16"/>
      <c r="B348" s="16"/>
      <c r="C348" s="16"/>
      <c r="D348" s="16"/>
      <c r="E348" s="17"/>
      <c r="J348" s="19"/>
    </row>
    <row r="349" ht="15.75" customHeight="1">
      <c r="A349" s="16"/>
      <c r="B349" s="16"/>
      <c r="C349" s="16"/>
      <c r="D349" s="16"/>
      <c r="E349" s="17"/>
      <c r="J349" s="19"/>
    </row>
    <row r="350" ht="15.75" customHeight="1">
      <c r="A350" s="16"/>
      <c r="B350" s="16"/>
      <c r="C350" s="16"/>
      <c r="D350" s="16"/>
      <c r="E350" s="17"/>
      <c r="J350" s="19"/>
    </row>
    <row r="351" ht="15.75" customHeight="1">
      <c r="A351" s="16"/>
      <c r="B351" s="16"/>
      <c r="C351" s="16"/>
      <c r="D351" s="16"/>
      <c r="E351" s="17"/>
      <c r="J351" s="19"/>
    </row>
    <row r="352" ht="15.75" customHeight="1">
      <c r="A352" s="16"/>
      <c r="B352" s="16"/>
      <c r="C352" s="16"/>
      <c r="D352" s="16"/>
      <c r="E352" s="17"/>
      <c r="J352" s="19"/>
    </row>
    <row r="353" ht="15.75" customHeight="1">
      <c r="A353" s="16"/>
      <c r="B353" s="16"/>
      <c r="C353" s="16"/>
      <c r="D353" s="16"/>
      <c r="E353" s="17"/>
      <c r="J353" s="19"/>
    </row>
    <row r="354" ht="15.75" customHeight="1">
      <c r="A354" s="16"/>
      <c r="B354" s="16"/>
      <c r="C354" s="16"/>
      <c r="D354" s="16"/>
      <c r="E354" s="17"/>
      <c r="J354" s="19"/>
    </row>
    <row r="355" ht="15.75" customHeight="1">
      <c r="A355" s="16"/>
      <c r="B355" s="16"/>
      <c r="C355" s="16"/>
      <c r="D355" s="16"/>
      <c r="E355" s="17"/>
      <c r="J355" s="19"/>
    </row>
    <row r="356" ht="15.75" customHeight="1">
      <c r="A356" s="16"/>
      <c r="B356" s="16"/>
      <c r="C356" s="16"/>
      <c r="D356" s="16"/>
      <c r="E356" s="17"/>
      <c r="J356" s="19"/>
    </row>
    <row r="357" ht="15.75" customHeight="1">
      <c r="A357" s="16"/>
      <c r="B357" s="16"/>
      <c r="C357" s="16"/>
      <c r="D357" s="16"/>
      <c r="E357" s="17"/>
      <c r="J357" s="19"/>
    </row>
    <row r="358" ht="15.75" customHeight="1">
      <c r="A358" s="16"/>
      <c r="B358" s="16"/>
      <c r="C358" s="16"/>
      <c r="D358" s="16"/>
      <c r="E358" s="17"/>
      <c r="J358" s="19"/>
    </row>
    <row r="359" ht="15.75" customHeight="1">
      <c r="A359" s="16"/>
      <c r="B359" s="16"/>
      <c r="C359" s="16"/>
      <c r="D359" s="16"/>
      <c r="E359" s="17"/>
      <c r="J359" s="19"/>
    </row>
    <row r="360" ht="15.75" customHeight="1">
      <c r="A360" s="16"/>
      <c r="B360" s="16"/>
      <c r="C360" s="16"/>
      <c r="D360" s="16"/>
      <c r="E360" s="17"/>
      <c r="J360" s="19"/>
    </row>
    <row r="361" ht="15.75" customHeight="1">
      <c r="A361" s="16"/>
      <c r="B361" s="16"/>
      <c r="C361" s="16"/>
      <c r="D361" s="16"/>
      <c r="E361" s="17"/>
      <c r="J361" s="19"/>
    </row>
    <row r="362" ht="15.75" customHeight="1">
      <c r="A362" s="16"/>
      <c r="B362" s="16"/>
      <c r="C362" s="16"/>
      <c r="D362" s="16"/>
      <c r="E362" s="17"/>
      <c r="J362" s="19"/>
    </row>
    <row r="363" ht="15.75" customHeight="1">
      <c r="A363" s="16"/>
      <c r="B363" s="16"/>
      <c r="C363" s="16"/>
      <c r="D363" s="16"/>
      <c r="E363" s="17"/>
      <c r="J363" s="19"/>
    </row>
    <row r="364" ht="15.75" customHeight="1">
      <c r="A364" s="16"/>
      <c r="B364" s="16"/>
      <c r="C364" s="16"/>
      <c r="D364" s="16"/>
      <c r="E364" s="17"/>
      <c r="J364" s="19"/>
    </row>
    <row r="365" ht="15.75" customHeight="1">
      <c r="A365" s="16"/>
      <c r="B365" s="16"/>
      <c r="C365" s="16"/>
      <c r="D365" s="16"/>
      <c r="E365" s="17"/>
      <c r="J365" s="19"/>
    </row>
    <row r="366" ht="15.75" customHeight="1">
      <c r="A366" s="16"/>
      <c r="B366" s="16"/>
      <c r="C366" s="16"/>
      <c r="D366" s="16"/>
      <c r="E366" s="17"/>
      <c r="J366" s="19"/>
    </row>
    <row r="367" ht="15.75" customHeight="1">
      <c r="A367" s="16"/>
      <c r="B367" s="16"/>
      <c r="C367" s="16"/>
      <c r="D367" s="16"/>
      <c r="E367" s="17"/>
      <c r="J367" s="19"/>
    </row>
    <row r="368" ht="15.75" customHeight="1">
      <c r="A368" s="16"/>
      <c r="B368" s="16"/>
      <c r="C368" s="16"/>
      <c r="D368" s="16"/>
      <c r="E368" s="17"/>
      <c r="J368" s="19"/>
    </row>
    <row r="369" ht="15.75" customHeight="1">
      <c r="A369" s="16"/>
      <c r="B369" s="16"/>
      <c r="C369" s="16"/>
      <c r="D369" s="16"/>
      <c r="E369" s="17"/>
      <c r="J369" s="19"/>
    </row>
    <row r="370" ht="15.75" customHeight="1">
      <c r="A370" s="16"/>
      <c r="B370" s="16"/>
      <c r="C370" s="16"/>
      <c r="D370" s="16"/>
      <c r="E370" s="17"/>
      <c r="J370" s="19"/>
    </row>
    <row r="371" ht="15.75" customHeight="1">
      <c r="A371" s="16"/>
      <c r="B371" s="16"/>
      <c r="C371" s="16"/>
      <c r="D371" s="16"/>
      <c r="E371" s="17"/>
      <c r="J371" s="19"/>
    </row>
    <row r="372" ht="15.75" customHeight="1">
      <c r="A372" s="16"/>
      <c r="B372" s="16"/>
      <c r="C372" s="16"/>
      <c r="D372" s="16"/>
      <c r="E372" s="17"/>
      <c r="J372" s="19"/>
    </row>
    <row r="373" ht="15.75" customHeight="1">
      <c r="A373" s="16"/>
      <c r="B373" s="16"/>
      <c r="C373" s="16"/>
      <c r="D373" s="16"/>
      <c r="E373" s="17"/>
      <c r="J373" s="19"/>
    </row>
    <row r="374" ht="15.75" customHeight="1">
      <c r="A374" s="16"/>
      <c r="B374" s="16"/>
      <c r="C374" s="16"/>
      <c r="D374" s="16"/>
      <c r="E374" s="17"/>
      <c r="J374" s="19"/>
    </row>
    <row r="375" ht="15.75" customHeight="1">
      <c r="A375" s="16"/>
      <c r="B375" s="16"/>
      <c r="C375" s="16"/>
      <c r="D375" s="16"/>
      <c r="E375" s="17"/>
      <c r="J375" s="19"/>
    </row>
    <row r="376" ht="15.75" customHeight="1">
      <c r="A376" s="16"/>
      <c r="B376" s="16"/>
      <c r="C376" s="16"/>
      <c r="D376" s="16"/>
      <c r="E376" s="17"/>
      <c r="J376" s="19"/>
    </row>
    <row r="377" ht="15.75" customHeight="1">
      <c r="A377" s="16"/>
      <c r="B377" s="16"/>
      <c r="C377" s="16"/>
      <c r="D377" s="16"/>
      <c r="E377" s="17"/>
      <c r="J377" s="19"/>
    </row>
    <row r="378" ht="15.75" customHeight="1">
      <c r="A378" s="16"/>
      <c r="B378" s="16"/>
      <c r="C378" s="16"/>
      <c r="D378" s="16"/>
      <c r="E378" s="17"/>
      <c r="J378" s="19"/>
    </row>
    <row r="379" ht="15.75" customHeight="1">
      <c r="A379" s="16"/>
      <c r="B379" s="16"/>
      <c r="C379" s="16"/>
      <c r="D379" s="16"/>
      <c r="E379" s="17"/>
      <c r="J379" s="19"/>
    </row>
    <row r="380" ht="15.75" customHeight="1">
      <c r="A380" s="16"/>
      <c r="B380" s="16"/>
      <c r="C380" s="16"/>
      <c r="D380" s="16"/>
      <c r="E380" s="17"/>
      <c r="J380" s="19"/>
    </row>
    <row r="381" ht="15.75" customHeight="1">
      <c r="A381" s="16"/>
      <c r="B381" s="16"/>
      <c r="C381" s="16"/>
      <c r="D381" s="16"/>
      <c r="E381" s="17"/>
      <c r="J381" s="19"/>
    </row>
    <row r="382" ht="15.75" customHeight="1">
      <c r="A382" s="16"/>
      <c r="B382" s="16"/>
      <c r="C382" s="16"/>
      <c r="D382" s="16"/>
      <c r="E382" s="17"/>
      <c r="J382" s="19"/>
    </row>
    <row r="383" ht="15.75" customHeight="1">
      <c r="A383" s="16"/>
      <c r="B383" s="16"/>
      <c r="C383" s="16"/>
      <c r="D383" s="16"/>
      <c r="E383" s="17"/>
      <c r="J383" s="19"/>
    </row>
    <row r="384" ht="15.75" customHeight="1">
      <c r="A384" s="16"/>
      <c r="B384" s="16"/>
      <c r="C384" s="16"/>
      <c r="D384" s="16"/>
      <c r="E384" s="17"/>
      <c r="J384" s="19"/>
    </row>
    <row r="385" ht="15.75" customHeight="1">
      <c r="A385" s="16"/>
      <c r="B385" s="16"/>
      <c r="C385" s="16"/>
      <c r="D385" s="16"/>
      <c r="E385" s="17"/>
      <c r="J385" s="19"/>
    </row>
    <row r="386" ht="15.75" customHeight="1">
      <c r="A386" s="16"/>
      <c r="B386" s="16"/>
      <c r="C386" s="16"/>
      <c r="D386" s="16"/>
      <c r="E386" s="17"/>
      <c r="J386" s="19"/>
    </row>
    <row r="387" ht="15.75" customHeight="1">
      <c r="A387" s="16"/>
      <c r="B387" s="16"/>
      <c r="C387" s="16"/>
      <c r="D387" s="16"/>
      <c r="E387" s="17"/>
      <c r="J387" s="19"/>
    </row>
    <row r="388" ht="15.75" customHeight="1">
      <c r="A388" s="16"/>
      <c r="B388" s="16"/>
      <c r="C388" s="16"/>
      <c r="D388" s="16"/>
      <c r="E388" s="17"/>
      <c r="J388" s="19"/>
    </row>
    <row r="389" ht="15.75" customHeight="1">
      <c r="A389" s="16"/>
      <c r="B389" s="16"/>
      <c r="C389" s="16"/>
      <c r="D389" s="16"/>
      <c r="E389" s="17"/>
      <c r="J389" s="19"/>
    </row>
    <row r="390" ht="15.75" customHeight="1">
      <c r="A390" s="16"/>
      <c r="B390" s="16"/>
      <c r="C390" s="16"/>
      <c r="D390" s="16"/>
      <c r="E390" s="17"/>
      <c r="J390" s="19"/>
    </row>
    <row r="391" ht="15.75" customHeight="1">
      <c r="A391" s="16"/>
      <c r="B391" s="16"/>
      <c r="C391" s="16"/>
      <c r="D391" s="16"/>
      <c r="E391" s="17"/>
      <c r="J391" s="19"/>
    </row>
    <row r="392" ht="15.75" customHeight="1">
      <c r="A392" s="16"/>
      <c r="B392" s="16"/>
      <c r="C392" s="16"/>
      <c r="D392" s="16"/>
      <c r="E392" s="17"/>
      <c r="J392" s="19"/>
    </row>
    <row r="393" ht="15.75" customHeight="1">
      <c r="A393" s="16"/>
      <c r="B393" s="16"/>
      <c r="C393" s="16"/>
      <c r="D393" s="16"/>
      <c r="E393" s="17"/>
      <c r="J393" s="19"/>
    </row>
    <row r="394" ht="15.75" customHeight="1">
      <c r="A394" s="16"/>
      <c r="B394" s="16"/>
      <c r="C394" s="16"/>
      <c r="D394" s="16"/>
      <c r="E394" s="17"/>
      <c r="J394" s="19"/>
    </row>
    <row r="395" ht="15.75" customHeight="1">
      <c r="A395" s="16"/>
      <c r="B395" s="16"/>
      <c r="C395" s="16"/>
      <c r="D395" s="16"/>
      <c r="E395" s="17"/>
      <c r="J395" s="19"/>
    </row>
    <row r="396" ht="15.75" customHeight="1">
      <c r="A396" s="16"/>
      <c r="B396" s="16"/>
      <c r="C396" s="16"/>
      <c r="D396" s="16"/>
      <c r="E396" s="17"/>
      <c r="J396" s="19"/>
    </row>
    <row r="397" ht="15.75" customHeight="1">
      <c r="A397" s="16"/>
      <c r="B397" s="16"/>
      <c r="C397" s="16"/>
      <c r="D397" s="16"/>
      <c r="E397" s="17"/>
      <c r="J397" s="19"/>
    </row>
    <row r="398" ht="15.75" customHeight="1">
      <c r="A398" s="16"/>
      <c r="B398" s="16"/>
      <c r="C398" s="16"/>
      <c r="D398" s="16"/>
      <c r="E398" s="17"/>
      <c r="J398" s="19"/>
    </row>
    <row r="399" ht="15.75" customHeight="1">
      <c r="A399" s="16"/>
      <c r="B399" s="16"/>
      <c r="C399" s="16"/>
      <c r="D399" s="16"/>
      <c r="E399" s="17"/>
      <c r="J399" s="19"/>
    </row>
    <row r="400" ht="15.75" customHeight="1">
      <c r="A400" s="16"/>
      <c r="B400" s="16"/>
      <c r="C400" s="16"/>
      <c r="D400" s="16"/>
      <c r="E400" s="17"/>
      <c r="J400" s="19"/>
    </row>
    <row r="401" ht="15.75" customHeight="1">
      <c r="A401" s="16"/>
      <c r="B401" s="16"/>
      <c r="C401" s="16"/>
      <c r="D401" s="16"/>
      <c r="E401" s="17"/>
      <c r="J401" s="19"/>
    </row>
    <row r="402" ht="15.75" customHeight="1">
      <c r="A402" s="16"/>
      <c r="B402" s="16"/>
      <c r="C402" s="16"/>
      <c r="D402" s="16"/>
      <c r="E402" s="17"/>
      <c r="J402" s="19"/>
    </row>
    <row r="403" ht="15.75" customHeight="1">
      <c r="A403" s="16"/>
      <c r="B403" s="16"/>
      <c r="C403" s="16"/>
      <c r="D403" s="16"/>
      <c r="E403" s="17"/>
      <c r="J403" s="19"/>
    </row>
    <row r="404" ht="15.75" customHeight="1">
      <c r="A404" s="16"/>
      <c r="B404" s="16"/>
      <c r="C404" s="16"/>
      <c r="D404" s="16"/>
      <c r="E404" s="17"/>
      <c r="J404" s="19"/>
    </row>
    <row r="405" ht="15.75" customHeight="1">
      <c r="A405" s="16"/>
      <c r="B405" s="16"/>
      <c r="C405" s="16"/>
      <c r="D405" s="16"/>
      <c r="E405" s="17"/>
      <c r="J405" s="19"/>
    </row>
    <row r="406" ht="15.75" customHeight="1">
      <c r="A406" s="16"/>
      <c r="B406" s="16"/>
      <c r="C406" s="16"/>
      <c r="D406" s="16"/>
      <c r="E406" s="17"/>
      <c r="J406" s="19"/>
    </row>
    <row r="407" ht="15.75" customHeight="1">
      <c r="A407" s="16"/>
      <c r="B407" s="16"/>
      <c r="C407" s="16"/>
      <c r="D407" s="16"/>
      <c r="E407" s="17"/>
      <c r="J407" s="19"/>
    </row>
    <row r="408" ht="15.75" customHeight="1">
      <c r="A408" s="16"/>
      <c r="B408" s="16"/>
      <c r="C408" s="16"/>
      <c r="D408" s="16"/>
      <c r="E408" s="17"/>
      <c r="J408" s="19"/>
    </row>
    <row r="409" ht="15.75" customHeight="1">
      <c r="A409" s="16"/>
      <c r="B409" s="16"/>
      <c r="C409" s="16"/>
      <c r="D409" s="16"/>
      <c r="E409" s="17"/>
      <c r="J409" s="19"/>
    </row>
    <row r="410" ht="15.75" customHeight="1">
      <c r="A410" s="16"/>
      <c r="B410" s="16"/>
      <c r="C410" s="16"/>
      <c r="D410" s="16"/>
      <c r="E410" s="17"/>
      <c r="J410" s="19"/>
    </row>
    <row r="411" ht="15.75" customHeight="1">
      <c r="A411" s="16"/>
      <c r="B411" s="16"/>
      <c r="C411" s="16"/>
      <c r="D411" s="16"/>
      <c r="E411" s="17"/>
      <c r="J411" s="19"/>
    </row>
    <row r="412" ht="15.75" customHeight="1">
      <c r="A412" s="16"/>
      <c r="B412" s="16"/>
      <c r="C412" s="16"/>
      <c r="D412" s="16"/>
      <c r="E412" s="17"/>
      <c r="J412" s="19"/>
    </row>
    <row r="413" ht="15.75" customHeight="1">
      <c r="A413" s="16"/>
      <c r="B413" s="16"/>
      <c r="C413" s="16"/>
      <c r="D413" s="16"/>
      <c r="E413" s="17"/>
      <c r="J413" s="19"/>
    </row>
    <row r="414" ht="15.75" customHeight="1">
      <c r="A414" s="16"/>
      <c r="B414" s="16"/>
      <c r="C414" s="16"/>
      <c r="D414" s="16"/>
      <c r="E414" s="17"/>
      <c r="J414" s="19"/>
    </row>
    <row r="415" ht="15.75" customHeight="1">
      <c r="A415" s="16"/>
      <c r="B415" s="16"/>
      <c r="C415" s="16"/>
      <c r="D415" s="16"/>
      <c r="E415" s="17"/>
      <c r="J415" s="19"/>
    </row>
    <row r="416" ht="15.75" customHeight="1">
      <c r="A416" s="16"/>
      <c r="B416" s="16"/>
      <c r="C416" s="16"/>
      <c r="D416" s="16"/>
      <c r="E416" s="17"/>
      <c r="J416" s="19"/>
    </row>
    <row r="417" ht="15.75" customHeight="1">
      <c r="A417" s="16"/>
      <c r="B417" s="16"/>
      <c r="C417" s="16"/>
      <c r="D417" s="16"/>
      <c r="E417" s="17"/>
      <c r="J417" s="19"/>
    </row>
    <row r="418" ht="15.75" customHeight="1">
      <c r="A418" s="16"/>
      <c r="B418" s="16"/>
      <c r="C418" s="16"/>
      <c r="D418" s="16"/>
      <c r="E418" s="17"/>
      <c r="J418" s="19"/>
    </row>
    <row r="419" ht="15.75" customHeight="1">
      <c r="A419" s="16"/>
      <c r="B419" s="16"/>
      <c r="C419" s="16"/>
      <c r="D419" s="16"/>
      <c r="E419" s="17"/>
      <c r="J419" s="19"/>
    </row>
    <row r="420" ht="15.75" customHeight="1">
      <c r="A420" s="16"/>
      <c r="B420" s="16"/>
      <c r="C420" s="16"/>
      <c r="D420" s="16"/>
      <c r="E420" s="17"/>
      <c r="J420" s="19"/>
    </row>
    <row r="421" ht="15.75" customHeight="1">
      <c r="A421" s="16"/>
      <c r="B421" s="16"/>
      <c r="C421" s="16"/>
      <c r="D421" s="16"/>
      <c r="E421" s="17"/>
      <c r="J421" s="19"/>
    </row>
    <row r="422" ht="15.75" customHeight="1">
      <c r="A422" s="16"/>
      <c r="B422" s="16"/>
      <c r="C422" s="16"/>
      <c r="D422" s="16"/>
      <c r="E422" s="17"/>
      <c r="J422" s="19"/>
    </row>
    <row r="423" ht="15.75" customHeight="1">
      <c r="A423" s="16"/>
      <c r="B423" s="16"/>
      <c r="C423" s="16"/>
      <c r="D423" s="16"/>
      <c r="E423" s="17"/>
      <c r="J423" s="19"/>
    </row>
    <row r="424" ht="15.75" customHeight="1">
      <c r="A424" s="16"/>
      <c r="B424" s="16"/>
      <c r="C424" s="16"/>
      <c r="D424" s="16"/>
      <c r="E424" s="17"/>
      <c r="J424" s="19"/>
    </row>
    <row r="425" ht="15.75" customHeight="1">
      <c r="A425" s="16"/>
      <c r="B425" s="16"/>
      <c r="C425" s="16"/>
      <c r="D425" s="16"/>
      <c r="E425" s="17"/>
      <c r="J425" s="19"/>
    </row>
    <row r="426" ht="15.75" customHeight="1">
      <c r="A426" s="16"/>
      <c r="B426" s="16"/>
      <c r="C426" s="16"/>
      <c r="D426" s="16"/>
      <c r="E426" s="17"/>
      <c r="J426" s="19"/>
    </row>
    <row r="427" ht="15.75" customHeight="1">
      <c r="A427" s="16"/>
      <c r="B427" s="16"/>
      <c r="C427" s="16"/>
      <c r="D427" s="16"/>
      <c r="E427" s="17"/>
      <c r="J427" s="19"/>
    </row>
    <row r="428" ht="15.75" customHeight="1">
      <c r="A428" s="16"/>
      <c r="B428" s="16"/>
      <c r="C428" s="16"/>
      <c r="D428" s="16"/>
      <c r="E428" s="17"/>
      <c r="J428" s="19"/>
    </row>
    <row r="429" ht="15.75" customHeight="1">
      <c r="A429" s="16"/>
      <c r="B429" s="16"/>
      <c r="C429" s="16"/>
      <c r="D429" s="16"/>
      <c r="E429" s="17"/>
      <c r="J429" s="19"/>
    </row>
    <row r="430" ht="15.75" customHeight="1">
      <c r="A430" s="16"/>
      <c r="B430" s="16"/>
      <c r="C430" s="16"/>
      <c r="D430" s="16"/>
      <c r="E430" s="17"/>
      <c r="J430" s="19"/>
    </row>
    <row r="431" ht="15.75" customHeight="1">
      <c r="A431" s="16"/>
      <c r="B431" s="16"/>
      <c r="C431" s="16"/>
      <c r="D431" s="16"/>
      <c r="E431" s="17"/>
      <c r="J431" s="19"/>
    </row>
    <row r="432" ht="15.75" customHeight="1">
      <c r="A432" s="16"/>
      <c r="B432" s="16"/>
      <c r="C432" s="16"/>
      <c r="D432" s="16"/>
      <c r="E432" s="17"/>
      <c r="J432" s="19"/>
    </row>
    <row r="433" ht="15.75" customHeight="1">
      <c r="A433" s="16"/>
      <c r="B433" s="16"/>
      <c r="C433" s="16"/>
      <c r="D433" s="16"/>
      <c r="E433" s="17"/>
      <c r="J433" s="19"/>
    </row>
    <row r="434" ht="15.75" customHeight="1">
      <c r="A434" s="16"/>
      <c r="B434" s="16"/>
      <c r="C434" s="16"/>
      <c r="D434" s="16"/>
      <c r="E434" s="17"/>
      <c r="J434" s="19"/>
    </row>
    <row r="435" ht="15.75" customHeight="1">
      <c r="A435" s="16"/>
      <c r="B435" s="16"/>
      <c r="C435" s="16"/>
      <c r="D435" s="16"/>
      <c r="E435" s="17"/>
      <c r="J435" s="19"/>
    </row>
    <row r="436" ht="15.75" customHeight="1">
      <c r="A436" s="16"/>
      <c r="B436" s="16"/>
      <c r="C436" s="16"/>
      <c r="D436" s="16"/>
      <c r="E436" s="17"/>
      <c r="J436" s="19"/>
    </row>
    <row r="437" ht="15.75" customHeight="1">
      <c r="A437" s="16"/>
      <c r="B437" s="16"/>
      <c r="C437" s="16"/>
      <c r="D437" s="16"/>
      <c r="E437" s="17"/>
      <c r="J437" s="19"/>
    </row>
    <row r="438" ht="15.75" customHeight="1">
      <c r="E438" s="56"/>
      <c r="J438" s="19"/>
    </row>
    <row r="439" ht="15.75" customHeight="1">
      <c r="E439" s="56"/>
      <c r="J439" s="19"/>
    </row>
    <row r="440" ht="15.75" customHeight="1">
      <c r="E440" s="56"/>
      <c r="J440" s="19"/>
    </row>
  </sheetData>
  <mergeCells count="33">
    <mergeCell ref="A2:B2"/>
    <mergeCell ref="D2:J2"/>
    <mergeCell ref="L2:M3"/>
    <mergeCell ref="D5:D32"/>
    <mergeCell ref="E5:E32"/>
    <mergeCell ref="D33:D60"/>
    <mergeCell ref="E33:E60"/>
    <mergeCell ref="D145:D172"/>
    <mergeCell ref="D173:D200"/>
    <mergeCell ref="D201:D228"/>
    <mergeCell ref="D229:D256"/>
    <mergeCell ref="D257:D284"/>
    <mergeCell ref="E173:E200"/>
    <mergeCell ref="E201:E228"/>
    <mergeCell ref="E229:E256"/>
    <mergeCell ref="E257:E284"/>
    <mergeCell ref="D61:D88"/>
    <mergeCell ref="E61:E88"/>
    <mergeCell ref="D89:D116"/>
    <mergeCell ref="E89:E116"/>
    <mergeCell ref="D117:D144"/>
    <mergeCell ref="E117:E144"/>
    <mergeCell ref="E145:E172"/>
    <mergeCell ref="J201:J228"/>
    <mergeCell ref="J229:J256"/>
    <mergeCell ref="J257:J284"/>
    <mergeCell ref="J5:J32"/>
    <mergeCell ref="J33:J60"/>
    <mergeCell ref="J61:J88"/>
    <mergeCell ref="J89:J116"/>
    <mergeCell ref="J117:J144"/>
    <mergeCell ref="J145:J172"/>
    <mergeCell ref="J173:J200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16"/>
      <c r="B1" s="16"/>
      <c r="C1" s="16"/>
      <c r="D1" s="16"/>
      <c r="E1" s="17"/>
      <c r="F1" s="18"/>
      <c r="G1" s="18"/>
      <c r="H1" s="18"/>
      <c r="I1" s="18"/>
      <c r="J1" s="19"/>
      <c r="K1" s="18"/>
      <c r="L1" s="18"/>
      <c r="M1" s="18"/>
      <c r="N1" s="18"/>
    </row>
    <row r="2" ht="15.75" customHeight="1">
      <c r="A2" s="20" t="s">
        <v>44</v>
      </c>
      <c r="B2" s="21"/>
      <c r="C2" s="22"/>
      <c r="D2" s="22" t="s">
        <v>45</v>
      </c>
      <c r="K2" s="18"/>
      <c r="L2" s="23" t="s">
        <v>46</v>
      </c>
      <c r="M2" s="24"/>
      <c r="N2" s="18"/>
    </row>
    <row r="3" ht="15.75" customHeight="1">
      <c r="A3" s="25" t="s">
        <v>47</v>
      </c>
      <c r="B3" s="26" t="s">
        <v>48</v>
      </c>
      <c r="C3" s="16"/>
      <c r="D3" s="16"/>
      <c r="E3" s="17"/>
      <c r="F3" s="18"/>
      <c r="G3" s="18"/>
      <c r="H3" s="18"/>
      <c r="I3" s="18"/>
      <c r="J3" s="27"/>
      <c r="K3" s="18"/>
      <c r="L3" s="28"/>
      <c r="M3" s="29"/>
      <c r="N3" s="18"/>
    </row>
    <row r="4" ht="15.75" customHeight="1">
      <c r="A4" s="30" t="s">
        <v>21</v>
      </c>
      <c r="B4" s="31">
        <v>5000.0</v>
      </c>
      <c r="C4" s="32"/>
      <c r="D4" s="33" t="s">
        <v>1</v>
      </c>
      <c r="E4" s="34" t="s">
        <v>49</v>
      </c>
      <c r="F4" s="35" t="s">
        <v>50</v>
      </c>
      <c r="G4" s="36" t="s">
        <v>51</v>
      </c>
      <c r="H4" s="36" t="s">
        <v>52</v>
      </c>
      <c r="I4" s="36" t="s">
        <v>53</v>
      </c>
      <c r="J4" s="37" t="s">
        <v>54</v>
      </c>
      <c r="K4" s="18"/>
      <c r="L4" s="38" t="s">
        <v>55</v>
      </c>
      <c r="M4" s="38" t="s">
        <v>51</v>
      </c>
      <c r="N4" s="18"/>
    </row>
    <row r="5" ht="15.75" customHeight="1">
      <c r="A5" s="30" t="s">
        <v>56</v>
      </c>
      <c r="B5" s="31">
        <v>3000.0</v>
      </c>
      <c r="C5" s="39"/>
      <c r="D5" s="40">
        <v>1.0</v>
      </c>
      <c r="E5" s="41" t="s">
        <v>116</v>
      </c>
      <c r="F5" s="42" t="s">
        <v>21</v>
      </c>
      <c r="G5" s="43">
        <v>0.5</v>
      </c>
      <c r="H5" s="44">
        <f>VLOOKUP(F5,$A$4:$B$4,2,TRUE)</f>
        <v>5000</v>
      </c>
      <c r="I5" s="45">
        <f t="shared" ref="I5:I90" si="1">G5*H5</f>
        <v>2500</v>
      </c>
      <c r="J5" s="46">
        <f>SUM(I5:I32)</f>
        <v>5200</v>
      </c>
      <c r="K5" s="18"/>
      <c r="L5" s="42" t="s">
        <v>21</v>
      </c>
      <c r="M5" s="38">
        <f>SUMIF(F5:F88,"Gelas bersih",G5:G88)</f>
        <v>1.5</v>
      </c>
      <c r="N5" s="18"/>
    </row>
    <row r="6" ht="15.75" customHeight="1">
      <c r="A6" s="30" t="s">
        <v>58</v>
      </c>
      <c r="B6" s="31">
        <v>1000.0</v>
      </c>
      <c r="C6" s="39"/>
      <c r="D6" s="47"/>
      <c r="E6" s="47"/>
      <c r="F6" s="42" t="s">
        <v>56</v>
      </c>
      <c r="G6" s="43">
        <v>0.5</v>
      </c>
      <c r="H6" s="48">
        <f>VLOOKUP(F6,$A$5:$B$5,2,TRUE)</f>
        <v>3000</v>
      </c>
      <c r="I6" s="45">
        <f t="shared" si="1"/>
        <v>1500</v>
      </c>
      <c r="J6" s="47"/>
      <c r="K6" s="18"/>
      <c r="L6" s="42" t="s">
        <v>56</v>
      </c>
      <c r="M6" s="38">
        <f>SUMIF(F6:F89,"Botol bersih",G6:G89)</f>
        <v>1.5</v>
      </c>
      <c r="N6" s="18"/>
    </row>
    <row r="7" ht="15.75" customHeight="1">
      <c r="A7" s="30" t="s">
        <v>24</v>
      </c>
      <c r="B7" s="31">
        <v>2800.0</v>
      </c>
      <c r="C7" s="39"/>
      <c r="D7" s="47"/>
      <c r="E7" s="47"/>
      <c r="F7" s="42" t="s">
        <v>58</v>
      </c>
      <c r="G7" s="43"/>
      <c r="H7" s="48">
        <f>VLOOKUP(F7,$A$6:$B$6,2,TRUE)</f>
        <v>1000</v>
      </c>
      <c r="I7" s="45">
        <f t="shared" si="1"/>
        <v>0</v>
      </c>
      <c r="J7" s="47"/>
      <c r="K7" s="18"/>
      <c r="L7" s="42" t="s">
        <v>58</v>
      </c>
      <c r="M7" s="38">
        <f>SUMIF(F7:F90,"Botol Warna",G7:G90)</f>
        <v>0</v>
      </c>
      <c r="N7" s="18"/>
    </row>
    <row r="8" ht="15.75" customHeight="1">
      <c r="A8" s="30" t="s">
        <v>25</v>
      </c>
      <c r="B8" s="31">
        <v>3500.0</v>
      </c>
      <c r="C8" s="39"/>
      <c r="D8" s="47"/>
      <c r="E8" s="47"/>
      <c r="F8" s="42" t="s">
        <v>24</v>
      </c>
      <c r="G8" s="43"/>
      <c r="H8" s="48">
        <f>VLOOKUP(F8,$A$7:$B$7,2,TRUE)</f>
        <v>2800</v>
      </c>
      <c r="I8" s="45">
        <f t="shared" si="1"/>
        <v>0</v>
      </c>
      <c r="J8" s="47"/>
      <c r="K8" s="18"/>
      <c r="L8" s="42" t="s">
        <v>24</v>
      </c>
      <c r="M8" s="38">
        <f>SUMIF(F8:F91,"Tutup botol",G8:G91)</f>
        <v>0</v>
      </c>
      <c r="N8" s="18"/>
    </row>
    <row r="9" ht="15.75" customHeight="1">
      <c r="A9" s="30" t="s">
        <v>26</v>
      </c>
      <c r="B9" s="31">
        <v>1000.0</v>
      </c>
      <c r="C9" s="39"/>
      <c r="D9" s="47"/>
      <c r="E9" s="47"/>
      <c r="F9" s="42" t="s">
        <v>25</v>
      </c>
      <c r="G9" s="43"/>
      <c r="H9" s="48">
        <f>VLOOKUP(F9,$A$8:$B$8,2,TRUE)</f>
        <v>3500</v>
      </c>
      <c r="I9" s="45">
        <f t="shared" si="1"/>
        <v>0</v>
      </c>
      <c r="J9" s="47"/>
      <c r="K9" s="18"/>
      <c r="L9" s="42" t="s">
        <v>25</v>
      </c>
      <c r="M9" s="38">
        <f>SUMIF(F9:F92,"Tutup galon",G9:G92)</f>
        <v>0</v>
      </c>
      <c r="N9" s="18"/>
    </row>
    <row r="10" ht="15.75" customHeight="1">
      <c r="A10" s="30" t="s">
        <v>27</v>
      </c>
      <c r="B10" s="31">
        <v>2000.0</v>
      </c>
      <c r="C10" s="39"/>
      <c r="D10" s="47"/>
      <c r="E10" s="47"/>
      <c r="F10" s="42" t="s">
        <v>26</v>
      </c>
      <c r="G10" s="43"/>
      <c r="H10" s="48">
        <f>VLOOKUP(F10,$A$9:$B$9,2,TRUE)</f>
        <v>1000</v>
      </c>
      <c r="I10" s="45">
        <f t="shared" si="1"/>
        <v>0</v>
      </c>
      <c r="J10" s="47"/>
      <c r="K10" s="18"/>
      <c r="L10" s="42" t="s">
        <v>26</v>
      </c>
      <c r="M10" s="38">
        <f>SUMIF(F10:F93,"Hitam",G10:G93)</f>
        <v>4</v>
      </c>
      <c r="N10" s="18"/>
    </row>
    <row r="11" ht="15.75" customHeight="1">
      <c r="A11" s="30" t="s">
        <v>28</v>
      </c>
      <c r="B11" s="31">
        <v>2000.0</v>
      </c>
      <c r="C11" s="39"/>
      <c r="D11" s="47"/>
      <c r="E11" s="47"/>
      <c r="F11" s="42" t="s">
        <v>27</v>
      </c>
      <c r="G11" s="43"/>
      <c r="H11" s="48">
        <f>VLOOKUP(F11,$A$10:$B$10,2,TRUE)</f>
        <v>2000</v>
      </c>
      <c r="I11" s="45">
        <f t="shared" si="1"/>
        <v>0</v>
      </c>
      <c r="J11" s="47"/>
      <c r="K11" s="18"/>
      <c r="L11" s="42" t="s">
        <v>27</v>
      </c>
      <c r="M11" s="38">
        <f>SUMIF(F11:F94,"Plastik Campur",G11:G94)</f>
        <v>0</v>
      </c>
      <c r="N11" s="18"/>
    </row>
    <row r="12" ht="15.75" customHeight="1">
      <c r="A12" s="30" t="s">
        <v>29</v>
      </c>
      <c r="B12" s="31">
        <v>1300.0</v>
      </c>
      <c r="C12" s="39"/>
      <c r="D12" s="47"/>
      <c r="E12" s="47"/>
      <c r="F12" s="42" t="s">
        <v>28</v>
      </c>
      <c r="G12" s="43"/>
      <c r="H12" s="48">
        <f>VLOOKUP(F12,$A$11:$B$11,2,TRUE)</f>
        <v>2000</v>
      </c>
      <c r="I12" s="45">
        <f t="shared" si="1"/>
        <v>0</v>
      </c>
      <c r="J12" s="47"/>
      <c r="K12" s="18"/>
      <c r="L12" s="42" t="s">
        <v>28</v>
      </c>
      <c r="M12" s="38">
        <f>SUMIF(F12:F95,"Kardus",G12:G95)</f>
        <v>10.5</v>
      </c>
      <c r="N12" s="18"/>
    </row>
    <row r="13" ht="15.75" customHeight="1">
      <c r="A13" s="30" t="s">
        <v>30</v>
      </c>
      <c r="B13" s="31">
        <v>1000.0</v>
      </c>
      <c r="C13" s="39"/>
      <c r="D13" s="47"/>
      <c r="E13" s="47"/>
      <c r="F13" s="42" t="s">
        <v>29</v>
      </c>
      <c r="G13" s="43"/>
      <c r="H13" s="48">
        <f>VLOOKUP(F13,$A$12:$B$12,2,TRUE)</f>
        <v>1300</v>
      </c>
      <c r="I13" s="45">
        <f t="shared" si="1"/>
        <v>0</v>
      </c>
      <c r="J13" s="47"/>
      <c r="K13" s="18"/>
      <c r="L13" s="42" t="s">
        <v>29</v>
      </c>
      <c r="M13" s="38">
        <f>SUMIF(F13:F96,"Kertas Putihan/ HVS",G13:G96)</f>
        <v>0</v>
      </c>
      <c r="N13" s="18"/>
    </row>
    <row r="14" ht="15.75" customHeight="1">
      <c r="A14" s="30" t="s">
        <v>31</v>
      </c>
      <c r="B14" s="31">
        <v>400.0</v>
      </c>
      <c r="C14" s="39"/>
      <c r="D14" s="47"/>
      <c r="E14" s="47"/>
      <c r="F14" s="42" t="s">
        <v>30</v>
      </c>
      <c r="G14" s="43"/>
      <c r="H14" s="48">
        <f>VLOOKUP(F14,$A$13:$B$13,2,TRUE)</f>
        <v>1000</v>
      </c>
      <c r="I14" s="45">
        <f t="shared" si="1"/>
        <v>0</v>
      </c>
      <c r="J14" s="47"/>
      <c r="K14" s="18"/>
      <c r="L14" s="42" t="s">
        <v>30</v>
      </c>
      <c r="M14" s="38">
        <f>SUMIF(F14:F97,"Koran/Buku",G14:G97)</f>
        <v>0</v>
      </c>
      <c r="N14" s="18"/>
    </row>
    <row r="15" ht="15.75" customHeight="1">
      <c r="A15" s="30" t="s">
        <v>32</v>
      </c>
      <c r="B15" s="31">
        <v>7500.0</v>
      </c>
      <c r="C15" s="39"/>
      <c r="D15" s="47"/>
      <c r="E15" s="47"/>
      <c r="F15" s="42" t="s">
        <v>31</v>
      </c>
      <c r="G15" s="43">
        <v>3.0</v>
      </c>
      <c r="H15" s="48">
        <f>VLOOKUP(F15,$A$14:$B$14,2,TRUE)</f>
        <v>400</v>
      </c>
      <c r="I15" s="45">
        <f t="shared" si="1"/>
        <v>1200</v>
      </c>
      <c r="J15" s="47"/>
      <c r="K15" s="18"/>
      <c r="L15" s="42" t="s">
        <v>31</v>
      </c>
      <c r="M15" s="38">
        <f>SUMIF(F15:F98,"Duplex",G15:G98)</f>
        <v>3</v>
      </c>
      <c r="N15" s="18"/>
    </row>
    <row r="16" ht="15.75" customHeight="1">
      <c r="A16" s="30" t="s">
        <v>33</v>
      </c>
      <c r="B16" s="31">
        <v>2000.0</v>
      </c>
      <c r="C16" s="39"/>
      <c r="D16" s="47"/>
      <c r="E16" s="47"/>
      <c r="F16" s="42" t="s">
        <v>32</v>
      </c>
      <c r="G16" s="43"/>
      <c r="H16" s="48">
        <f>VLOOKUP(F16,$A$15:$B$15,2,TRUE)</f>
        <v>7500</v>
      </c>
      <c r="I16" s="45">
        <f t="shared" si="1"/>
        <v>0</v>
      </c>
      <c r="J16" s="47"/>
      <c r="K16" s="18"/>
      <c r="L16" s="42" t="s">
        <v>32</v>
      </c>
      <c r="M16" s="38">
        <f>SUMIF(F16:F99,"Alumunium",G16:G99)</f>
        <v>5.5</v>
      </c>
      <c r="N16" s="18"/>
    </row>
    <row r="17" ht="15.75" customHeight="1">
      <c r="A17" s="30" t="s">
        <v>34</v>
      </c>
      <c r="B17" s="31">
        <v>800.0</v>
      </c>
      <c r="C17" s="39"/>
      <c r="D17" s="47"/>
      <c r="E17" s="47"/>
      <c r="F17" s="42" t="s">
        <v>33</v>
      </c>
      <c r="G17" s="43"/>
      <c r="H17" s="48">
        <f>VLOOKUP(F17,$A$16:$B$16,2,TRUE)</f>
        <v>2000</v>
      </c>
      <c r="I17" s="45">
        <f t="shared" si="1"/>
        <v>0</v>
      </c>
      <c r="J17" s="47"/>
      <c r="K17" s="18"/>
      <c r="L17" s="42" t="s">
        <v>33</v>
      </c>
      <c r="M17" s="38">
        <f>SUMIF(F17:F100,"Besi",G17:G100)</f>
        <v>10</v>
      </c>
      <c r="N17" s="18"/>
    </row>
    <row r="18" ht="15.75" customHeight="1">
      <c r="A18" s="30" t="s">
        <v>35</v>
      </c>
      <c r="B18" s="31">
        <v>5000.0</v>
      </c>
      <c r="C18" s="39"/>
      <c r="D18" s="47"/>
      <c r="E18" s="47"/>
      <c r="F18" s="42" t="s">
        <v>34</v>
      </c>
      <c r="G18" s="43"/>
      <c r="H18" s="48">
        <f>VLOOKUP(F18,$A$17:$B$17,2,TRUE)</f>
        <v>800</v>
      </c>
      <c r="I18" s="45">
        <f t="shared" si="1"/>
        <v>0</v>
      </c>
      <c r="J18" s="47"/>
      <c r="K18" s="18"/>
      <c r="L18" s="42" t="s">
        <v>34</v>
      </c>
      <c r="M18" s="38">
        <f>SUMIF(F18:F101,"Kaleng kue/susu",G18:G101)</f>
        <v>3.5</v>
      </c>
      <c r="N18" s="18"/>
    </row>
    <row r="19" ht="15.75" customHeight="1">
      <c r="A19" s="30" t="s">
        <v>36</v>
      </c>
      <c r="B19" s="31">
        <v>2700.0</v>
      </c>
      <c r="C19" s="39"/>
      <c r="D19" s="47"/>
      <c r="E19" s="47"/>
      <c r="F19" s="42" t="s">
        <v>35</v>
      </c>
      <c r="G19" s="43"/>
      <c r="H19" s="48">
        <f>VLOOKUP(F19,$A$18:$B$18,2,TRUE)</f>
        <v>5000</v>
      </c>
      <c r="I19" s="45">
        <f t="shared" si="1"/>
        <v>0</v>
      </c>
      <c r="J19" s="47"/>
      <c r="K19" s="18"/>
      <c r="L19" s="42" t="s">
        <v>35</v>
      </c>
      <c r="M19" s="38">
        <f>SUMIF(F19:F102,"Kaleng Minuman",G19:G102)</f>
        <v>0</v>
      </c>
      <c r="N19" s="18"/>
    </row>
    <row r="20" ht="15.75" customHeight="1">
      <c r="A20" s="30" t="s">
        <v>37</v>
      </c>
      <c r="B20" s="31">
        <v>50000.0</v>
      </c>
      <c r="C20" s="39"/>
      <c r="D20" s="47"/>
      <c r="E20" s="47"/>
      <c r="F20" s="42" t="s">
        <v>36</v>
      </c>
      <c r="G20" s="43"/>
      <c r="H20" s="48">
        <f>VLOOKUP(F20,$A$19:$B$19,2,TRUE)</f>
        <v>2700</v>
      </c>
      <c r="I20" s="45">
        <f t="shared" si="1"/>
        <v>0</v>
      </c>
      <c r="J20" s="47"/>
      <c r="K20" s="18"/>
      <c r="L20" s="42" t="s">
        <v>36</v>
      </c>
      <c r="M20" s="38">
        <f>SUMIF(F20:F103,"Stanless",G20:G103)</f>
        <v>0</v>
      </c>
      <c r="N20" s="18"/>
    </row>
    <row r="21" ht="15.75" customHeight="1">
      <c r="A21" s="30" t="s">
        <v>38</v>
      </c>
      <c r="B21" s="31">
        <v>10000.0</v>
      </c>
      <c r="C21" s="39"/>
      <c r="D21" s="47"/>
      <c r="E21" s="47"/>
      <c r="F21" s="42" t="s">
        <v>37</v>
      </c>
      <c r="G21" s="43"/>
      <c r="H21" s="48">
        <f>VLOOKUP(F21,$A$20:$B$20,2,TRUE)</f>
        <v>50000</v>
      </c>
      <c r="I21" s="45">
        <f t="shared" si="1"/>
        <v>0</v>
      </c>
      <c r="J21" s="47"/>
      <c r="K21" s="18"/>
      <c r="L21" s="42" t="s">
        <v>37</v>
      </c>
      <c r="M21" s="38">
        <f>SUMIF(F21:F104,"Tembaga",G21:G104)</f>
        <v>0</v>
      </c>
      <c r="N21" s="18"/>
    </row>
    <row r="22" ht="15.75" customHeight="1">
      <c r="A22" s="30" t="s">
        <v>39</v>
      </c>
      <c r="B22" s="31">
        <v>1000.0</v>
      </c>
      <c r="C22" s="39"/>
      <c r="D22" s="47"/>
      <c r="E22" s="47"/>
      <c r="F22" s="42" t="s">
        <v>38</v>
      </c>
      <c r="G22" s="43"/>
      <c r="H22" s="48">
        <f>VLOOKUP(F22,$A$21:$B$21,2,TRUE)</f>
        <v>10000</v>
      </c>
      <c r="I22" s="45">
        <f t="shared" si="1"/>
        <v>0</v>
      </c>
      <c r="J22" s="47"/>
      <c r="K22" s="18"/>
      <c r="L22" s="42" t="s">
        <v>38</v>
      </c>
      <c r="M22" s="38">
        <f>SUMIF(F22:F105,"Aki Motor",G22:G105)</f>
        <v>0</v>
      </c>
      <c r="N22" s="18"/>
    </row>
    <row r="23" ht="15.75" customHeight="1">
      <c r="A23" s="30" t="s">
        <v>40</v>
      </c>
      <c r="B23" s="31">
        <v>500.0</v>
      </c>
      <c r="C23" s="39"/>
      <c r="D23" s="47"/>
      <c r="E23" s="47"/>
      <c r="F23" s="42" t="s">
        <v>39</v>
      </c>
      <c r="G23" s="43"/>
      <c r="H23" s="48">
        <f>VLOOKUP(F23,$A$22:$B$22,2,TRUE)</f>
        <v>1000</v>
      </c>
      <c r="I23" s="45">
        <f t="shared" si="1"/>
        <v>0</v>
      </c>
      <c r="J23" s="47"/>
      <c r="K23" s="18"/>
      <c r="L23" s="42" t="s">
        <v>39</v>
      </c>
      <c r="M23" s="38">
        <f>SUMIF(F23:F106,"Paralon",G23:G106)</f>
        <v>0</v>
      </c>
      <c r="N23" s="18"/>
    </row>
    <row r="24" ht="15.75" customHeight="1">
      <c r="A24" s="30" t="s">
        <v>41</v>
      </c>
      <c r="B24" s="31">
        <v>200.0</v>
      </c>
      <c r="C24" s="39"/>
      <c r="D24" s="47"/>
      <c r="E24" s="47"/>
      <c r="F24" s="42" t="s">
        <v>40</v>
      </c>
      <c r="G24" s="43"/>
      <c r="H24" s="48">
        <f>VLOOKUP(F24,$A$23:$B$23,2,TRUE)</f>
        <v>500</v>
      </c>
      <c r="I24" s="45">
        <f t="shared" si="1"/>
        <v>0</v>
      </c>
      <c r="J24" s="47"/>
      <c r="K24" s="18"/>
      <c r="L24" s="42" t="s">
        <v>40</v>
      </c>
      <c r="M24" s="38">
        <f>SUMIF(F24:F107,"Plastik bening",G24:G107)</f>
        <v>2</v>
      </c>
      <c r="N24" s="18"/>
    </row>
    <row r="25" ht="15.75" customHeight="1">
      <c r="A25" s="30" t="s">
        <v>42</v>
      </c>
      <c r="B25" s="31">
        <v>1000.0</v>
      </c>
      <c r="C25" s="39"/>
      <c r="D25" s="47"/>
      <c r="E25" s="47"/>
      <c r="F25" s="42" t="s">
        <v>41</v>
      </c>
      <c r="G25" s="43"/>
      <c r="H25" s="48">
        <f>VLOOKUP(F25,$A$24:$B$24,2,TRUE)</f>
        <v>200</v>
      </c>
      <c r="I25" s="45">
        <f t="shared" si="1"/>
        <v>0</v>
      </c>
      <c r="J25" s="47"/>
      <c r="K25" s="18"/>
      <c r="L25" s="42" t="s">
        <v>41</v>
      </c>
      <c r="M25" s="38">
        <f>SUMIF(F25:F108,"Plastik Warna",G25:G108)</f>
        <v>0</v>
      </c>
      <c r="N25" s="18"/>
    </row>
    <row r="26" ht="15.75" customHeight="1">
      <c r="A26" s="30" t="s">
        <v>17</v>
      </c>
      <c r="B26" s="31">
        <v>300.0</v>
      </c>
      <c r="C26" s="39"/>
      <c r="D26" s="47"/>
      <c r="E26" s="47"/>
      <c r="F26" s="42" t="s">
        <v>42</v>
      </c>
      <c r="G26" s="43"/>
      <c r="H26" s="48">
        <f>VLOOKUP(F26,$A$25:$B$25,2,TRUE)</f>
        <v>1000</v>
      </c>
      <c r="I26" s="45">
        <f t="shared" si="1"/>
        <v>0</v>
      </c>
      <c r="J26" s="47"/>
      <c r="K26" s="18"/>
      <c r="L26" s="42" t="s">
        <v>42</v>
      </c>
      <c r="M26" s="38">
        <f>SUMIF(F26:F109,"Selang",G26:G109)</f>
        <v>0</v>
      </c>
      <c r="N26" s="18"/>
    </row>
    <row r="27" ht="15.75" customHeight="1">
      <c r="A27" s="30" t="s">
        <v>43</v>
      </c>
      <c r="B27" s="31">
        <v>100.0</v>
      </c>
      <c r="C27" s="39"/>
      <c r="D27" s="47"/>
      <c r="E27" s="47"/>
      <c r="F27" s="42" t="s">
        <v>17</v>
      </c>
      <c r="G27" s="43"/>
      <c r="H27" s="48">
        <f>VLOOKUP(F27,$A$26:$B$26,2,TRUE)</f>
        <v>300</v>
      </c>
      <c r="I27" s="45">
        <f t="shared" si="1"/>
        <v>0</v>
      </c>
      <c r="J27" s="47"/>
      <c r="K27" s="18"/>
      <c r="L27" s="42" t="s">
        <v>17</v>
      </c>
      <c r="M27" s="38">
        <f>SUMIF(F27:F110,"Beling",G27:G110)</f>
        <v>0</v>
      </c>
      <c r="N27" s="18"/>
    </row>
    <row r="28" ht="15.75" customHeight="1">
      <c r="A28" s="30" t="s">
        <v>59</v>
      </c>
      <c r="B28" s="31">
        <v>500.0</v>
      </c>
      <c r="C28" s="39"/>
      <c r="D28" s="47"/>
      <c r="E28" s="47"/>
      <c r="F28" s="42" t="s">
        <v>43</v>
      </c>
      <c r="G28" s="43"/>
      <c r="H28" s="48">
        <f>VLOOKUP(F28,$A$27:$B$27,2,TRUE)</f>
        <v>100</v>
      </c>
      <c r="I28" s="45">
        <f t="shared" si="1"/>
        <v>0</v>
      </c>
      <c r="J28" s="47"/>
      <c r="K28" s="18"/>
      <c r="L28" s="42" t="s">
        <v>43</v>
      </c>
      <c r="M28" s="38">
        <f>SUMIF(F28:F111,"Pecahan",G28:G111)</f>
        <v>0</v>
      </c>
      <c r="N28" s="18"/>
    </row>
    <row r="29" ht="15.75" customHeight="1">
      <c r="A29" s="30" t="s">
        <v>13</v>
      </c>
      <c r="B29" s="49">
        <v>1500.0</v>
      </c>
      <c r="C29" s="39"/>
      <c r="D29" s="47"/>
      <c r="E29" s="47"/>
      <c r="F29" s="42" t="s">
        <v>59</v>
      </c>
      <c r="G29" s="43"/>
      <c r="H29" s="48">
        <f>VLOOKUP(F29,$A$28:$B$28,2,TRUE)</f>
        <v>500</v>
      </c>
      <c r="I29" s="45">
        <f t="shared" si="1"/>
        <v>0</v>
      </c>
      <c r="J29" s="47"/>
      <c r="K29" s="18"/>
      <c r="L29" s="42" t="s">
        <v>59</v>
      </c>
      <c r="M29" s="38">
        <f>SUMIF(F29:F112,"Sendal/Sepatu",G29:G112)</f>
        <v>0</v>
      </c>
      <c r="N29" s="18"/>
    </row>
    <row r="30" ht="15.75" customHeight="1">
      <c r="A30" s="30" t="s">
        <v>19</v>
      </c>
      <c r="B30" s="31">
        <v>4000.0</v>
      </c>
      <c r="C30" s="39"/>
      <c r="D30" s="47"/>
      <c r="E30" s="47"/>
      <c r="F30" s="42" t="s">
        <v>13</v>
      </c>
      <c r="G30" s="43"/>
      <c r="H30" s="48">
        <f>VLOOKUP(F30,$A$29:$B$29,2,TRUE)</f>
        <v>1500</v>
      </c>
      <c r="I30" s="45">
        <f t="shared" si="1"/>
        <v>0</v>
      </c>
      <c r="J30" s="47"/>
      <c r="K30" s="18"/>
      <c r="L30" s="42" t="s">
        <v>13</v>
      </c>
      <c r="M30" s="38">
        <f>SUMIF(F30:F113,"Paku",G30:G113)</f>
        <v>0</v>
      </c>
      <c r="N30" s="18"/>
    </row>
    <row r="31" ht="15.75" customHeight="1">
      <c r="A31" s="30" t="s">
        <v>60</v>
      </c>
      <c r="B31" s="31">
        <v>500.0</v>
      </c>
      <c r="C31" s="39"/>
      <c r="D31" s="47"/>
      <c r="E31" s="47"/>
      <c r="F31" s="42" t="s">
        <v>19</v>
      </c>
      <c r="G31" s="43"/>
      <c r="H31" s="48">
        <f>VLOOKUP(F31,$A$30:$B$30,2,TRUE)</f>
        <v>4000</v>
      </c>
      <c r="I31" s="45">
        <f t="shared" si="1"/>
        <v>0</v>
      </c>
      <c r="J31" s="47"/>
      <c r="K31" s="18"/>
      <c r="L31" s="42" t="s">
        <v>19</v>
      </c>
      <c r="M31" s="38">
        <f>SUMIF(F31:F114,"Minyak Jelantah",G31:G114)</f>
        <v>1</v>
      </c>
      <c r="N31" s="18"/>
    </row>
    <row r="32" ht="15.75" customHeight="1">
      <c r="A32" s="39"/>
      <c r="B32" s="39"/>
      <c r="C32" s="39"/>
      <c r="D32" s="7"/>
      <c r="E32" s="7"/>
      <c r="F32" s="42" t="s">
        <v>61</v>
      </c>
      <c r="G32" s="43">
        <v>4.0</v>
      </c>
      <c r="H32" s="48">
        <v>0.0</v>
      </c>
      <c r="I32" s="45">
        <f t="shared" si="1"/>
        <v>0</v>
      </c>
      <c r="J32" s="7"/>
      <c r="K32" s="18"/>
      <c r="L32" s="42" t="s">
        <v>60</v>
      </c>
      <c r="M32" s="38">
        <f>SUMIF(F32:F115,"Lainnya",G32:G115)</f>
        <v>0</v>
      </c>
      <c r="N32" s="18"/>
    </row>
    <row r="33" ht="15.75" customHeight="1">
      <c r="A33" s="39"/>
      <c r="B33" s="39"/>
      <c r="C33" s="39"/>
      <c r="D33" s="40">
        <v>2.0</v>
      </c>
      <c r="E33" s="41" t="s">
        <v>117</v>
      </c>
      <c r="F33" s="42" t="s">
        <v>21</v>
      </c>
      <c r="G33" s="43">
        <v>1.0</v>
      </c>
      <c r="H33" s="50">
        <f>VLOOKUP(F33,$A$4:$B$4,2,TRUE)</f>
        <v>5000</v>
      </c>
      <c r="I33" s="45">
        <f t="shared" si="1"/>
        <v>5000</v>
      </c>
      <c r="J33" s="46">
        <f>SUM(I33:I60)</f>
        <v>45500</v>
      </c>
      <c r="K33" s="18"/>
      <c r="L33" s="18"/>
      <c r="M33" s="18"/>
      <c r="N33" s="18"/>
    </row>
    <row r="34" ht="15.75" customHeight="1">
      <c r="A34" s="39"/>
      <c r="B34" s="39"/>
      <c r="C34" s="39"/>
      <c r="D34" s="47"/>
      <c r="E34" s="47"/>
      <c r="F34" s="42" t="s">
        <v>56</v>
      </c>
      <c r="G34" s="43">
        <v>1.0</v>
      </c>
      <c r="H34" s="50">
        <f>VLOOKUP(F34,$A$5:$B$5,2,TRUE)</f>
        <v>3000</v>
      </c>
      <c r="I34" s="45">
        <f t="shared" si="1"/>
        <v>3000</v>
      </c>
      <c r="J34" s="47"/>
      <c r="K34" s="18"/>
      <c r="L34" s="18"/>
      <c r="M34" s="18"/>
      <c r="N34" s="18"/>
    </row>
    <row r="35" ht="15.75" customHeight="1">
      <c r="A35" s="39"/>
      <c r="B35" s="39"/>
      <c r="C35" s="39"/>
      <c r="D35" s="47"/>
      <c r="E35" s="47"/>
      <c r="F35" s="42" t="s">
        <v>58</v>
      </c>
      <c r="G35" s="43"/>
      <c r="H35" s="50">
        <f>VLOOKUP(F35,$A$6:$B$6,2,TRUE)</f>
        <v>1000</v>
      </c>
      <c r="I35" s="45">
        <f t="shared" si="1"/>
        <v>0</v>
      </c>
      <c r="J35" s="47"/>
      <c r="K35" s="18"/>
      <c r="L35" s="18"/>
      <c r="M35" s="18"/>
      <c r="N35" s="18"/>
    </row>
    <row r="36" ht="15.75" customHeight="1">
      <c r="A36" s="39"/>
      <c r="B36" s="39"/>
      <c r="C36" s="39"/>
      <c r="D36" s="47"/>
      <c r="E36" s="47"/>
      <c r="F36" s="42" t="s">
        <v>24</v>
      </c>
      <c r="G36" s="43"/>
      <c r="H36" s="50">
        <f>VLOOKUP(F36,$A$7:$B$7,2,TRUE)</f>
        <v>2800</v>
      </c>
      <c r="I36" s="45">
        <f t="shared" si="1"/>
        <v>0</v>
      </c>
      <c r="J36" s="47"/>
      <c r="K36" s="18"/>
      <c r="L36" s="18"/>
      <c r="M36" s="18"/>
      <c r="N36" s="18"/>
    </row>
    <row r="37" ht="15.75" customHeight="1">
      <c r="A37" s="39"/>
      <c r="B37" s="39"/>
      <c r="C37" s="39"/>
      <c r="D37" s="47"/>
      <c r="E37" s="47"/>
      <c r="F37" s="42" t="s">
        <v>25</v>
      </c>
      <c r="G37" s="43"/>
      <c r="H37" s="50">
        <f>VLOOKUP(F37,$A$8:$B$8,2,TRUE)</f>
        <v>3500</v>
      </c>
      <c r="I37" s="45">
        <f t="shared" si="1"/>
        <v>0</v>
      </c>
      <c r="J37" s="47"/>
      <c r="K37" s="18"/>
      <c r="L37" s="18"/>
      <c r="M37" s="18"/>
      <c r="N37" s="18"/>
    </row>
    <row r="38" ht="15.75" customHeight="1">
      <c r="A38" s="39"/>
      <c r="B38" s="39"/>
      <c r="C38" s="39"/>
      <c r="D38" s="47"/>
      <c r="E38" s="47"/>
      <c r="F38" s="42" t="s">
        <v>26</v>
      </c>
      <c r="G38" s="43">
        <v>4.0</v>
      </c>
      <c r="H38" s="50">
        <f>VLOOKUP(F38,$A$9:$B$9,2,TRUE)</f>
        <v>1000</v>
      </c>
      <c r="I38" s="45">
        <f t="shared" si="1"/>
        <v>4000</v>
      </c>
      <c r="J38" s="47"/>
      <c r="K38" s="18"/>
      <c r="L38" s="18"/>
      <c r="M38" s="18"/>
      <c r="N38" s="18"/>
    </row>
    <row r="39" ht="15.75" customHeight="1">
      <c r="A39" s="39"/>
      <c r="B39" s="39"/>
      <c r="C39" s="39"/>
      <c r="D39" s="47"/>
      <c r="E39" s="47"/>
      <c r="F39" s="42" t="s">
        <v>27</v>
      </c>
      <c r="G39" s="43"/>
      <c r="H39" s="50">
        <f>VLOOKUP(F39,$A$10:$B$10,2,TRUE)</f>
        <v>2000</v>
      </c>
      <c r="I39" s="45">
        <f t="shared" si="1"/>
        <v>0</v>
      </c>
      <c r="J39" s="47"/>
      <c r="K39" s="18"/>
      <c r="L39" s="18"/>
      <c r="M39" s="18"/>
      <c r="N39" s="18"/>
    </row>
    <row r="40" ht="15.75" customHeight="1">
      <c r="A40" s="39"/>
      <c r="B40" s="39"/>
      <c r="C40" s="39"/>
      <c r="D40" s="47"/>
      <c r="E40" s="47"/>
      <c r="F40" s="42" t="s">
        <v>28</v>
      </c>
      <c r="G40" s="43">
        <v>4.0</v>
      </c>
      <c r="H40" s="50">
        <f>VLOOKUP(F40,$A$11:$B$11,2,TRUE)</f>
        <v>2000</v>
      </c>
      <c r="I40" s="45">
        <f t="shared" si="1"/>
        <v>8000</v>
      </c>
      <c r="J40" s="47"/>
      <c r="K40" s="18"/>
      <c r="L40" s="18"/>
      <c r="M40" s="18"/>
      <c r="N40" s="18"/>
    </row>
    <row r="41" ht="15.75" customHeight="1">
      <c r="A41" s="39"/>
      <c r="B41" s="39"/>
      <c r="C41" s="39"/>
      <c r="D41" s="47"/>
      <c r="E41" s="47"/>
      <c r="F41" s="42" t="s">
        <v>29</v>
      </c>
      <c r="G41" s="43"/>
      <c r="H41" s="50">
        <f>VLOOKUP(F41,$A$12:$B$12,2,TRUE)</f>
        <v>1300</v>
      </c>
      <c r="I41" s="45">
        <f t="shared" si="1"/>
        <v>0</v>
      </c>
      <c r="J41" s="47"/>
      <c r="K41" s="18"/>
      <c r="L41" s="18"/>
      <c r="M41" s="18"/>
      <c r="N41" s="18"/>
    </row>
    <row r="42" ht="15.75" customHeight="1">
      <c r="A42" s="39"/>
      <c r="B42" s="39"/>
      <c r="C42" s="39"/>
      <c r="D42" s="47"/>
      <c r="E42" s="47"/>
      <c r="F42" s="42" t="s">
        <v>30</v>
      </c>
      <c r="G42" s="43"/>
      <c r="H42" s="50">
        <f>VLOOKUP(F42,$A$13:$B$13,2,TRUE)</f>
        <v>1000</v>
      </c>
      <c r="I42" s="45">
        <f t="shared" si="1"/>
        <v>0</v>
      </c>
      <c r="J42" s="47"/>
      <c r="K42" s="18"/>
      <c r="L42" s="18"/>
      <c r="M42" s="18"/>
      <c r="N42" s="18"/>
    </row>
    <row r="43" ht="15.75" customHeight="1">
      <c r="A43" s="39"/>
      <c r="B43" s="39"/>
      <c r="C43" s="39"/>
      <c r="D43" s="47"/>
      <c r="E43" s="47"/>
      <c r="F43" s="42" t="s">
        <v>31</v>
      </c>
      <c r="G43" s="43"/>
      <c r="H43" s="50">
        <f>VLOOKUP(F43,$A$14:$B$14,2,TRUE)</f>
        <v>400</v>
      </c>
      <c r="I43" s="45">
        <f t="shared" si="1"/>
        <v>0</v>
      </c>
      <c r="J43" s="47"/>
      <c r="K43" s="18"/>
      <c r="L43" s="18"/>
      <c r="M43" s="18"/>
      <c r="N43" s="18"/>
    </row>
    <row r="44" ht="15.75" customHeight="1">
      <c r="A44" s="39"/>
      <c r="B44" s="39"/>
      <c r="C44" s="39"/>
      <c r="D44" s="47"/>
      <c r="E44" s="47"/>
      <c r="F44" s="42" t="s">
        <v>32</v>
      </c>
      <c r="G44" s="43"/>
      <c r="H44" s="50">
        <f>VLOOKUP(F44,$A$15:$B$15,2,TRUE)</f>
        <v>7500</v>
      </c>
      <c r="I44" s="45">
        <f t="shared" si="1"/>
        <v>0</v>
      </c>
      <c r="J44" s="47"/>
      <c r="K44" s="18"/>
      <c r="L44" s="18"/>
      <c r="M44" s="18"/>
      <c r="N44" s="18"/>
    </row>
    <row r="45" ht="15.75" customHeight="1">
      <c r="A45" s="39"/>
      <c r="B45" s="39"/>
      <c r="C45" s="39"/>
      <c r="D45" s="47"/>
      <c r="E45" s="47"/>
      <c r="F45" s="42" t="s">
        <v>33</v>
      </c>
      <c r="G45" s="43">
        <v>10.0</v>
      </c>
      <c r="H45" s="50">
        <f>VLOOKUP(F45,$A$16:$B$16,2,TRUE)</f>
        <v>2000</v>
      </c>
      <c r="I45" s="45">
        <f t="shared" si="1"/>
        <v>20000</v>
      </c>
      <c r="J45" s="47"/>
      <c r="K45" s="18"/>
      <c r="L45" s="18"/>
      <c r="M45" s="18"/>
      <c r="N45" s="18"/>
    </row>
    <row r="46" ht="15.75" customHeight="1">
      <c r="A46" s="39"/>
      <c r="B46" s="39"/>
      <c r="C46" s="39"/>
      <c r="D46" s="47"/>
      <c r="E46" s="47"/>
      <c r="F46" s="42" t="s">
        <v>34</v>
      </c>
      <c r="G46" s="43"/>
      <c r="H46" s="50">
        <f>VLOOKUP(F46,$A$17:$B$17,2,TRUE)</f>
        <v>800</v>
      </c>
      <c r="I46" s="45">
        <f t="shared" si="1"/>
        <v>0</v>
      </c>
      <c r="J46" s="47"/>
      <c r="K46" s="18"/>
      <c r="L46" s="18"/>
      <c r="M46" s="18"/>
      <c r="N46" s="18"/>
    </row>
    <row r="47" ht="15.75" customHeight="1">
      <c r="A47" s="39"/>
      <c r="B47" s="39"/>
      <c r="C47" s="39"/>
      <c r="D47" s="47"/>
      <c r="E47" s="47"/>
      <c r="F47" s="42" t="s">
        <v>35</v>
      </c>
      <c r="G47" s="43"/>
      <c r="H47" s="50">
        <f>VLOOKUP(F47,$A$18:$B$18,2,TRUE)</f>
        <v>5000</v>
      </c>
      <c r="I47" s="45">
        <f t="shared" si="1"/>
        <v>0</v>
      </c>
      <c r="J47" s="47"/>
      <c r="K47" s="18"/>
      <c r="L47" s="18"/>
      <c r="M47" s="18"/>
      <c r="N47" s="18"/>
    </row>
    <row r="48" ht="15.75" customHeight="1">
      <c r="A48" s="39"/>
      <c r="B48" s="39"/>
      <c r="C48" s="39"/>
      <c r="D48" s="47"/>
      <c r="E48" s="47"/>
      <c r="F48" s="42" t="s">
        <v>36</v>
      </c>
      <c r="G48" s="43"/>
      <c r="H48" s="50">
        <f>VLOOKUP(F48,$A$19:$B$19,2,TRUE)</f>
        <v>2700</v>
      </c>
      <c r="I48" s="45">
        <f t="shared" si="1"/>
        <v>0</v>
      </c>
      <c r="J48" s="47"/>
      <c r="K48" s="18"/>
      <c r="L48" s="18"/>
      <c r="M48" s="18"/>
      <c r="N48" s="18"/>
    </row>
    <row r="49" ht="15.75" customHeight="1">
      <c r="A49" s="39"/>
      <c r="B49" s="39"/>
      <c r="C49" s="39"/>
      <c r="D49" s="47"/>
      <c r="E49" s="47"/>
      <c r="F49" s="42" t="s">
        <v>37</v>
      </c>
      <c r="G49" s="43"/>
      <c r="H49" s="50">
        <f>VLOOKUP(F49,$A$20:$B$20,2,TRUE)</f>
        <v>50000</v>
      </c>
      <c r="I49" s="45">
        <f t="shared" si="1"/>
        <v>0</v>
      </c>
      <c r="J49" s="47"/>
      <c r="K49" s="18"/>
      <c r="L49" s="18"/>
      <c r="M49" s="18"/>
      <c r="N49" s="18"/>
    </row>
    <row r="50" ht="15.75" customHeight="1">
      <c r="A50" s="39"/>
      <c r="B50" s="39"/>
      <c r="C50" s="39"/>
      <c r="D50" s="47"/>
      <c r="E50" s="47"/>
      <c r="F50" s="42" t="s">
        <v>38</v>
      </c>
      <c r="G50" s="43"/>
      <c r="H50" s="50">
        <f>VLOOKUP(F50,$A$21:$B$21,2,TRUE)</f>
        <v>10000</v>
      </c>
      <c r="I50" s="45">
        <f t="shared" si="1"/>
        <v>0</v>
      </c>
      <c r="J50" s="47"/>
      <c r="K50" s="18"/>
      <c r="L50" s="18"/>
      <c r="M50" s="18"/>
      <c r="N50" s="18"/>
    </row>
    <row r="51" ht="15.75" customHeight="1">
      <c r="A51" s="39"/>
      <c r="B51" s="39"/>
      <c r="C51" s="39"/>
      <c r="D51" s="47"/>
      <c r="E51" s="47"/>
      <c r="F51" s="42" t="s">
        <v>39</v>
      </c>
      <c r="G51" s="43"/>
      <c r="H51" s="50">
        <f>VLOOKUP(F51,$A$22:$B$22,2,TRUE)</f>
        <v>1000</v>
      </c>
      <c r="I51" s="45">
        <f t="shared" si="1"/>
        <v>0</v>
      </c>
      <c r="J51" s="47"/>
      <c r="K51" s="18"/>
      <c r="L51" s="18"/>
      <c r="M51" s="18"/>
      <c r="N51" s="18"/>
    </row>
    <row r="52" ht="15.75" customHeight="1">
      <c r="A52" s="39"/>
      <c r="B52" s="39"/>
      <c r="C52" s="39"/>
      <c r="D52" s="47"/>
      <c r="E52" s="47"/>
      <c r="F52" s="42" t="s">
        <v>40</v>
      </c>
      <c r="G52" s="43">
        <v>2.0</v>
      </c>
      <c r="H52" s="50">
        <f>VLOOKUP(F52,$A$23:$B$23,2,TRUE)</f>
        <v>500</v>
      </c>
      <c r="I52" s="45">
        <f t="shared" si="1"/>
        <v>1000</v>
      </c>
      <c r="J52" s="47"/>
      <c r="K52" s="18"/>
      <c r="L52" s="18"/>
      <c r="M52" s="18"/>
      <c r="N52" s="18"/>
    </row>
    <row r="53" ht="15.75" customHeight="1">
      <c r="A53" s="39"/>
      <c r="B53" s="39"/>
      <c r="C53" s="39"/>
      <c r="D53" s="47"/>
      <c r="E53" s="47"/>
      <c r="F53" s="42" t="s">
        <v>41</v>
      </c>
      <c r="G53" s="43"/>
      <c r="H53" s="50">
        <f>VLOOKUP(F53,$A$24:$B$24,2,TRUE)</f>
        <v>200</v>
      </c>
      <c r="I53" s="45">
        <f t="shared" si="1"/>
        <v>0</v>
      </c>
      <c r="J53" s="47"/>
      <c r="K53" s="18"/>
      <c r="L53" s="18"/>
      <c r="M53" s="18"/>
      <c r="N53" s="18"/>
    </row>
    <row r="54" ht="15.75" customHeight="1">
      <c r="A54" s="39"/>
      <c r="B54" s="39"/>
      <c r="C54" s="39"/>
      <c r="D54" s="47"/>
      <c r="E54" s="47"/>
      <c r="F54" s="42" t="s">
        <v>42</v>
      </c>
      <c r="G54" s="43"/>
      <c r="H54" s="50">
        <f>VLOOKUP(F54,$A$25:$B$25,2,TRUE)</f>
        <v>1000</v>
      </c>
      <c r="I54" s="45">
        <f t="shared" si="1"/>
        <v>0</v>
      </c>
      <c r="J54" s="47"/>
      <c r="K54" s="18"/>
      <c r="L54" s="18"/>
      <c r="M54" s="18"/>
      <c r="N54" s="18"/>
    </row>
    <row r="55" ht="15.75" customHeight="1">
      <c r="A55" s="39"/>
      <c r="B55" s="39"/>
      <c r="C55" s="39"/>
      <c r="D55" s="47"/>
      <c r="E55" s="47"/>
      <c r="F55" s="42" t="s">
        <v>17</v>
      </c>
      <c r="G55" s="43"/>
      <c r="H55" s="50">
        <f>VLOOKUP(F55,$A$26:$B$26,2,TRUE)</f>
        <v>300</v>
      </c>
      <c r="I55" s="45">
        <f t="shared" si="1"/>
        <v>0</v>
      </c>
      <c r="J55" s="47"/>
      <c r="K55" s="18"/>
      <c r="L55" s="18"/>
      <c r="M55" s="18"/>
      <c r="N55" s="18"/>
    </row>
    <row r="56" ht="15.75" customHeight="1">
      <c r="A56" s="39"/>
      <c r="B56" s="39"/>
      <c r="C56" s="39"/>
      <c r="D56" s="47"/>
      <c r="E56" s="47"/>
      <c r="F56" s="42" t="s">
        <v>43</v>
      </c>
      <c r="G56" s="43"/>
      <c r="H56" s="50">
        <f>VLOOKUP(F56,$A$27:$B$27,2,TRUE)</f>
        <v>100</v>
      </c>
      <c r="I56" s="45">
        <f t="shared" si="1"/>
        <v>0</v>
      </c>
      <c r="J56" s="47"/>
      <c r="K56" s="18"/>
      <c r="L56" s="18"/>
      <c r="M56" s="18"/>
      <c r="N56" s="18"/>
    </row>
    <row r="57" ht="15.75" customHeight="1">
      <c r="A57" s="39"/>
      <c r="B57" s="39"/>
      <c r="C57" s="39"/>
      <c r="D57" s="47"/>
      <c r="E57" s="47"/>
      <c r="F57" s="42" t="s">
        <v>59</v>
      </c>
      <c r="G57" s="43"/>
      <c r="H57" s="50">
        <f>VLOOKUP(F57,$A$28:$B$28,2,TRUE)</f>
        <v>500</v>
      </c>
      <c r="I57" s="45">
        <f t="shared" si="1"/>
        <v>0</v>
      </c>
      <c r="J57" s="47"/>
      <c r="K57" s="18"/>
      <c r="L57" s="18"/>
      <c r="M57" s="18"/>
      <c r="N57" s="18"/>
    </row>
    <row r="58" ht="15.75" customHeight="1">
      <c r="A58" s="39"/>
      <c r="B58" s="39"/>
      <c r="C58" s="39"/>
      <c r="D58" s="47"/>
      <c r="E58" s="47"/>
      <c r="F58" s="42" t="s">
        <v>13</v>
      </c>
      <c r="G58" s="43"/>
      <c r="H58" s="50">
        <f>VLOOKUP(F58,$A$29:$B$29,2,TRUE)</f>
        <v>1500</v>
      </c>
      <c r="I58" s="45">
        <f t="shared" si="1"/>
        <v>0</v>
      </c>
      <c r="J58" s="47"/>
      <c r="K58" s="18"/>
      <c r="L58" s="18"/>
      <c r="M58" s="18"/>
      <c r="N58" s="18"/>
    </row>
    <row r="59" ht="15.75" customHeight="1">
      <c r="A59" s="39"/>
      <c r="B59" s="39"/>
      <c r="C59" s="39"/>
      <c r="D59" s="47"/>
      <c r="E59" s="47"/>
      <c r="F59" s="42" t="s">
        <v>19</v>
      </c>
      <c r="G59" s="43">
        <v>1.0</v>
      </c>
      <c r="H59" s="50">
        <f>VLOOKUP(F59,$A$30:$B$30,2,TRUE)</f>
        <v>4000</v>
      </c>
      <c r="I59" s="45">
        <f t="shared" si="1"/>
        <v>4000</v>
      </c>
      <c r="J59" s="47"/>
      <c r="K59" s="18"/>
      <c r="L59" s="18"/>
      <c r="M59" s="18"/>
      <c r="N59" s="18"/>
    </row>
    <row r="60" ht="15.75" customHeight="1">
      <c r="A60" s="39"/>
      <c r="B60" s="39"/>
      <c r="C60" s="39"/>
      <c r="D60" s="7"/>
      <c r="E60" s="7"/>
      <c r="F60" s="42" t="s">
        <v>20</v>
      </c>
      <c r="G60" s="43">
        <v>1.0</v>
      </c>
      <c r="H60" s="50">
        <f>VLOOKUP(F60,$A$31:$B$31,2,TRUE)</f>
        <v>500</v>
      </c>
      <c r="I60" s="45">
        <f t="shared" si="1"/>
        <v>500</v>
      </c>
      <c r="J60" s="7"/>
      <c r="K60" s="18"/>
      <c r="L60" s="18"/>
      <c r="M60" s="18"/>
      <c r="N60" s="18"/>
    </row>
    <row r="61" ht="15.75" customHeight="1">
      <c r="A61" s="39"/>
      <c r="B61" s="39"/>
      <c r="C61" s="39"/>
      <c r="D61" s="40">
        <v>3.0</v>
      </c>
      <c r="E61" s="41" t="s">
        <v>118</v>
      </c>
      <c r="F61" s="42" t="s">
        <v>21</v>
      </c>
      <c r="G61" s="43"/>
      <c r="H61" s="50">
        <f>VLOOKUP(F61,$A$4:$B$4,2,TRUE)</f>
        <v>5000</v>
      </c>
      <c r="I61" s="45">
        <f t="shared" si="1"/>
        <v>0</v>
      </c>
      <c r="J61" s="46">
        <f>SUM(I61:I88)</f>
        <v>57050</v>
      </c>
      <c r="K61" s="18"/>
      <c r="L61" s="18"/>
      <c r="M61" s="18"/>
      <c r="N61" s="18"/>
    </row>
    <row r="62" ht="15.75" customHeight="1">
      <c r="A62" s="39"/>
      <c r="B62" s="39"/>
      <c r="C62" s="39"/>
      <c r="D62" s="47"/>
      <c r="E62" s="47"/>
      <c r="F62" s="42" t="s">
        <v>56</v>
      </c>
      <c r="G62" s="43"/>
      <c r="H62" s="50">
        <f>VLOOKUP(F62,$A$5:$B$5,2,TRUE)</f>
        <v>3000</v>
      </c>
      <c r="I62" s="45">
        <f t="shared" si="1"/>
        <v>0</v>
      </c>
      <c r="J62" s="47"/>
      <c r="K62" s="18"/>
      <c r="L62" s="18"/>
      <c r="M62" s="18"/>
      <c r="N62" s="18"/>
    </row>
    <row r="63" ht="15.75" customHeight="1">
      <c r="A63" s="39"/>
      <c r="B63" s="39"/>
      <c r="C63" s="39"/>
      <c r="D63" s="47"/>
      <c r="E63" s="47"/>
      <c r="F63" s="42" t="s">
        <v>58</v>
      </c>
      <c r="G63" s="43"/>
      <c r="H63" s="50">
        <f>VLOOKUP(F63,$A$6:$B$6,2,TRUE)</f>
        <v>1000</v>
      </c>
      <c r="I63" s="45">
        <f t="shared" si="1"/>
        <v>0</v>
      </c>
      <c r="J63" s="47"/>
      <c r="K63" s="18"/>
      <c r="L63" s="18"/>
      <c r="M63" s="18"/>
      <c r="N63" s="18"/>
    </row>
    <row r="64" ht="15.75" customHeight="1">
      <c r="A64" s="39"/>
      <c r="B64" s="39"/>
      <c r="C64" s="39"/>
      <c r="D64" s="47"/>
      <c r="E64" s="47"/>
      <c r="F64" s="42" t="s">
        <v>24</v>
      </c>
      <c r="G64" s="43"/>
      <c r="H64" s="50">
        <f>VLOOKUP(F64,$A$7:$B$7,2,TRUE)</f>
        <v>2800</v>
      </c>
      <c r="I64" s="45">
        <f t="shared" si="1"/>
        <v>0</v>
      </c>
      <c r="J64" s="47"/>
      <c r="K64" s="18"/>
      <c r="L64" s="18"/>
      <c r="M64" s="18"/>
      <c r="N64" s="18"/>
    </row>
    <row r="65" ht="15.75" customHeight="1">
      <c r="A65" s="39"/>
      <c r="B65" s="39"/>
      <c r="C65" s="39"/>
      <c r="D65" s="47"/>
      <c r="E65" s="47"/>
      <c r="F65" s="42" t="s">
        <v>25</v>
      </c>
      <c r="G65" s="43"/>
      <c r="H65" s="50">
        <f>VLOOKUP(F65,$A$8:$B$8,2,TRUE)</f>
        <v>3500</v>
      </c>
      <c r="I65" s="45">
        <f t="shared" si="1"/>
        <v>0</v>
      </c>
      <c r="J65" s="47"/>
      <c r="K65" s="18"/>
      <c r="L65" s="18"/>
      <c r="M65" s="18"/>
      <c r="N65" s="18"/>
    </row>
    <row r="66" ht="15.75" customHeight="1">
      <c r="A66" s="39"/>
      <c r="B66" s="39"/>
      <c r="C66" s="39"/>
      <c r="D66" s="47"/>
      <c r="E66" s="47"/>
      <c r="F66" s="42" t="s">
        <v>26</v>
      </c>
      <c r="G66" s="43"/>
      <c r="H66" s="50">
        <f>VLOOKUP(F66,$A$9:$B$9,2,TRUE)</f>
        <v>1000</v>
      </c>
      <c r="I66" s="45">
        <f t="shared" si="1"/>
        <v>0</v>
      </c>
      <c r="J66" s="47"/>
      <c r="K66" s="18"/>
      <c r="L66" s="18"/>
      <c r="M66" s="18"/>
      <c r="N66" s="18"/>
    </row>
    <row r="67" ht="15.75" customHeight="1">
      <c r="A67" s="39"/>
      <c r="B67" s="39"/>
      <c r="C67" s="39"/>
      <c r="D67" s="47"/>
      <c r="E67" s="47"/>
      <c r="F67" s="42" t="s">
        <v>27</v>
      </c>
      <c r="G67" s="43"/>
      <c r="H67" s="50">
        <f>VLOOKUP(F67,$A$10:$B$10,2,TRUE)</f>
        <v>2000</v>
      </c>
      <c r="I67" s="45">
        <f t="shared" si="1"/>
        <v>0</v>
      </c>
      <c r="J67" s="47"/>
      <c r="K67" s="18"/>
      <c r="L67" s="18"/>
      <c r="M67" s="18"/>
      <c r="N67" s="18"/>
    </row>
    <row r="68" ht="15.75" customHeight="1">
      <c r="A68" s="39"/>
      <c r="B68" s="39"/>
      <c r="C68" s="39"/>
      <c r="D68" s="47"/>
      <c r="E68" s="47"/>
      <c r="F68" s="42" t="s">
        <v>28</v>
      </c>
      <c r="G68" s="43">
        <v>6.5</v>
      </c>
      <c r="H68" s="50">
        <f>VLOOKUP(F68,$A$11:$B$11,2,TRUE)</f>
        <v>2000</v>
      </c>
      <c r="I68" s="45">
        <f t="shared" si="1"/>
        <v>13000</v>
      </c>
      <c r="J68" s="47"/>
      <c r="K68" s="18"/>
      <c r="L68" s="18"/>
      <c r="M68" s="18"/>
      <c r="N68" s="18"/>
    </row>
    <row r="69" ht="15.75" customHeight="1">
      <c r="A69" s="39"/>
      <c r="B69" s="39"/>
      <c r="C69" s="39"/>
      <c r="D69" s="47"/>
      <c r="E69" s="47"/>
      <c r="F69" s="42" t="s">
        <v>29</v>
      </c>
      <c r="G69" s="43"/>
      <c r="H69" s="50">
        <f>VLOOKUP(F69,$A$12:$B$12,2,TRUE)</f>
        <v>1300</v>
      </c>
      <c r="I69" s="45">
        <f t="shared" si="1"/>
        <v>0</v>
      </c>
      <c r="J69" s="47"/>
      <c r="K69" s="18"/>
      <c r="L69" s="18"/>
      <c r="M69" s="18"/>
      <c r="N69" s="18"/>
    </row>
    <row r="70" ht="15.75" customHeight="1">
      <c r="A70" s="39"/>
      <c r="B70" s="39"/>
      <c r="C70" s="39"/>
      <c r="D70" s="47"/>
      <c r="E70" s="47"/>
      <c r="F70" s="42" t="s">
        <v>30</v>
      </c>
      <c r="G70" s="43"/>
      <c r="H70" s="50">
        <f>VLOOKUP(F70,$A$13:$B$13,2,TRUE)</f>
        <v>1000</v>
      </c>
      <c r="I70" s="45">
        <f t="shared" si="1"/>
        <v>0</v>
      </c>
      <c r="J70" s="47"/>
      <c r="K70" s="18"/>
      <c r="L70" s="18"/>
      <c r="M70" s="18"/>
      <c r="N70" s="18"/>
    </row>
    <row r="71" ht="15.75" customHeight="1">
      <c r="A71" s="39"/>
      <c r="B71" s="39"/>
      <c r="C71" s="39"/>
      <c r="D71" s="47"/>
      <c r="E71" s="47"/>
      <c r="F71" s="42" t="s">
        <v>31</v>
      </c>
      <c r="G71" s="43"/>
      <c r="H71" s="50">
        <f>VLOOKUP(F71,$A$14:$B$14,2,TRUE)</f>
        <v>400</v>
      </c>
      <c r="I71" s="45">
        <f t="shared" si="1"/>
        <v>0</v>
      </c>
      <c r="J71" s="47"/>
      <c r="K71" s="18"/>
      <c r="L71" s="18"/>
      <c r="M71" s="18"/>
      <c r="N71" s="18"/>
    </row>
    <row r="72" ht="15.75" customHeight="1">
      <c r="A72" s="39"/>
      <c r="B72" s="39"/>
      <c r="C72" s="39"/>
      <c r="D72" s="47"/>
      <c r="E72" s="47"/>
      <c r="F72" s="42" t="s">
        <v>32</v>
      </c>
      <c r="G72" s="43">
        <v>5.5</v>
      </c>
      <c r="H72" s="50">
        <f>VLOOKUP(F72,$A$15:$B$15,2,TRUE)</f>
        <v>7500</v>
      </c>
      <c r="I72" s="45">
        <f t="shared" si="1"/>
        <v>41250</v>
      </c>
      <c r="J72" s="47"/>
      <c r="K72" s="18"/>
      <c r="L72" s="18"/>
      <c r="M72" s="18"/>
      <c r="N72" s="18"/>
    </row>
    <row r="73" ht="15.75" customHeight="1">
      <c r="A73" s="39"/>
      <c r="B73" s="39"/>
      <c r="C73" s="39"/>
      <c r="D73" s="47"/>
      <c r="E73" s="47"/>
      <c r="F73" s="42" t="s">
        <v>33</v>
      </c>
      <c r="G73" s="43"/>
      <c r="H73" s="50">
        <f>VLOOKUP(F73,$A$16:$B$16,2,TRUE)</f>
        <v>2000</v>
      </c>
      <c r="I73" s="45">
        <f t="shared" si="1"/>
        <v>0</v>
      </c>
      <c r="J73" s="47"/>
      <c r="K73" s="18"/>
      <c r="L73" s="18"/>
      <c r="M73" s="18"/>
      <c r="N73" s="18"/>
    </row>
    <row r="74" ht="15.75" customHeight="1">
      <c r="A74" s="39"/>
      <c r="B74" s="39"/>
      <c r="C74" s="39"/>
      <c r="D74" s="47"/>
      <c r="E74" s="47"/>
      <c r="F74" s="42" t="s">
        <v>34</v>
      </c>
      <c r="G74" s="43">
        <v>3.5</v>
      </c>
      <c r="H74" s="50">
        <f>VLOOKUP(F74,$A$17:$B$17,2,TRUE)</f>
        <v>800</v>
      </c>
      <c r="I74" s="45">
        <f t="shared" si="1"/>
        <v>2800</v>
      </c>
      <c r="J74" s="47"/>
      <c r="K74" s="18"/>
      <c r="L74" s="18"/>
      <c r="M74" s="18"/>
      <c r="N74" s="18"/>
    </row>
    <row r="75" ht="15.75" customHeight="1">
      <c r="A75" s="39"/>
      <c r="B75" s="39"/>
      <c r="C75" s="39"/>
      <c r="D75" s="47"/>
      <c r="E75" s="47"/>
      <c r="F75" s="42" t="s">
        <v>35</v>
      </c>
      <c r="G75" s="43"/>
      <c r="H75" s="50">
        <f>VLOOKUP(F75,$A$18:$B$18,2,TRUE)</f>
        <v>5000</v>
      </c>
      <c r="I75" s="45">
        <f t="shared" si="1"/>
        <v>0</v>
      </c>
      <c r="J75" s="47"/>
      <c r="K75" s="18"/>
      <c r="L75" s="18"/>
      <c r="M75" s="18"/>
      <c r="N75" s="18"/>
    </row>
    <row r="76" ht="15.75" customHeight="1">
      <c r="A76" s="39"/>
      <c r="B76" s="39"/>
      <c r="C76" s="39"/>
      <c r="D76" s="47"/>
      <c r="E76" s="47"/>
      <c r="F76" s="42" t="s">
        <v>36</v>
      </c>
      <c r="G76" s="43"/>
      <c r="H76" s="50">
        <f>VLOOKUP(F76,$A$19:$B$19,2,TRUE)</f>
        <v>2700</v>
      </c>
      <c r="I76" s="45">
        <f t="shared" si="1"/>
        <v>0</v>
      </c>
      <c r="J76" s="47"/>
      <c r="K76" s="18"/>
      <c r="L76" s="18"/>
      <c r="M76" s="18"/>
      <c r="N76" s="18"/>
    </row>
    <row r="77" ht="15.75" customHeight="1">
      <c r="A77" s="39"/>
      <c r="B77" s="39"/>
      <c r="C77" s="39"/>
      <c r="D77" s="47"/>
      <c r="E77" s="47"/>
      <c r="F77" s="42" t="s">
        <v>37</v>
      </c>
      <c r="G77" s="43"/>
      <c r="H77" s="50">
        <f>VLOOKUP(F77,$A$20:$B$20,2,TRUE)</f>
        <v>50000</v>
      </c>
      <c r="I77" s="45">
        <f t="shared" si="1"/>
        <v>0</v>
      </c>
      <c r="J77" s="47"/>
      <c r="K77" s="18"/>
      <c r="L77" s="18"/>
      <c r="M77" s="18"/>
      <c r="N77" s="18"/>
    </row>
    <row r="78" ht="15.75" customHeight="1">
      <c r="A78" s="39"/>
      <c r="B78" s="39"/>
      <c r="C78" s="39"/>
      <c r="D78" s="47"/>
      <c r="E78" s="47"/>
      <c r="F78" s="42" t="s">
        <v>38</v>
      </c>
      <c r="G78" s="43"/>
      <c r="H78" s="50">
        <f>VLOOKUP(F78,$A$21:$B$21,2,TRUE)</f>
        <v>10000</v>
      </c>
      <c r="I78" s="45">
        <f t="shared" si="1"/>
        <v>0</v>
      </c>
      <c r="J78" s="47"/>
      <c r="K78" s="18"/>
      <c r="L78" s="18"/>
      <c r="M78" s="18"/>
      <c r="N78" s="18"/>
    </row>
    <row r="79" ht="15.75" customHeight="1">
      <c r="A79" s="39"/>
      <c r="B79" s="39"/>
      <c r="C79" s="39"/>
      <c r="D79" s="47"/>
      <c r="E79" s="47"/>
      <c r="F79" s="42" t="s">
        <v>39</v>
      </c>
      <c r="G79" s="43"/>
      <c r="H79" s="50">
        <f>VLOOKUP(F79,$A$22:$B$22,2,TRUE)</f>
        <v>1000</v>
      </c>
      <c r="I79" s="45">
        <f t="shared" si="1"/>
        <v>0</v>
      </c>
      <c r="J79" s="47"/>
      <c r="K79" s="18"/>
      <c r="L79" s="18"/>
      <c r="M79" s="18"/>
      <c r="N79" s="18"/>
    </row>
    <row r="80" ht="15.75" customHeight="1">
      <c r="A80" s="39"/>
      <c r="B80" s="39"/>
      <c r="C80" s="39"/>
      <c r="D80" s="47"/>
      <c r="E80" s="47"/>
      <c r="F80" s="42" t="s">
        <v>40</v>
      </c>
      <c r="G80" s="43"/>
      <c r="H80" s="50">
        <f>VLOOKUP(F80,$A$23:$B$23,2,TRUE)</f>
        <v>500</v>
      </c>
      <c r="I80" s="45">
        <f t="shared" si="1"/>
        <v>0</v>
      </c>
      <c r="J80" s="47"/>
      <c r="K80" s="18"/>
      <c r="L80" s="18"/>
      <c r="M80" s="18"/>
      <c r="N80" s="18"/>
    </row>
    <row r="81" ht="15.75" customHeight="1">
      <c r="A81" s="39"/>
      <c r="B81" s="39"/>
      <c r="C81" s="39"/>
      <c r="D81" s="47"/>
      <c r="E81" s="47"/>
      <c r="F81" s="42" t="s">
        <v>41</v>
      </c>
      <c r="G81" s="43"/>
      <c r="H81" s="50">
        <f>VLOOKUP(F81,$A$24:$B$24,2,TRUE)</f>
        <v>200</v>
      </c>
      <c r="I81" s="45">
        <f t="shared" si="1"/>
        <v>0</v>
      </c>
      <c r="J81" s="47"/>
      <c r="K81" s="18"/>
      <c r="L81" s="18"/>
      <c r="M81" s="18"/>
      <c r="N81" s="18"/>
    </row>
    <row r="82" ht="15.75" customHeight="1">
      <c r="A82" s="39"/>
      <c r="B82" s="39"/>
      <c r="C82" s="39"/>
      <c r="D82" s="47"/>
      <c r="E82" s="47"/>
      <c r="F82" s="42" t="s">
        <v>42</v>
      </c>
      <c r="G82" s="43"/>
      <c r="H82" s="50">
        <f>VLOOKUP(F82,$A$25:$B$25,2,TRUE)</f>
        <v>1000</v>
      </c>
      <c r="I82" s="45">
        <f t="shared" si="1"/>
        <v>0</v>
      </c>
      <c r="J82" s="47"/>
      <c r="K82" s="18"/>
      <c r="L82" s="18"/>
      <c r="M82" s="18"/>
      <c r="N82" s="18"/>
    </row>
    <row r="83" ht="15.75" customHeight="1">
      <c r="A83" s="39"/>
      <c r="B83" s="39"/>
      <c r="C83" s="39"/>
      <c r="D83" s="47"/>
      <c r="E83" s="47"/>
      <c r="F83" s="42" t="s">
        <v>17</v>
      </c>
      <c r="G83" s="43"/>
      <c r="H83" s="50">
        <f>VLOOKUP(F83,$A$26:$B$26,2,TRUE)</f>
        <v>300</v>
      </c>
      <c r="I83" s="45">
        <f t="shared" si="1"/>
        <v>0</v>
      </c>
      <c r="J83" s="47"/>
      <c r="K83" s="18"/>
      <c r="L83" s="18"/>
      <c r="M83" s="18"/>
      <c r="N83" s="18"/>
    </row>
    <row r="84" ht="15.75" customHeight="1">
      <c r="A84" s="39"/>
      <c r="B84" s="39"/>
      <c r="C84" s="39"/>
      <c r="D84" s="47"/>
      <c r="E84" s="47"/>
      <c r="F84" s="42" t="s">
        <v>43</v>
      </c>
      <c r="G84" s="43"/>
      <c r="H84" s="50">
        <f>VLOOKUP(F84,$A$27:$B$27,2,TRUE)</f>
        <v>100</v>
      </c>
      <c r="I84" s="45">
        <f t="shared" si="1"/>
        <v>0</v>
      </c>
      <c r="J84" s="47"/>
      <c r="K84" s="18"/>
      <c r="L84" s="18"/>
      <c r="M84" s="18"/>
      <c r="N84" s="18"/>
    </row>
    <row r="85" ht="15.75" customHeight="1">
      <c r="A85" s="39"/>
      <c r="B85" s="39"/>
      <c r="C85" s="39"/>
      <c r="D85" s="47"/>
      <c r="E85" s="47"/>
      <c r="F85" s="42" t="s">
        <v>59</v>
      </c>
      <c r="G85" s="43"/>
      <c r="H85" s="50">
        <f>VLOOKUP(F85,$A$28:$B$28,2,TRUE)</f>
        <v>500</v>
      </c>
      <c r="I85" s="45">
        <f t="shared" si="1"/>
        <v>0</v>
      </c>
      <c r="J85" s="47"/>
      <c r="K85" s="18"/>
      <c r="L85" s="18"/>
      <c r="M85" s="18"/>
      <c r="N85" s="18"/>
    </row>
    <row r="86" ht="15.75" customHeight="1">
      <c r="A86" s="39"/>
      <c r="B86" s="39"/>
      <c r="C86" s="39"/>
      <c r="D86" s="47"/>
      <c r="E86" s="47"/>
      <c r="F86" s="42" t="s">
        <v>13</v>
      </c>
      <c r="G86" s="43"/>
      <c r="H86" s="50">
        <f>VLOOKUP(F86,$A$29:$B$29,2,TRUE)</f>
        <v>1500</v>
      </c>
      <c r="I86" s="45">
        <f t="shared" si="1"/>
        <v>0</v>
      </c>
      <c r="J86" s="47"/>
      <c r="K86" s="18"/>
      <c r="L86" s="18"/>
      <c r="M86" s="18"/>
      <c r="N86" s="18"/>
    </row>
    <row r="87" ht="15.75" customHeight="1">
      <c r="A87" s="39"/>
      <c r="B87" s="39"/>
      <c r="C87" s="39"/>
      <c r="D87" s="47"/>
      <c r="E87" s="47"/>
      <c r="F87" s="42" t="s">
        <v>19</v>
      </c>
      <c r="G87" s="43"/>
      <c r="H87" s="50">
        <f>VLOOKUP(F87,$A$30:$B$30,2,TRUE)</f>
        <v>4000</v>
      </c>
      <c r="I87" s="45">
        <f t="shared" si="1"/>
        <v>0</v>
      </c>
      <c r="J87" s="47"/>
      <c r="K87" s="18"/>
      <c r="L87" s="18"/>
      <c r="M87" s="18"/>
      <c r="N87" s="18"/>
    </row>
    <row r="88" ht="15.75" customHeight="1">
      <c r="A88" s="39"/>
      <c r="B88" s="39"/>
      <c r="C88" s="39"/>
      <c r="D88" s="7"/>
      <c r="E88" s="7"/>
      <c r="F88" s="42" t="s">
        <v>63</v>
      </c>
      <c r="G88" s="43"/>
      <c r="H88" s="50">
        <f>VLOOKUP(F88,$A$31:$B$31,2,TRUE)</f>
        <v>500</v>
      </c>
      <c r="I88" s="45">
        <f t="shared" si="1"/>
        <v>0</v>
      </c>
      <c r="J88" s="7"/>
      <c r="K88" s="18"/>
      <c r="L88" s="18"/>
      <c r="M88" s="18"/>
      <c r="N88" s="18"/>
    </row>
    <row r="89" ht="15.75" customHeight="1">
      <c r="A89" s="39"/>
      <c r="B89" s="39"/>
      <c r="C89" s="39"/>
      <c r="D89" s="52" t="s">
        <v>70</v>
      </c>
      <c r="E89" s="53"/>
      <c r="F89" s="53"/>
      <c r="G89" s="53"/>
      <c r="H89" s="53"/>
      <c r="I89" s="45">
        <f t="shared" si="1"/>
        <v>0</v>
      </c>
      <c r="J89" s="54">
        <f>SUM(J5:J88)</f>
        <v>107750</v>
      </c>
      <c r="K89" s="18"/>
      <c r="L89" s="18"/>
      <c r="M89" s="18"/>
      <c r="N89" s="18"/>
    </row>
    <row r="90" ht="15.75" customHeight="1">
      <c r="A90" s="39"/>
      <c r="B90" s="39"/>
      <c r="C90" s="39"/>
      <c r="D90" s="52" t="s">
        <v>71</v>
      </c>
      <c r="E90" s="53"/>
      <c r="F90" s="53"/>
      <c r="G90" s="53"/>
      <c r="H90" s="53"/>
      <c r="I90" s="45">
        <f t="shared" si="1"/>
        <v>0</v>
      </c>
      <c r="J90" s="54">
        <f>J89*5%</f>
        <v>5387.5</v>
      </c>
      <c r="K90" s="18"/>
      <c r="L90" s="18"/>
      <c r="M90" s="18"/>
      <c r="N90" s="18"/>
    </row>
    <row r="91" ht="15.75" customHeight="1">
      <c r="A91" s="16"/>
      <c r="B91" s="16"/>
      <c r="C91" s="16"/>
      <c r="D91" s="16"/>
      <c r="E91" s="55"/>
      <c r="F91" s="18"/>
      <c r="G91" s="18"/>
      <c r="H91" s="18"/>
      <c r="I91" s="18"/>
      <c r="J91" s="19"/>
      <c r="K91" s="18"/>
      <c r="L91" s="18"/>
      <c r="M91" s="18"/>
      <c r="N91" s="18"/>
    </row>
    <row r="92" ht="15.75" customHeight="1">
      <c r="A92" s="16"/>
      <c r="B92" s="16"/>
      <c r="C92" s="16"/>
      <c r="D92" s="16"/>
      <c r="E92" s="17"/>
      <c r="F92" s="18"/>
      <c r="G92" s="18"/>
      <c r="H92" s="18"/>
      <c r="I92" s="18"/>
      <c r="J92" s="19"/>
      <c r="K92" s="18"/>
      <c r="L92" s="18"/>
      <c r="M92" s="18"/>
      <c r="N92" s="18"/>
    </row>
    <row r="93" ht="15.75" customHeight="1">
      <c r="A93" s="16"/>
      <c r="B93" s="16"/>
      <c r="C93" s="16"/>
      <c r="D93" s="16"/>
      <c r="E93" s="17"/>
      <c r="F93" s="18"/>
      <c r="G93" s="18"/>
      <c r="H93" s="18"/>
      <c r="I93" s="18"/>
      <c r="J93" s="19"/>
      <c r="K93" s="18"/>
      <c r="L93" s="18"/>
      <c r="M93" s="18"/>
      <c r="N93" s="18"/>
    </row>
    <row r="94" ht="15.75" customHeight="1">
      <c r="A94" s="16"/>
      <c r="B94" s="16"/>
      <c r="C94" s="16"/>
      <c r="D94" s="16"/>
      <c r="E94" s="17"/>
      <c r="F94" s="18"/>
      <c r="G94" s="18"/>
      <c r="H94" s="18"/>
      <c r="I94" s="18"/>
      <c r="J94" s="19"/>
      <c r="K94" s="18"/>
      <c r="L94" s="18"/>
      <c r="M94" s="18"/>
      <c r="N94" s="18"/>
    </row>
    <row r="95" ht="15.75" customHeight="1">
      <c r="A95" s="16"/>
      <c r="B95" s="16"/>
      <c r="C95" s="16"/>
      <c r="D95" s="16"/>
      <c r="E95" s="17"/>
      <c r="F95" s="18"/>
      <c r="G95" s="18"/>
      <c r="H95" s="18"/>
      <c r="I95" s="18"/>
      <c r="J95" s="19"/>
      <c r="K95" s="18"/>
      <c r="L95" s="18"/>
      <c r="M95" s="18"/>
      <c r="N95" s="18"/>
    </row>
    <row r="96" ht="15.75" customHeight="1">
      <c r="A96" s="16"/>
      <c r="B96" s="16"/>
      <c r="C96" s="16"/>
      <c r="D96" s="16"/>
      <c r="E96" s="17"/>
      <c r="F96" s="18"/>
      <c r="G96" s="18"/>
      <c r="H96" s="18"/>
      <c r="I96" s="18"/>
      <c r="J96" s="19"/>
      <c r="K96" s="18"/>
      <c r="L96" s="18"/>
      <c r="M96" s="18"/>
      <c r="N96" s="18"/>
    </row>
    <row r="97" ht="15.75" customHeight="1">
      <c r="A97" s="16"/>
      <c r="B97" s="16"/>
      <c r="C97" s="16"/>
      <c r="D97" s="16"/>
      <c r="E97" s="17"/>
      <c r="F97" s="18"/>
      <c r="G97" s="18"/>
      <c r="H97" s="18"/>
      <c r="I97" s="18"/>
      <c r="J97" s="19"/>
      <c r="K97" s="18"/>
      <c r="L97" s="18"/>
      <c r="M97" s="18"/>
      <c r="N97" s="18"/>
    </row>
    <row r="98" ht="15.75" customHeight="1">
      <c r="A98" s="16"/>
      <c r="B98" s="16"/>
      <c r="C98" s="16"/>
      <c r="D98" s="16"/>
      <c r="E98" s="17"/>
      <c r="F98" s="18"/>
      <c r="G98" s="18"/>
      <c r="H98" s="18"/>
      <c r="I98" s="18"/>
      <c r="J98" s="19"/>
      <c r="K98" s="18"/>
      <c r="L98" s="18"/>
      <c r="M98" s="18"/>
      <c r="N98" s="18"/>
    </row>
    <row r="99" ht="15.75" customHeight="1">
      <c r="A99" s="16"/>
      <c r="B99" s="16"/>
      <c r="C99" s="16"/>
      <c r="D99" s="16"/>
      <c r="E99" s="17"/>
      <c r="J99" s="19"/>
    </row>
    <row r="100" ht="15.75" customHeight="1">
      <c r="A100" s="16"/>
      <c r="B100" s="16"/>
      <c r="C100" s="16"/>
      <c r="D100" s="16"/>
      <c r="E100" s="17"/>
      <c r="J100" s="19"/>
    </row>
    <row r="101" ht="15.75" customHeight="1">
      <c r="A101" s="16"/>
      <c r="B101" s="16"/>
      <c r="C101" s="16"/>
      <c r="D101" s="16"/>
      <c r="E101" s="17"/>
      <c r="J101" s="19"/>
    </row>
    <row r="102" ht="15.75" customHeight="1">
      <c r="A102" s="16"/>
      <c r="B102" s="16"/>
      <c r="C102" s="16"/>
      <c r="D102" s="16"/>
      <c r="E102" s="17"/>
      <c r="J102" s="19"/>
    </row>
    <row r="103" ht="15.75" customHeight="1">
      <c r="A103" s="16"/>
      <c r="B103" s="16"/>
      <c r="C103" s="16"/>
      <c r="D103" s="16"/>
      <c r="E103" s="17"/>
      <c r="J103" s="19"/>
    </row>
    <row r="104" ht="15.75" customHeight="1">
      <c r="A104" s="16"/>
      <c r="B104" s="16"/>
      <c r="C104" s="16"/>
      <c r="D104" s="16"/>
      <c r="E104" s="17"/>
      <c r="J104" s="19"/>
    </row>
    <row r="105" ht="15.75" customHeight="1">
      <c r="A105" s="16"/>
      <c r="B105" s="16"/>
      <c r="C105" s="16"/>
      <c r="D105" s="16"/>
      <c r="E105" s="17"/>
      <c r="J105" s="19"/>
    </row>
    <row r="106" ht="15.75" customHeight="1">
      <c r="A106" s="16"/>
      <c r="B106" s="16"/>
      <c r="C106" s="16"/>
      <c r="D106" s="16"/>
      <c r="E106" s="17"/>
      <c r="J106" s="19"/>
    </row>
    <row r="107" ht="15.75" customHeight="1">
      <c r="A107" s="16"/>
      <c r="B107" s="16"/>
      <c r="C107" s="16"/>
      <c r="D107" s="16"/>
      <c r="E107" s="17"/>
      <c r="J107" s="19"/>
    </row>
    <row r="108" ht="15.75" customHeight="1">
      <c r="A108" s="16"/>
      <c r="B108" s="16"/>
      <c r="C108" s="16"/>
      <c r="D108" s="16"/>
      <c r="E108" s="17"/>
      <c r="J108" s="19"/>
    </row>
    <row r="109" ht="15.75" customHeight="1">
      <c r="A109" s="16"/>
      <c r="B109" s="16"/>
      <c r="C109" s="16"/>
      <c r="D109" s="16"/>
      <c r="E109" s="17"/>
      <c r="J109" s="19"/>
    </row>
    <row r="110" ht="15.75" customHeight="1">
      <c r="A110" s="16"/>
      <c r="B110" s="16"/>
      <c r="C110" s="16"/>
      <c r="D110" s="16"/>
      <c r="E110" s="17"/>
      <c r="J110" s="19"/>
    </row>
    <row r="111" ht="15.75" customHeight="1">
      <c r="A111" s="16"/>
      <c r="B111" s="16"/>
      <c r="C111" s="16"/>
      <c r="D111" s="16"/>
      <c r="E111" s="17"/>
      <c r="J111" s="19"/>
    </row>
    <row r="112" ht="15.75" customHeight="1">
      <c r="A112" s="16"/>
      <c r="B112" s="16"/>
      <c r="C112" s="16"/>
      <c r="D112" s="16"/>
      <c r="E112" s="17"/>
      <c r="J112" s="19"/>
    </row>
    <row r="113" ht="15.75" customHeight="1">
      <c r="A113" s="16"/>
      <c r="B113" s="16"/>
      <c r="C113" s="16"/>
      <c r="D113" s="16"/>
      <c r="E113" s="17"/>
      <c r="J113" s="19"/>
    </row>
    <row r="114" ht="15.75" customHeight="1">
      <c r="A114" s="16"/>
      <c r="B114" s="16"/>
      <c r="C114" s="16"/>
      <c r="D114" s="16"/>
      <c r="E114" s="17"/>
      <c r="J114" s="19"/>
    </row>
    <row r="115" ht="15.75" customHeight="1">
      <c r="A115" s="16"/>
      <c r="B115" s="16"/>
      <c r="C115" s="16"/>
      <c r="D115" s="16"/>
      <c r="E115" s="17"/>
      <c r="J115" s="19"/>
    </row>
    <row r="116" ht="15.75" customHeight="1">
      <c r="A116" s="16"/>
      <c r="B116" s="16"/>
      <c r="C116" s="16"/>
      <c r="D116" s="16"/>
      <c r="E116" s="17"/>
      <c r="J116" s="19"/>
    </row>
    <row r="117" ht="15.75" customHeight="1">
      <c r="A117" s="16"/>
      <c r="B117" s="16"/>
      <c r="C117" s="16"/>
      <c r="D117" s="16"/>
      <c r="E117" s="17"/>
      <c r="J117" s="19"/>
    </row>
    <row r="118" ht="15.75" customHeight="1">
      <c r="A118" s="16"/>
      <c r="B118" s="16"/>
      <c r="C118" s="16"/>
      <c r="D118" s="16"/>
      <c r="E118" s="17"/>
      <c r="J118" s="19"/>
    </row>
    <row r="119" ht="15.75" customHeight="1">
      <c r="A119" s="16"/>
      <c r="B119" s="16"/>
      <c r="C119" s="16"/>
      <c r="D119" s="16"/>
      <c r="E119" s="17"/>
      <c r="J119" s="19"/>
    </row>
    <row r="120" ht="15.75" customHeight="1">
      <c r="A120" s="16"/>
      <c r="B120" s="16"/>
      <c r="C120" s="16"/>
      <c r="D120" s="16"/>
      <c r="E120" s="17"/>
      <c r="J120" s="19"/>
    </row>
    <row r="121" ht="15.75" customHeight="1">
      <c r="A121" s="16"/>
      <c r="B121" s="16"/>
      <c r="C121" s="16"/>
      <c r="D121" s="16"/>
      <c r="E121" s="17"/>
      <c r="J121" s="19"/>
    </row>
    <row r="122" ht="15.75" customHeight="1">
      <c r="A122" s="16"/>
      <c r="B122" s="16"/>
      <c r="C122" s="16"/>
      <c r="D122" s="16"/>
      <c r="E122" s="17"/>
      <c r="J122" s="19"/>
    </row>
    <row r="123" ht="15.75" customHeight="1">
      <c r="A123" s="16"/>
      <c r="B123" s="16"/>
      <c r="C123" s="16"/>
      <c r="D123" s="16"/>
      <c r="E123" s="17"/>
      <c r="J123" s="19"/>
    </row>
    <row r="124" ht="15.75" customHeight="1">
      <c r="A124" s="16"/>
      <c r="B124" s="16"/>
      <c r="C124" s="16"/>
      <c r="D124" s="16"/>
      <c r="E124" s="17"/>
      <c r="J124" s="19"/>
    </row>
    <row r="125" ht="15.75" customHeight="1">
      <c r="A125" s="16"/>
      <c r="B125" s="16"/>
      <c r="C125" s="16"/>
      <c r="D125" s="16"/>
      <c r="E125" s="17"/>
      <c r="J125" s="19"/>
    </row>
    <row r="126" ht="15.75" customHeight="1">
      <c r="A126" s="16"/>
      <c r="B126" s="16"/>
      <c r="C126" s="16"/>
      <c r="D126" s="16"/>
      <c r="E126" s="17"/>
      <c r="J126" s="19"/>
    </row>
    <row r="127" ht="15.75" customHeight="1">
      <c r="A127" s="16"/>
      <c r="B127" s="16"/>
      <c r="C127" s="16"/>
      <c r="D127" s="16"/>
      <c r="E127" s="17"/>
      <c r="J127" s="19"/>
    </row>
    <row r="128" ht="15.75" customHeight="1">
      <c r="A128" s="16"/>
      <c r="B128" s="16"/>
      <c r="C128" s="16"/>
      <c r="D128" s="16"/>
      <c r="E128" s="17"/>
      <c r="J128" s="19"/>
    </row>
    <row r="129" ht="15.75" customHeight="1">
      <c r="A129" s="16"/>
      <c r="B129" s="16"/>
      <c r="C129" s="16"/>
      <c r="D129" s="16"/>
      <c r="E129" s="17"/>
      <c r="J129" s="19"/>
    </row>
    <row r="130" ht="15.75" customHeight="1">
      <c r="A130" s="16"/>
      <c r="B130" s="16"/>
      <c r="C130" s="16"/>
      <c r="D130" s="16"/>
      <c r="E130" s="17"/>
      <c r="J130" s="19"/>
    </row>
    <row r="131" ht="15.75" customHeight="1">
      <c r="A131" s="16"/>
      <c r="B131" s="16"/>
      <c r="C131" s="16"/>
      <c r="D131" s="16"/>
      <c r="E131" s="17"/>
      <c r="J131" s="19"/>
    </row>
    <row r="132" ht="15.75" customHeight="1">
      <c r="A132" s="16"/>
      <c r="B132" s="16"/>
      <c r="C132" s="16"/>
      <c r="D132" s="16"/>
      <c r="E132" s="17"/>
      <c r="J132" s="19"/>
    </row>
    <row r="133" ht="15.75" customHeight="1">
      <c r="A133" s="16"/>
      <c r="B133" s="16"/>
      <c r="C133" s="16"/>
      <c r="D133" s="16"/>
      <c r="E133" s="17"/>
      <c r="J133" s="19"/>
    </row>
    <row r="134" ht="15.75" customHeight="1">
      <c r="A134" s="16"/>
      <c r="B134" s="16"/>
      <c r="C134" s="16"/>
      <c r="D134" s="16"/>
      <c r="E134" s="17"/>
      <c r="J134" s="19"/>
    </row>
    <row r="135" ht="15.75" customHeight="1">
      <c r="A135" s="16"/>
      <c r="B135" s="16"/>
      <c r="C135" s="16"/>
      <c r="D135" s="16"/>
      <c r="E135" s="17"/>
      <c r="J135" s="19"/>
    </row>
    <row r="136" ht="15.75" customHeight="1">
      <c r="A136" s="16"/>
      <c r="B136" s="16"/>
      <c r="C136" s="16"/>
      <c r="D136" s="16"/>
      <c r="E136" s="17"/>
      <c r="J136" s="19"/>
    </row>
    <row r="137" ht="15.75" customHeight="1">
      <c r="A137" s="16"/>
      <c r="B137" s="16"/>
      <c r="C137" s="16"/>
      <c r="D137" s="16"/>
      <c r="E137" s="17"/>
      <c r="J137" s="19"/>
    </row>
    <row r="138" ht="15.75" customHeight="1">
      <c r="A138" s="16"/>
      <c r="B138" s="16"/>
      <c r="C138" s="16"/>
      <c r="D138" s="16"/>
      <c r="E138" s="17"/>
      <c r="J138" s="19"/>
    </row>
    <row r="139" ht="15.75" customHeight="1">
      <c r="A139" s="16"/>
      <c r="B139" s="16"/>
      <c r="C139" s="16"/>
      <c r="D139" s="16"/>
      <c r="E139" s="17"/>
      <c r="J139" s="19"/>
    </row>
    <row r="140" ht="15.75" customHeight="1">
      <c r="A140" s="16"/>
      <c r="B140" s="16"/>
      <c r="C140" s="16"/>
      <c r="D140" s="16"/>
      <c r="E140" s="17"/>
      <c r="J140" s="19"/>
    </row>
    <row r="141" ht="15.75" customHeight="1">
      <c r="A141" s="16"/>
      <c r="B141" s="16"/>
      <c r="C141" s="16"/>
      <c r="D141" s="16"/>
      <c r="E141" s="17"/>
      <c r="J141" s="19"/>
    </row>
    <row r="142" ht="15.75" customHeight="1">
      <c r="A142" s="16"/>
      <c r="B142" s="16"/>
      <c r="C142" s="16"/>
      <c r="D142" s="16"/>
      <c r="E142" s="17"/>
      <c r="J142" s="19"/>
    </row>
    <row r="143" ht="15.75" customHeight="1">
      <c r="A143" s="16"/>
      <c r="B143" s="16"/>
      <c r="C143" s="16"/>
      <c r="D143" s="16"/>
      <c r="E143" s="17"/>
      <c r="J143" s="19"/>
    </row>
    <row r="144" ht="15.75" customHeight="1">
      <c r="A144" s="16"/>
      <c r="B144" s="16"/>
      <c r="C144" s="16"/>
      <c r="D144" s="16"/>
      <c r="E144" s="17"/>
      <c r="J144" s="19"/>
    </row>
    <row r="145" ht="15.75" customHeight="1">
      <c r="A145" s="16"/>
      <c r="B145" s="16"/>
      <c r="C145" s="16"/>
      <c r="D145" s="16"/>
      <c r="E145" s="17"/>
      <c r="J145" s="19"/>
    </row>
    <row r="146" ht="15.75" customHeight="1">
      <c r="A146" s="16"/>
      <c r="B146" s="16"/>
      <c r="C146" s="16"/>
      <c r="D146" s="16"/>
      <c r="E146" s="17"/>
      <c r="J146" s="19"/>
    </row>
    <row r="147" ht="15.75" customHeight="1">
      <c r="A147" s="16"/>
      <c r="B147" s="16"/>
      <c r="C147" s="16"/>
      <c r="D147" s="16"/>
      <c r="E147" s="17"/>
      <c r="J147" s="19"/>
    </row>
    <row r="148" ht="15.75" customHeight="1">
      <c r="A148" s="16"/>
      <c r="B148" s="16"/>
      <c r="C148" s="16"/>
      <c r="D148" s="16"/>
      <c r="E148" s="17"/>
      <c r="J148" s="19"/>
    </row>
    <row r="149" ht="15.75" customHeight="1">
      <c r="A149" s="16"/>
      <c r="B149" s="16"/>
      <c r="C149" s="16"/>
      <c r="D149" s="16"/>
      <c r="E149" s="17"/>
      <c r="J149" s="19"/>
    </row>
    <row r="150" ht="15.75" customHeight="1">
      <c r="A150" s="16"/>
      <c r="B150" s="16"/>
      <c r="C150" s="16"/>
      <c r="D150" s="16"/>
      <c r="E150" s="17"/>
      <c r="J150" s="19"/>
    </row>
    <row r="151" ht="15.75" customHeight="1">
      <c r="A151" s="16"/>
      <c r="B151" s="16"/>
      <c r="C151" s="16"/>
      <c r="D151" s="16"/>
      <c r="E151" s="17"/>
      <c r="J151" s="19"/>
    </row>
    <row r="152" ht="15.75" customHeight="1">
      <c r="A152" s="16"/>
      <c r="B152" s="16"/>
      <c r="C152" s="16"/>
      <c r="D152" s="16"/>
      <c r="E152" s="17"/>
      <c r="J152" s="19"/>
    </row>
    <row r="153" ht="15.75" customHeight="1">
      <c r="A153" s="16"/>
      <c r="B153" s="16"/>
      <c r="C153" s="16"/>
      <c r="D153" s="16"/>
      <c r="E153" s="17"/>
      <c r="J153" s="19"/>
    </row>
    <row r="154" ht="15.75" customHeight="1">
      <c r="A154" s="16"/>
      <c r="B154" s="16"/>
      <c r="C154" s="16"/>
      <c r="D154" s="16"/>
      <c r="E154" s="17"/>
      <c r="J154" s="19"/>
    </row>
    <row r="155" ht="15.75" customHeight="1">
      <c r="A155" s="16"/>
      <c r="B155" s="16"/>
      <c r="C155" s="16"/>
      <c r="D155" s="16"/>
      <c r="E155" s="17"/>
      <c r="J155" s="19"/>
    </row>
    <row r="156" ht="15.75" customHeight="1">
      <c r="A156" s="16"/>
      <c r="B156" s="16"/>
      <c r="C156" s="16"/>
      <c r="D156" s="16"/>
      <c r="E156" s="17"/>
      <c r="J156" s="19"/>
    </row>
    <row r="157" ht="15.75" customHeight="1">
      <c r="A157" s="16"/>
      <c r="B157" s="16"/>
      <c r="C157" s="16"/>
      <c r="D157" s="16"/>
      <c r="E157" s="17"/>
      <c r="J157" s="19"/>
    </row>
    <row r="158" ht="15.75" customHeight="1">
      <c r="A158" s="16"/>
      <c r="B158" s="16"/>
      <c r="C158" s="16"/>
      <c r="D158" s="16"/>
      <c r="E158" s="17"/>
      <c r="J158" s="19"/>
    </row>
    <row r="159" ht="15.75" customHeight="1">
      <c r="A159" s="16"/>
      <c r="B159" s="16"/>
      <c r="C159" s="16"/>
      <c r="D159" s="16"/>
      <c r="E159" s="17"/>
      <c r="J159" s="19"/>
    </row>
    <row r="160" ht="15.75" customHeight="1">
      <c r="A160" s="16"/>
      <c r="B160" s="16"/>
      <c r="C160" s="16"/>
      <c r="D160" s="16"/>
      <c r="E160" s="17"/>
      <c r="J160" s="19"/>
    </row>
    <row r="161" ht="15.75" customHeight="1">
      <c r="A161" s="16"/>
      <c r="B161" s="16"/>
      <c r="C161" s="16"/>
      <c r="D161" s="16"/>
      <c r="E161" s="17"/>
      <c r="J161" s="19"/>
    </row>
    <row r="162" ht="15.75" customHeight="1">
      <c r="A162" s="16"/>
      <c r="B162" s="16"/>
      <c r="C162" s="16"/>
      <c r="D162" s="16"/>
      <c r="E162" s="17"/>
      <c r="J162" s="19"/>
    </row>
    <row r="163" ht="15.75" customHeight="1">
      <c r="A163" s="16"/>
      <c r="B163" s="16"/>
      <c r="C163" s="16"/>
      <c r="D163" s="16"/>
      <c r="E163" s="17"/>
      <c r="J163" s="19"/>
    </row>
    <row r="164" ht="15.75" customHeight="1">
      <c r="A164" s="16"/>
      <c r="B164" s="16"/>
      <c r="C164" s="16"/>
      <c r="D164" s="16"/>
      <c r="E164" s="17"/>
      <c r="J164" s="19"/>
    </row>
    <row r="165" ht="15.75" customHeight="1">
      <c r="A165" s="16"/>
      <c r="B165" s="16"/>
      <c r="C165" s="16"/>
      <c r="D165" s="16"/>
      <c r="E165" s="17"/>
      <c r="J165" s="19"/>
    </row>
    <row r="166" ht="15.75" customHeight="1">
      <c r="A166" s="16"/>
      <c r="B166" s="16"/>
      <c r="C166" s="16"/>
      <c r="D166" s="16"/>
      <c r="E166" s="17"/>
      <c r="J166" s="19"/>
    </row>
    <row r="167" ht="15.75" customHeight="1">
      <c r="A167" s="16"/>
      <c r="B167" s="16"/>
      <c r="C167" s="16"/>
      <c r="D167" s="16"/>
      <c r="E167" s="17"/>
      <c r="J167" s="19"/>
    </row>
    <row r="168" ht="15.75" customHeight="1">
      <c r="A168" s="16"/>
      <c r="B168" s="16"/>
      <c r="C168" s="16"/>
      <c r="D168" s="16"/>
      <c r="E168" s="17"/>
      <c r="J168" s="19"/>
    </row>
    <row r="169" ht="15.75" customHeight="1">
      <c r="A169" s="16"/>
      <c r="B169" s="16"/>
      <c r="C169" s="16"/>
      <c r="D169" s="16"/>
      <c r="E169" s="17"/>
      <c r="J169" s="19"/>
    </row>
    <row r="170" ht="15.75" customHeight="1">
      <c r="A170" s="16"/>
      <c r="B170" s="16"/>
      <c r="C170" s="16"/>
      <c r="D170" s="16"/>
      <c r="E170" s="17"/>
      <c r="J170" s="19"/>
    </row>
    <row r="171" ht="15.75" customHeight="1">
      <c r="A171" s="16"/>
      <c r="B171" s="16"/>
      <c r="C171" s="16"/>
      <c r="D171" s="16"/>
      <c r="E171" s="17"/>
      <c r="J171" s="19"/>
    </row>
    <row r="172" ht="15.75" customHeight="1">
      <c r="A172" s="16"/>
      <c r="B172" s="16"/>
      <c r="C172" s="16"/>
      <c r="D172" s="16"/>
      <c r="E172" s="17"/>
      <c r="J172" s="19"/>
    </row>
    <row r="173" ht="15.75" customHeight="1">
      <c r="A173" s="16"/>
      <c r="B173" s="16"/>
      <c r="C173" s="16"/>
      <c r="D173" s="16"/>
      <c r="E173" s="17"/>
      <c r="J173" s="19"/>
    </row>
    <row r="174" ht="15.75" customHeight="1">
      <c r="A174" s="16"/>
      <c r="B174" s="16"/>
      <c r="C174" s="16"/>
      <c r="D174" s="16"/>
      <c r="E174" s="17"/>
      <c r="J174" s="19"/>
    </row>
    <row r="175" ht="15.75" customHeight="1">
      <c r="A175" s="16"/>
      <c r="B175" s="16"/>
      <c r="C175" s="16"/>
      <c r="D175" s="16"/>
      <c r="E175" s="17"/>
      <c r="J175" s="19"/>
    </row>
    <row r="176" ht="15.75" customHeight="1">
      <c r="A176" s="16"/>
      <c r="B176" s="16"/>
      <c r="C176" s="16"/>
      <c r="D176" s="16"/>
      <c r="E176" s="17"/>
      <c r="J176" s="19"/>
    </row>
    <row r="177" ht="15.75" customHeight="1">
      <c r="A177" s="16"/>
      <c r="B177" s="16"/>
      <c r="C177" s="16"/>
      <c r="D177" s="16"/>
      <c r="E177" s="17"/>
      <c r="J177" s="19"/>
    </row>
    <row r="178" ht="15.75" customHeight="1">
      <c r="A178" s="16"/>
      <c r="B178" s="16"/>
      <c r="C178" s="16"/>
      <c r="D178" s="16"/>
      <c r="E178" s="17"/>
      <c r="J178" s="19"/>
    </row>
    <row r="179" ht="15.75" customHeight="1">
      <c r="A179" s="16"/>
      <c r="B179" s="16"/>
      <c r="C179" s="16"/>
      <c r="D179" s="16"/>
      <c r="E179" s="17"/>
      <c r="J179" s="19"/>
    </row>
    <row r="180" ht="15.75" customHeight="1">
      <c r="A180" s="16"/>
      <c r="B180" s="16"/>
      <c r="C180" s="16"/>
      <c r="D180" s="16"/>
      <c r="E180" s="17"/>
      <c r="J180" s="19"/>
    </row>
    <row r="181" ht="15.75" customHeight="1">
      <c r="A181" s="16"/>
      <c r="B181" s="16"/>
      <c r="C181" s="16"/>
      <c r="D181" s="16"/>
      <c r="E181" s="17"/>
      <c r="J181" s="19"/>
    </row>
    <row r="182" ht="15.75" customHeight="1">
      <c r="A182" s="16"/>
      <c r="B182" s="16"/>
      <c r="C182" s="16"/>
      <c r="D182" s="16"/>
      <c r="E182" s="17"/>
      <c r="J182" s="19"/>
    </row>
    <row r="183" ht="15.75" customHeight="1">
      <c r="A183" s="16"/>
      <c r="B183" s="16"/>
      <c r="C183" s="16"/>
      <c r="D183" s="16"/>
      <c r="E183" s="17"/>
      <c r="J183" s="19"/>
    </row>
    <row r="184" ht="15.75" customHeight="1">
      <c r="A184" s="16"/>
      <c r="B184" s="16"/>
      <c r="C184" s="16"/>
      <c r="D184" s="16"/>
      <c r="E184" s="17"/>
      <c r="J184" s="19"/>
    </row>
    <row r="185" ht="15.75" customHeight="1">
      <c r="A185" s="16"/>
      <c r="B185" s="16"/>
      <c r="C185" s="16"/>
      <c r="D185" s="16"/>
      <c r="E185" s="17"/>
      <c r="J185" s="19"/>
    </row>
    <row r="186" ht="15.75" customHeight="1">
      <c r="A186" s="16"/>
      <c r="B186" s="16"/>
      <c r="C186" s="16"/>
      <c r="D186" s="16"/>
      <c r="E186" s="17"/>
      <c r="J186" s="19"/>
    </row>
    <row r="187" ht="15.75" customHeight="1">
      <c r="A187" s="16"/>
      <c r="B187" s="16"/>
      <c r="C187" s="16"/>
      <c r="D187" s="16"/>
      <c r="E187" s="17"/>
      <c r="J187" s="19"/>
    </row>
    <row r="188" ht="15.75" customHeight="1">
      <c r="A188" s="16"/>
      <c r="B188" s="16"/>
      <c r="C188" s="16"/>
      <c r="D188" s="16"/>
      <c r="E188" s="17"/>
      <c r="J188" s="19"/>
    </row>
    <row r="189" ht="15.75" customHeight="1">
      <c r="A189" s="16"/>
      <c r="B189" s="16"/>
      <c r="C189" s="16"/>
      <c r="D189" s="16"/>
      <c r="E189" s="17"/>
      <c r="J189" s="19"/>
    </row>
    <row r="190" ht="15.75" customHeight="1">
      <c r="A190" s="16"/>
      <c r="B190" s="16"/>
      <c r="C190" s="16"/>
      <c r="D190" s="16"/>
      <c r="E190" s="17"/>
      <c r="J190" s="19"/>
    </row>
    <row r="191" ht="15.75" customHeight="1">
      <c r="A191" s="16"/>
      <c r="B191" s="16"/>
      <c r="C191" s="16"/>
      <c r="D191" s="16"/>
      <c r="E191" s="17"/>
      <c r="J191" s="19"/>
    </row>
    <row r="192" ht="15.75" customHeight="1">
      <c r="A192" s="16"/>
      <c r="B192" s="16"/>
      <c r="C192" s="16"/>
      <c r="D192" s="16"/>
      <c r="E192" s="17"/>
      <c r="J192" s="19"/>
    </row>
    <row r="193" ht="15.75" customHeight="1">
      <c r="A193" s="16"/>
      <c r="B193" s="16"/>
      <c r="C193" s="16"/>
      <c r="D193" s="16"/>
      <c r="E193" s="17"/>
      <c r="J193" s="19"/>
    </row>
    <row r="194" ht="15.75" customHeight="1">
      <c r="A194" s="16"/>
      <c r="B194" s="16"/>
      <c r="C194" s="16"/>
      <c r="D194" s="16"/>
      <c r="E194" s="17"/>
      <c r="J194" s="19"/>
    </row>
    <row r="195" ht="15.75" customHeight="1">
      <c r="A195" s="16"/>
      <c r="B195" s="16"/>
      <c r="C195" s="16"/>
      <c r="D195" s="16"/>
      <c r="E195" s="17"/>
      <c r="J195" s="19"/>
    </row>
    <row r="196" ht="15.75" customHeight="1">
      <c r="A196" s="16"/>
      <c r="B196" s="16"/>
      <c r="C196" s="16"/>
      <c r="D196" s="16"/>
      <c r="E196" s="17"/>
      <c r="J196" s="19"/>
    </row>
    <row r="197" ht="15.75" customHeight="1">
      <c r="A197" s="16"/>
      <c r="B197" s="16"/>
      <c r="C197" s="16"/>
      <c r="D197" s="16"/>
      <c r="E197" s="17"/>
      <c r="J197" s="19"/>
    </row>
    <row r="198" ht="15.75" customHeight="1">
      <c r="A198" s="16"/>
      <c r="B198" s="16"/>
      <c r="C198" s="16"/>
      <c r="D198" s="16"/>
      <c r="E198" s="17"/>
      <c r="J198" s="19"/>
    </row>
    <row r="199" ht="15.75" customHeight="1">
      <c r="A199" s="16"/>
      <c r="B199" s="16"/>
      <c r="C199" s="16"/>
      <c r="D199" s="16"/>
      <c r="E199" s="17"/>
      <c r="J199" s="19"/>
    </row>
    <row r="200" ht="15.75" customHeight="1">
      <c r="A200" s="16"/>
      <c r="B200" s="16"/>
      <c r="C200" s="16"/>
      <c r="D200" s="16"/>
      <c r="E200" s="17"/>
      <c r="J200" s="19"/>
    </row>
    <row r="201" ht="15.75" customHeight="1">
      <c r="A201" s="16"/>
      <c r="B201" s="16"/>
      <c r="C201" s="16"/>
      <c r="D201" s="16"/>
      <c r="E201" s="17"/>
      <c r="J201" s="19"/>
    </row>
    <row r="202" ht="15.75" customHeight="1">
      <c r="A202" s="16"/>
      <c r="B202" s="16"/>
      <c r="C202" s="16"/>
      <c r="D202" s="16"/>
      <c r="E202" s="17"/>
      <c r="J202" s="19"/>
    </row>
    <row r="203" ht="15.75" customHeight="1">
      <c r="A203" s="16"/>
      <c r="B203" s="16"/>
      <c r="C203" s="16"/>
      <c r="D203" s="16"/>
      <c r="E203" s="17"/>
      <c r="J203" s="19"/>
    </row>
    <row r="204" ht="15.75" customHeight="1">
      <c r="A204" s="16"/>
      <c r="B204" s="16"/>
      <c r="C204" s="16"/>
      <c r="D204" s="16"/>
      <c r="E204" s="17"/>
      <c r="J204" s="19"/>
    </row>
    <row r="205" ht="15.75" customHeight="1">
      <c r="A205" s="16"/>
      <c r="B205" s="16"/>
      <c r="C205" s="16"/>
      <c r="D205" s="16"/>
      <c r="E205" s="17"/>
      <c r="J205" s="19"/>
    </row>
    <row r="206" ht="15.75" customHeight="1">
      <c r="A206" s="16"/>
      <c r="B206" s="16"/>
      <c r="C206" s="16"/>
      <c r="D206" s="16"/>
      <c r="E206" s="17"/>
      <c r="J206" s="19"/>
    </row>
    <row r="207" ht="15.75" customHeight="1">
      <c r="A207" s="16"/>
      <c r="B207" s="16"/>
      <c r="C207" s="16"/>
      <c r="D207" s="16"/>
      <c r="E207" s="17"/>
      <c r="J207" s="19"/>
    </row>
    <row r="208" ht="15.75" customHeight="1">
      <c r="A208" s="16"/>
      <c r="B208" s="16"/>
      <c r="C208" s="16"/>
      <c r="D208" s="16"/>
      <c r="E208" s="17"/>
      <c r="J208" s="19"/>
    </row>
    <row r="209" ht="15.75" customHeight="1">
      <c r="A209" s="16"/>
      <c r="B209" s="16"/>
      <c r="C209" s="16"/>
      <c r="D209" s="16"/>
      <c r="E209" s="17"/>
      <c r="J209" s="19"/>
    </row>
    <row r="210" ht="15.75" customHeight="1">
      <c r="A210" s="16"/>
      <c r="B210" s="16"/>
      <c r="C210" s="16"/>
      <c r="D210" s="16"/>
      <c r="E210" s="17"/>
      <c r="J210" s="19"/>
    </row>
    <row r="211" ht="15.75" customHeight="1">
      <c r="A211" s="16"/>
      <c r="B211" s="16"/>
      <c r="C211" s="16"/>
      <c r="D211" s="16"/>
      <c r="E211" s="17"/>
      <c r="J211" s="19"/>
    </row>
    <row r="212" ht="15.75" customHeight="1">
      <c r="A212" s="16"/>
      <c r="B212" s="16"/>
      <c r="C212" s="16"/>
      <c r="D212" s="16"/>
      <c r="E212" s="17"/>
      <c r="J212" s="19"/>
    </row>
    <row r="213" ht="15.75" customHeight="1">
      <c r="A213" s="16"/>
      <c r="B213" s="16"/>
      <c r="C213" s="16"/>
      <c r="D213" s="16"/>
      <c r="E213" s="17"/>
      <c r="J213" s="19"/>
    </row>
    <row r="214" ht="15.75" customHeight="1">
      <c r="A214" s="16"/>
      <c r="B214" s="16"/>
      <c r="C214" s="16"/>
      <c r="D214" s="16"/>
      <c r="E214" s="17"/>
      <c r="J214" s="19"/>
    </row>
    <row r="215" ht="15.75" customHeight="1">
      <c r="A215" s="16"/>
      <c r="B215" s="16"/>
      <c r="C215" s="16"/>
      <c r="D215" s="16"/>
      <c r="E215" s="17"/>
      <c r="J215" s="19"/>
    </row>
    <row r="216" ht="15.75" customHeight="1">
      <c r="A216" s="16"/>
      <c r="B216" s="16"/>
      <c r="C216" s="16"/>
      <c r="D216" s="16"/>
      <c r="E216" s="17"/>
      <c r="J216" s="19"/>
    </row>
    <row r="217" ht="15.75" customHeight="1">
      <c r="A217" s="16"/>
      <c r="B217" s="16"/>
      <c r="C217" s="16"/>
      <c r="D217" s="16"/>
      <c r="E217" s="17"/>
      <c r="J217" s="19"/>
    </row>
    <row r="218" ht="15.75" customHeight="1">
      <c r="A218" s="16"/>
      <c r="B218" s="16"/>
      <c r="C218" s="16"/>
      <c r="D218" s="16"/>
      <c r="E218" s="17"/>
      <c r="J218" s="19"/>
    </row>
    <row r="219" ht="15.75" customHeight="1">
      <c r="A219" s="16"/>
      <c r="B219" s="16"/>
      <c r="C219" s="16"/>
      <c r="D219" s="16"/>
      <c r="E219" s="17"/>
      <c r="J219" s="19"/>
    </row>
    <row r="220" ht="15.75" customHeight="1">
      <c r="A220" s="16"/>
      <c r="B220" s="16"/>
      <c r="C220" s="16"/>
      <c r="D220" s="16"/>
      <c r="E220" s="17"/>
      <c r="J220" s="19"/>
    </row>
    <row r="221" ht="15.75" customHeight="1">
      <c r="A221" s="16"/>
      <c r="B221" s="16"/>
      <c r="C221" s="16"/>
      <c r="D221" s="16"/>
      <c r="E221" s="17"/>
      <c r="J221" s="19"/>
    </row>
    <row r="222" ht="15.75" customHeight="1">
      <c r="A222" s="16"/>
      <c r="B222" s="16"/>
      <c r="C222" s="16"/>
      <c r="D222" s="16"/>
      <c r="E222" s="17"/>
      <c r="J222" s="19"/>
    </row>
    <row r="223" ht="15.75" customHeight="1">
      <c r="A223" s="16"/>
      <c r="B223" s="16"/>
      <c r="C223" s="16"/>
      <c r="D223" s="16"/>
      <c r="E223" s="17"/>
      <c r="J223" s="19"/>
    </row>
    <row r="224" ht="15.75" customHeight="1">
      <c r="A224" s="16"/>
      <c r="B224" s="16"/>
      <c r="C224" s="16"/>
      <c r="D224" s="16"/>
      <c r="E224" s="17"/>
      <c r="J224" s="19"/>
    </row>
    <row r="225" ht="15.75" customHeight="1">
      <c r="A225" s="16"/>
      <c r="B225" s="16"/>
      <c r="C225" s="16"/>
      <c r="D225" s="16"/>
      <c r="E225" s="17"/>
      <c r="J225" s="19"/>
    </row>
    <row r="226" ht="15.75" customHeight="1">
      <c r="A226" s="16"/>
      <c r="B226" s="16"/>
      <c r="C226" s="16"/>
      <c r="D226" s="16"/>
      <c r="E226" s="17"/>
      <c r="J226" s="19"/>
    </row>
    <row r="227" ht="15.75" customHeight="1">
      <c r="A227" s="16"/>
      <c r="B227" s="16"/>
      <c r="C227" s="16"/>
      <c r="D227" s="16"/>
      <c r="E227" s="17"/>
      <c r="J227" s="19"/>
    </row>
    <row r="228" ht="15.75" customHeight="1">
      <c r="A228" s="16"/>
      <c r="B228" s="16"/>
      <c r="C228" s="16"/>
      <c r="D228" s="16"/>
      <c r="E228" s="17"/>
      <c r="J228" s="19"/>
    </row>
    <row r="229" ht="15.75" customHeight="1">
      <c r="A229" s="16"/>
      <c r="B229" s="16"/>
      <c r="C229" s="16"/>
      <c r="D229" s="16"/>
      <c r="E229" s="17"/>
      <c r="J229" s="19"/>
    </row>
    <row r="230" ht="15.75" customHeight="1">
      <c r="A230" s="16"/>
      <c r="B230" s="16"/>
      <c r="C230" s="16"/>
      <c r="D230" s="16"/>
      <c r="E230" s="17"/>
      <c r="J230" s="19"/>
    </row>
    <row r="231" ht="15.75" customHeight="1">
      <c r="A231" s="16"/>
      <c r="B231" s="16"/>
      <c r="C231" s="16"/>
      <c r="D231" s="16"/>
      <c r="E231" s="17"/>
      <c r="J231" s="19"/>
    </row>
    <row r="232" ht="15.75" customHeight="1">
      <c r="A232" s="16"/>
      <c r="B232" s="16"/>
      <c r="C232" s="16"/>
      <c r="D232" s="16"/>
      <c r="E232" s="17"/>
      <c r="J232" s="19"/>
    </row>
    <row r="233" ht="15.75" customHeight="1">
      <c r="A233" s="16"/>
      <c r="B233" s="16"/>
      <c r="C233" s="16"/>
      <c r="D233" s="16"/>
      <c r="E233" s="17"/>
      <c r="J233" s="19"/>
    </row>
    <row r="234" ht="15.75" customHeight="1">
      <c r="A234" s="16"/>
      <c r="B234" s="16"/>
      <c r="C234" s="16"/>
      <c r="D234" s="16"/>
      <c r="E234" s="17"/>
      <c r="J234" s="19"/>
    </row>
    <row r="235" ht="15.75" customHeight="1">
      <c r="A235" s="16"/>
      <c r="B235" s="16"/>
      <c r="C235" s="16"/>
      <c r="D235" s="16"/>
      <c r="E235" s="17"/>
      <c r="J235" s="19"/>
    </row>
    <row r="236" ht="15.75" customHeight="1">
      <c r="A236" s="16"/>
      <c r="B236" s="16"/>
      <c r="C236" s="16"/>
      <c r="D236" s="16"/>
      <c r="E236" s="17"/>
      <c r="J236" s="19"/>
    </row>
    <row r="237" ht="15.75" customHeight="1">
      <c r="A237" s="16"/>
      <c r="B237" s="16"/>
      <c r="C237" s="16"/>
      <c r="D237" s="16"/>
      <c r="E237" s="17"/>
      <c r="J237" s="19"/>
    </row>
    <row r="238" ht="15.75" customHeight="1">
      <c r="A238" s="16"/>
      <c r="B238" s="16"/>
      <c r="C238" s="16"/>
      <c r="D238" s="16"/>
      <c r="E238" s="17"/>
      <c r="J238" s="19"/>
    </row>
    <row r="239" ht="15.75" customHeight="1">
      <c r="A239" s="16"/>
      <c r="B239" s="16"/>
      <c r="C239" s="16"/>
      <c r="D239" s="16"/>
      <c r="E239" s="17"/>
      <c r="J239" s="19"/>
    </row>
    <row r="240" ht="15.75" customHeight="1">
      <c r="A240" s="16"/>
      <c r="B240" s="16"/>
      <c r="C240" s="16"/>
      <c r="D240" s="16"/>
      <c r="E240" s="17"/>
      <c r="J240" s="19"/>
    </row>
    <row r="241" ht="15.75" customHeight="1">
      <c r="A241" s="16"/>
      <c r="B241" s="16"/>
      <c r="C241" s="16"/>
      <c r="D241" s="16"/>
      <c r="E241" s="17"/>
      <c r="J241" s="19"/>
    </row>
    <row r="242" ht="15.75" customHeight="1">
      <c r="E242" s="56"/>
      <c r="J242" s="19"/>
    </row>
    <row r="243" ht="15.75" customHeight="1">
      <c r="E243" s="56"/>
      <c r="J243" s="19"/>
    </row>
    <row r="244" ht="15.75" customHeight="1">
      <c r="E244" s="56"/>
      <c r="J244" s="19"/>
    </row>
    <row r="245">
      <c r="E245" s="64"/>
    </row>
    <row r="246">
      <c r="E246" s="64"/>
    </row>
    <row r="247">
      <c r="E247" s="64"/>
    </row>
    <row r="248">
      <c r="E248" s="64"/>
    </row>
    <row r="249">
      <c r="E249" s="64"/>
    </row>
    <row r="250">
      <c r="E250" s="64"/>
    </row>
    <row r="251">
      <c r="E251" s="64"/>
    </row>
    <row r="252">
      <c r="E252" s="64"/>
    </row>
    <row r="253">
      <c r="E253" s="64"/>
    </row>
    <row r="254">
      <c r="E254" s="64"/>
    </row>
    <row r="255">
      <c r="E255" s="64"/>
    </row>
    <row r="256">
      <c r="E256" s="64"/>
    </row>
    <row r="257">
      <c r="E257" s="64"/>
    </row>
    <row r="258">
      <c r="E258" s="64"/>
    </row>
    <row r="259">
      <c r="E259" s="64"/>
    </row>
    <row r="260">
      <c r="E260" s="64"/>
    </row>
    <row r="261">
      <c r="E261" s="64"/>
    </row>
    <row r="262">
      <c r="E262" s="64"/>
    </row>
    <row r="263">
      <c r="E263" s="64"/>
    </row>
    <row r="264">
      <c r="E264" s="64"/>
    </row>
    <row r="265">
      <c r="E265" s="64"/>
    </row>
    <row r="266">
      <c r="E266" s="64"/>
    </row>
    <row r="267">
      <c r="E267" s="64"/>
    </row>
    <row r="268">
      <c r="E268" s="64"/>
    </row>
    <row r="269">
      <c r="E269" s="64"/>
    </row>
    <row r="270">
      <c r="E270" s="64"/>
    </row>
    <row r="271">
      <c r="E271" s="64"/>
    </row>
    <row r="272">
      <c r="E272" s="64"/>
    </row>
    <row r="273">
      <c r="E273" s="64"/>
    </row>
    <row r="274">
      <c r="E274" s="64"/>
    </row>
    <row r="275">
      <c r="E275" s="64"/>
    </row>
    <row r="276">
      <c r="E276" s="64"/>
    </row>
    <row r="277">
      <c r="E277" s="64"/>
    </row>
    <row r="278">
      <c r="E278" s="64"/>
    </row>
    <row r="279">
      <c r="E279" s="64"/>
    </row>
    <row r="280">
      <c r="E280" s="64"/>
    </row>
    <row r="281">
      <c r="E281" s="64"/>
    </row>
    <row r="282">
      <c r="E282" s="64"/>
    </row>
    <row r="283">
      <c r="E283" s="64"/>
    </row>
    <row r="284">
      <c r="E284" s="64"/>
    </row>
    <row r="285">
      <c r="E285" s="64"/>
    </row>
    <row r="286">
      <c r="E286" s="64"/>
    </row>
    <row r="287">
      <c r="E287" s="64"/>
    </row>
    <row r="288">
      <c r="E288" s="64"/>
    </row>
    <row r="289">
      <c r="E289" s="64"/>
    </row>
    <row r="290">
      <c r="E290" s="64"/>
    </row>
    <row r="291">
      <c r="E291" s="64"/>
    </row>
    <row r="292">
      <c r="E292" s="64"/>
    </row>
    <row r="293">
      <c r="E293" s="64"/>
    </row>
    <row r="294">
      <c r="E294" s="64"/>
    </row>
    <row r="295">
      <c r="E295" s="64"/>
    </row>
    <row r="296">
      <c r="E296" s="64"/>
    </row>
    <row r="297">
      <c r="E297" s="64"/>
    </row>
    <row r="298">
      <c r="E298" s="64"/>
    </row>
    <row r="299">
      <c r="E299" s="64"/>
    </row>
    <row r="300">
      <c r="E300" s="64"/>
    </row>
    <row r="301">
      <c r="E301" s="64"/>
    </row>
    <row r="302">
      <c r="E302" s="64"/>
    </row>
    <row r="303">
      <c r="E303" s="64"/>
    </row>
    <row r="304">
      <c r="E304" s="64"/>
    </row>
    <row r="305">
      <c r="E305" s="64"/>
    </row>
    <row r="306">
      <c r="E306" s="64"/>
    </row>
    <row r="307">
      <c r="E307" s="64"/>
    </row>
    <row r="308">
      <c r="E308" s="64"/>
    </row>
    <row r="309">
      <c r="E309" s="64"/>
    </row>
    <row r="310">
      <c r="E310" s="64"/>
    </row>
    <row r="311">
      <c r="E311" s="64"/>
    </row>
    <row r="312">
      <c r="E312" s="64"/>
    </row>
    <row r="313">
      <c r="E313" s="64"/>
    </row>
    <row r="314">
      <c r="E314" s="64"/>
    </row>
    <row r="315">
      <c r="E315" s="64"/>
    </row>
    <row r="316">
      <c r="E316" s="64"/>
    </row>
    <row r="317">
      <c r="E317" s="64"/>
    </row>
    <row r="318">
      <c r="E318" s="64"/>
    </row>
    <row r="319">
      <c r="E319" s="64"/>
    </row>
    <row r="320">
      <c r="E320" s="64"/>
    </row>
    <row r="321">
      <c r="E321" s="64"/>
    </row>
    <row r="322">
      <c r="E322" s="64"/>
    </row>
    <row r="323">
      <c r="E323" s="64"/>
    </row>
    <row r="324">
      <c r="E324" s="64"/>
    </row>
    <row r="325">
      <c r="E325" s="64"/>
    </row>
    <row r="326">
      <c r="E326" s="64"/>
    </row>
    <row r="327">
      <c r="E327" s="64"/>
    </row>
    <row r="328">
      <c r="E328" s="64"/>
    </row>
    <row r="329">
      <c r="E329" s="64"/>
    </row>
    <row r="330">
      <c r="E330" s="64"/>
    </row>
    <row r="331">
      <c r="E331" s="64"/>
    </row>
    <row r="332">
      <c r="E332" s="64"/>
    </row>
    <row r="333">
      <c r="E333" s="64"/>
    </row>
    <row r="334">
      <c r="E334" s="64"/>
    </row>
    <row r="335">
      <c r="E335" s="64"/>
    </row>
    <row r="336">
      <c r="E336" s="64"/>
    </row>
    <row r="337">
      <c r="E337" s="64"/>
    </row>
    <row r="338">
      <c r="E338" s="64"/>
    </row>
    <row r="339">
      <c r="E339" s="64"/>
    </row>
    <row r="340">
      <c r="E340" s="64"/>
    </row>
    <row r="341">
      <c r="E341" s="64"/>
    </row>
    <row r="342">
      <c r="E342" s="64"/>
    </row>
    <row r="343">
      <c r="E343" s="64"/>
    </row>
    <row r="344">
      <c r="E344" s="64"/>
    </row>
    <row r="345">
      <c r="E345" s="64"/>
    </row>
    <row r="346">
      <c r="E346" s="64"/>
    </row>
    <row r="347">
      <c r="E347" s="64"/>
    </row>
    <row r="348">
      <c r="E348" s="64"/>
    </row>
    <row r="349">
      <c r="E349" s="64"/>
    </row>
    <row r="350">
      <c r="E350" s="64"/>
    </row>
    <row r="351">
      <c r="E351" s="64"/>
    </row>
    <row r="352">
      <c r="E352" s="64"/>
    </row>
    <row r="353">
      <c r="E353" s="64"/>
    </row>
    <row r="354">
      <c r="E354" s="64"/>
    </row>
    <row r="355">
      <c r="E355" s="64"/>
    </row>
    <row r="356">
      <c r="E356" s="64"/>
    </row>
    <row r="357">
      <c r="E357" s="64"/>
    </row>
    <row r="358">
      <c r="E358" s="64"/>
    </row>
    <row r="359">
      <c r="E359" s="64"/>
    </row>
    <row r="360">
      <c r="E360" s="64"/>
    </row>
    <row r="361">
      <c r="E361" s="64"/>
    </row>
    <row r="362">
      <c r="E362" s="64"/>
    </row>
    <row r="363">
      <c r="E363" s="64"/>
    </row>
    <row r="364">
      <c r="E364" s="64"/>
    </row>
    <row r="365">
      <c r="E365" s="64"/>
    </row>
    <row r="366">
      <c r="E366" s="64"/>
    </row>
    <row r="367">
      <c r="E367" s="64"/>
    </row>
    <row r="368">
      <c r="E368" s="64"/>
    </row>
    <row r="369">
      <c r="E369" s="64"/>
    </row>
    <row r="370">
      <c r="E370" s="64"/>
    </row>
    <row r="371">
      <c r="E371" s="64"/>
    </row>
    <row r="372">
      <c r="E372" s="64"/>
    </row>
    <row r="373">
      <c r="E373" s="64"/>
    </row>
    <row r="374">
      <c r="E374" s="64"/>
    </row>
    <row r="375">
      <c r="E375" s="64"/>
    </row>
    <row r="376">
      <c r="E376" s="64"/>
    </row>
    <row r="377">
      <c r="E377" s="64"/>
    </row>
    <row r="378">
      <c r="E378" s="64"/>
    </row>
    <row r="379">
      <c r="E379" s="64"/>
    </row>
    <row r="380">
      <c r="E380" s="64"/>
    </row>
    <row r="381">
      <c r="E381" s="64"/>
    </row>
    <row r="382">
      <c r="E382" s="64"/>
    </row>
    <row r="383">
      <c r="E383" s="64"/>
    </row>
    <row r="384">
      <c r="E384" s="64"/>
    </row>
    <row r="385">
      <c r="E385" s="64"/>
    </row>
    <row r="386">
      <c r="E386" s="64"/>
    </row>
    <row r="387">
      <c r="E387" s="64"/>
    </row>
    <row r="388">
      <c r="E388" s="64"/>
    </row>
    <row r="389">
      <c r="E389" s="64"/>
    </row>
    <row r="390">
      <c r="E390" s="64"/>
    </row>
    <row r="391">
      <c r="E391" s="64"/>
    </row>
    <row r="392">
      <c r="E392" s="64"/>
    </row>
    <row r="393">
      <c r="E393" s="64"/>
    </row>
    <row r="394">
      <c r="E394" s="64"/>
    </row>
    <row r="395">
      <c r="E395" s="64"/>
    </row>
    <row r="396">
      <c r="E396" s="64"/>
    </row>
    <row r="397">
      <c r="E397" s="64"/>
    </row>
    <row r="398">
      <c r="E398" s="64"/>
    </row>
    <row r="399">
      <c r="E399" s="64"/>
    </row>
    <row r="400">
      <c r="E400" s="64"/>
    </row>
    <row r="401">
      <c r="E401" s="64"/>
    </row>
    <row r="402">
      <c r="E402" s="64"/>
    </row>
    <row r="403">
      <c r="E403" s="64"/>
    </row>
    <row r="404">
      <c r="E404" s="64"/>
    </row>
    <row r="405">
      <c r="E405" s="64"/>
    </row>
    <row r="406">
      <c r="E406" s="64"/>
    </row>
    <row r="407">
      <c r="E407" s="64"/>
    </row>
    <row r="408">
      <c r="E408" s="64"/>
    </row>
    <row r="409">
      <c r="E409" s="64"/>
    </row>
    <row r="410">
      <c r="E410" s="64"/>
    </row>
    <row r="411">
      <c r="E411" s="64"/>
    </row>
    <row r="412">
      <c r="E412" s="64"/>
    </row>
    <row r="413">
      <c r="E413" s="64"/>
    </row>
    <row r="414">
      <c r="E414" s="64"/>
    </row>
    <row r="415">
      <c r="E415" s="64"/>
    </row>
    <row r="416">
      <c r="E416" s="64"/>
    </row>
    <row r="417">
      <c r="E417" s="64"/>
    </row>
    <row r="418">
      <c r="E418" s="64"/>
    </row>
    <row r="419">
      <c r="E419" s="64"/>
    </row>
    <row r="420">
      <c r="E420" s="64"/>
    </row>
    <row r="421">
      <c r="E421" s="64"/>
    </row>
    <row r="422">
      <c r="E422" s="64"/>
    </row>
    <row r="423">
      <c r="E423" s="64"/>
    </row>
    <row r="424">
      <c r="E424" s="64"/>
    </row>
    <row r="425">
      <c r="E425" s="64"/>
    </row>
    <row r="426">
      <c r="E426" s="64"/>
    </row>
    <row r="427">
      <c r="E427" s="64"/>
    </row>
    <row r="428">
      <c r="E428" s="64"/>
    </row>
    <row r="429">
      <c r="E429" s="64"/>
    </row>
    <row r="430">
      <c r="E430" s="64"/>
    </row>
    <row r="431">
      <c r="E431" s="64"/>
    </row>
    <row r="432">
      <c r="E432" s="64"/>
    </row>
    <row r="433">
      <c r="E433" s="64"/>
    </row>
    <row r="434">
      <c r="E434" s="64"/>
    </row>
    <row r="435">
      <c r="E435" s="64"/>
    </row>
    <row r="436">
      <c r="E436" s="64"/>
    </row>
    <row r="437">
      <c r="E437" s="64"/>
    </row>
    <row r="438">
      <c r="E438" s="64"/>
    </row>
    <row r="439">
      <c r="E439" s="64"/>
    </row>
    <row r="440">
      <c r="E440" s="64"/>
    </row>
    <row r="441">
      <c r="E441" s="64"/>
    </row>
    <row r="442">
      <c r="E442" s="64"/>
    </row>
    <row r="443">
      <c r="E443" s="64"/>
    </row>
    <row r="444">
      <c r="E444" s="64"/>
    </row>
    <row r="445">
      <c r="E445" s="64"/>
    </row>
    <row r="446">
      <c r="E446" s="64"/>
    </row>
    <row r="447">
      <c r="E447" s="64"/>
    </row>
    <row r="448">
      <c r="E448" s="64"/>
    </row>
    <row r="449">
      <c r="E449" s="64"/>
    </row>
    <row r="450">
      <c r="E450" s="64"/>
    </row>
    <row r="451">
      <c r="E451" s="64"/>
    </row>
    <row r="452">
      <c r="E452" s="64"/>
    </row>
    <row r="453">
      <c r="E453" s="64"/>
    </row>
    <row r="454">
      <c r="E454" s="64"/>
    </row>
    <row r="455">
      <c r="E455" s="64"/>
    </row>
    <row r="456">
      <c r="E456" s="64"/>
    </row>
    <row r="457">
      <c r="E457" s="64"/>
    </row>
    <row r="458">
      <c r="E458" s="64"/>
    </row>
    <row r="459">
      <c r="E459" s="64"/>
    </row>
    <row r="460">
      <c r="E460" s="64"/>
    </row>
    <row r="461">
      <c r="E461" s="64"/>
    </row>
    <row r="462">
      <c r="E462" s="64"/>
    </row>
    <row r="463">
      <c r="E463" s="64"/>
    </row>
    <row r="464">
      <c r="E464" s="64"/>
    </row>
    <row r="465">
      <c r="E465" s="64"/>
    </row>
    <row r="466">
      <c r="E466" s="64"/>
    </row>
    <row r="467">
      <c r="E467" s="64"/>
    </row>
    <row r="468">
      <c r="E468" s="64"/>
    </row>
    <row r="469">
      <c r="E469" s="64"/>
    </row>
    <row r="470">
      <c r="E470" s="64"/>
    </row>
    <row r="471">
      <c r="E471" s="64"/>
    </row>
    <row r="472">
      <c r="E472" s="64"/>
    </row>
    <row r="473">
      <c r="E473" s="64"/>
    </row>
    <row r="474">
      <c r="E474" s="64"/>
    </row>
    <row r="475">
      <c r="E475" s="64"/>
    </row>
    <row r="476">
      <c r="E476" s="64"/>
    </row>
    <row r="477">
      <c r="E477" s="64"/>
    </row>
    <row r="478">
      <c r="E478" s="64"/>
    </row>
    <row r="479">
      <c r="E479" s="64"/>
    </row>
    <row r="480">
      <c r="E480" s="64"/>
    </row>
    <row r="481">
      <c r="E481" s="64"/>
    </row>
    <row r="482">
      <c r="E482" s="64"/>
    </row>
    <row r="483">
      <c r="E483" s="64"/>
    </row>
    <row r="484">
      <c r="E484" s="64"/>
    </row>
    <row r="485">
      <c r="E485" s="64"/>
    </row>
    <row r="486">
      <c r="E486" s="64"/>
    </row>
    <row r="487">
      <c r="E487" s="64"/>
    </row>
    <row r="488">
      <c r="E488" s="64"/>
    </row>
    <row r="489">
      <c r="E489" s="64"/>
    </row>
    <row r="490">
      <c r="E490" s="64"/>
    </row>
    <row r="491">
      <c r="E491" s="64"/>
    </row>
    <row r="492">
      <c r="E492" s="64"/>
    </row>
    <row r="493">
      <c r="E493" s="64"/>
    </row>
    <row r="494">
      <c r="E494" s="64"/>
    </row>
    <row r="495">
      <c r="E495" s="64"/>
    </row>
    <row r="496">
      <c r="E496" s="64"/>
    </row>
    <row r="497">
      <c r="E497" s="64"/>
    </row>
    <row r="498">
      <c r="E498" s="64"/>
    </row>
    <row r="499">
      <c r="E499" s="64"/>
    </row>
    <row r="500">
      <c r="E500" s="64"/>
    </row>
    <row r="501">
      <c r="E501" s="64"/>
    </row>
    <row r="502">
      <c r="E502" s="64"/>
    </row>
    <row r="503">
      <c r="E503" s="64"/>
    </row>
    <row r="504">
      <c r="E504" s="64"/>
    </row>
    <row r="505">
      <c r="E505" s="64"/>
    </row>
    <row r="506">
      <c r="E506" s="64"/>
    </row>
    <row r="507">
      <c r="E507" s="64"/>
    </row>
    <row r="508">
      <c r="E508" s="64"/>
    </row>
    <row r="509">
      <c r="E509" s="64"/>
    </row>
    <row r="510">
      <c r="E510" s="64"/>
    </row>
    <row r="511">
      <c r="E511" s="64"/>
    </row>
    <row r="512">
      <c r="E512" s="64"/>
    </row>
    <row r="513">
      <c r="E513" s="64"/>
    </row>
    <row r="514">
      <c r="E514" s="64"/>
    </row>
    <row r="515">
      <c r="E515" s="64"/>
    </row>
    <row r="516">
      <c r="E516" s="64"/>
    </row>
    <row r="517">
      <c r="E517" s="64"/>
    </row>
    <row r="518">
      <c r="E518" s="64"/>
    </row>
    <row r="519">
      <c r="E519" s="64"/>
    </row>
    <row r="520">
      <c r="E520" s="64"/>
    </row>
    <row r="521">
      <c r="E521" s="64"/>
    </row>
    <row r="522">
      <c r="E522" s="64"/>
    </row>
    <row r="523">
      <c r="E523" s="64"/>
    </row>
    <row r="524">
      <c r="E524" s="64"/>
    </row>
    <row r="525">
      <c r="E525" s="64"/>
    </row>
    <row r="526">
      <c r="E526" s="64"/>
    </row>
    <row r="527">
      <c r="E527" s="64"/>
    </row>
    <row r="528">
      <c r="E528" s="64"/>
    </row>
    <row r="529">
      <c r="E529" s="64"/>
    </row>
    <row r="530">
      <c r="E530" s="64"/>
    </row>
    <row r="531">
      <c r="E531" s="64"/>
    </row>
    <row r="532">
      <c r="E532" s="64"/>
    </row>
    <row r="533">
      <c r="E533" s="64"/>
    </row>
    <row r="534">
      <c r="E534" s="64"/>
    </row>
    <row r="535">
      <c r="E535" s="64"/>
    </row>
    <row r="536">
      <c r="E536" s="64"/>
    </row>
    <row r="537">
      <c r="E537" s="64"/>
    </row>
    <row r="538">
      <c r="E538" s="64"/>
    </row>
    <row r="539">
      <c r="E539" s="64"/>
    </row>
    <row r="540">
      <c r="E540" s="64"/>
    </row>
    <row r="541">
      <c r="E541" s="64"/>
    </row>
    <row r="542">
      <c r="E542" s="64"/>
    </row>
    <row r="543">
      <c r="E543" s="64"/>
    </row>
    <row r="544">
      <c r="E544" s="64"/>
    </row>
    <row r="545">
      <c r="E545" s="64"/>
    </row>
    <row r="546">
      <c r="E546" s="64"/>
    </row>
    <row r="547">
      <c r="E547" s="64"/>
    </row>
    <row r="548">
      <c r="E548" s="64"/>
    </row>
    <row r="549">
      <c r="E549" s="64"/>
    </row>
    <row r="550">
      <c r="E550" s="64"/>
    </row>
    <row r="551">
      <c r="E551" s="64"/>
    </row>
    <row r="552">
      <c r="E552" s="64"/>
    </row>
    <row r="553">
      <c r="E553" s="64"/>
    </row>
    <row r="554">
      <c r="E554" s="64"/>
    </row>
    <row r="555">
      <c r="E555" s="64"/>
    </row>
    <row r="556">
      <c r="E556" s="64"/>
    </row>
    <row r="557">
      <c r="E557" s="64"/>
    </row>
    <row r="558">
      <c r="E558" s="64"/>
    </row>
    <row r="559">
      <c r="E559" s="64"/>
    </row>
    <row r="560">
      <c r="E560" s="64"/>
    </row>
    <row r="561">
      <c r="E561" s="64"/>
    </row>
    <row r="562">
      <c r="E562" s="64"/>
    </row>
    <row r="563">
      <c r="E563" s="64"/>
    </row>
    <row r="564">
      <c r="E564" s="64"/>
    </row>
    <row r="565">
      <c r="E565" s="64"/>
    </row>
    <row r="566">
      <c r="E566" s="64"/>
    </row>
    <row r="567">
      <c r="E567" s="64"/>
    </row>
    <row r="568">
      <c r="E568" s="64"/>
    </row>
    <row r="569">
      <c r="E569" s="64"/>
    </row>
    <row r="570">
      <c r="E570" s="64"/>
    </row>
    <row r="571">
      <c r="E571" s="64"/>
    </row>
    <row r="572">
      <c r="E572" s="64"/>
    </row>
    <row r="573">
      <c r="E573" s="64"/>
    </row>
    <row r="574">
      <c r="E574" s="64"/>
    </row>
    <row r="575">
      <c r="E575" s="64"/>
    </row>
    <row r="576">
      <c r="E576" s="64"/>
    </row>
    <row r="577">
      <c r="E577" s="64"/>
    </row>
    <row r="578">
      <c r="E578" s="64"/>
    </row>
    <row r="579">
      <c r="E579" s="64"/>
    </row>
    <row r="580">
      <c r="E580" s="64"/>
    </row>
    <row r="581">
      <c r="E581" s="64"/>
    </row>
    <row r="582">
      <c r="E582" s="64"/>
    </row>
    <row r="583">
      <c r="E583" s="64"/>
    </row>
    <row r="584">
      <c r="E584" s="64"/>
    </row>
    <row r="585">
      <c r="E585" s="64"/>
    </row>
    <row r="586">
      <c r="E586" s="64"/>
    </row>
    <row r="587">
      <c r="E587" s="64"/>
    </row>
    <row r="588">
      <c r="E588" s="64"/>
    </row>
    <row r="589">
      <c r="E589" s="64"/>
    </row>
    <row r="590">
      <c r="E590" s="64"/>
    </row>
    <row r="591">
      <c r="E591" s="64"/>
    </row>
    <row r="592">
      <c r="E592" s="64"/>
    </row>
    <row r="593">
      <c r="E593" s="64"/>
    </row>
    <row r="594">
      <c r="E594" s="64"/>
    </row>
    <row r="595">
      <c r="E595" s="64"/>
    </row>
    <row r="596">
      <c r="E596" s="64"/>
    </row>
    <row r="597">
      <c r="E597" s="64"/>
    </row>
    <row r="598">
      <c r="E598" s="64"/>
    </row>
    <row r="599">
      <c r="E599" s="64"/>
    </row>
    <row r="600">
      <c r="E600" s="64"/>
    </row>
    <row r="601">
      <c r="E601" s="64"/>
    </row>
    <row r="602">
      <c r="E602" s="64"/>
    </row>
    <row r="603">
      <c r="E603" s="64"/>
    </row>
    <row r="604">
      <c r="E604" s="64"/>
    </row>
    <row r="605">
      <c r="E605" s="64"/>
    </row>
    <row r="606">
      <c r="E606" s="64"/>
    </row>
    <row r="607">
      <c r="E607" s="64"/>
    </row>
    <row r="608">
      <c r="E608" s="64"/>
    </row>
    <row r="609">
      <c r="E609" s="64"/>
    </row>
    <row r="610">
      <c r="E610" s="64"/>
    </row>
    <row r="611">
      <c r="E611" s="64"/>
    </row>
    <row r="612">
      <c r="E612" s="64"/>
    </row>
    <row r="613">
      <c r="E613" s="64"/>
    </row>
    <row r="614">
      <c r="E614" s="64"/>
    </row>
    <row r="615">
      <c r="E615" s="64"/>
    </row>
    <row r="616">
      <c r="E616" s="64"/>
    </row>
    <row r="617">
      <c r="E617" s="64"/>
    </row>
    <row r="618">
      <c r="E618" s="64"/>
    </row>
    <row r="619">
      <c r="E619" s="64"/>
    </row>
    <row r="620">
      <c r="E620" s="64"/>
    </row>
    <row r="621">
      <c r="E621" s="64"/>
    </row>
    <row r="622">
      <c r="E622" s="64"/>
    </row>
    <row r="623">
      <c r="E623" s="64"/>
    </row>
    <row r="624">
      <c r="E624" s="64"/>
    </row>
    <row r="625">
      <c r="E625" s="64"/>
    </row>
    <row r="626">
      <c r="E626" s="64"/>
    </row>
    <row r="627">
      <c r="E627" s="64"/>
    </row>
    <row r="628">
      <c r="E628" s="64"/>
    </row>
    <row r="629">
      <c r="E629" s="64"/>
    </row>
    <row r="630">
      <c r="E630" s="64"/>
    </row>
    <row r="631">
      <c r="E631" s="64"/>
    </row>
    <row r="632">
      <c r="E632" s="64"/>
    </row>
    <row r="633">
      <c r="E633" s="64"/>
    </row>
    <row r="634">
      <c r="E634" s="64"/>
    </row>
    <row r="635">
      <c r="E635" s="64"/>
    </row>
    <row r="636">
      <c r="E636" s="64"/>
    </row>
    <row r="637">
      <c r="E637" s="64"/>
    </row>
    <row r="638">
      <c r="E638" s="64"/>
    </row>
    <row r="639">
      <c r="E639" s="64"/>
    </row>
    <row r="640">
      <c r="E640" s="64"/>
    </row>
    <row r="641">
      <c r="E641" s="64"/>
    </row>
    <row r="642">
      <c r="E642" s="64"/>
    </row>
    <row r="643">
      <c r="E643" s="64"/>
    </row>
    <row r="644">
      <c r="E644" s="64"/>
    </row>
    <row r="645">
      <c r="E645" s="64"/>
    </row>
    <row r="646">
      <c r="E646" s="64"/>
    </row>
    <row r="647">
      <c r="E647" s="64"/>
    </row>
    <row r="648">
      <c r="E648" s="64"/>
    </row>
    <row r="649">
      <c r="E649" s="64"/>
    </row>
    <row r="650">
      <c r="E650" s="64"/>
    </row>
    <row r="651">
      <c r="E651" s="64"/>
    </row>
    <row r="652">
      <c r="E652" s="64"/>
    </row>
    <row r="653">
      <c r="E653" s="64"/>
    </row>
    <row r="654">
      <c r="E654" s="64"/>
    </row>
    <row r="655">
      <c r="E655" s="64"/>
    </row>
    <row r="656">
      <c r="E656" s="64"/>
    </row>
    <row r="657">
      <c r="E657" s="64"/>
    </row>
    <row r="658">
      <c r="E658" s="64"/>
    </row>
    <row r="659">
      <c r="E659" s="64"/>
    </row>
    <row r="660">
      <c r="E660" s="64"/>
    </row>
    <row r="661">
      <c r="E661" s="64"/>
    </row>
    <row r="662">
      <c r="E662" s="64"/>
    </row>
    <row r="663">
      <c r="E663" s="64"/>
    </row>
    <row r="664">
      <c r="E664" s="64"/>
    </row>
    <row r="665">
      <c r="E665" s="64"/>
    </row>
    <row r="666">
      <c r="E666" s="64"/>
    </row>
    <row r="667">
      <c r="E667" s="64"/>
    </row>
    <row r="668">
      <c r="E668" s="64"/>
    </row>
    <row r="669">
      <c r="E669" s="64"/>
    </row>
    <row r="670">
      <c r="E670" s="64"/>
    </row>
    <row r="671">
      <c r="E671" s="64"/>
    </row>
    <row r="672">
      <c r="E672" s="64"/>
    </row>
    <row r="673">
      <c r="E673" s="64"/>
    </row>
    <row r="674">
      <c r="E674" s="64"/>
    </row>
    <row r="675">
      <c r="E675" s="64"/>
    </row>
    <row r="676">
      <c r="E676" s="64"/>
    </row>
    <row r="677">
      <c r="E677" s="64"/>
    </row>
    <row r="678">
      <c r="E678" s="64"/>
    </row>
    <row r="679">
      <c r="E679" s="64"/>
    </row>
    <row r="680">
      <c r="E680" s="64"/>
    </row>
    <row r="681">
      <c r="E681" s="64"/>
    </row>
    <row r="682">
      <c r="E682" s="64"/>
    </row>
    <row r="683">
      <c r="E683" s="64"/>
    </row>
    <row r="684">
      <c r="E684" s="64"/>
    </row>
    <row r="685">
      <c r="E685" s="64"/>
    </row>
    <row r="686">
      <c r="E686" s="64"/>
    </row>
    <row r="687">
      <c r="E687" s="64"/>
    </row>
    <row r="688">
      <c r="E688" s="64"/>
    </row>
    <row r="689">
      <c r="E689" s="64"/>
    </row>
    <row r="690">
      <c r="E690" s="64"/>
    </row>
    <row r="691">
      <c r="E691" s="64"/>
    </row>
    <row r="692">
      <c r="E692" s="64"/>
    </row>
    <row r="693">
      <c r="E693" s="64"/>
    </row>
    <row r="694">
      <c r="E694" s="64"/>
    </row>
    <row r="695">
      <c r="E695" s="64"/>
    </row>
    <row r="696">
      <c r="E696" s="64"/>
    </row>
    <row r="697">
      <c r="E697" s="64"/>
    </row>
    <row r="698">
      <c r="E698" s="64"/>
    </row>
    <row r="699">
      <c r="E699" s="64"/>
    </row>
    <row r="700">
      <c r="E700" s="64"/>
    </row>
    <row r="701">
      <c r="E701" s="64"/>
    </row>
    <row r="702">
      <c r="E702" s="64"/>
    </row>
    <row r="703">
      <c r="E703" s="64"/>
    </row>
    <row r="704">
      <c r="E704" s="64"/>
    </row>
    <row r="705">
      <c r="E705" s="64"/>
    </row>
    <row r="706">
      <c r="E706" s="64"/>
    </row>
    <row r="707">
      <c r="E707" s="64"/>
    </row>
    <row r="708">
      <c r="E708" s="64"/>
    </row>
    <row r="709">
      <c r="E709" s="64"/>
    </row>
    <row r="710">
      <c r="E710" s="64"/>
    </row>
    <row r="711">
      <c r="E711" s="64"/>
    </row>
    <row r="712">
      <c r="E712" s="64"/>
    </row>
    <row r="713">
      <c r="E713" s="64"/>
    </row>
    <row r="714">
      <c r="E714" s="64"/>
    </row>
    <row r="715">
      <c r="E715" s="64"/>
    </row>
    <row r="716">
      <c r="E716" s="64"/>
    </row>
    <row r="717">
      <c r="E717" s="64"/>
    </row>
    <row r="718">
      <c r="E718" s="64"/>
    </row>
    <row r="719">
      <c r="E719" s="64"/>
    </row>
    <row r="720">
      <c r="E720" s="64"/>
    </row>
    <row r="721">
      <c r="E721" s="64"/>
    </row>
    <row r="722">
      <c r="E722" s="64"/>
    </row>
    <row r="723">
      <c r="E723" s="64"/>
    </row>
    <row r="724">
      <c r="E724" s="64"/>
    </row>
    <row r="725">
      <c r="E725" s="64"/>
    </row>
    <row r="726">
      <c r="E726" s="64"/>
    </row>
    <row r="727">
      <c r="E727" s="64"/>
    </row>
    <row r="728">
      <c r="E728" s="64"/>
    </row>
    <row r="729">
      <c r="E729" s="64"/>
    </row>
    <row r="730">
      <c r="E730" s="64"/>
    </row>
    <row r="731">
      <c r="E731" s="64"/>
    </row>
    <row r="732">
      <c r="E732" s="64"/>
    </row>
    <row r="733">
      <c r="E733" s="64"/>
    </row>
    <row r="734">
      <c r="E734" s="64"/>
    </row>
    <row r="735">
      <c r="E735" s="64"/>
    </row>
    <row r="736">
      <c r="E736" s="64"/>
    </row>
    <row r="737">
      <c r="E737" s="64"/>
    </row>
    <row r="738">
      <c r="E738" s="64"/>
    </row>
    <row r="739">
      <c r="E739" s="64"/>
    </row>
    <row r="740">
      <c r="E740" s="64"/>
    </row>
    <row r="741">
      <c r="E741" s="64"/>
    </row>
    <row r="742">
      <c r="E742" s="64"/>
    </row>
    <row r="743">
      <c r="E743" s="64"/>
    </row>
    <row r="744">
      <c r="E744" s="64"/>
    </row>
    <row r="745">
      <c r="E745" s="64"/>
    </row>
    <row r="746">
      <c r="E746" s="64"/>
    </row>
    <row r="747">
      <c r="E747" s="64"/>
    </row>
    <row r="748">
      <c r="E748" s="64"/>
    </row>
    <row r="749">
      <c r="E749" s="64"/>
    </row>
    <row r="750">
      <c r="E750" s="64"/>
    </row>
    <row r="751">
      <c r="E751" s="64"/>
    </row>
    <row r="752">
      <c r="E752" s="64"/>
    </row>
    <row r="753">
      <c r="E753" s="64"/>
    </row>
    <row r="754">
      <c r="E754" s="64"/>
    </row>
    <row r="755">
      <c r="E755" s="64"/>
    </row>
    <row r="756">
      <c r="E756" s="64"/>
    </row>
    <row r="757">
      <c r="E757" s="64"/>
    </row>
    <row r="758">
      <c r="E758" s="64"/>
    </row>
    <row r="759">
      <c r="E759" s="64"/>
    </row>
    <row r="760">
      <c r="E760" s="64"/>
    </row>
    <row r="761">
      <c r="E761" s="64"/>
    </row>
    <row r="762">
      <c r="E762" s="64"/>
    </row>
    <row r="763">
      <c r="E763" s="64"/>
    </row>
    <row r="764">
      <c r="E764" s="64"/>
    </row>
    <row r="765">
      <c r="E765" s="64"/>
    </row>
    <row r="766">
      <c r="E766" s="64"/>
    </row>
    <row r="767">
      <c r="E767" s="64"/>
    </row>
    <row r="768">
      <c r="E768" s="64"/>
    </row>
    <row r="769">
      <c r="E769" s="64"/>
    </row>
    <row r="770">
      <c r="E770" s="64"/>
    </row>
    <row r="771">
      <c r="E771" s="64"/>
    </row>
    <row r="772">
      <c r="E772" s="64"/>
    </row>
    <row r="773">
      <c r="E773" s="64"/>
    </row>
    <row r="774">
      <c r="E774" s="64"/>
    </row>
    <row r="775">
      <c r="E775" s="64"/>
    </row>
    <row r="776">
      <c r="E776" s="64"/>
    </row>
    <row r="777">
      <c r="E777" s="64"/>
    </row>
    <row r="778">
      <c r="E778" s="64"/>
    </row>
    <row r="779">
      <c r="E779" s="64"/>
    </row>
    <row r="780">
      <c r="E780" s="64"/>
    </row>
    <row r="781">
      <c r="E781" s="64"/>
    </row>
    <row r="782">
      <c r="E782" s="64"/>
    </row>
    <row r="783">
      <c r="E783" s="64"/>
    </row>
    <row r="784">
      <c r="E784" s="64"/>
    </row>
    <row r="785">
      <c r="E785" s="64"/>
    </row>
    <row r="786">
      <c r="E786" s="64"/>
    </row>
    <row r="787">
      <c r="E787" s="64"/>
    </row>
    <row r="788">
      <c r="E788" s="64"/>
    </row>
    <row r="789">
      <c r="E789" s="64"/>
    </row>
    <row r="790">
      <c r="E790" s="64"/>
    </row>
    <row r="791">
      <c r="E791" s="64"/>
    </row>
    <row r="792">
      <c r="E792" s="64"/>
    </row>
    <row r="793">
      <c r="E793" s="64"/>
    </row>
    <row r="794">
      <c r="E794" s="64"/>
    </row>
    <row r="795">
      <c r="E795" s="64"/>
    </row>
    <row r="796">
      <c r="E796" s="64"/>
    </row>
    <row r="797">
      <c r="E797" s="64"/>
    </row>
    <row r="798">
      <c r="E798" s="64"/>
    </row>
    <row r="799">
      <c r="E799" s="64"/>
    </row>
    <row r="800">
      <c r="E800" s="64"/>
    </row>
    <row r="801">
      <c r="E801" s="64"/>
    </row>
    <row r="802">
      <c r="E802" s="64"/>
    </row>
    <row r="803">
      <c r="E803" s="64"/>
    </row>
    <row r="804">
      <c r="E804" s="64"/>
    </row>
    <row r="805">
      <c r="E805" s="64"/>
    </row>
    <row r="806">
      <c r="E806" s="64"/>
    </row>
    <row r="807">
      <c r="E807" s="64"/>
    </row>
    <row r="808">
      <c r="E808" s="64"/>
    </row>
    <row r="809">
      <c r="E809" s="64"/>
    </row>
    <row r="810">
      <c r="E810" s="64"/>
    </row>
    <row r="811">
      <c r="E811" s="64"/>
    </row>
    <row r="812">
      <c r="E812" s="64"/>
    </row>
    <row r="813">
      <c r="E813" s="64"/>
    </row>
    <row r="814">
      <c r="E814" s="64"/>
    </row>
    <row r="815">
      <c r="E815" s="64"/>
    </row>
    <row r="816">
      <c r="E816" s="64"/>
    </row>
    <row r="817">
      <c r="E817" s="64"/>
    </row>
    <row r="818">
      <c r="E818" s="64"/>
    </row>
    <row r="819">
      <c r="E819" s="64"/>
    </row>
    <row r="820">
      <c r="E820" s="64"/>
    </row>
    <row r="821">
      <c r="E821" s="64"/>
    </row>
    <row r="822">
      <c r="E822" s="64"/>
    </row>
    <row r="823">
      <c r="E823" s="64"/>
    </row>
    <row r="824">
      <c r="E824" s="64"/>
    </row>
    <row r="825">
      <c r="E825" s="64"/>
    </row>
    <row r="826">
      <c r="E826" s="64"/>
    </row>
    <row r="827">
      <c r="E827" s="64"/>
    </row>
    <row r="828">
      <c r="E828" s="64"/>
    </row>
    <row r="829">
      <c r="E829" s="64"/>
    </row>
    <row r="830">
      <c r="E830" s="64"/>
    </row>
    <row r="831">
      <c r="E831" s="64"/>
    </row>
    <row r="832">
      <c r="E832" s="64"/>
    </row>
    <row r="833">
      <c r="E833" s="64"/>
    </row>
    <row r="834">
      <c r="E834" s="64"/>
    </row>
    <row r="835">
      <c r="E835" s="64"/>
    </row>
    <row r="836">
      <c r="E836" s="64"/>
    </row>
    <row r="837">
      <c r="E837" s="64"/>
    </row>
    <row r="838">
      <c r="E838" s="64"/>
    </row>
    <row r="839">
      <c r="E839" s="64"/>
    </row>
    <row r="840">
      <c r="E840" s="64"/>
    </row>
    <row r="841">
      <c r="E841" s="64"/>
    </row>
    <row r="842">
      <c r="E842" s="64"/>
    </row>
    <row r="843">
      <c r="E843" s="64"/>
    </row>
    <row r="844">
      <c r="E844" s="64"/>
    </row>
    <row r="845">
      <c r="E845" s="64"/>
    </row>
    <row r="846">
      <c r="E846" s="64"/>
    </row>
    <row r="847">
      <c r="E847" s="64"/>
    </row>
    <row r="848">
      <c r="E848" s="64"/>
    </row>
    <row r="849">
      <c r="E849" s="64"/>
    </row>
    <row r="850">
      <c r="E850" s="64"/>
    </row>
    <row r="851">
      <c r="E851" s="64"/>
    </row>
    <row r="852">
      <c r="E852" s="64"/>
    </row>
    <row r="853">
      <c r="E853" s="64"/>
    </row>
    <row r="854">
      <c r="E854" s="64"/>
    </row>
    <row r="855">
      <c r="E855" s="64"/>
    </row>
    <row r="856">
      <c r="E856" s="64"/>
    </row>
    <row r="857">
      <c r="E857" s="64"/>
    </row>
    <row r="858">
      <c r="E858" s="64"/>
    </row>
    <row r="859">
      <c r="E859" s="64"/>
    </row>
    <row r="860">
      <c r="E860" s="64"/>
    </row>
    <row r="861">
      <c r="E861" s="64"/>
    </row>
    <row r="862">
      <c r="E862" s="64"/>
    </row>
    <row r="863">
      <c r="E863" s="64"/>
    </row>
    <row r="864">
      <c r="E864" s="64"/>
    </row>
    <row r="865">
      <c r="E865" s="64"/>
    </row>
    <row r="866">
      <c r="E866" s="64"/>
    </row>
    <row r="867">
      <c r="E867" s="64"/>
    </row>
    <row r="868">
      <c r="E868" s="64"/>
    </row>
    <row r="869">
      <c r="E869" s="64"/>
    </row>
    <row r="870">
      <c r="E870" s="64"/>
    </row>
    <row r="871">
      <c r="E871" s="64"/>
    </row>
    <row r="872">
      <c r="E872" s="64"/>
    </row>
    <row r="873">
      <c r="E873" s="64"/>
    </row>
    <row r="874">
      <c r="E874" s="64"/>
    </row>
    <row r="875">
      <c r="E875" s="64"/>
    </row>
    <row r="876">
      <c r="E876" s="64"/>
    </row>
    <row r="877">
      <c r="E877" s="64"/>
    </row>
    <row r="878">
      <c r="E878" s="64"/>
    </row>
    <row r="879">
      <c r="E879" s="64"/>
    </row>
    <row r="880">
      <c r="E880" s="64"/>
    </row>
    <row r="881">
      <c r="E881" s="64"/>
    </row>
    <row r="882">
      <c r="E882" s="64"/>
    </row>
    <row r="883">
      <c r="E883" s="64"/>
    </row>
    <row r="884">
      <c r="E884" s="64"/>
    </row>
    <row r="885">
      <c r="E885" s="64"/>
    </row>
    <row r="886">
      <c r="E886" s="64"/>
    </row>
    <row r="887">
      <c r="E887" s="64"/>
    </row>
    <row r="888">
      <c r="E888" s="64"/>
    </row>
    <row r="889">
      <c r="E889" s="64"/>
    </row>
    <row r="890">
      <c r="E890" s="64"/>
    </row>
    <row r="891">
      <c r="E891" s="64"/>
    </row>
    <row r="892">
      <c r="E892" s="64"/>
    </row>
    <row r="893">
      <c r="E893" s="64"/>
    </row>
    <row r="894">
      <c r="E894" s="64"/>
    </row>
    <row r="895">
      <c r="E895" s="64"/>
    </row>
    <row r="896">
      <c r="E896" s="64"/>
    </row>
    <row r="897">
      <c r="E897" s="64"/>
    </row>
    <row r="898">
      <c r="E898" s="64"/>
    </row>
    <row r="899">
      <c r="E899" s="64"/>
    </row>
    <row r="900">
      <c r="E900" s="64"/>
    </row>
    <row r="901">
      <c r="E901" s="64"/>
    </row>
    <row r="902">
      <c r="E902" s="64"/>
    </row>
    <row r="903">
      <c r="E903" s="64"/>
    </row>
    <row r="904">
      <c r="E904" s="64"/>
    </row>
    <row r="905">
      <c r="E905" s="64"/>
    </row>
    <row r="906">
      <c r="E906" s="64"/>
    </row>
    <row r="907">
      <c r="E907" s="64"/>
    </row>
    <row r="908">
      <c r="E908" s="64"/>
    </row>
    <row r="909">
      <c r="E909" s="64"/>
    </row>
    <row r="910">
      <c r="E910" s="64"/>
    </row>
    <row r="911">
      <c r="E911" s="64"/>
    </row>
    <row r="912">
      <c r="E912" s="64"/>
    </row>
    <row r="913">
      <c r="E913" s="64"/>
    </row>
    <row r="914">
      <c r="E914" s="64"/>
    </row>
    <row r="915">
      <c r="E915" s="64"/>
    </row>
    <row r="916">
      <c r="E916" s="64"/>
    </row>
    <row r="917">
      <c r="E917" s="64"/>
    </row>
    <row r="918">
      <c r="E918" s="64"/>
    </row>
    <row r="919">
      <c r="E919" s="64"/>
    </row>
    <row r="920">
      <c r="E920" s="64"/>
    </row>
    <row r="921">
      <c r="E921" s="64"/>
    </row>
    <row r="922">
      <c r="E922" s="64"/>
    </row>
    <row r="923">
      <c r="E923" s="64"/>
    </row>
    <row r="924">
      <c r="E924" s="64"/>
    </row>
    <row r="925">
      <c r="E925" s="64"/>
    </row>
    <row r="926">
      <c r="E926" s="64"/>
    </row>
    <row r="927">
      <c r="E927" s="64"/>
    </row>
    <row r="928">
      <c r="E928" s="64"/>
    </row>
    <row r="929">
      <c r="E929" s="64"/>
    </row>
    <row r="930">
      <c r="E930" s="64"/>
    </row>
    <row r="931">
      <c r="E931" s="64"/>
    </row>
    <row r="932">
      <c r="E932" s="64"/>
    </row>
    <row r="933">
      <c r="E933" s="64"/>
    </row>
    <row r="934">
      <c r="E934" s="64"/>
    </row>
    <row r="935">
      <c r="E935" s="64"/>
    </row>
    <row r="936">
      <c r="E936" s="64"/>
    </row>
    <row r="937">
      <c r="E937" s="64"/>
    </row>
    <row r="938">
      <c r="E938" s="64"/>
    </row>
    <row r="939">
      <c r="E939" s="64"/>
    </row>
    <row r="940">
      <c r="E940" s="64"/>
    </row>
    <row r="941">
      <c r="E941" s="64"/>
    </row>
    <row r="942">
      <c r="E942" s="64"/>
    </row>
    <row r="943">
      <c r="E943" s="64"/>
    </row>
    <row r="944">
      <c r="E944" s="64"/>
    </row>
    <row r="945">
      <c r="E945" s="64"/>
    </row>
    <row r="946">
      <c r="E946" s="64"/>
    </row>
    <row r="947">
      <c r="E947" s="64"/>
    </row>
    <row r="948">
      <c r="E948" s="64"/>
    </row>
    <row r="949">
      <c r="E949" s="64"/>
    </row>
    <row r="950">
      <c r="E950" s="64"/>
    </row>
    <row r="951">
      <c r="E951" s="64"/>
    </row>
    <row r="952">
      <c r="E952" s="64"/>
    </row>
    <row r="953">
      <c r="E953" s="64"/>
    </row>
    <row r="954">
      <c r="E954" s="64"/>
    </row>
    <row r="955">
      <c r="E955" s="64"/>
    </row>
    <row r="956">
      <c r="E956" s="64"/>
    </row>
    <row r="957">
      <c r="E957" s="64"/>
    </row>
    <row r="958">
      <c r="E958" s="64"/>
    </row>
    <row r="959">
      <c r="E959" s="64"/>
    </row>
    <row r="960">
      <c r="E960" s="64"/>
    </row>
    <row r="961">
      <c r="E961" s="64"/>
    </row>
    <row r="962">
      <c r="E962" s="64"/>
    </row>
    <row r="963">
      <c r="E963" s="64"/>
    </row>
    <row r="964">
      <c r="E964" s="64"/>
    </row>
    <row r="965">
      <c r="E965" s="64"/>
    </row>
    <row r="966">
      <c r="E966" s="64"/>
    </row>
    <row r="967">
      <c r="E967" s="64"/>
    </row>
    <row r="968">
      <c r="E968" s="64"/>
    </row>
    <row r="969">
      <c r="E969" s="64"/>
    </row>
    <row r="970">
      <c r="E970" s="64"/>
    </row>
    <row r="971">
      <c r="E971" s="64"/>
    </row>
    <row r="972">
      <c r="E972" s="64"/>
    </row>
    <row r="973">
      <c r="E973" s="64"/>
    </row>
    <row r="974">
      <c r="E974" s="64"/>
    </row>
    <row r="975">
      <c r="E975" s="64"/>
    </row>
    <row r="976">
      <c r="E976" s="64"/>
    </row>
    <row r="977">
      <c r="E977" s="64"/>
    </row>
    <row r="978">
      <c r="E978" s="64"/>
    </row>
    <row r="979">
      <c r="E979" s="64"/>
    </row>
    <row r="980">
      <c r="E980" s="64"/>
    </row>
    <row r="981">
      <c r="E981" s="64"/>
    </row>
    <row r="982">
      <c r="E982" s="64"/>
    </row>
    <row r="983">
      <c r="E983" s="64"/>
    </row>
    <row r="984">
      <c r="E984" s="64"/>
    </row>
    <row r="985">
      <c r="E985" s="64"/>
    </row>
    <row r="986">
      <c r="E986" s="64"/>
    </row>
    <row r="987">
      <c r="E987" s="64"/>
    </row>
    <row r="988">
      <c r="E988" s="64"/>
    </row>
    <row r="989">
      <c r="E989" s="64"/>
    </row>
    <row r="990">
      <c r="E990" s="64"/>
    </row>
    <row r="991">
      <c r="E991" s="64"/>
    </row>
    <row r="992">
      <c r="E992" s="64"/>
    </row>
    <row r="993">
      <c r="E993" s="64"/>
    </row>
    <row r="994">
      <c r="E994" s="64"/>
    </row>
    <row r="995">
      <c r="E995" s="64"/>
    </row>
    <row r="996">
      <c r="E996" s="64"/>
    </row>
    <row r="997">
      <c r="E997" s="64"/>
    </row>
    <row r="998">
      <c r="E998" s="64"/>
    </row>
    <row r="999">
      <c r="E999" s="64"/>
    </row>
    <row r="1000">
      <c r="E1000" s="64"/>
    </row>
  </sheetData>
  <mergeCells count="12">
    <mergeCell ref="J5:J32"/>
    <mergeCell ref="J33:J60"/>
    <mergeCell ref="J61:J88"/>
    <mergeCell ref="D61:D88"/>
    <mergeCell ref="E61:E88"/>
    <mergeCell ref="A2:B2"/>
    <mergeCell ref="D2:J2"/>
    <mergeCell ref="L2:M3"/>
    <mergeCell ref="D5:D32"/>
    <mergeCell ref="E5:E32"/>
    <mergeCell ref="D33:D60"/>
    <mergeCell ref="E33:E60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65"/>
      <c r="B1" s="16"/>
      <c r="C1" s="16"/>
      <c r="D1" s="16"/>
      <c r="E1" s="17"/>
      <c r="F1" s="18"/>
      <c r="G1" s="18"/>
      <c r="H1" s="18"/>
      <c r="I1" s="18"/>
      <c r="J1" s="19"/>
      <c r="K1" s="18"/>
      <c r="L1" s="18"/>
      <c r="M1" s="18"/>
      <c r="N1" s="18"/>
    </row>
    <row r="2" ht="15.75" customHeight="1">
      <c r="A2" s="20" t="s">
        <v>44</v>
      </c>
      <c r="B2" s="21"/>
      <c r="C2" s="22"/>
      <c r="D2" s="22" t="s">
        <v>45</v>
      </c>
      <c r="K2" s="18"/>
      <c r="L2" s="23" t="s">
        <v>46</v>
      </c>
      <c r="M2" s="24"/>
      <c r="N2" s="18"/>
    </row>
    <row r="3" ht="15.75" customHeight="1">
      <c r="A3" s="25" t="s">
        <v>47</v>
      </c>
      <c r="B3" s="26" t="s">
        <v>48</v>
      </c>
      <c r="C3" s="16"/>
      <c r="D3" s="16"/>
      <c r="E3" s="17"/>
      <c r="F3" s="18"/>
      <c r="G3" s="18"/>
      <c r="H3" s="18"/>
      <c r="I3" s="18"/>
      <c r="J3" s="27"/>
      <c r="K3" s="18"/>
      <c r="L3" s="28"/>
      <c r="M3" s="29"/>
      <c r="N3" s="18"/>
    </row>
    <row r="4" ht="15.75" customHeight="1">
      <c r="A4" s="30" t="s">
        <v>21</v>
      </c>
      <c r="B4" s="31">
        <v>5000.0</v>
      </c>
      <c r="C4" s="32"/>
      <c r="D4" s="33" t="s">
        <v>1</v>
      </c>
      <c r="E4" s="34" t="s">
        <v>49</v>
      </c>
      <c r="F4" s="35" t="s">
        <v>50</v>
      </c>
      <c r="G4" s="36" t="s">
        <v>51</v>
      </c>
      <c r="H4" s="36" t="s">
        <v>52</v>
      </c>
      <c r="I4" s="36" t="s">
        <v>53</v>
      </c>
      <c r="J4" s="37" t="s">
        <v>54</v>
      </c>
      <c r="K4" s="18"/>
      <c r="L4" s="38" t="s">
        <v>55</v>
      </c>
      <c r="M4" s="38" t="s">
        <v>51</v>
      </c>
      <c r="N4" s="18"/>
    </row>
    <row r="5" ht="15.75" customHeight="1">
      <c r="A5" s="30" t="s">
        <v>56</v>
      </c>
      <c r="B5" s="31">
        <v>3000.0</v>
      </c>
      <c r="C5" s="39"/>
      <c r="D5" s="40">
        <v>1.0</v>
      </c>
      <c r="E5" s="41" t="s">
        <v>119</v>
      </c>
      <c r="F5" s="42" t="s">
        <v>21</v>
      </c>
      <c r="G5" s="43"/>
      <c r="H5" s="44">
        <f>VLOOKUP(F5,$A$4:$B$4,2,TRUE)</f>
        <v>5000</v>
      </c>
      <c r="I5" s="45">
        <f t="shared" ref="I5:I202" si="1">G5*H5</f>
        <v>0</v>
      </c>
      <c r="J5" s="46">
        <f>SUM(I5:I32)</f>
        <v>24800</v>
      </c>
      <c r="K5" s="18"/>
      <c r="L5" s="42" t="s">
        <v>21</v>
      </c>
      <c r="M5" s="38">
        <f>SUMIF(F5:F200,"Gelas bersih",G5:G200)</f>
        <v>2</v>
      </c>
      <c r="N5" s="18"/>
    </row>
    <row r="6" ht="15.75" customHeight="1">
      <c r="A6" s="30" t="s">
        <v>58</v>
      </c>
      <c r="B6" s="31">
        <v>1000.0</v>
      </c>
      <c r="C6" s="39"/>
      <c r="D6" s="47"/>
      <c r="E6" s="47"/>
      <c r="F6" s="42" t="s">
        <v>56</v>
      </c>
      <c r="G6" s="43"/>
      <c r="H6" s="48">
        <f>VLOOKUP(F6,$A$5:$B$5,2,TRUE)</f>
        <v>3000</v>
      </c>
      <c r="I6" s="45">
        <f t="shared" si="1"/>
        <v>0</v>
      </c>
      <c r="J6" s="47"/>
      <c r="K6" s="18"/>
      <c r="L6" s="42" t="s">
        <v>56</v>
      </c>
      <c r="M6" s="38">
        <f>SUMIF(F6:F201,"Botol bersih",G6:G201)</f>
        <v>7</v>
      </c>
      <c r="N6" s="18"/>
    </row>
    <row r="7" ht="15.75" customHeight="1">
      <c r="A7" s="30" t="s">
        <v>24</v>
      </c>
      <c r="B7" s="31">
        <v>2800.0</v>
      </c>
      <c r="C7" s="39"/>
      <c r="D7" s="47"/>
      <c r="E7" s="47"/>
      <c r="F7" s="42" t="s">
        <v>58</v>
      </c>
      <c r="G7" s="43"/>
      <c r="H7" s="48">
        <f>VLOOKUP(F7,$A$6:$B$6,2,TRUE)</f>
        <v>1000</v>
      </c>
      <c r="I7" s="45">
        <f t="shared" si="1"/>
        <v>0</v>
      </c>
      <c r="J7" s="47"/>
      <c r="K7" s="18"/>
      <c r="L7" s="42" t="s">
        <v>58</v>
      </c>
      <c r="M7" s="38">
        <f>SUMIF(F7:F202,"Botol Warna",G7:G202)</f>
        <v>0</v>
      </c>
      <c r="N7" s="18"/>
    </row>
    <row r="8" ht="15.75" customHeight="1">
      <c r="A8" s="30" t="s">
        <v>25</v>
      </c>
      <c r="B8" s="31">
        <v>3500.0</v>
      </c>
      <c r="C8" s="39"/>
      <c r="D8" s="47"/>
      <c r="E8" s="47"/>
      <c r="F8" s="42" t="s">
        <v>24</v>
      </c>
      <c r="G8" s="43"/>
      <c r="H8" s="48">
        <f>VLOOKUP(F8,$A$7:$B$7,2,TRUE)</f>
        <v>2800</v>
      </c>
      <c r="I8" s="45">
        <f t="shared" si="1"/>
        <v>0</v>
      </c>
      <c r="J8" s="47"/>
      <c r="K8" s="18"/>
      <c r="L8" s="42" t="s">
        <v>24</v>
      </c>
      <c r="M8" s="38">
        <f>SUMIF(F8:F203,"Tutup botol",G8:G203)</f>
        <v>0</v>
      </c>
      <c r="N8" s="18"/>
    </row>
    <row r="9" ht="15.75" customHeight="1">
      <c r="A9" s="30" t="s">
        <v>26</v>
      </c>
      <c r="B9" s="31">
        <v>1000.0</v>
      </c>
      <c r="C9" s="39"/>
      <c r="D9" s="47"/>
      <c r="E9" s="47"/>
      <c r="F9" s="42" t="s">
        <v>25</v>
      </c>
      <c r="G9" s="43"/>
      <c r="H9" s="48">
        <f>VLOOKUP(F9,$A$8:$B$8,2,TRUE)</f>
        <v>3500</v>
      </c>
      <c r="I9" s="45">
        <f t="shared" si="1"/>
        <v>0</v>
      </c>
      <c r="J9" s="47"/>
      <c r="K9" s="18"/>
      <c r="L9" s="42" t="s">
        <v>25</v>
      </c>
      <c r="M9" s="38">
        <f>SUMIF(F9:F204,"Tutup galon",G9:G204)</f>
        <v>0</v>
      </c>
      <c r="N9" s="18"/>
    </row>
    <row r="10" ht="15.75" customHeight="1">
      <c r="A10" s="30" t="s">
        <v>27</v>
      </c>
      <c r="B10" s="31">
        <v>2000.0</v>
      </c>
      <c r="C10" s="39"/>
      <c r="D10" s="47"/>
      <c r="E10" s="47"/>
      <c r="F10" s="42" t="s">
        <v>26</v>
      </c>
      <c r="G10" s="43">
        <v>8.5</v>
      </c>
      <c r="H10" s="48">
        <f>VLOOKUP(F10,$A$9:$B$9,2,TRUE)</f>
        <v>1000</v>
      </c>
      <c r="I10" s="45">
        <f t="shared" si="1"/>
        <v>8500</v>
      </c>
      <c r="J10" s="47"/>
      <c r="K10" s="18"/>
      <c r="L10" s="42" t="s">
        <v>26</v>
      </c>
      <c r="M10" s="38">
        <f>SUMIF(F10:F205,"Hitam",G10:G205)</f>
        <v>43</v>
      </c>
      <c r="N10" s="18"/>
    </row>
    <row r="11" ht="15.75" customHeight="1">
      <c r="A11" s="30" t="s">
        <v>28</v>
      </c>
      <c r="B11" s="31">
        <v>2000.0</v>
      </c>
      <c r="C11" s="39"/>
      <c r="D11" s="47"/>
      <c r="E11" s="47"/>
      <c r="F11" s="42" t="s">
        <v>27</v>
      </c>
      <c r="G11" s="43">
        <v>1.5</v>
      </c>
      <c r="H11" s="48">
        <f>VLOOKUP(F11,$A$10:$B$10,2,TRUE)</f>
        <v>2000</v>
      </c>
      <c r="I11" s="45">
        <f t="shared" si="1"/>
        <v>3000</v>
      </c>
      <c r="J11" s="47"/>
      <c r="K11" s="18"/>
      <c r="L11" s="42" t="s">
        <v>27</v>
      </c>
      <c r="M11" s="38">
        <f>SUMIF(F11:F206,"Plastik Campur",G11:G206)</f>
        <v>1.5</v>
      </c>
      <c r="N11" s="18"/>
    </row>
    <row r="12" ht="15.75" customHeight="1">
      <c r="A12" s="30" t="s">
        <v>29</v>
      </c>
      <c r="B12" s="31">
        <v>1300.0</v>
      </c>
      <c r="C12" s="39"/>
      <c r="D12" s="47"/>
      <c r="E12" s="47"/>
      <c r="F12" s="42" t="s">
        <v>28</v>
      </c>
      <c r="G12" s="43">
        <v>3.5</v>
      </c>
      <c r="H12" s="48">
        <f>VLOOKUP(F12,$A$11:$B$11,2,TRUE)</f>
        <v>2000</v>
      </c>
      <c r="I12" s="45">
        <f t="shared" si="1"/>
        <v>7000</v>
      </c>
      <c r="J12" s="47"/>
      <c r="K12" s="18"/>
      <c r="L12" s="42" t="s">
        <v>28</v>
      </c>
      <c r="M12" s="38">
        <f>SUMIF(F12:F207,"Kardus",G12:G207)</f>
        <v>16.5</v>
      </c>
      <c r="N12" s="18"/>
    </row>
    <row r="13" ht="15.75" customHeight="1">
      <c r="A13" s="30" t="s">
        <v>30</v>
      </c>
      <c r="B13" s="31">
        <v>1000.0</v>
      </c>
      <c r="C13" s="39"/>
      <c r="D13" s="47"/>
      <c r="E13" s="47"/>
      <c r="F13" s="42" t="s">
        <v>29</v>
      </c>
      <c r="G13" s="43"/>
      <c r="H13" s="48">
        <f>VLOOKUP(F13,$A$12:$B$12,2,TRUE)</f>
        <v>1300</v>
      </c>
      <c r="I13" s="45">
        <f t="shared" si="1"/>
        <v>0</v>
      </c>
      <c r="J13" s="47"/>
      <c r="K13" s="18"/>
      <c r="L13" s="42" t="s">
        <v>29</v>
      </c>
      <c r="M13" s="38">
        <f>SUMIF(F13:F208,"Kertas Putihan/ HVS",G13:G208)</f>
        <v>0</v>
      </c>
      <c r="N13" s="18"/>
    </row>
    <row r="14" ht="15.75" customHeight="1">
      <c r="A14" s="30" t="s">
        <v>31</v>
      </c>
      <c r="B14" s="31">
        <v>400.0</v>
      </c>
      <c r="C14" s="39"/>
      <c r="D14" s="47"/>
      <c r="E14" s="47"/>
      <c r="F14" s="42" t="s">
        <v>30</v>
      </c>
      <c r="G14" s="43">
        <v>5.0</v>
      </c>
      <c r="H14" s="48">
        <f>VLOOKUP(F14,$A$13:$B$13,2,TRUE)</f>
        <v>1000</v>
      </c>
      <c r="I14" s="45">
        <f t="shared" si="1"/>
        <v>5000</v>
      </c>
      <c r="J14" s="47"/>
      <c r="K14" s="18"/>
      <c r="L14" s="42" t="s">
        <v>30</v>
      </c>
      <c r="M14" s="38">
        <f>SUMIF(F14:F209,"Koran/Buku",G14:G209)</f>
        <v>5</v>
      </c>
      <c r="N14" s="18"/>
    </row>
    <row r="15" ht="15.75" customHeight="1">
      <c r="A15" s="30" t="s">
        <v>32</v>
      </c>
      <c r="B15" s="31">
        <v>7500.0</v>
      </c>
      <c r="C15" s="39"/>
      <c r="D15" s="47"/>
      <c r="E15" s="47"/>
      <c r="F15" s="42" t="s">
        <v>31</v>
      </c>
      <c r="G15" s="43">
        <v>0.5</v>
      </c>
      <c r="H15" s="48">
        <f>VLOOKUP(F15,$A$14:$B$14,2,TRUE)</f>
        <v>400</v>
      </c>
      <c r="I15" s="45">
        <f t="shared" si="1"/>
        <v>200</v>
      </c>
      <c r="J15" s="47"/>
      <c r="K15" s="18"/>
      <c r="L15" s="42" t="s">
        <v>31</v>
      </c>
      <c r="M15" s="38">
        <f>SUMIF(F15:F210,"Duplex",G15:G210)</f>
        <v>5.5</v>
      </c>
      <c r="N15" s="18"/>
    </row>
    <row r="16" ht="15.75" customHeight="1">
      <c r="A16" s="30" t="s">
        <v>33</v>
      </c>
      <c r="B16" s="31">
        <v>2000.0</v>
      </c>
      <c r="C16" s="39"/>
      <c r="D16" s="47"/>
      <c r="E16" s="47"/>
      <c r="F16" s="42" t="s">
        <v>32</v>
      </c>
      <c r="G16" s="43"/>
      <c r="H16" s="48">
        <f>VLOOKUP(F16,$A$15:$B$15,2,TRUE)</f>
        <v>7500</v>
      </c>
      <c r="I16" s="45">
        <f t="shared" si="1"/>
        <v>0</v>
      </c>
      <c r="J16" s="47"/>
      <c r="K16" s="18"/>
      <c r="L16" s="42" t="s">
        <v>32</v>
      </c>
      <c r="M16" s="38">
        <f>SUMIF(F16:F211,"Alumunium",G16:G211)</f>
        <v>0</v>
      </c>
      <c r="N16" s="18"/>
    </row>
    <row r="17" ht="15.75" customHeight="1">
      <c r="A17" s="30" t="s">
        <v>34</v>
      </c>
      <c r="B17" s="31">
        <v>800.0</v>
      </c>
      <c r="C17" s="39"/>
      <c r="D17" s="47"/>
      <c r="E17" s="47"/>
      <c r="F17" s="42" t="s">
        <v>33</v>
      </c>
      <c r="G17" s="43"/>
      <c r="H17" s="48">
        <f>VLOOKUP(F17,$A$16:$B$16,2,TRUE)</f>
        <v>2000</v>
      </c>
      <c r="I17" s="45">
        <f t="shared" si="1"/>
        <v>0</v>
      </c>
      <c r="J17" s="47"/>
      <c r="K17" s="18"/>
      <c r="L17" s="42" t="s">
        <v>33</v>
      </c>
      <c r="M17" s="38">
        <f>SUMIF(F17:F212,"Besi",G17:G212)</f>
        <v>5.5</v>
      </c>
      <c r="N17" s="18"/>
    </row>
    <row r="18" ht="15.75" customHeight="1">
      <c r="A18" s="30" t="s">
        <v>35</v>
      </c>
      <c r="B18" s="31">
        <v>5000.0</v>
      </c>
      <c r="C18" s="39"/>
      <c r="D18" s="47"/>
      <c r="E18" s="47"/>
      <c r="F18" s="42" t="s">
        <v>34</v>
      </c>
      <c r="G18" s="43">
        <v>1.0</v>
      </c>
      <c r="H18" s="48">
        <f>VLOOKUP(F18,$A$17:$B$17,2,TRUE)</f>
        <v>800</v>
      </c>
      <c r="I18" s="45">
        <f t="shared" si="1"/>
        <v>800</v>
      </c>
      <c r="J18" s="47"/>
      <c r="K18" s="18"/>
      <c r="L18" s="42" t="s">
        <v>34</v>
      </c>
      <c r="M18" s="38">
        <f>SUMIF(F18:F213,"Kaleng kue/susu",G18:G213)</f>
        <v>6</v>
      </c>
      <c r="N18" s="18"/>
    </row>
    <row r="19" ht="15.75" customHeight="1">
      <c r="A19" s="30" t="s">
        <v>36</v>
      </c>
      <c r="B19" s="31">
        <v>2700.0</v>
      </c>
      <c r="C19" s="39"/>
      <c r="D19" s="47"/>
      <c r="E19" s="47"/>
      <c r="F19" s="42" t="s">
        <v>35</v>
      </c>
      <c r="G19" s="43"/>
      <c r="H19" s="48">
        <f>VLOOKUP(F19,$A$18:$B$18,2,TRUE)</f>
        <v>5000</v>
      </c>
      <c r="I19" s="45">
        <f t="shared" si="1"/>
        <v>0</v>
      </c>
      <c r="J19" s="47"/>
      <c r="K19" s="18"/>
      <c r="L19" s="42" t="s">
        <v>35</v>
      </c>
      <c r="M19" s="38">
        <f>SUMIF(F19:F214,"Kaleng Minuman",G19:G214)</f>
        <v>0</v>
      </c>
      <c r="N19" s="18"/>
    </row>
    <row r="20" ht="15.75" customHeight="1">
      <c r="A20" s="30" t="s">
        <v>37</v>
      </c>
      <c r="B20" s="31">
        <v>50000.0</v>
      </c>
      <c r="C20" s="39"/>
      <c r="D20" s="47"/>
      <c r="E20" s="47"/>
      <c r="F20" s="42" t="s">
        <v>36</v>
      </c>
      <c r="G20" s="43"/>
      <c r="H20" s="48">
        <f>VLOOKUP(F20,$A$19:$B$19,2,TRUE)</f>
        <v>2700</v>
      </c>
      <c r="I20" s="45">
        <f t="shared" si="1"/>
        <v>0</v>
      </c>
      <c r="J20" s="47"/>
      <c r="K20" s="18"/>
      <c r="L20" s="42" t="s">
        <v>36</v>
      </c>
      <c r="M20" s="38">
        <f>SUMIF(F20:F215,"Stanless",G20:G215)</f>
        <v>0</v>
      </c>
      <c r="N20" s="18"/>
    </row>
    <row r="21" ht="15.75" customHeight="1">
      <c r="A21" s="30" t="s">
        <v>38</v>
      </c>
      <c r="B21" s="31">
        <v>10000.0</v>
      </c>
      <c r="C21" s="39"/>
      <c r="D21" s="47"/>
      <c r="E21" s="47"/>
      <c r="F21" s="42" t="s">
        <v>37</v>
      </c>
      <c r="G21" s="43"/>
      <c r="H21" s="48">
        <f>VLOOKUP(F21,$A$20:$B$20,2,TRUE)</f>
        <v>50000</v>
      </c>
      <c r="I21" s="45">
        <f t="shared" si="1"/>
        <v>0</v>
      </c>
      <c r="J21" s="47"/>
      <c r="K21" s="18"/>
      <c r="L21" s="42" t="s">
        <v>37</v>
      </c>
      <c r="M21" s="38">
        <f>SUMIF(F21:F216,"Tembaga",G21:G216)</f>
        <v>0</v>
      </c>
      <c r="N21" s="18"/>
    </row>
    <row r="22" ht="15.75" customHeight="1">
      <c r="A22" s="30" t="s">
        <v>39</v>
      </c>
      <c r="B22" s="31">
        <v>1000.0</v>
      </c>
      <c r="C22" s="39"/>
      <c r="D22" s="47"/>
      <c r="E22" s="47"/>
      <c r="F22" s="42" t="s">
        <v>38</v>
      </c>
      <c r="G22" s="43"/>
      <c r="H22" s="48">
        <f>VLOOKUP(F22,$A$21:$B$21,2,TRUE)</f>
        <v>10000</v>
      </c>
      <c r="I22" s="45">
        <f t="shared" si="1"/>
        <v>0</v>
      </c>
      <c r="J22" s="47"/>
      <c r="K22" s="18"/>
      <c r="L22" s="42" t="s">
        <v>38</v>
      </c>
      <c r="M22" s="38">
        <f>SUMIF(F22:F217,"Aki Motor",G22:G217)</f>
        <v>0</v>
      </c>
      <c r="N22" s="18"/>
    </row>
    <row r="23" ht="15.75" customHeight="1">
      <c r="A23" s="30" t="s">
        <v>40</v>
      </c>
      <c r="B23" s="31">
        <v>500.0</v>
      </c>
      <c r="C23" s="39"/>
      <c r="D23" s="47"/>
      <c r="E23" s="47"/>
      <c r="F23" s="42" t="s">
        <v>39</v>
      </c>
      <c r="G23" s="43"/>
      <c r="H23" s="48">
        <f>VLOOKUP(F23,$A$22:$B$22,2,TRUE)</f>
        <v>1000</v>
      </c>
      <c r="I23" s="45">
        <f t="shared" si="1"/>
        <v>0</v>
      </c>
      <c r="J23" s="47"/>
      <c r="K23" s="18"/>
      <c r="L23" s="42" t="s">
        <v>39</v>
      </c>
      <c r="M23" s="38">
        <f>SUMIF(F23:F218,"Paralon",G23:G218)</f>
        <v>0</v>
      </c>
      <c r="N23" s="18"/>
    </row>
    <row r="24" ht="15.75" customHeight="1">
      <c r="A24" s="30" t="s">
        <v>41</v>
      </c>
      <c r="B24" s="31">
        <v>200.0</v>
      </c>
      <c r="C24" s="39"/>
      <c r="D24" s="47"/>
      <c r="E24" s="47"/>
      <c r="F24" s="42" t="s">
        <v>40</v>
      </c>
      <c r="G24" s="43"/>
      <c r="H24" s="48">
        <f>VLOOKUP(F24,$A$23:$B$23,2,TRUE)</f>
        <v>500</v>
      </c>
      <c r="I24" s="45">
        <f t="shared" si="1"/>
        <v>0</v>
      </c>
      <c r="J24" s="47"/>
      <c r="K24" s="18"/>
      <c r="L24" s="42" t="s">
        <v>40</v>
      </c>
      <c r="M24" s="38">
        <f>SUMIF(F24:F219,"Plastik bening",G24:G219)</f>
        <v>1</v>
      </c>
      <c r="N24" s="18"/>
    </row>
    <row r="25" ht="15.75" customHeight="1">
      <c r="A25" s="30" t="s">
        <v>42</v>
      </c>
      <c r="B25" s="31">
        <v>1000.0</v>
      </c>
      <c r="C25" s="39"/>
      <c r="D25" s="47"/>
      <c r="E25" s="47"/>
      <c r="F25" s="42" t="s">
        <v>41</v>
      </c>
      <c r="G25" s="43"/>
      <c r="H25" s="48">
        <f>VLOOKUP(F25,$A$24:$B$24,2,TRUE)</f>
        <v>200</v>
      </c>
      <c r="I25" s="45">
        <f t="shared" si="1"/>
        <v>0</v>
      </c>
      <c r="J25" s="47"/>
      <c r="K25" s="18"/>
      <c r="L25" s="42" t="s">
        <v>41</v>
      </c>
      <c r="M25" s="38">
        <f>SUMIF(F25:F220,"Plastik Warna",G25:G220)</f>
        <v>1</v>
      </c>
      <c r="N25" s="18"/>
    </row>
    <row r="26" ht="15.75" customHeight="1">
      <c r="A26" s="30" t="s">
        <v>17</v>
      </c>
      <c r="B26" s="31">
        <v>300.0</v>
      </c>
      <c r="C26" s="39"/>
      <c r="D26" s="47"/>
      <c r="E26" s="47"/>
      <c r="F26" s="42" t="s">
        <v>42</v>
      </c>
      <c r="G26" s="43"/>
      <c r="H26" s="48">
        <f>VLOOKUP(F26,$A$25:$B$25,2,TRUE)</f>
        <v>1000</v>
      </c>
      <c r="I26" s="45">
        <f t="shared" si="1"/>
        <v>0</v>
      </c>
      <c r="J26" s="47"/>
      <c r="K26" s="18"/>
      <c r="L26" s="42" t="s">
        <v>42</v>
      </c>
      <c r="M26" s="38">
        <f>SUMIF(F26:F221,"Selang",G26:G221)</f>
        <v>0</v>
      </c>
      <c r="N26" s="18"/>
    </row>
    <row r="27" ht="15.75" customHeight="1">
      <c r="A27" s="30" t="s">
        <v>43</v>
      </c>
      <c r="B27" s="31">
        <v>100.0</v>
      </c>
      <c r="C27" s="39"/>
      <c r="D27" s="47"/>
      <c r="E27" s="47"/>
      <c r="F27" s="42" t="s">
        <v>17</v>
      </c>
      <c r="G27" s="43">
        <v>1.0</v>
      </c>
      <c r="H27" s="48">
        <f>VLOOKUP(F27,$A$26:$B$26,2,TRUE)</f>
        <v>300</v>
      </c>
      <c r="I27" s="45">
        <f t="shared" si="1"/>
        <v>300</v>
      </c>
      <c r="J27" s="47"/>
      <c r="K27" s="18"/>
      <c r="L27" s="42" t="s">
        <v>17</v>
      </c>
      <c r="M27" s="38">
        <f>SUMIF(F27:F222,"Beling",G27:G222)</f>
        <v>13</v>
      </c>
      <c r="N27" s="18"/>
    </row>
    <row r="28" ht="15.75" customHeight="1">
      <c r="A28" s="30" t="s">
        <v>59</v>
      </c>
      <c r="B28" s="31">
        <v>500.0</v>
      </c>
      <c r="C28" s="39"/>
      <c r="D28" s="47"/>
      <c r="E28" s="47"/>
      <c r="F28" s="42" t="s">
        <v>43</v>
      </c>
      <c r="G28" s="43"/>
      <c r="H28" s="48">
        <f>VLOOKUP(F28,$A$27:$B$27,2,TRUE)</f>
        <v>100</v>
      </c>
      <c r="I28" s="45">
        <f t="shared" si="1"/>
        <v>0</v>
      </c>
      <c r="J28" s="47"/>
      <c r="K28" s="18"/>
      <c r="L28" s="42" t="s">
        <v>43</v>
      </c>
      <c r="M28" s="38">
        <f>SUMIF(F28:F223,"Pecahan",G28:G223)</f>
        <v>0</v>
      </c>
      <c r="N28" s="18"/>
    </row>
    <row r="29" ht="15.75" customHeight="1">
      <c r="A29" s="30" t="s">
        <v>13</v>
      </c>
      <c r="B29" s="49">
        <v>1500.0</v>
      </c>
      <c r="C29" s="39"/>
      <c r="D29" s="47"/>
      <c r="E29" s="47"/>
      <c r="F29" s="42" t="s">
        <v>59</v>
      </c>
      <c r="G29" s="43"/>
      <c r="H29" s="48">
        <f>VLOOKUP(F29,$A$28:$B$28,2,TRUE)</f>
        <v>500</v>
      </c>
      <c r="I29" s="45">
        <f t="shared" si="1"/>
        <v>0</v>
      </c>
      <c r="J29" s="47"/>
      <c r="K29" s="18"/>
      <c r="L29" s="42" t="s">
        <v>59</v>
      </c>
      <c r="M29" s="38">
        <f>SUMIF(F29:F224,"Sendal/Sepatu",G29:G224)</f>
        <v>0</v>
      </c>
      <c r="N29" s="18"/>
    </row>
    <row r="30" ht="15.75" customHeight="1">
      <c r="A30" s="30" t="s">
        <v>19</v>
      </c>
      <c r="B30" s="31">
        <v>4000.0</v>
      </c>
      <c r="C30" s="39"/>
      <c r="D30" s="47"/>
      <c r="E30" s="47"/>
      <c r="F30" s="42" t="s">
        <v>13</v>
      </c>
      <c r="G30" s="43"/>
      <c r="H30" s="48">
        <f>VLOOKUP(F30,$A$29:$B$29,2,TRUE)</f>
        <v>1500</v>
      </c>
      <c r="I30" s="45">
        <f t="shared" si="1"/>
        <v>0</v>
      </c>
      <c r="J30" s="47"/>
      <c r="K30" s="18"/>
      <c r="L30" s="42" t="s">
        <v>13</v>
      </c>
      <c r="M30" s="38">
        <f>SUMIF(F30:F225,"Paku",G30:G225)</f>
        <v>0</v>
      </c>
      <c r="N30" s="18"/>
    </row>
    <row r="31" ht="15.75" customHeight="1">
      <c r="A31" s="30" t="s">
        <v>60</v>
      </c>
      <c r="B31" s="31">
        <v>0.0</v>
      </c>
      <c r="C31" s="39"/>
      <c r="D31" s="47"/>
      <c r="E31" s="47"/>
      <c r="F31" s="42" t="s">
        <v>19</v>
      </c>
      <c r="G31" s="43"/>
      <c r="H31" s="48">
        <f>VLOOKUP(F31,$A$30:$B$30,2,TRUE)</f>
        <v>4000</v>
      </c>
      <c r="I31" s="45">
        <f t="shared" si="1"/>
        <v>0</v>
      </c>
      <c r="J31" s="47"/>
      <c r="K31" s="18"/>
      <c r="L31" s="42" t="s">
        <v>19</v>
      </c>
      <c r="M31" s="38">
        <f>SUMIF(F31:F226,"Minyak Jelantah",G31:G226)</f>
        <v>1.5</v>
      </c>
      <c r="N31" s="18"/>
    </row>
    <row r="32" ht="15.75" customHeight="1">
      <c r="A32" s="39"/>
      <c r="B32" s="39"/>
      <c r="C32" s="39"/>
      <c r="D32" s="7"/>
      <c r="E32" s="7"/>
      <c r="F32" s="42" t="s">
        <v>20</v>
      </c>
      <c r="G32" s="43">
        <v>1.5</v>
      </c>
      <c r="H32" s="48">
        <v>0.0</v>
      </c>
      <c r="I32" s="45">
        <f t="shared" si="1"/>
        <v>0</v>
      </c>
      <c r="J32" s="7"/>
      <c r="K32" s="18"/>
      <c r="L32" s="42" t="s">
        <v>60</v>
      </c>
      <c r="M32" s="38">
        <f>SUMIF(F32:F227,"Lainnya",G32:G227)</f>
        <v>0</v>
      </c>
      <c r="N32" s="18"/>
    </row>
    <row r="33" ht="15.75" customHeight="1">
      <c r="A33" s="39"/>
      <c r="B33" s="39"/>
      <c r="C33" s="39"/>
      <c r="D33" s="40">
        <v>2.0</v>
      </c>
      <c r="E33" s="41" t="s">
        <v>120</v>
      </c>
      <c r="F33" s="42" t="s">
        <v>21</v>
      </c>
      <c r="G33" s="43">
        <v>1.0</v>
      </c>
      <c r="H33" s="50">
        <f>VLOOKUP(F33,$A$4:$B$4,2,TRUE)</f>
        <v>5000</v>
      </c>
      <c r="I33" s="45">
        <f t="shared" si="1"/>
        <v>5000</v>
      </c>
      <c r="J33" s="46">
        <f>SUM(I33:I60)</f>
        <v>22400</v>
      </c>
      <c r="K33" s="18"/>
      <c r="L33" s="18"/>
      <c r="M33" s="18"/>
      <c r="N33" s="18"/>
    </row>
    <row r="34" ht="15.75" customHeight="1">
      <c r="A34" s="39"/>
      <c r="B34" s="39"/>
      <c r="C34" s="39"/>
      <c r="D34" s="47"/>
      <c r="E34" s="47"/>
      <c r="F34" s="42" t="s">
        <v>56</v>
      </c>
      <c r="G34" s="43">
        <v>1.0</v>
      </c>
      <c r="H34" s="50">
        <f>VLOOKUP(F34,$A$5:$B$5,2,TRUE)</f>
        <v>3000</v>
      </c>
      <c r="I34" s="45">
        <f t="shared" si="1"/>
        <v>3000</v>
      </c>
      <c r="J34" s="47"/>
      <c r="K34" s="18"/>
      <c r="L34" s="18"/>
      <c r="M34" s="18"/>
      <c r="N34" s="18"/>
    </row>
    <row r="35" ht="15.75" customHeight="1">
      <c r="A35" s="39"/>
      <c r="B35" s="39"/>
      <c r="C35" s="39"/>
      <c r="D35" s="47"/>
      <c r="E35" s="47"/>
      <c r="F35" s="42" t="s">
        <v>58</v>
      </c>
      <c r="G35" s="43"/>
      <c r="H35" s="50">
        <f>VLOOKUP(F35,$A$6:$B$6,2,TRUE)</f>
        <v>1000</v>
      </c>
      <c r="I35" s="45">
        <f t="shared" si="1"/>
        <v>0</v>
      </c>
      <c r="J35" s="47"/>
      <c r="K35" s="18"/>
      <c r="L35" s="18"/>
      <c r="M35" s="18"/>
      <c r="N35" s="18"/>
    </row>
    <row r="36" ht="15.75" customHeight="1">
      <c r="A36" s="39"/>
      <c r="B36" s="39"/>
      <c r="C36" s="39"/>
      <c r="D36" s="47"/>
      <c r="E36" s="47"/>
      <c r="F36" s="42" t="s">
        <v>24</v>
      </c>
      <c r="G36" s="43"/>
      <c r="H36" s="50">
        <f>VLOOKUP(F36,$A$7:$B$7,2,TRUE)</f>
        <v>2800</v>
      </c>
      <c r="I36" s="45">
        <f t="shared" si="1"/>
        <v>0</v>
      </c>
      <c r="J36" s="47"/>
      <c r="K36" s="18"/>
      <c r="L36" s="18"/>
      <c r="M36" s="18"/>
      <c r="N36" s="18"/>
    </row>
    <row r="37" ht="15.75" customHeight="1">
      <c r="A37" s="39"/>
      <c r="B37" s="39"/>
      <c r="C37" s="39"/>
      <c r="D37" s="47"/>
      <c r="E37" s="47"/>
      <c r="F37" s="42" t="s">
        <v>25</v>
      </c>
      <c r="G37" s="43"/>
      <c r="H37" s="50">
        <f>VLOOKUP(F37,$A$8:$B$8,2,TRUE)</f>
        <v>3500</v>
      </c>
      <c r="I37" s="45">
        <f t="shared" si="1"/>
        <v>0</v>
      </c>
      <c r="J37" s="47"/>
      <c r="K37" s="18"/>
      <c r="L37" s="18"/>
      <c r="M37" s="18"/>
      <c r="N37" s="18"/>
    </row>
    <row r="38" ht="15.75" customHeight="1">
      <c r="A38" s="39"/>
      <c r="B38" s="39"/>
      <c r="C38" s="39"/>
      <c r="D38" s="47"/>
      <c r="E38" s="47"/>
      <c r="F38" s="42" t="s">
        <v>26</v>
      </c>
      <c r="G38" s="43">
        <v>14.0</v>
      </c>
      <c r="H38" s="50">
        <f>VLOOKUP(F38,$A$9:$B$9,2,TRUE)</f>
        <v>1000</v>
      </c>
      <c r="I38" s="45">
        <f t="shared" si="1"/>
        <v>14000</v>
      </c>
      <c r="J38" s="47"/>
      <c r="K38" s="18"/>
      <c r="L38" s="18"/>
      <c r="M38" s="18"/>
      <c r="N38" s="18"/>
    </row>
    <row r="39" ht="15.75" customHeight="1">
      <c r="A39" s="39"/>
      <c r="B39" s="39"/>
      <c r="C39" s="39"/>
      <c r="D39" s="47"/>
      <c r="E39" s="47"/>
      <c r="F39" s="42" t="s">
        <v>27</v>
      </c>
      <c r="G39" s="43"/>
      <c r="H39" s="50">
        <f>VLOOKUP(F39,$A$10:$B$10,2,TRUE)</f>
        <v>2000</v>
      </c>
      <c r="I39" s="45">
        <f t="shared" si="1"/>
        <v>0</v>
      </c>
      <c r="J39" s="47"/>
      <c r="K39" s="18"/>
      <c r="L39" s="18"/>
      <c r="M39" s="18"/>
      <c r="N39" s="18"/>
    </row>
    <row r="40" ht="15.75" customHeight="1">
      <c r="A40" s="39"/>
      <c r="B40" s="39"/>
      <c r="C40" s="39"/>
      <c r="D40" s="47"/>
      <c r="E40" s="47"/>
      <c r="F40" s="42" t="s">
        <v>28</v>
      </c>
      <c r="G40" s="43"/>
      <c r="H40" s="50">
        <f>VLOOKUP(F40,$A$11:$B$11,2,TRUE)</f>
        <v>2000</v>
      </c>
      <c r="I40" s="45">
        <f t="shared" si="1"/>
        <v>0</v>
      </c>
      <c r="J40" s="47"/>
      <c r="K40" s="18"/>
      <c r="L40" s="18"/>
      <c r="M40" s="18"/>
      <c r="N40" s="18"/>
    </row>
    <row r="41" ht="15.75" customHeight="1">
      <c r="A41" s="39"/>
      <c r="B41" s="39"/>
      <c r="C41" s="39"/>
      <c r="D41" s="47"/>
      <c r="E41" s="47"/>
      <c r="F41" s="42" t="s">
        <v>29</v>
      </c>
      <c r="G41" s="43"/>
      <c r="H41" s="50">
        <f>VLOOKUP(F41,$A$12:$B$12,2,TRUE)</f>
        <v>1300</v>
      </c>
      <c r="I41" s="45">
        <f t="shared" si="1"/>
        <v>0</v>
      </c>
      <c r="J41" s="47"/>
      <c r="K41" s="18"/>
      <c r="L41" s="18"/>
      <c r="M41" s="18"/>
      <c r="N41" s="18"/>
    </row>
    <row r="42" ht="15.75" customHeight="1">
      <c r="A42" s="39"/>
      <c r="B42" s="39"/>
      <c r="C42" s="39"/>
      <c r="D42" s="47"/>
      <c r="E42" s="47"/>
      <c r="F42" s="42" t="s">
        <v>30</v>
      </c>
      <c r="G42" s="43"/>
      <c r="H42" s="50">
        <f>VLOOKUP(F42,$A$13:$B$13,2,TRUE)</f>
        <v>1000</v>
      </c>
      <c r="I42" s="45">
        <f t="shared" si="1"/>
        <v>0</v>
      </c>
      <c r="J42" s="47"/>
      <c r="K42" s="18"/>
      <c r="L42" s="18"/>
      <c r="M42" s="18"/>
      <c r="N42" s="18"/>
    </row>
    <row r="43" ht="15.75" customHeight="1">
      <c r="A43" s="39"/>
      <c r="B43" s="39"/>
      <c r="C43" s="39"/>
      <c r="D43" s="47"/>
      <c r="E43" s="47"/>
      <c r="F43" s="42" t="s">
        <v>31</v>
      </c>
      <c r="G43" s="43"/>
      <c r="H43" s="50">
        <f>VLOOKUP(F43,$A$14:$B$14,2,TRUE)</f>
        <v>400</v>
      </c>
      <c r="I43" s="45">
        <f t="shared" si="1"/>
        <v>0</v>
      </c>
      <c r="J43" s="47"/>
      <c r="K43" s="18"/>
      <c r="L43" s="18"/>
      <c r="M43" s="18"/>
      <c r="N43" s="18"/>
    </row>
    <row r="44" ht="15.75" customHeight="1">
      <c r="A44" s="39"/>
      <c r="B44" s="39"/>
      <c r="C44" s="39"/>
      <c r="D44" s="47"/>
      <c r="E44" s="47"/>
      <c r="F44" s="42" t="s">
        <v>32</v>
      </c>
      <c r="G44" s="43"/>
      <c r="H44" s="50">
        <f>VLOOKUP(F44,$A$15:$B$15,2,TRUE)</f>
        <v>7500</v>
      </c>
      <c r="I44" s="45">
        <f t="shared" si="1"/>
        <v>0</v>
      </c>
      <c r="J44" s="47"/>
      <c r="K44" s="18"/>
      <c r="L44" s="18"/>
      <c r="M44" s="18"/>
      <c r="N44" s="18"/>
    </row>
    <row r="45" ht="15.75" customHeight="1">
      <c r="A45" s="39"/>
      <c r="B45" s="39"/>
      <c r="C45" s="39"/>
      <c r="D45" s="47"/>
      <c r="E45" s="47"/>
      <c r="F45" s="42" t="s">
        <v>33</v>
      </c>
      <c r="G45" s="43"/>
      <c r="H45" s="50">
        <f>VLOOKUP(F45,$A$16:$B$16,2,TRUE)</f>
        <v>2000</v>
      </c>
      <c r="I45" s="45">
        <f t="shared" si="1"/>
        <v>0</v>
      </c>
      <c r="J45" s="47"/>
      <c r="K45" s="18"/>
      <c r="L45" s="18"/>
      <c r="M45" s="18"/>
      <c r="N45" s="18"/>
    </row>
    <row r="46" ht="15.75" customHeight="1">
      <c r="A46" s="39"/>
      <c r="B46" s="39"/>
      <c r="C46" s="39"/>
      <c r="D46" s="47"/>
      <c r="E46" s="47"/>
      <c r="F46" s="42" t="s">
        <v>34</v>
      </c>
      <c r="G46" s="43">
        <v>0.5</v>
      </c>
      <c r="H46" s="50">
        <f>VLOOKUP(F46,$A$17:$B$17,2,TRUE)</f>
        <v>800</v>
      </c>
      <c r="I46" s="45">
        <f t="shared" si="1"/>
        <v>400</v>
      </c>
      <c r="J46" s="47"/>
      <c r="K46" s="18"/>
      <c r="L46" s="18"/>
      <c r="M46" s="18"/>
      <c r="N46" s="18"/>
    </row>
    <row r="47" ht="15.75" customHeight="1">
      <c r="A47" s="39"/>
      <c r="B47" s="39"/>
      <c r="C47" s="39"/>
      <c r="D47" s="47"/>
      <c r="E47" s="47"/>
      <c r="F47" s="42" t="s">
        <v>35</v>
      </c>
      <c r="G47" s="43"/>
      <c r="H47" s="50">
        <f>VLOOKUP(F47,$A$18:$B$18,2,TRUE)</f>
        <v>5000</v>
      </c>
      <c r="I47" s="45">
        <f t="shared" si="1"/>
        <v>0</v>
      </c>
      <c r="J47" s="47"/>
      <c r="K47" s="18"/>
      <c r="L47" s="18"/>
      <c r="M47" s="18"/>
      <c r="N47" s="18"/>
    </row>
    <row r="48" ht="15.75" customHeight="1">
      <c r="A48" s="39"/>
      <c r="B48" s="39"/>
      <c r="C48" s="39"/>
      <c r="D48" s="47"/>
      <c r="E48" s="47"/>
      <c r="F48" s="42" t="s">
        <v>36</v>
      </c>
      <c r="G48" s="43"/>
      <c r="H48" s="50">
        <f>VLOOKUP(F48,$A$19:$B$19,2,TRUE)</f>
        <v>2700</v>
      </c>
      <c r="I48" s="45">
        <f t="shared" si="1"/>
        <v>0</v>
      </c>
      <c r="J48" s="47"/>
      <c r="K48" s="18"/>
      <c r="L48" s="18"/>
      <c r="M48" s="18"/>
      <c r="N48" s="18"/>
    </row>
    <row r="49" ht="15.75" customHeight="1">
      <c r="A49" s="39"/>
      <c r="B49" s="39"/>
      <c r="C49" s="39"/>
      <c r="D49" s="47"/>
      <c r="E49" s="47"/>
      <c r="F49" s="42" t="s">
        <v>37</v>
      </c>
      <c r="G49" s="43"/>
      <c r="H49" s="50">
        <f>VLOOKUP(F49,$A$20:$B$20,2,TRUE)</f>
        <v>50000</v>
      </c>
      <c r="I49" s="45">
        <f t="shared" si="1"/>
        <v>0</v>
      </c>
      <c r="J49" s="47"/>
      <c r="K49" s="18"/>
      <c r="L49" s="18"/>
      <c r="M49" s="18"/>
      <c r="N49" s="18"/>
    </row>
    <row r="50" ht="15.75" customHeight="1">
      <c r="A50" s="39"/>
      <c r="B50" s="39"/>
      <c r="C50" s="39"/>
      <c r="D50" s="47"/>
      <c r="E50" s="47"/>
      <c r="F50" s="42" t="s">
        <v>38</v>
      </c>
      <c r="G50" s="43"/>
      <c r="H50" s="50">
        <f>VLOOKUP(F50,$A$21:$B$21,2,TRUE)</f>
        <v>10000</v>
      </c>
      <c r="I50" s="45">
        <f t="shared" si="1"/>
        <v>0</v>
      </c>
      <c r="J50" s="47"/>
      <c r="K50" s="18"/>
      <c r="L50" s="18"/>
      <c r="M50" s="18"/>
      <c r="N50" s="18"/>
    </row>
    <row r="51" ht="15.75" customHeight="1">
      <c r="A51" s="39"/>
      <c r="B51" s="39"/>
      <c r="C51" s="39"/>
      <c r="D51" s="47"/>
      <c r="E51" s="47"/>
      <c r="F51" s="42" t="s">
        <v>39</v>
      </c>
      <c r="G51" s="43"/>
      <c r="H51" s="50">
        <f>VLOOKUP(F51,$A$22:$B$22,2,TRUE)</f>
        <v>1000</v>
      </c>
      <c r="I51" s="45">
        <f t="shared" si="1"/>
        <v>0</v>
      </c>
      <c r="J51" s="47"/>
      <c r="K51" s="18"/>
      <c r="L51" s="18"/>
      <c r="M51" s="18"/>
      <c r="N51" s="18"/>
    </row>
    <row r="52" ht="15.75" customHeight="1">
      <c r="A52" s="39"/>
      <c r="B52" s="39"/>
      <c r="C52" s="39"/>
      <c r="D52" s="47"/>
      <c r="E52" s="47"/>
      <c r="F52" s="42" t="s">
        <v>40</v>
      </c>
      <c r="G52" s="43"/>
      <c r="H52" s="50">
        <f>VLOOKUP(F52,$A$23:$B$23,2,TRUE)</f>
        <v>500</v>
      </c>
      <c r="I52" s="45">
        <f t="shared" si="1"/>
        <v>0</v>
      </c>
      <c r="J52" s="47"/>
      <c r="K52" s="18"/>
      <c r="L52" s="18"/>
      <c r="M52" s="18"/>
      <c r="N52" s="18"/>
    </row>
    <row r="53" ht="15.75" customHeight="1">
      <c r="A53" s="39"/>
      <c r="B53" s="39"/>
      <c r="C53" s="39"/>
      <c r="D53" s="47"/>
      <c r="E53" s="47"/>
      <c r="F53" s="42" t="s">
        <v>41</v>
      </c>
      <c r="G53" s="43"/>
      <c r="H53" s="50">
        <f>VLOOKUP(F53,$A$24:$B$24,2,TRUE)</f>
        <v>200</v>
      </c>
      <c r="I53" s="45">
        <f t="shared" si="1"/>
        <v>0</v>
      </c>
      <c r="J53" s="47"/>
      <c r="K53" s="18"/>
      <c r="L53" s="18"/>
      <c r="M53" s="18"/>
      <c r="N53" s="18"/>
    </row>
    <row r="54" ht="15.75" customHeight="1">
      <c r="A54" s="39"/>
      <c r="B54" s="39"/>
      <c r="C54" s="39"/>
      <c r="D54" s="47"/>
      <c r="E54" s="47"/>
      <c r="F54" s="42" t="s">
        <v>42</v>
      </c>
      <c r="G54" s="43"/>
      <c r="H54" s="50">
        <f>VLOOKUP(F54,$A$25:$B$25,2,TRUE)</f>
        <v>1000</v>
      </c>
      <c r="I54" s="45">
        <f t="shared" si="1"/>
        <v>0</v>
      </c>
      <c r="J54" s="47"/>
      <c r="K54" s="18"/>
      <c r="L54" s="18"/>
      <c r="M54" s="18"/>
      <c r="N54" s="18"/>
    </row>
    <row r="55" ht="15.75" customHeight="1">
      <c r="A55" s="39"/>
      <c r="B55" s="39"/>
      <c r="C55" s="39"/>
      <c r="D55" s="47"/>
      <c r="E55" s="47"/>
      <c r="F55" s="42" t="s">
        <v>17</v>
      </c>
      <c r="G55" s="43"/>
      <c r="H55" s="50">
        <f>VLOOKUP(F55,$A$26:$B$26,2,TRUE)</f>
        <v>300</v>
      </c>
      <c r="I55" s="45">
        <f t="shared" si="1"/>
        <v>0</v>
      </c>
      <c r="J55" s="47"/>
      <c r="K55" s="18"/>
      <c r="L55" s="18"/>
      <c r="M55" s="18"/>
      <c r="N55" s="18"/>
    </row>
    <row r="56" ht="15.75" customHeight="1">
      <c r="A56" s="39"/>
      <c r="B56" s="39"/>
      <c r="C56" s="39"/>
      <c r="D56" s="47"/>
      <c r="E56" s="47"/>
      <c r="F56" s="42" t="s">
        <v>43</v>
      </c>
      <c r="G56" s="43"/>
      <c r="H56" s="50">
        <f>VLOOKUP(F56,$A$27:$B$27,2,TRUE)</f>
        <v>100</v>
      </c>
      <c r="I56" s="45">
        <f t="shared" si="1"/>
        <v>0</v>
      </c>
      <c r="J56" s="47"/>
      <c r="K56" s="18"/>
      <c r="L56" s="18"/>
      <c r="M56" s="18"/>
      <c r="N56" s="18"/>
    </row>
    <row r="57" ht="15.75" customHeight="1">
      <c r="A57" s="39"/>
      <c r="B57" s="39"/>
      <c r="C57" s="39"/>
      <c r="D57" s="47"/>
      <c r="E57" s="47"/>
      <c r="F57" s="42" t="s">
        <v>59</v>
      </c>
      <c r="G57" s="43"/>
      <c r="H57" s="50">
        <f>VLOOKUP(F57,$A$28:$B$28,2,TRUE)</f>
        <v>500</v>
      </c>
      <c r="I57" s="45">
        <f t="shared" si="1"/>
        <v>0</v>
      </c>
      <c r="J57" s="47"/>
      <c r="K57" s="18"/>
      <c r="L57" s="18"/>
      <c r="M57" s="18"/>
      <c r="N57" s="18"/>
    </row>
    <row r="58" ht="15.75" customHeight="1">
      <c r="A58" s="39"/>
      <c r="B58" s="39"/>
      <c r="C58" s="39"/>
      <c r="D58" s="47"/>
      <c r="E58" s="47"/>
      <c r="F58" s="42" t="s">
        <v>13</v>
      </c>
      <c r="G58" s="43"/>
      <c r="H58" s="51">
        <f>VLOOKUP(F58,$A$29:$B$29,2,TRUE)</f>
        <v>1500</v>
      </c>
      <c r="I58" s="45">
        <f t="shared" si="1"/>
        <v>0</v>
      </c>
      <c r="J58" s="47"/>
      <c r="K58" s="18"/>
      <c r="L58" s="18"/>
      <c r="M58" s="18"/>
      <c r="N58" s="18"/>
    </row>
    <row r="59" ht="15.75" customHeight="1">
      <c r="A59" s="39"/>
      <c r="B59" s="39"/>
      <c r="C59" s="39"/>
      <c r="D59" s="47"/>
      <c r="E59" s="47"/>
      <c r="F59" s="42" t="s">
        <v>19</v>
      </c>
      <c r="G59" s="43"/>
      <c r="H59" s="50">
        <f>VLOOKUP(F59,$A$30:$B$30,2,TRUE)</f>
        <v>4000</v>
      </c>
      <c r="I59" s="45">
        <f t="shared" si="1"/>
        <v>0</v>
      </c>
      <c r="J59" s="47"/>
      <c r="K59" s="18"/>
      <c r="L59" s="18"/>
      <c r="M59" s="18"/>
      <c r="N59" s="18"/>
    </row>
    <row r="60" ht="15.75" customHeight="1">
      <c r="A60" s="39"/>
      <c r="B60" s="39"/>
      <c r="C60" s="39"/>
      <c r="D60" s="7"/>
      <c r="E60" s="7"/>
      <c r="F60" s="42" t="s">
        <v>20</v>
      </c>
      <c r="G60" s="43">
        <v>1.5</v>
      </c>
      <c r="H60" s="50">
        <f>VLOOKUP(F60,$A$31:$B$31,2,TRUE)</f>
        <v>0</v>
      </c>
      <c r="I60" s="45">
        <f t="shared" si="1"/>
        <v>0</v>
      </c>
      <c r="J60" s="7"/>
      <c r="K60" s="18"/>
      <c r="L60" s="18"/>
      <c r="M60" s="18"/>
      <c r="N60" s="18"/>
    </row>
    <row r="61" ht="15.75" customHeight="1">
      <c r="A61" s="39"/>
      <c r="B61" s="39"/>
      <c r="C61" s="39"/>
      <c r="D61" s="40">
        <v>3.0</v>
      </c>
      <c r="E61" s="41" t="s">
        <v>121</v>
      </c>
      <c r="F61" s="42" t="s">
        <v>21</v>
      </c>
      <c r="G61" s="43"/>
      <c r="H61" s="50">
        <f>VLOOKUP(F61,$A$4:$B$4,2,TRUE)</f>
        <v>5000</v>
      </c>
      <c r="I61" s="45">
        <f t="shared" si="1"/>
        <v>0</v>
      </c>
      <c r="J61" s="46">
        <f>SUM(I61:I88)</f>
        <v>14100</v>
      </c>
      <c r="K61" s="18"/>
      <c r="L61" s="18"/>
      <c r="M61" s="18"/>
      <c r="N61" s="18"/>
    </row>
    <row r="62" ht="15.75" customHeight="1">
      <c r="A62" s="39"/>
      <c r="B62" s="39"/>
      <c r="C62" s="39"/>
      <c r="D62" s="47"/>
      <c r="E62" s="47"/>
      <c r="F62" s="42" t="s">
        <v>56</v>
      </c>
      <c r="G62" s="43">
        <v>0.5</v>
      </c>
      <c r="H62" s="50">
        <f>VLOOKUP(F62,$A$5:$B$5,2,TRUE)</f>
        <v>3000</v>
      </c>
      <c r="I62" s="45">
        <f t="shared" si="1"/>
        <v>1500</v>
      </c>
      <c r="J62" s="47"/>
      <c r="K62" s="18"/>
      <c r="L62" s="18"/>
      <c r="M62" s="18"/>
      <c r="N62" s="18"/>
    </row>
    <row r="63" ht="15.75" customHeight="1">
      <c r="A63" s="39"/>
      <c r="B63" s="39"/>
      <c r="C63" s="39"/>
      <c r="D63" s="47"/>
      <c r="E63" s="47"/>
      <c r="F63" s="42" t="s">
        <v>58</v>
      </c>
      <c r="G63" s="43"/>
      <c r="H63" s="50">
        <f>VLOOKUP(F63,$A$6:$B$6,2,TRUE)</f>
        <v>1000</v>
      </c>
      <c r="I63" s="45">
        <f t="shared" si="1"/>
        <v>0</v>
      </c>
      <c r="J63" s="47"/>
      <c r="K63" s="18"/>
      <c r="L63" s="18"/>
      <c r="M63" s="18"/>
      <c r="N63" s="18"/>
    </row>
    <row r="64" ht="15.75" customHeight="1">
      <c r="A64" s="39"/>
      <c r="B64" s="39"/>
      <c r="C64" s="39"/>
      <c r="D64" s="47"/>
      <c r="E64" s="47"/>
      <c r="F64" s="42" t="s">
        <v>24</v>
      </c>
      <c r="G64" s="43"/>
      <c r="H64" s="50">
        <f>VLOOKUP(F64,$A$7:$B$7,2,TRUE)</f>
        <v>2800</v>
      </c>
      <c r="I64" s="45">
        <f t="shared" si="1"/>
        <v>0</v>
      </c>
      <c r="J64" s="47"/>
      <c r="K64" s="18"/>
      <c r="L64" s="18"/>
      <c r="M64" s="18"/>
      <c r="N64" s="18"/>
    </row>
    <row r="65" ht="15.75" customHeight="1">
      <c r="A65" s="39"/>
      <c r="B65" s="39"/>
      <c r="C65" s="39"/>
      <c r="D65" s="47"/>
      <c r="E65" s="47"/>
      <c r="F65" s="42" t="s">
        <v>25</v>
      </c>
      <c r="G65" s="43"/>
      <c r="H65" s="50">
        <f>VLOOKUP(F65,$A$8:$B$8,2,TRUE)</f>
        <v>3500</v>
      </c>
      <c r="I65" s="45">
        <f t="shared" si="1"/>
        <v>0</v>
      </c>
      <c r="J65" s="47"/>
      <c r="K65" s="18"/>
      <c r="L65" s="18"/>
      <c r="M65" s="18"/>
      <c r="N65" s="18"/>
    </row>
    <row r="66" ht="15.75" customHeight="1">
      <c r="A66" s="39"/>
      <c r="B66" s="39"/>
      <c r="C66" s="39"/>
      <c r="D66" s="47"/>
      <c r="E66" s="47"/>
      <c r="F66" s="42" t="s">
        <v>26</v>
      </c>
      <c r="G66" s="43">
        <v>11.0</v>
      </c>
      <c r="H66" s="50">
        <f>VLOOKUP(F66,$A$9:$B$9,2,TRUE)</f>
        <v>1000</v>
      </c>
      <c r="I66" s="45">
        <f t="shared" si="1"/>
        <v>11000</v>
      </c>
      <c r="J66" s="47"/>
      <c r="K66" s="18"/>
      <c r="L66" s="18"/>
      <c r="M66" s="18"/>
      <c r="N66" s="18"/>
    </row>
    <row r="67" ht="15.75" customHeight="1">
      <c r="A67" s="39"/>
      <c r="B67" s="39"/>
      <c r="C67" s="39"/>
      <c r="D67" s="47"/>
      <c r="E67" s="47"/>
      <c r="F67" s="42" t="s">
        <v>27</v>
      </c>
      <c r="G67" s="43"/>
      <c r="H67" s="50">
        <f>VLOOKUP(F67,$A$10:$B$10,2,TRUE)</f>
        <v>2000</v>
      </c>
      <c r="I67" s="45">
        <f t="shared" si="1"/>
        <v>0</v>
      </c>
      <c r="J67" s="47"/>
      <c r="K67" s="18"/>
      <c r="L67" s="18"/>
      <c r="M67" s="18"/>
      <c r="N67" s="18"/>
    </row>
    <row r="68" ht="15.75" customHeight="1">
      <c r="A68" s="39"/>
      <c r="B68" s="39"/>
      <c r="C68" s="39"/>
      <c r="D68" s="47"/>
      <c r="E68" s="47"/>
      <c r="F68" s="42" t="s">
        <v>28</v>
      </c>
      <c r="G68" s="43"/>
      <c r="H68" s="50">
        <f>VLOOKUP(F68,$A$11:$B$11,2,TRUE)</f>
        <v>2000</v>
      </c>
      <c r="I68" s="45">
        <f t="shared" si="1"/>
        <v>0</v>
      </c>
      <c r="J68" s="47"/>
      <c r="K68" s="18"/>
      <c r="L68" s="18"/>
      <c r="M68" s="18"/>
      <c r="N68" s="18"/>
    </row>
    <row r="69" ht="15.75" customHeight="1">
      <c r="A69" s="39"/>
      <c r="B69" s="39"/>
      <c r="C69" s="39"/>
      <c r="D69" s="47"/>
      <c r="E69" s="47"/>
      <c r="F69" s="42" t="s">
        <v>29</v>
      </c>
      <c r="G69" s="43"/>
      <c r="H69" s="50">
        <f>VLOOKUP(F69,$A$12:$B$12,2,TRUE)</f>
        <v>1300</v>
      </c>
      <c r="I69" s="45">
        <f t="shared" si="1"/>
        <v>0</v>
      </c>
      <c r="J69" s="47"/>
      <c r="K69" s="18"/>
      <c r="L69" s="18"/>
      <c r="M69" s="18"/>
      <c r="N69" s="18"/>
    </row>
    <row r="70" ht="15.75" customHeight="1">
      <c r="A70" s="39"/>
      <c r="B70" s="39"/>
      <c r="C70" s="39"/>
      <c r="D70" s="47"/>
      <c r="E70" s="47"/>
      <c r="F70" s="42" t="s">
        <v>30</v>
      </c>
      <c r="G70" s="43"/>
      <c r="H70" s="50">
        <f>VLOOKUP(F70,$A$13:$B$13,2,TRUE)</f>
        <v>1000</v>
      </c>
      <c r="I70" s="45">
        <f t="shared" si="1"/>
        <v>0</v>
      </c>
      <c r="J70" s="47"/>
      <c r="K70" s="18"/>
      <c r="L70" s="18"/>
      <c r="M70" s="18"/>
      <c r="N70" s="18"/>
    </row>
    <row r="71" ht="15.75" customHeight="1">
      <c r="A71" s="39"/>
      <c r="B71" s="39"/>
      <c r="C71" s="39"/>
      <c r="D71" s="47"/>
      <c r="E71" s="47"/>
      <c r="F71" s="42" t="s">
        <v>31</v>
      </c>
      <c r="G71" s="43">
        <v>1.0</v>
      </c>
      <c r="H71" s="50">
        <f>VLOOKUP(F71,$A$14:$B$14,2,TRUE)</f>
        <v>400</v>
      </c>
      <c r="I71" s="45">
        <f t="shared" si="1"/>
        <v>400</v>
      </c>
      <c r="J71" s="47"/>
      <c r="K71" s="18"/>
      <c r="L71" s="18"/>
      <c r="M71" s="18"/>
      <c r="N71" s="18"/>
    </row>
    <row r="72" ht="15.75" customHeight="1">
      <c r="A72" s="39"/>
      <c r="B72" s="39"/>
      <c r="C72" s="39"/>
      <c r="D72" s="47"/>
      <c r="E72" s="47"/>
      <c r="F72" s="42" t="s">
        <v>32</v>
      </c>
      <c r="G72" s="43"/>
      <c r="H72" s="50">
        <f>VLOOKUP(F72,$A$15:$B$15,2,TRUE)</f>
        <v>7500</v>
      </c>
      <c r="I72" s="45">
        <f t="shared" si="1"/>
        <v>0</v>
      </c>
      <c r="J72" s="47"/>
      <c r="K72" s="18"/>
      <c r="L72" s="18"/>
      <c r="M72" s="18"/>
      <c r="N72" s="18"/>
    </row>
    <row r="73" ht="15.75" customHeight="1">
      <c r="A73" s="39"/>
      <c r="B73" s="39"/>
      <c r="C73" s="39"/>
      <c r="D73" s="47"/>
      <c r="E73" s="47"/>
      <c r="F73" s="42" t="s">
        <v>33</v>
      </c>
      <c r="G73" s="43"/>
      <c r="H73" s="50">
        <f>VLOOKUP(F73,$A$16:$B$16,2,TRUE)</f>
        <v>2000</v>
      </c>
      <c r="I73" s="45">
        <f t="shared" si="1"/>
        <v>0</v>
      </c>
      <c r="J73" s="47"/>
      <c r="K73" s="18"/>
      <c r="L73" s="18"/>
      <c r="M73" s="18"/>
      <c r="N73" s="18"/>
    </row>
    <row r="74" ht="15.75" customHeight="1">
      <c r="A74" s="39"/>
      <c r="B74" s="39"/>
      <c r="C74" s="39"/>
      <c r="D74" s="47"/>
      <c r="E74" s="47"/>
      <c r="F74" s="42" t="s">
        <v>34</v>
      </c>
      <c r="G74" s="43">
        <v>1.5</v>
      </c>
      <c r="H74" s="50">
        <f>VLOOKUP(F74,$A$17:$B$17,2,TRUE)</f>
        <v>800</v>
      </c>
      <c r="I74" s="45">
        <f t="shared" si="1"/>
        <v>1200</v>
      </c>
      <c r="J74" s="47"/>
      <c r="K74" s="18"/>
      <c r="L74" s="18"/>
      <c r="M74" s="18"/>
      <c r="N74" s="18"/>
    </row>
    <row r="75" ht="15.75" customHeight="1">
      <c r="A75" s="39"/>
      <c r="B75" s="39"/>
      <c r="C75" s="39"/>
      <c r="D75" s="47"/>
      <c r="E75" s="47"/>
      <c r="F75" s="42" t="s">
        <v>35</v>
      </c>
      <c r="G75" s="43"/>
      <c r="H75" s="50">
        <f>VLOOKUP(F75,$A$18:$B$18,2,TRUE)</f>
        <v>5000</v>
      </c>
      <c r="I75" s="45">
        <f t="shared" si="1"/>
        <v>0</v>
      </c>
      <c r="J75" s="47"/>
      <c r="K75" s="18"/>
      <c r="L75" s="18"/>
      <c r="M75" s="18"/>
      <c r="N75" s="18"/>
    </row>
    <row r="76" ht="15.75" customHeight="1">
      <c r="A76" s="39"/>
      <c r="B76" s="39"/>
      <c r="C76" s="39"/>
      <c r="D76" s="47"/>
      <c r="E76" s="47"/>
      <c r="F76" s="42" t="s">
        <v>36</v>
      </c>
      <c r="G76" s="43"/>
      <c r="H76" s="50">
        <f>VLOOKUP(F76,$A$19:$B$19,2,TRUE)</f>
        <v>2700</v>
      </c>
      <c r="I76" s="45">
        <f t="shared" si="1"/>
        <v>0</v>
      </c>
      <c r="J76" s="47"/>
      <c r="K76" s="18"/>
      <c r="L76" s="18"/>
      <c r="M76" s="18"/>
      <c r="N76" s="18"/>
    </row>
    <row r="77" ht="15.75" customHeight="1">
      <c r="A77" s="39"/>
      <c r="B77" s="39"/>
      <c r="C77" s="39"/>
      <c r="D77" s="47"/>
      <c r="E77" s="47"/>
      <c r="F77" s="42" t="s">
        <v>37</v>
      </c>
      <c r="G77" s="43"/>
      <c r="H77" s="50">
        <f>VLOOKUP(F77,$A$20:$B$20,2,TRUE)</f>
        <v>50000</v>
      </c>
      <c r="I77" s="45">
        <f t="shared" si="1"/>
        <v>0</v>
      </c>
      <c r="J77" s="47"/>
      <c r="K77" s="18"/>
      <c r="L77" s="18"/>
      <c r="M77" s="18"/>
      <c r="N77" s="18"/>
    </row>
    <row r="78" ht="15.75" customHeight="1">
      <c r="A78" s="39"/>
      <c r="B78" s="39"/>
      <c r="C78" s="39"/>
      <c r="D78" s="47"/>
      <c r="E78" s="47"/>
      <c r="F78" s="42" t="s">
        <v>38</v>
      </c>
      <c r="G78" s="43"/>
      <c r="H78" s="50">
        <f>VLOOKUP(F78,$A$21:$B$21,2,TRUE)</f>
        <v>10000</v>
      </c>
      <c r="I78" s="45">
        <f t="shared" si="1"/>
        <v>0</v>
      </c>
      <c r="J78" s="47"/>
      <c r="K78" s="18"/>
      <c r="L78" s="18"/>
      <c r="M78" s="18"/>
      <c r="N78" s="18"/>
    </row>
    <row r="79" ht="15.75" customHeight="1">
      <c r="A79" s="39"/>
      <c r="B79" s="39"/>
      <c r="C79" s="39"/>
      <c r="D79" s="47"/>
      <c r="E79" s="47"/>
      <c r="F79" s="42" t="s">
        <v>39</v>
      </c>
      <c r="G79" s="43"/>
      <c r="H79" s="50">
        <f>VLOOKUP(F79,$A$22:$B$22,2,TRUE)</f>
        <v>1000</v>
      </c>
      <c r="I79" s="45">
        <f t="shared" si="1"/>
        <v>0</v>
      </c>
      <c r="J79" s="47"/>
      <c r="K79" s="18"/>
      <c r="L79" s="18"/>
      <c r="M79" s="18"/>
      <c r="N79" s="18"/>
    </row>
    <row r="80" ht="15.75" customHeight="1">
      <c r="A80" s="39"/>
      <c r="B80" s="39"/>
      <c r="C80" s="39"/>
      <c r="D80" s="47"/>
      <c r="E80" s="47"/>
      <c r="F80" s="42" t="s">
        <v>40</v>
      </c>
      <c r="G80" s="43"/>
      <c r="H80" s="50">
        <f>VLOOKUP(F80,$A$23:$B$23,2,TRUE)</f>
        <v>500</v>
      </c>
      <c r="I80" s="45">
        <f t="shared" si="1"/>
        <v>0</v>
      </c>
      <c r="J80" s="47"/>
      <c r="K80" s="18"/>
      <c r="L80" s="18"/>
      <c r="M80" s="18"/>
      <c r="N80" s="18"/>
    </row>
    <row r="81" ht="15.75" customHeight="1">
      <c r="A81" s="39"/>
      <c r="B81" s="39"/>
      <c r="C81" s="39"/>
      <c r="D81" s="47"/>
      <c r="E81" s="47"/>
      <c r="F81" s="42" t="s">
        <v>41</v>
      </c>
      <c r="G81" s="43"/>
      <c r="H81" s="50">
        <f>VLOOKUP(F81,$A$24:$B$24,2,TRUE)</f>
        <v>200</v>
      </c>
      <c r="I81" s="45">
        <f t="shared" si="1"/>
        <v>0</v>
      </c>
      <c r="J81" s="47"/>
      <c r="K81" s="18"/>
      <c r="L81" s="18"/>
      <c r="M81" s="18"/>
      <c r="N81" s="18"/>
    </row>
    <row r="82" ht="15.75" customHeight="1">
      <c r="A82" s="39"/>
      <c r="B82" s="39"/>
      <c r="C82" s="39"/>
      <c r="D82" s="47"/>
      <c r="E82" s="47"/>
      <c r="F82" s="42" t="s">
        <v>42</v>
      </c>
      <c r="G82" s="43"/>
      <c r="H82" s="50">
        <f>VLOOKUP(F82,$A$25:$B$25,2,TRUE)</f>
        <v>1000</v>
      </c>
      <c r="I82" s="45">
        <f t="shared" si="1"/>
        <v>0</v>
      </c>
      <c r="J82" s="47"/>
      <c r="K82" s="18"/>
      <c r="L82" s="18"/>
      <c r="M82" s="18"/>
      <c r="N82" s="18"/>
    </row>
    <row r="83" ht="15.75" customHeight="1">
      <c r="A83" s="39"/>
      <c r="B83" s="39"/>
      <c r="C83" s="39"/>
      <c r="D83" s="47"/>
      <c r="E83" s="47"/>
      <c r="F83" s="42" t="s">
        <v>17</v>
      </c>
      <c r="G83" s="43"/>
      <c r="H83" s="50">
        <f>VLOOKUP(F83,$A$26:$B$26,2,TRUE)</f>
        <v>300</v>
      </c>
      <c r="I83" s="45">
        <f t="shared" si="1"/>
        <v>0</v>
      </c>
      <c r="J83" s="47"/>
      <c r="K83" s="18"/>
      <c r="L83" s="18"/>
      <c r="M83" s="18"/>
      <c r="N83" s="18"/>
    </row>
    <row r="84" ht="15.75" customHeight="1">
      <c r="A84" s="39"/>
      <c r="B84" s="39"/>
      <c r="C84" s="39"/>
      <c r="D84" s="47"/>
      <c r="E84" s="47"/>
      <c r="F84" s="42" t="s">
        <v>43</v>
      </c>
      <c r="G84" s="43"/>
      <c r="H84" s="50">
        <f>VLOOKUP(F84,$A$27:$B$27,2,TRUE)</f>
        <v>100</v>
      </c>
      <c r="I84" s="45">
        <f t="shared" si="1"/>
        <v>0</v>
      </c>
      <c r="J84" s="47"/>
      <c r="K84" s="18"/>
      <c r="L84" s="18"/>
      <c r="M84" s="18"/>
      <c r="N84" s="18"/>
    </row>
    <row r="85" ht="15.75" customHeight="1">
      <c r="A85" s="39"/>
      <c r="B85" s="39"/>
      <c r="C85" s="39"/>
      <c r="D85" s="47"/>
      <c r="E85" s="47"/>
      <c r="F85" s="42" t="s">
        <v>59</v>
      </c>
      <c r="G85" s="43"/>
      <c r="H85" s="50">
        <f>VLOOKUP(F85,$A$28:$B$28,2,TRUE)</f>
        <v>500</v>
      </c>
      <c r="I85" s="45">
        <f t="shared" si="1"/>
        <v>0</v>
      </c>
      <c r="J85" s="47"/>
      <c r="K85" s="18"/>
      <c r="L85" s="18"/>
      <c r="M85" s="18"/>
      <c r="N85" s="18"/>
    </row>
    <row r="86" ht="15.75" customHeight="1">
      <c r="A86" s="39"/>
      <c r="B86" s="39"/>
      <c r="C86" s="39"/>
      <c r="D86" s="47"/>
      <c r="E86" s="47"/>
      <c r="F86" s="42" t="s">
        <v>13</v>
      </c>
      <c r="G86" s="43"/>
      <c r="H86" s="50">
        <f>VLOOKUP(F86,$A$29:$B$29,2,TRUE)</f>
        <v>1500</v>
      </c>
      <c r="I86" s="45">
        <f t="shared" si="1"/>
        <v>0</v>
      </c>
      <c r="J86" s="47"/>
      <c r="K86" s="18"/>
      <c r="L86" s="18"/>
      <c r="M86" s="18"/>
      <c r="N86" s="18"/>
    </row>
    <row r="87" ht="15.75" customHeight="1">
      <c r="A87" s="39"/>
      <c r="B87" s="39"/>
      <c r="C87" s="39"/>
      <c r="D87" s="47"/>
      <c r="E87" s="47"/>
      <c r="F87" s="42" t="s">
        <v>19</v>
      </c>
      <c r="G87" s="43"/>
      <c r="H87" s="50">
        <f>VLOOKUP(F87,$A$30:$B$30,2,TRUE)</f>
        <v>4000</v>
      </c>
      <c r="I87" s="45">
        <f t="shared" si="1"/>
        <v>0</v>
      </c>
      <c r="J87" s="47"/>
      <c r="K87" s="18"/>
      <c r="L87" s="18"/>
      <c r="M87" s="18"/>
      <c r="N87" s="18"/>
    </row>
    <row r="88" ht="15.75" customHeight="1">
      <c r="A88" s="39"/>
      <c r="B88" s="39"/>
      <c r="C88" s="39"/>
      <c r="D88" s="7"/>
      <c r="E88" s="7"/>
      <c r="F88" s="42" t="s">
        <v>20</v>
      </c>
      <c r="G88" s="43">
        <v>1.0</v>
      </c>
      <c r="H88" s="50">
        <f>VLOOKUP(F88,$A$31:$B$31,2,TRUE)</f>
        <v>0</v>
      </c>
      <c r="I88" s="45">
        <f t="shared" si="1"/>
        <v>0</v>
      </c>
      <c r="J88" s="7"/>
      <c r="K88" s="18"/>
      <c r="L88" s="18"/>
      <c r="M88" s="18"/>
      <c r="N88" s="18"/>
    </row>
    <row r="89" ht="15.75" customHeight="1">
      <c r="A89" s="39"/>
      <c r="B89" s="39"/>
      <c r="C89" s="39"/>
      <c r="D89" s="40">
        <v>4.0</v>
      </c>
      <c r="E89" s="41" t="s">
        <v>122</v>
      </c>
      <c r="F89" s="42" t="s">
        <v>21</v>
      </c>
      <c r="G89" s="43">
        <v>1.0</v>
      </c>
      <c r="H89" s="50">
        <f>VLOOKUP(F89,$A$4:$B$4,2,TRUE)</f>
        <v>5000</v>
      </c>
      <c r="I89" s="45">
        <f t="shared" si="1"/>
        <v>5000</v>
      </c>
      <c r="J89" s="46">
        <f>SUM(I89:I116)</f>
        <v>24400</v>
      </c>
      <c r="K89" s="18"/>
      <c r="L89" s="18"/>
      <c r="M89" s="18"/>
      <c r="N89" s="18"/>
    </row>
    <row r="90" ht="15.75" customHeight="1">
      <c r="A90" s="39"/>
      <c r="B90" s="39"/>
      <c r="C90" s="39"/>
      <c r="D90" s="47"/>
      <c r="E90" s="47"/>
      <c r="F90" s="42" t="s">
        <v>56</v>
      </c>
      <c r="G90" s="43">
        <v>1.0</v>
      </c>
      <c r="H90" s="50">
        <f>VLOOKUP(F90,$A$5:$B$5,2,TRUE)</f>
        <v>3000</v>
      </c>
      <c r="I90" s="45">
        <f t="shared" si="1"/>
        <v>3000</v>
      </c>
      <c r="J90" s="47"/>
      <c r="K90" s="18"/>
      <c r="L90" s="18"/>
      <c r="M90" s="18"/>
      <c r="N90" s="18"/>
    </row>
    <row r="91" ht="15.75" customHeight="1">
      <c r="A91" s="39"/>
      <c r="B91" s="39"/>
      <c r="C91" s="39"/>
      <c r="D91" s="47"/>
      <c r="E91" s="47"/>
      <c r="F91" s="42" t="s">
        <v>58</v>
      </c>
      <c r="G91" s="43"/>
      <c r="H91" s="50">
        <f>VLOOKUP(F91,$A$6:$B$6,2,TRUE)</f>
        <v>1000</v>
      </c>
      <c r="I91" s="45">
        <f t="shared" si="1"/>
        <v>0</v>
      </c>
      <c r="J91" s="47"/>
      <c r="K91" s="18"/>
      <c r="L91" s="18"/>
      <c r="M91" s="18"/>
      <c r="N91" s="18"/>
    </row>
    <row r="92" ht="15.75" customHeight="1">
      <c r="A92" s="39"/>
      <c r="B92" s="39"/>
      <c r="C92" s="39"/>
      <c r="D92" s="47"/>
      <c r="E92" s="47"/>
      <c r="F92" s="42" t="s">
        <v>24</v>
      </c>
      <c r="G92" s="43"/>
      <c r="H92" s="50">
        <f>VLOOKUP(F92,$A$7:$B$7,2,TRUE)</f>
        <v>2800</v>
      </c>
      <c r="I92" s="45">
        <f t="shared" si="1"/>
        <v>0</v>
      </c>
      <c r="J92" s="47"/>
      <c r="K92" s="18"/>
      <c r="L92" s="18"/>
      <c r="M92" s="18"/>
      <c r="N92" s="18"/>
    </row>
    <row r="93" ht="15.75" customHeight="1">
      <c r="A93" s="39"/>
      <c r="B93" s="39"/>
      <c r="C93" s="39"/>
      <c r="D93" s="47"/>
      <c r="E93" s="47"/>
      <c r="F93" s="42" t="s">
        <v>25</v>
      </c>
      <c r="G93" s="43"/>
      <c r="H93" s="50">
        <f>VLOOKUP(F93,$A$8:$B$8,2,TRUE)</f>
        <v>3500</v>
      </c>
      <c r="I93" s="45">
        <f t="shared" si="1"/>
        <v>0</v>
      </c>
      <c r="J93" s="47"/>
      <c r="K93" s="18"/>
      <c r="L93" s="18"/>
      <c r="M93" s="18"/>
      <c r="N93" s="18"/>
    </row>
    <row r="94" ht="15.75" customHeight="1">
      <c r="A94" s="39"/>
      <c r="B94" s="39"/>
      <c r="C94" s="39"/>
      <c r="D94" s="47"/>
      <c r="E94" s="47"/>
      <c r="F94" s="42" t="s">
        <v>26</v>
      </c>
      <c r="G94" s="43"/>
      <c r="H94" s="50">
        <f>VLOOKUP(F94,$A$9:$B$9,2,TRUE)</f>
        <v>1000</v>
      </c>
      <c r="I94" s="45">
        <f t="shared" si="1"/>
        <v>0</v>
      </c>
      <c r="J94" s="47"/>
      <c r="K94" s="18"/>
      <c r="L94" s="18"/>
      <c r="M94" s="18"/>
      <c r="N94" s="18"/>
    </row>
    <row r="95" ht="15.75" customHeight="1">
      <c r="A95" s="39"/>
      <c r="B95" s="39"/>
      <c r="C95" s="39"/>
      <c r="D95" s="47"/>
      <c r="E95" s="47"/>
      <c r="F95" s="42" t="s">
        <v>27</v>
      </c>
      <c r="G95" s="43"/>
      <c r="H95" s="50">
        <f>VLOOKUP(F95,$A$10:$B$10,2,TRUE)</f>
        <v>2000</v>
      </c>
      <c r="I95" s="45">
        <f t="shared" si="1"/>
        <v>0</v>
      </c>
      <c r="J95" s="47"/>
      <c r="K95" s="18"/>
      <c r="L95" s="18"/>
      <c r="M95" s="18"/>
      <c r="N95" s="18"/>
    </row>
    <row r="96" ht="15.75" customHeight="1">
      <c r="A96" s="39"/>
      <c r="B96" s="39"/>
      <c r="C96" s="39"/>
      <c r="D96" s="47"/>
      <c r="E96" s="47"/>
      <c r="F96" s="42" t="s">
        <v>28</v>
      </c>
      <c r="G96" s="43">
        <v>8.0</v>
      </c>
      <c r="H96" s="50">
        <f>VLOOKUP(F96,$A$11:$B$11,2,TRUE)</f>
        <v>2000</v>
      </c>
      <c r="I96" s="45">
        <f t="shared" si="1"/>
        <v>16000</v>
      </c>
      <c r="J96" s="47"/>
      <c r="K96" s="18"/>
      <c r="L96" s="18"/>
      <c r="M96" s="18"/>
      <c r="N96" s="18"/>
    </row>
    <row r="97" ht="15.75" customHeight="1">
      <c r="A97" s="39"/>
      <c r="B97" s="39"/>
      <c r="C97" s="39"/>
      <c r="D97" s="47"/>
      <c r="E97" s="47"/>
      <c r="F97" s="42" t="s">
        <v>29</v>
      </c>
      <c r="G97" s="43"/>
      <c r="H97" s="50">
        <f>VLOOKUP(F97,$A$12:$B$12,2,TRUE)</f>
        <v>1300</v>
      </c>
      <c r="I97" s="45">
        <f t="shared" si="1"/>
        <v>0</v>
      </c>
      <c r="J97" s="47"/>
      <c r="K97" s="18"/>
      <c r="L97" s="18"/>
      <c r="M97" s="18"/>
      <c r="N97" s="18"/>
    </row>
    <row r="98" ht="15.75" customHeight="1">
      <c r="A98" s="39"/>
      <c r="B98" s="39"/>
      <c r="C98" s="39"/>
      <c r="D98" s="47"/>
      <c r="E98" s="47"/>
      <c r="F98" s="42" t="s">
        <v>30</v>
      </c>
      <c r="G98" s="43"/>
      <c r="H98" s="50">
        <f>VLOOKUP(F98,$A$13:$B$13,2,TRUE)</f>
        <v>1000</v>
      </c>
      <c r="I98" s="45">
        <f t="shared" si="1"/>
        <v>0</v>
      </c>
      <c r="J98" s="47"/>
      <c r="K98" s="18"/>
      <c r="L98" s="18"/>
      <c r="M98" s="18"/>
      <c r="N98" s="18"/>
    </row>
    <row r="99" ht="15.75" customHeight="1">
      <c r="A99" s="39"/>
      <c r="B99" s="39"/>
      <c r="C99" s="39"/>
      <c r="D99" s="47"/>
      <c r="E99" s="47"/>
      <c r="F99" s="42" t="s">
        <v>31</v>
      </c>
      <c r="G99" s="43">
        <v>1.0</v>
      </c>
      <c r="H99" s="50">
        <f>VLOOKUP(F99,$A$14:$B$14,2,TRUE)</f>
        <v>400</v>
      </c>
      <c r="I99" s="45">
        <f t="shared" si="1"/>
        <v>400</v>
      </c>
      <c r="J99" s="47"/>
      <c r="K99" s="18"/>
      <c r="L99" s="18"/>
      <c r="M99" s="18"/>
      <c r="N99" s="18"/>
    </row>
    <row r="100" ht="15.75" customHeight="1">
      <c r="A100" s="39"/>
      <c r="B100" s="39"/>
      <c r="C100" s="39"/>
      <c r="D100" s="47"/>
      <c r="E100" s="47"/>
      <c r="F100" s="42" t="s">
        <v>32</v>
      </c>
      <c r="G100" s="43"/>
      <c r="H100" s="50">
        <f>VLOOKUP(F100,$A$15:$B$15,2,TRUE)</f>
        <v>7500</v>
      </c>
      <c r="I100" s="45">
        <f t="shared" si="1"/>
        <v>0</v>
      </c>
      <c r="J100" s="47"/>
      <c r="K100" s="18"/>
      <c r="L100" s="18"/>
      <c r="M100" s="18"/>
      <c r="N100" s="18"/>
    </row>
    <row r="101" ht="15.75" customHeight="1">
      <c r="A101" s="39"/>
      <c r="B101" s="39"/>
      <c r="C101" s="39"/>
      <c r="D101" s="47"/>
      <c r="E101" s="47"/>
      <c r="F101" s="42" t="s">
        <v>33</v>
      </c>
      <c r="G101" s="43"/>
      <c r="H101" s="50">
        <f>VLOOKUP(F101,$A$16:$B$16,2,TRUE)</f>
        <v>2000</v>
      </c>
      <c r="I101" s="45">
        <f t="shared" si="1"/>
        <v>0</v>
      </c>
      <c r="J101" s="47"/>
      <c r="K101" s="18"/>
      <c r="L101" s="18"/>
      <c r="M101" s="18"/>
      <c r="N101" s="18"/>
    </row>
    <row r="102" ht="15.75" customHeight="1">
      <c r="A102" s="39"/>
      <c r="B102" s="39"/>
      <c r="C102" s="39"/>
      <c r="D102" s="47"/>
      <c r="E102" s="47"/>
      <c r="F102" s="42" t="s">
        <v>34</v>
      </c>
      <c r="G102" s="43"/>
      <c r="H102" s="50">
        <f>VLOOKUP(F102,$A$17:$B$17,2,TRUE)</f>
        <v>800</v>
      </c>
      <c r="I102" s="45">
        <f t="shared" si="1"/>
        <v>0</v>
      </c>
      <c r="J102" s="47"/>
      <c r="K102" s="18"/>
      <c r="L102" s="18"/>
      <c r="M102" s="18"/>
      <c r="N102" s="18"/>
    </row>
    <row r="103" ht="15.75" customHeight="1">
      <c r="A103" s="39"/>
      <c r="B103" s="39"/>
      <c r="C103" s="39"/>
      <c r="D103" s="47"/>
      <c r="E103" s="47"/>
      <c r="F103" s="42" t="s">
        <v>35</v>
      </c>
      <c r="G103" s="43"/>
      <c r="H103" s="50">
        <f>VLOOKUP(F103,$A$18:$B$18,2,TRUE)</f>
        <v>5000</v>
      </c>
      <c r="I103" s="45">
        <f t="shared" si="1"/>
        <v>0</v>
      </c>
      <c r="J103" s="47"/>
      <c r="K103" s="18"/>
      <c r="L103" s="18"/>
      <c r="M103" s="18"/>
      <c r="N103" s="18"/>
    </row>
    <row r="104" ht="15.75" customHeight="1">
      <c r="A104" s="39"/>
      <c r="B104" s="39"/>
      <c r="C104" s="39"/>
      <c r="D104" s="47"/>
      <c r="E104" s="47"/>
      <c r="F104" s="42" t="s">
        <v>36</v>
      </c>
      <c r="G104" s="43"/>
      <c r="H104" s="50">
        <f>VLOOKUP(F104,$A$19:$B$19,2,TRUE)</f>
        <v>2700</v>
      </c>
      <c r="I104" s="45">
        <f t="shared" si="1"/>
        <v>0</v>
      </c>
      <c r="J104" s="47"/>
      <c r="K104" s="18"/>
      <c r="L104" s="18"/>
      <c r="M104" s="18"/>
      <c r="N104" s="18"/>
    </row>
    <row r="105" ht="15.75" customHeight="1">
      <c r="A105" s="39"/>
      <c r="B105" s="39"/>
      <c r="C105" s="39"/>
      <c r="D105" s="47"/>
      <c r="E105" s="47"/>
      <c r="F105" s="42" t="s">
        <v>37</v>
      </c>
      <c r="G105" s="43"/>
      <c r="H105" s="50">
        <f>VLOOKUP(F105,$A$20:$B$20,2,TRUE)</f>
        <v>50000</v>
      </c>
      <c r="I105" s="45">
        <f t="shared" si="1"/>
        <v>0</v>
      </c>
      <c r="J105" s="47"/>
      <c r="K105" s="18"/>
      <c r="L105" s="18"/>
      <c r="M105" s="18"/>
      <c r="N105" s="18"/>
    </row>
    <row r="106" ht="15.75" customHeight="1">
      <c r="A106" s="39"/>
      <c r="B106" s="39"/>
      <c r="C106" s="39"/>
      <c r="D106" s="47"/>
      <c r="E106" s="47"/>
      <c r="F106" s="42" t="s">
        <v>38</v>
      </c>
      <c r="G106" s="43"/>
      <c r="H106" s="50">
        <f>VLOOKUP(F106,$A$21:$B$21,2,TRUE)</f>
        <v>10000</v>
      </c>
      <c r="I106" s="45">
        <f t="shared" si="1"/>
        <v>0</v>
      </c>
      <c r="J106" s="47"/>
      <c r="K106" s="18"/>
      <c r="L106" s="18"/>
      <c r="M106" s="18"/>
      <c r="N106" s="18"/>
    </row>
    <row r="107" ht="15.75" customHeight="1">
      <c r="A107" s="39"/>
      <c r="B107" s="39"/>
      <c r="C107" s="39"/>
      <c r="D107" s="47"/>
      <c r="E107" s="47"/>
      <c r="F107" s="42" t="s">
        <v>39</v>
      </c>
      <c r="G107" s="43"/>
      <c r="H107" s="50">
        <f>VLOOKUP(F107,$A$22:$B$22,2,TRUE)</f>
        <v>1000</v>
      </c>
      <c r="I107" s="45">
        <f t="shared" si="1"/>
        <v>0</v>
      </c>
      <c r="J107" s="47"/>
      <c r="K107" s="18"/>
      <c r="L107" s="18"/>
      <c r="M107" s="18"/>
      <c r="N107" s="18"/>
    </row>
    <row r="108" ht="15.75" customHeight="1">
      <c r="A108" s="39"/>
      <c r="B108" s="39"/>
      <c r="C108" s="39"/>
      <c r="D108" s="47"/>
      <c r="E108" s="47"/>
      <c r="F108" s="42" t="s">
        <v>40</v>
      </c>
      <c r="G108" s="43"/>
      <c r="H108" s="50">
        <f>VLOOKUP(F108,$A$23:$B$23,2,TRUE)</f>
        <v>500</v>
      </c>
      <c r="I108" s="45">
        <f t="shared" si="1"/>
        <v>0</v>
      </c>
      <c r="J108" s="47"/>
      <c r="K108" s="18"/>
      <c r="L108" s="18"/>
      <c r="M108" s="18"/>
      <c r="N108" s="18"/>
    </row>
    <row r="109" ht="15.75" customHeight="1">
      <c r="A109" s="39"/>
      <c r="B109" s="39"/>
      <c r="C109" s="39"/>
      <c r="D109" s="47"/>
      <c r="E109" s="47"/>
      <c r="F109" s="42" t="s">
        <v>41</v>
      </c>
      <c r="G109" s="43"/>
      <c r="H109" s="50">
        <f>VLOOKUP(F109,$A$24:$B$24,2,TRUE)</f>
        <v>200</v>
      </c>
      <c r="I109" s="45">
        <f t="shared" si="1"/>
        <v>0</v>
      </c>
      <c r="J109" s="47"/>
      <c r="K109" s="18"/>
      <c r="L109" s="18"/>
      <c r="M109" s="18"/>
      <c r="N109" s="18"/>
    </row>
    <row r="110" ht="15.75" customHeight="1">
      <c r="A110" s="39"/>
      <c r="B110" s="39"/>
      <c r="C110" s="39"/>
      <c r="D110" s="47"/>
      <c r="E110" s="47"/>
      <c r="F110" s="42" t="s">
        <v>42</v>
      </c>
      <c r="G110" s="43"/>
      <c r="H110" s="50">
        <f>VLOOKUP(F110,$A$25:$B$25,2,TRUE)</f>
        <v>1000</v>
      </c>
      <c r="I110" s="45">
        <f t="shared" si="1"/>
        <v>0</v>
      </c>
      <c r="J110" s="47"/>
      <c r="K110" s="18"/>
      <c r="L110" s="18"/>
      <c r="M110" s="18"/>
      <c r="N110" s="18"/>
    </row>
    <row r="111" ht="15.75" customHeight="1">
      <c r="A111" s="39"/>
      <c r="B111" s="39"/>
      <c r="C111" s="39"/>
      <c r="D111" s="47"/>
      <c r="E111" s="47"/>
      <c r="F111" s="42" t="s">
        <v>17</v>
      </c>
      <c r="G111" s="43"/>
      <c r="H111" s="50">
        <f>VLOOKUP(F111,$A$26:$B$26,2,TRUE)</f>
        <v>300</v>
      </c>
      <c r="I111" s="45">
        <f t="shared" si="1"/>
        <v>0</v>
      </c>
      <c r="J111" s="47"/>
      <c r="K111" s="18"/>
      <c r="L111" s="18"/>
      <c r="M111" s="18"/>
      <c r="N111" s="18"/>
    </row>
    <row r="112" ht="15.75" customHeight="1">
      <c r="A112" s="39"/>
      <c r="B112" s="39"/>
      <c r="C112" s="39"/>
      <c r="D112" s="47"/>
      <c r="E112" s="47"/>
      <c r="F112" s="42" t="s">
        <v>43</v>
      </c>
      <c r="G112" s="43"/>
      <c r="H112" s="50">
        <f>VLOOKUP(F112,$A$27:$B$27,2,TRUE)</f>
        <v>100</v>
      </c>
      <c r="I112" s="45">
        <f t="shared" si="1"/>
        <v>0</v>
      </c>
      <c r="J112" s="47"/>
      <c r="K112" s="18"/>
      <c r="L112" s="18"/>
      <c r="M112" s="18"/>
      <c r="N112" s="18"/>
    </row>
    <row r="113" ht="15.75" customHeight="1">
      <c r="A113" s="39"/>
      <c r="B113" s="39"/>
      <c r="C113" s="39"/>
      <c r="D113" s="47"/>
      <c r="E113" s="47"/>
      <c r="F113" s="42" t="s">
        <v>59</v>
      </c>
      <c r="G113" s="43"/>
      <c r="H113" s="50">
        <f>VLOOKUP(F113,$A$28:$B$28,2,TRUE)</f>
        <v>500</v>
      </c>
      <c r="I113" s="45">
        <f t="shared" si="1"/>
        <v>0</v>
      </c>
      <c r="J113" s="47"/>
      <c r="K113" s="18"/>
      <c r="L113" s="18"/>
      <c r="M113" s="18"/>
      <c r="N113" s="18"/>
    </row>
    <row r="114" ht="15.75" customHeight="1">
      <c r="A114" s="39"/>
      <c r="B114" s="39"/>
      <c r="C114" s="39"/>
      <c r="D114" s="47"/>
      <c r="E114" s="47"/>
      <c r="F114" s="42" t="s">
        <v>13</v>
      </c>
      <c r="G114" s="43"/>
      <c r="H114" s="50">
        <f>VLOOKUP(F114,$A$29:$B$29,2,TRUE)</f>
        <v>1500</v>
      </c>
      <c r="I114" s="45">
        <f t="shared" si="1"/>
        <v>0</v>
      </c>
      <c r="J114" s="47"/>
      <c r="K114" s="18"/>
      <c r="L114" s="18"/>
      <c r="M114" s="18"/>
      <c r="N114" s="18"/>
    </row>
    <row r="115" ht="15.75" customHeight="1">
      <c r="A115" s="39"/>
      <c r="B115" s="39"/>
      <c r="C115" s="39"/>
      <c r="D115" s="47"/>
      <c r="E115" s="47"/>
      <c r="F115" s="42" t="s">
        <v>19</v>
      </c>
      <c r="G115" s="43"/>
      <c r="H115" s="50">
        <f>VLOOKUP(F115,$A$30:$B$30,2,TRUE)</f>
        <v>4000</v>
      </c>
      <c r="I115" s="45">
        <f t="shared" si="1"/>
        <v>0</v>
      </c>
      <c r="J115" s="47"/>
      <c r="K115" s="18"/>
      <c r="L115" s="18"/>
      <c r="M115" s="18"/>
      <c r="N115" s="18"/>
    </row>
    <row r="116" ht="15.75" customHeight="1">
      <c r="A116" s="39"/>
      <c r="B116" s="39"/>
      <c r="C116" s="39"/>
      <c r="D116" s="7"/>
      <c r="E116" s="7"/>
      <c r="F116" s="42" t="s">
        <v>20</v>
      </c>
      <c r="G116" s="43">
        <v>3.5</v>
      </c>
      <c r="H116" s="50">
        <f>VLOOKUP(F116,$A$31:$B$31,2,TRUE)</f>
        <v>0</v>
      </c>
      <c r="I116" s="45">
        <f t="shared" si="1"/>
        <v>0</v>
      </c>
      <c r="J116" s="7"/>
      <c r="K116" s="18"/>
      <c r="L116" s="18"/>
      <c r="M116" s="18"/>
      <c r="N116" s="18"/>
    </row>
    <row r="117" ht="15.75" customHeight="1">
      <c r="A117" s="39"/>
      <c r="B117" s="39"/>
      <c r="C117" s="39"/>
      <c r="D117" s="40">
        <v>6.0</v>
      </c>
      <c r="E117" s="41" t="s">
        <v>123</v>
      </c>
      <c r="F117" s="42" t="s">
        <v>21</v>
      </c>
      <c r="G117" s="43"/>
      <c r="H117" s="50">
        <f>VLOOKUP(F117,$A$4:$B$4,2,TRUE)</f>
        <v>5000</v>
      </c>
      <c r="I117" s="45">
        <f t="shared" si="1"/>
        <v>0</v>
      </c>
      <c r="J117" s="46">
        <f>SUM(I117:I144)</f>
        <v>18750</v>
      </c>
      <c r="K117" s="18"/>
      <c r="L117" s="18"/>
      <c r="M117" s="18"/>
      <c r="N117" s="18"/>
    </row>
    <row r="118" ht="15.75" customHeight="1">
      <c r="A118" s="39"/>
      <c r="B118" s="39"/>
      <c r="C118" s="39"/>
      <c r="D118" s="47"/>
      <c r="E118" s="47"/>
      <c r="F118" s="42" t="s">
        <v>56</v>
      </c>
      <c r="G118" s="43">
        <v>2.0</v>
      </c>
      <c r="H118" s="50">
        <f>VLOOKUP(F118,$A$5:$B$5,2,TRUE)</f>
        <v>3000</v>
      </c>
      <c r="I118" s="45">
        <f t="shared" si="1"/>
        <v>6000</v>
      </c>
      <c r="J118" s="47"/>
      <c r="K118" s="18"/>
      <c r="L118" s="18"/>
      <c r="M118" s="18"/>
      <c r="N118" s="18"/>
    </row>
    <row r="119" ht="15.75" customHeight="1">
      <c r="A119" s="39"/>
      <c r="B119" s="39"/>
      <c r="C119" s="39"/>
      <c r="D119" s="47"/>
      <c r="E119" s="47"/>
      <c r="F119" s="42" t="s">
        <v>58</v>
      </c>
      <c r="G119" s="43"/>
      <c r="H119" s="50">
        <f>VLOOKUP(F119,$A$6:$B$6,2,TRUE)</f>
        <v>1000</v>
      </c>
      <c r="I119" s="45">
        <f t="shared" si="1"/>
        <v>0</v>
      </c>
      <c r="J119" s="47"/>
      <c r="K119" s="18"/>
      <c r="L119" s="18"/>
      <c r="M119" s="18"/>
      <c r="N119" s="18"/>
    </row>
    <row r="120" ht="15.75" customHeight="1">
      <c r="A120" s="39"/>
      <c r="B120" s="39"/>
      <c r="C120" s="39"/>
      <c r="D120" s="47"/>
      <c r="E120" s="47"/>
      <c r="F120" s="42" t="s">
        <v>24</v>
      </c>
      <c r="G120" s="43"/>
      <c r="H120" s="50">
        <f>VLOOKUP(F120,$A$7:$B$7,2,TRUE)</f>
        <v>2800</v>
      </c>
      <c r="I120" s="45">
        <f t="shared" si="1"/>
        <v>0</v>
      </c>
      <c r="J120" s="47"/>
      <c r="K120" s="18"/>
      <c r="L120" s="18"/>
      <c r="M120" s="18"/>
      <c r="N120" s="18"/>
    </row>
    <row r="121" ht="15.75" customHeight="1">
      <c r="A121" s="39"/>
      <c r="B121" s="39"/>
      <c r="C121" s="39"/>
      <c r="D121" s="47"/>
      <c r="E121" s="47"/>
      <c r="F121" s="42" t="s">
        <v>25</v>
      </c>
      <c r="G121" s="43"/>
      <c r="H121" s="50">
        <f>VLOOKUP(F121,$A$8:$B$8,2,TRUE)</f>
        <v>3500</v>
      </c>
      <c r="I121" s="45">
        <f t="shared" si="1"/>
        <v>0</v>
      </c>
      <c r="J121" s="47"/>
      <c r="K121" s="18"/>
      <c r="L121" s="18"/>
      <c r="M121" s="18"/>
      <c r="N121" s="18"/>
    </row>
    <row r="122" ht="15.75" customHeight="1">
      <c r="A122" s="39"/>
      <c r="B122" s="39"/>
      <c r="C122" s="39"/>
      <c r="D122" s="47"/>
      <c r="E122" s="47"/>
      <c r="F122" s="42" t="s">
        <v>26</v>
      </c>
      <c r="G122" s="43">
        <v>4.5</v>
      </c>
      <c r="H122" s="50">
        <f>VLOOKUP(F122,$A$9:$B$9,2,TRUE)</f>
        <v>1000</v>
      </c>
      <c r="I122" s="45">
        <f t="shared" si="1"/>
        <v>4500</v>
      </c>
      <c r="J122" s="47"/>
      <c r="K122" s="18"/>
      <c r="L122" s="18"/>
      <c r="M122" s="18"/>
      <c r="N122" s="18"/>
    </row>
    <row r="123" ht="15.75" customHeight="1">
      <c r="A123" s="39"/>
      <c r="B123" s="39"/>
      <c r="C123" s="39"/>
      <c r="D123" s="47"/>
      <c r="E123" s="47"/>
      <c r="F123" s="42" t="s">
        <v>27</v>
      </c>
      <c r="G123" s="43"/>
      <c r="H123" s="50">
        <f>VLOOKUP(F123,$A$10:$B$10,2,TRUE)</f>
        <v>2000</v>
      </c>
      <c r="I123" s="45">
        <f t="shared" si="1"/>
        <v>0</v>
      </c>
      <c r="J123" s="47"/>
      <c r="K123" s="18"/>
      <c r="L123" s="18"/>
      <c r="M123" s="18"/>
      <c r="N123" s="18"/>
    </row>
    <row r="124" ht="15.75" customHeight="1">
      <c r="A124" s="39"/>
      <c r="B124" s="39"/>
      <c r="C124" s="39"/>
      <c r="D124" s="47"/>
      <c r="E124" s="47"/>
      <c r="F124" s="42" t="s">
        <v>28</v>
      </c>
      <c r="G124" s="43">
        <v>2.0</v>
      </c>
      <c r="H124" s="50">
        <f>VLOOKUP(F124,$A$11:$B$11,2,TRUE)</f>
        <v>2000</v>
      </c>
      <c r="I124" s="45">
        <f t="shared" si="1"/>
        <v>4000</v>
      </c>
      <c r="J124" s="47"/>
      <c r="K124" s="18"/>
      <c r="L124" s="18"/>
      <c r="M124" s="18"/>
      <c r="N124" s="18"/>
    </row>
    <row r="125" ht="15.75" customHeight="1">
      <c r="A125" s="39"/>
      <c r="B125" s="39"/>
      <c r="C125" s="39"/>
      <c r="D125" s="47"/>
      <c r="E125" s="47"/>
      <c r="F125" s="42" t="s">
        <v>29</v>
      </c>
      <c r="G125" s="43"/>
      <c r="H125" s="50">
        <f>VLOOKUP(F125,$A$12:$B$12,2,TRUE)</f>
        <v>1300</v>
      </c>
      <c r="I125" s="45">
        <f t="shared" si="1"/>
        <v>0</v>
      </c>
      <c r="J125" s="47"/>
      <c r="K125" s="18"/>
      <c r="L125" s="18"/>
      <c r="M125" s="18"/>
      <c r="N125" s="18"/>
    </row>
    <row r="126" ht="15.75" customHeight="1">
      <c r="A126" s="39"/>
      <c r="B126" s="39"/>
      <c r="C126" s="39"/>
      <c r="D126" s="47"/>
      <c r="E126" s="47"/>
      <c r="F126" s="42" t="s">
        <v>30</v>
      </c>
      <c r="G126" s="43"/>
      <c r="H126" s="50">
        <f>VLOOKUP(F126,$A$13:$B$13,2,TRUE)</f>
        <v>1000</v>
      </c>
      <c r="I126" s="45">
        <f t="shared" si="1"/>
        <v>0</v>
      </c>
      <c r="J126" s="47"/>
      <c r="K126" s="18"/>
      <c r="L126" s="18"/>
      <c r="M126" s="18"/>
      <c r="N126" s="18"/>
    </row>
    <row r="127" ht="15.75" customHeight="1">
      <c r="A127" s="39"/>
      <c r="B127" s="39"/>
      <c r="C127" s="39"/>
      <c r="D127" s="47"/>
      <c r="E127" s="47"/>
      <c r="F127" s="42" t="s">
        <v>31</v>
      </c>
      <c r="G127" s="43"/>
      <c r="H127" s="50">
        <f>VLOOKUP(F127,$A$14:$B$14,2,TRUE)</f>
        <v>400</v>
      </c>
      <c r="I127" s="45">
        <f t="shared" si="1"/>
        <v>0</v>
      </c>
      <c r="J127" s="47"/>
      <c r="K127" s="18"/>
      <c r="L127" s="18"/>
      <c r="M127" s="18"/>
      <c r="N127" s="18"/>
    </row>
    <row r="128" ht="15.75" customHeight="1">
      <c r="A128" s="39"/>
      <c r="B128" s="39"/>
      <c r="C128" s="39"/>
      <c r="D128" s="47"/>
      <c r="E128" s="47"/>
      <c r="F128" s="42" t="s">
        <v>32</v>
      </c>
      <c r="G128" s="43"/>
      <c r="H128" s="50">
        <f>VLOOKUP(F128,$A$15:$B$15,2,TRUE)</f>
        <v>7500</v>
      </c>
      <c r="I128" s="45">
        <f t="shared" si="1"/>
        <v>0</v>
      </c>
      <c r="J128" s="47"/>
      <c r="K128" s="18"/>
      <c r="L128" s="18"/>
      <c r="M128" s="18"/>
      <c r="N128" s="18"/>
    </row>
    <row r="129" ht="15.75" customHeight="1">
      <c r="A129" s="39"/>
      <c r="B129" s="39"/>
      <c r="C129" s="39"/>
      <c r="D129" s="47"/>
      <c r="E129" s="47"/>
      <c r="F129" s="42" t="s">
        <v>33</v>
      </c>
      <c r="G129" s="43"/>
      <c r="H129" s="50">
        <f>VLOOKUP(F129,$A$16:$B$16,2,TRUE)</f>
        <v>2000</v>
      </c>
      <c r="I129" s="45">
        <f t="shared" si="1"/>
        <v>0</v>
      </c>
      <c r="J129" s="47"/>
      <c r="K129" s="18"/>
      <c r="L129" s="18"/>
      <c r="M129" s="18"/>
      <c r="N129" s="18"/>
    </row>
    <row r="130" ht="15.75" customHeight="1">
      <c r="A130" s="39"/>
      <c r="B130" s="39"/>
      <c r="C130" s="39"/>
      <c r="D130" s="47"/>
      <c r="E130" s="47"/>
      <c r="F130" s="42" t="s">
        <v>34</v>
      </c>
      <c r="G130" s="43"/>
      <c r="H130" s="50">
        <f>VLOOKUP(F130,$A$17:$B$17,2,TRUE)</f>
        <v>800</v>
      </c>
      <c r="I130" s="45">
        <f t="shared" si="1"/>
        <v>0</v>
      </c>
      <c r="J130" s="47"/>
      <c r="K130" s="18"/>
      <c r="L130" s="18"/>
      <c r="M130" s="18"/>
      <c r="N130" s="18"/>
    </row>
    <row r="131" ht="15.75" customHeight="1">
      <c r="A131" s="39"/>
      <c r="B131" s="39"/>
      <c r="C131" s="39"/>
      <c r="D131" s="47"/>
      <c r="E131" s="47"/>
      <c r="F131" s="42" t="s">
        <v>35</v>
      </c>
      <c r="G131" s="43"/>
      <c r="H131" s="50">
        <f>VLOOKUP(F131,$A$18:$B$18,2,TRUE)</f>
        <v>5000</v>
      </c>
      <c r="I131" s="45">
        <f t="shared" si="1"/>
        <v>0</v>
      </c>
      <c r="J131" s="47"/>
      <c r="K131" s="18"/>
      <c r="L131" s="18"/>
      <c r="M131" s="18"/>
      <c r="N131" s="18"/>
    </row>
    <row r="132" ht="15.75" customHeight="1">
      <c r="A132" s="39"/>
      <c r="B132" s="39"/>
      <c r="C132" s="39"/>
      <c r="D132" s="47"/>
      <c r="E132" s="47"/>
      <c r="F132" s="42" t="s">
        <v>36</v>
      </c>
      <c r="G132" s="43"/>
      <c r="H132" s="50">
        <f>VLOOKUP(F132,$A$19:$B$19,2,TRUE)</f>
        <v>2700</v>
      </c>
      <c r="I132" s="45">
        <f t="shared" si="1"/>
        <v>0</v>
      </c>
      <c r="J132" s="47"/>
      <c r="K132" s="18"/>
      <c r="L132" s="18"/>
      <c r="M132" s="18"/>
      <c r="N132" s="18"/>
    </row>
    <row r="133" ht="15.75" customHeight="1">
      <c r="A133" s="39"/>
      <c r="B133" s="39"/>
      <c r="C133" s="39"/>
      <c r="D133" s="47"/>
      <c r="E133" s="47"/>
      <c r="F133" s="42" t="s">
        <v>37</v>
      </c>
      <c r="G133" s="43"/>
      <c r="H133" s="50">
        <f>VLOOKUP(F133,$A$20:$B$20,2,TRUE)</f>
        <v>50000</v>
      </c>
      <c r="I133" s="45">
        <f t="shared" si="1"/>
        <v>0</v>
      </c>
      <c r="J133" s="47"/>
      <c r="K133" s="18"/>
      <c r="L133" s="18"/>
      <c r="M133" s="18"/>
      <c r="N133" s="18"/>
    </row>
    <row r="134" ht="15.75" customHeight="1">
      <c r="A134" s="39"/>
      <c r="B134" s="39"/>
      <c r="C134" s="39"/>
      <c r="D134" s="47"/>
      <c r="E134" s="47"/>
      <c r="F134" s="42" t="s">
        <v>38</v>
      </c>
      <c r="G134" s="43"/>
      <c r="H134" s="50">
        <f>VLOOKUP(F134,$A$21:$B$21,2,TRUE)</f>
        <v>10000</v>
      </c>
      <c r="I134" s="45">
        <f t="shared" si="1"/>
        <v>0</v>
      </c>
      <c r="J134" s="47"/>
      <c r="K134" s="18"/>
      <c r="L134" s="18"/>
      <c r="M134" s="18"/>
      <c r="N134" s="18"/>
    </row>
    <row r="135" ht="15.75" customHeight="1">
      <c r="A135" s="39"/>
      <c r="B135" s="39"/>
      <c r="C135" s="39"/>
      <c r="D135" s="47"/>
      <c r="E135" s="47"/>
      <c r="F135" s="42" t="s">
        <v>39</v>
      </c>
      <c r="G135" s="43"/>
      <c r="H135" s="50">
        <f>VLOOKUP(F135,$A$22:$B$22,2,TRUE)</f>
        <v>1000</v>
      </c>
      <c r="I135" s="45">
        <f t="shared" si="1"/>
        <v>0</v>
      </c>
      <c r="J135" s="47"/>
      <c r="K135" s="18"/>
      <c r="L135" s="18"/>
      <c r="M135" s="18"/>
      <c r="N135" s="18"/>
    </row>
    <row r="136" ht="15.75" customHeight="1">
      <c r="A136" s="39"/>
      <c r="B136" s="39"/>
      <c r="C136" s="39"/>
      <c r="D136" s="47"/>
      <c r="E136" s="47"/>
      <c r="F136" s="42" t="s">
        <v>40</v>
      </c>
      <c r="G136" s="43"/>
      <c r="H136" s="50">
        <f>VLOOKUP(F136,$A$23:$B$23,2,TRUE)</f>
        <v>500</v>
      </c>
      <c r="I136" s="45">
        <f t="shared" si="1"/>
        <v>0</v>
      </c>
      <c r="J136" s="47"/>
      <c r="K136" s="18"/>
      <c r="L136" s="18"/>
      <c r="M136" s="18"/>
      <c r="N136" s="18"/>
    </row>
    <row r="137" ht="15.75" customHeight="1">
      <c r="A137" s="39"/>
      <c r="B137" s="39"/>
      <c r="C137" s="39"/>
      <c r="D137" s="47"/>
      <c r="E137" s="47"/>
      <c r="F137" s="42" t="s">
        <v>41</v>
      </c>
      <c r="G137" s="43"/>
      <c r="H137" s="50">
        <f>VLOOKUP(F137,$A$24:$B$24,2,TRUE)</f>
        <v>200</v>
      </c>
      <c r="I137" s="45">
        <f t="shared" si="1"/>
        <v>0</v>
      </c>
      <c r="J137" s="47"/>
      <c r="K137" s="18"/>
      <c r="L137" s="18"/>
      <c r="M137" s="18"/>
      <c r="N137" s="18"/>
    </row>
    <row r="138" ht="15.75" customHeight="1">
      <c r="A138" s="39"/>
      <c r="B138" s="39"/>
      <c r="C138" s="39"/>
      <c r="D138" s="47"/>
      <c r="E138" s="47"/>
      <c r="F138" s="42" t="s">
        <v>42</v>
      </c>
      <c r="G138" s="43"/>
      <c r="H138" s="50">
        <f>VLOOKUP(F138,$A$25:$B$25,2,TRUE)</f>
        <v>1000</v>
      </c>
      <c r="I138" s="45">
        <f t="shared" si="1"/>
        <v>0</v>
      </c>
      <c r="J138" s="47"/>
      <c r="K138" s="18"/>
      <c r="L138" s="18"/>
      <c r="M138" s="18"/>
      <c r="N138" s="18"/>
    </row>
    <row r="139" ht="15.75" customHeight="1">
      <c r="A139" s="39"/>
      <c r="B139" s="39"/>
      <c r="C139" s="39"/>
      <c r="D139" s="47"/>
      <c r="E139" s="47"/>
      <c r="F139" s="42" t="s">
        <v>17</v>
      </c>
      <c r="G139" s="43">
        <v>7.5</v>
      </c>
      <c r="H139" s="50">
        <f>VLOOKUP(F139,$A$26:$B$26,2,TRUE)</f>
        <v>300</v>
      </c>
      <c r="I139" s="45">
        <f t="shared" si="1"/>
        <v>2250</v>
      </c>
      <c r="J139" s="47"/>
      <c r="K139" s="18"/>
      <c r="L139" s="18"/>
      <c r="M139" s="18"/>
      <c r="N139" s="18"/>
    </row>
    <row r="140" ht="15.75" customHeight="1">
      <c r="A140" s="39"/>
      <c r="B140" s="39"/>
      <c r="C140" s="39"/>
      <c r="D140" s="47"/>
      <c r="E140" s="47"/>
      <c r="F140" s="42" t="s">
        <v>43</v>
      </c>
      <c r="G140" s="43"/>
      <c r="H140" s="50">
        <f>VLOOKUP(F140,$A$27:$B$27,2,TRUE)</f>
        <v>100</v>
      </c>
      <c r="I140" s="45">
        <f t="shared" si="1"/>
        <v>0</v>
      </c>
      <c r="J140" s="47"/>
      <c r="K140" s="18"/>
      <c r="L140" s="18"/>
      <c r="M140" s="18"/>
      <c r="N140" s="18"/>
    </row>
    <row r="141" ht="15.75" customHeight="1">
      <c r="A141" s="39"/>
      <c r="B141" s="39"/>
      <c r="C141" s="39"/>
      <c r="D141" s="47"/>
      <c r="E141" s="47"/>
      <c r="F141" s="42" t="s">
        <v>59</v>
      </c>
      <c r="G141" s="43"/>
      <c r="H141" s="50">
        <f>VLOOKUP(F141,$A$28:$B$28,2,TRUE)</f>
        <v>500</v>
      </c>
      <c r="I141" s="45">
        <f t="shared" si="1"/>
        <v>0</v>
      </c>
      <c r="J141" s="47"/>
      <c r="K141" s="18"/>
      <c r="L141" s="18"/>
      <c r="M141" s="18"/>
      <c r="N141" s="18"/>
    </row>
    <row r="142" ht="15.75" customHeight="1">
      <c r="A142" s="39"/>
      <c r="B142" s="39"/>
      <c r="C142" s="39"/>
      <c r="D142" s="47"/>
      <c r="E142" s="47"/>
      <c r="F142" s="42" t="s">
        <v>13</v>
      </c>
      <c r="G142" s="43"/>
      <c r="H142" s="50">
        <f>VLOOKUP(F142,$A$29:$B$29,2,TRUE)</f>
        <v>1500</v>
      </c>
      <c r="I142" s="45">
        <f t="shared" si="1"/>
        <v>0</v>
      </c>
      <c r="J142" s="47"/>
      <c r="K142" s="18"/>
      <c r="L142" s="18"/>
      <c r="M142" s="18"/>
      <c r="N142" s="18"/>
    </row>
    <row r="143" ht="15.75" customHeight="1">
      <c r="A143" s="39"/>
      <c r="B143" s="39"/>
      <c r="C143" s="39"/>
      <c r="D143" s="47"/>
      <c r="E143" s="47"/>
      <c r="F143" s="42" t="s">
        <v>19</v>
      </c>
      <c r="G143" s="43">
        <v>0.5</v>
      </c>
      <c r="H143" s="50">
        <f>VLOOKUP(F143,$A$30:$B$30,2,TRUE)</f>
        <v>4000</v>
      </c>
      <c r="I143" s="45">
        <f t="shared" si="1"/>
        <v>2000</v>
      </c>
      <c r="J143" s="47"/>
      <c r="K143" s="18"/>
      <c r="L143" s="18"/>
      <c r="M143" s="18"/>
      <c r="N143" s="18"/>
    </row>
    <row r="144" ht="15.75" customHeight="1">
      <c r="A144" s="39"/>
      <c r="B144" s="39"/>
      <c r="C144" s="39"/>
      <c r="D144" s="7"/>
      <c r="E144" s="7"/>
      <c r="F144" s="42" t="s">
        <v>20</v>
      </c>
      <c r="G144" s="43">
        <v>5.0</v>
      </c>
      <c r="H144" s="50">
        <f>VLOOKUP(F144,$A$31:$B$31,2,TRUE)</f>
        <v>0</v>
      </c>
      <c r="I144" s="45">
        <f t="shared" si="1"/>
        <v>0</v>
      </c>
      <c r="J144" s="7"/>
      <c r="K144" s="18"/>
      <c r="L144" s="18"/>
      <c r="M144" s="18"/>
      <c r="N144" s="18"/>
    </row>
    <row r="145" ht="15.75" customHeight="1">
      <c r="A145" s="39"/>
      <c r="B145" s="39"/>
      <c r="C145" s="39"/>
      <c r="D145" s="40">
        <v>7.0</v>
      </c>
      <c r="E145" s="41" t="s">
        <v>124</v>
      </c>
      <c r="F145" s="42" t="s">
        <v>21</v>
      </c>
      <c r="G145" s="43"/>
      <c r="H145" s="50">
        <f>VLOOKUP(F145,$A$4:$B$4,2,TRUE)</f>
        <v>5000</v>
      </c>
      <c r="I145" s="45">
        <f t="shared" si="1"/>
        <v>0</v>
      </c>
      <c r="J145" s="46">
        <f>SUM(I145:I172)</f>
        <v>34650</v>
      </c>
      <c r="K145" s="18"/>
      <c r="L145" s="18"/>
      <c r="M145" s="18"/>
      <c r="N145" s="18"/>
    </row>
    <row r="146" ht="15.75" customHeight="1">
      <c r="A146" s="39"/>
      <c r="B146" s="39"/>
      <c r="C146" s="39"/>
      <c r="D146" s="47"/>
      <c r="E146" s="47"/>
      <c r="F146" s="42" t="s">
        <v>56</v>
      </c>
      <c r="G146" s="43">
        <v>1.0</v>
      </c>
      <c r="H146" s="50">
        <f>VLOOKUP(F146,$A$5:$B$5,2,TRUE)</f>
        <v>3000</v>
      </c>
      <c r="I146" s="45">
        <f t="shared" si="1"/>
        <v>3000</v>
      </c>
      <c r="J146" s="47"/>
      <c r="K146" s="18"/>
      <c r="L146" s="18"/>
      <c r="M146" s="18"/>
      <c r="N146" s="18"/>
    </row>
    <row r="147" ht="15.75" customHeight="1">
      <c r="A147" s="39"/>
      <c r="B147" s="39"/>
      <c r="C147" s="39"/>
      <c r="D147" s="47"/>
      <c r="E147" s="47"/>
      <c r="F147" s="42" t="s">
        <v>58</v>
      </c>
      <c r="G147" s="43"/>
      <c r="H147" s="50">
        <f>VLOOKUP(F147,$A$6:$B$6,2,TRUE)</f>
        <v>1000</v>
      </c>
      <c r="I147" s="45">
        <f t="shared" si="1"/>
        <v>0</v>
      </c>
      <c r="J147" s="47"/>
      <c r="K147" s="18"/>
      <c r="L147" s="18"/>
      <c r="M147" s="18"/>
      <c r="N147" s="18"/>
    </row>
    <row r="148" ht="15.75" customHeight="1">
      <c r="A148" s="39"/>
      <c r="B148" s="39"/>
      <c r="C148" s="39"/>
      <c r="D148" s="47"/>
      <c r="E148" s="47"/>
      <c r="F148" s="42" t="s">
        <v>24</v>
      </c>
      <c r="G148" s="43"/>
      <c r="H148" s="50">
        <f>VLOOKUP(F148,$A$7:$B$7,2,TRUE)</f>
        <v>2800</v>
      </c>
      <c r="I148" s="45">
        <f t="shared" si="1"/>
        <v>0</v>
      </c>
      <c r="J148" s="47"/>
      <c r="K148" s="18"/>
      <c r="L148" s="18"/>
      <c r="M148" s="18"/>
      <c r="N148" s="18"/>
    </row>
    <row r="149" ht="15.75" customHeight="1">
      <c r="A149" s="39"/>
      <c r="B149" s="39"/>
      <c r="C149" s="39"/>
      <c r="D149" s="47"/>
      <c r="E149" s="47"/>
      <c r="F149" s="42" t="s">
        <v>25</v>
      </c>
      <c r="G149" s="43"/>
      <c r="H149" s="50">
        <f>VLOOKUP(F149,$A$8:$B$8,2,TRUE)</f>
        <v>3500</v>
      </c>
      <c r="I149" s="45">
        <f t="shared" si="1"/>
        <v>0</v>
      </c>
      <c r="J149" s="47"/>
      <c r="K149" s="18"/>
      <c r="L149" s="18"/>
      <c r="M149" s="18"/>
      <c r="N149" s="18"/>
    </row>
    <row r="150" ht="15.75" customHeight="1">
      <c r="A150" s="39"/>
      <c r="B150" s="39"/>
      <c r="C150" s="39"/>
      <c r="D150" s="47"/>
      <c r="E150" s="47"/>
      <c r="F150" s="42" t="s">
        <v>26</v>
      </c>
      <c r="G150" s="43">
        <v>5.0</v>
      </c>
      <c r="H150" s="50">
        <f>VLOOKUP(F150,$A$9:$B$9,2,TRUE)</f>
        <v>1000</v>
      </c>
      <c r="I150" s="45">
        <f t="shared" si="1"/>
        <v>5000</v>
      </c>
      <c r="J150" s="47"/>
      <c r="K150" s="18"/>
      <c r="L150" s="18"/>
      <c r="M150" s="18"/>
      <c r="N150" s="18"/>
    </row>
    <row r="151" ht="15.75" customHeight="1">
      <c r="A151" s="39"/>
      <c r="B151" s="39"/>
      <c r="C151" s="39"/>
      <c r="D151" s="47"/>
      <c r="E151" s="47"/>
      <c r="F151" s="42" t="s">
        <v>27</v>
      </c>
      <c r="G151" s="43"/>
      <c r="H151" s="50">
        <f>VLOOKUP(F151,$A$10:$B$10,2,TRUE)</f>
        <v>2000</v>
      </c>
      <c r="I151" s="45">
        <f t="shared" si="1"/>
        <v>0</v>
      </c>
      <c r="J151" s="47"/>
      <c r="K151" s="18"/>
      <c r="L151" s="18"/>
      <c r="M151" s="18"/>
      <c r="N151" s="18"/>
    </row>
    <row r="152" ht="15.75" customHeight="1">
      <c r="A152" s="39"/>
      <c r="B152" s="39"/>
      <c r="C152" s="39"/>
      <c r="D152" s="47"/>
      <c r="E152" s="47"/>
      <c r="F152" s="42" t="s">
        <v>28</v>
      </c>
      <c r="G152" s="43">
        <v>3.0</v>
      </c>
      <c r="H152" s="50">
        <f>VLOOKUP(F152,$A$11:$B$11,2,TRUE)</f>
        <v>2000</v>
      </c>
      <c r="I152" s="45">
        <f t="shared" si="1"/>
        <v>6000</v>
      </c>
      <c r="J152" s="47"/>
      <c r="K152" s="18"/>
      <c r="L152" s="18"/>
      <c r="M152" s="18"/>
      <c r="N152" s="18"/>
    </row>
    <row r="153" ht="15.75" customHeight="1">
      <c r="A153" s="39"/>
      <c r="B153" s="39"/>
      <c r="C153" s="39"/>
      <c r="D153" s="47"/>
      <c r="E153" s="47"/>
      <c r="F153" s="42" t="s">
        <v>29</v>
      </c>
      <c r="G153" s="43"/>
      <c r="H153" s="50">
        <f>VLOOKUP(F153,$A$12:$B$12,2,TRUE)</f>
        <v>1300</v>
      </c>
      <c r="I153" s="45">
        <f t="shared" si="1"/>
        <v>0</v>
      </c>
      <c r="J153" s="47"/>
      <c r="K153" s="18"/>
      <c r="L153" s="18"/>
      <c r="M153" s="18"/>
      <c r="N153" s="18"/>
    </row>
    <row r="154" ht="15.75" customHeight="1">
      <c r="A154" s="39"/>
      <c r="B154" s="39"/>
      <c r="C154" s="39"/>
      <c r="D154" s="47"/>
      <c r="E154" s="47"/>
      <c r="F154" s="42" t="s">
        <v>30</v>
      </c>
      <c r="G154" s="43"/>
      <c r="H154" s="50">
        <f>VLOOKUP(F154,$A$13:$B$13,2,TRUE)</f>
        <v>1000</v>
      </c>
      <c r="I154" s="45">
        <f t="shared" si="1"/>
        <v>0</v>
      </c>
      <c r="J154" s="47"/>
      <c r="K154" s="18"/>
      <c r="L154" s="18"/>
      <c r="M154" s="18"/>
      <c r="N154" s="18"/>
    </row>
    <row r="155" ht="15.75" customHeight="1">
      <c r="A155" s="39"/>
      <c r="B155" s="39"/>
      <c r="C155" s="39"/>
      <c r="D155" s="47"/>
      <c r="E155" s="47"/>
      <c r="F155" s="42" t="s">
        <v>31</v>
      </c>
      <c r="G155" s="43">
        <v>3.0</v>
      </c>
      <c r="H155" s="50">
        <f>VLOOKUP(F155,$A$14:$B$14,2,TRUE)</f>
        <v>400</v>
      </c>
      <c r="I155" s="45">
        <f t="shared" si="1"/>
        <v>1200</v>
      </c>
      <c r="J155" s="47"/>
      <c r="K155" s="18"/>
      <c r="L155" s="18"/>
      <c r="M155" s="18"/>
      <c r="N155" s="18"/>
    </row>
    <row r="156" ht="15.75" customHeight="1">
      <c r="A156" s="39"/>
      <c r="B156" s="39"/>
      <c r="C156" s="39"/>
      <c r="D156" s="47"/>
      <c r="E156" s="47"/>
      <c r="F156" s="42" t="s">
        <v>32</v>
      </c>
      <c r="G156" s="43"/>
      <c r="H156" s="50">
        <f>VLOOKUP(F156,$A$15:$B$15,2,TRUE)</f>
        <v>7500</v>
      </c>
      <c r="I156" s="45">
        <f t="shared" si="1"/>
        <v>0</v>
      </c>
      <c r="J156" s="47"/>
      <c r="K156" s="18"/>
      <c r="L156" s="18"/>
      <c r="M156" s="18"/>
      <c r="N156" s="18"/>
    </row>
    <row r="157" ht="15.75" customHeight="1">
      <c r="A157" s="39"/>
      <c r="B157" s="39"/>
      <c r="C157" s="39"/>
      <c r="D157" s="47"/>
      <c r="E157" s="47"/>
      <c r="F157" s="42" t="s">
        <v>33</v>
      </c>
      <c r="G157" s="43">
        <v>5.5</v>
      </c>
      <c r="H157" s="50">
        <f>VLOOKUP(F157,$A$16:$B$16,2,TRUE)</f>
        <v>2000</v>
      </c>
      <c r="I157" s="45">
        <f t="shared" si="1"/>
        <v>11000</v>
      </c>
      <c r="J157" s="47"/>
      <c r="K157" s="18"/>
      <c r="L157" s="18"/>
      <c r="M157" s="18"/>
      <c r="N157" s="18"/>
    </row>
    <row r="158" ht="15.75" customHeight="1">
      <c r="A158" s="39"/>
      <c r="B158" s="39"/>
      <c r="C158" s="39"/>
      <c r="D158" s="47"/>
      <c r="E158" s="47"/>
      <c r="F158" s="42" t="s">
        <v>34</v>
      </c>
      <c r="G158" s="43">
        <v>3.0</v>
      </c>
      <c r="H158" s="50">
        <f>VLOOKUP(F158,$A$17:$B$17,2,TRUE)</f>
        <v>800</v>
      </c>
      <c r="I158" s="45">
        <f t="shared" si="1"/>
        <v>2400</v>
      </c>
      <c r="J158" s="47"/>
      <c r="K158" s="18"/>
      <c r="L158" s="18"/>
      <c r="M158" s="18"/>
      <c r="N158" s="18"/>
    </row>
    <row r="159" ht="15.75" customHeight="1">
      <c r="A159" s="39"/>
      <c r="B159" s="39"/>
      <c r="C159" s="39"/>
      <c r="D159" s="47"/>
      <c r="E159" s="47"/>
      <c r="F159" s="42" t="s">
        <v>35</v>
      </c>
      <c r="G159" s="43"/>
      <c r="H159" s="50">
        <f>VLOOKUP(F159,$A$18:$B$18,2,TRUE)</f>
        <v>5000</v>
      </c>
      <c r="I159" s="45">
        <f t="shared" si="1"/>
        <v>0</v>
      </c>
      <c r="J159" s="47"/>
      <c r="K159" s="18"/>
      <c r="L159" s="18"/>
      <c r="M159" s="18"/>
      <c r="N159" s="18"/>
    </row>
    <row r="160" ht="15.75" customHeight="1">
      <c r="A160" s="39"/>
      <c r="B160" s="39"/>
      <c r="C160" s="39"/>
      <c r="D160" s="47"/>
      <c r="E160" s="47"/>
      <c r="F160" s="42" t="s">
        <v>36</v>
      </c>
      <c r="G160" s="43"/>
      <c r="H160" s="50">
        <f>VLOOKUP(F160,$A$19:$B$19,2,TRUE)</f>
        <v>2700</v>
      </c>
      <c r="I160" s="45">
        <f t="shared" si="1"/>
        <v>0</v>
      </c>
      <c r="J160" s="47"/>
      <c r="K160" s="18"/>
      <c r="L160" s="18"/>
      <c r="M160" s="18"/>
      <c r="N160" s="18"/>
    </row>
    <row r="161" ht="15.75" customHeight="1">
      <c r="A161" s="39"/>
      <c r="B161" s="39"/>
      <c r="C161" s="39"/>
      <c r="D161" s="47"/>
      <c r="E161" s="47"/>
      <c r="F161" s="42" t="s">
        <v>37</v>
      </c>
      <c r="G161" s="43"/>
      <c r="H161" s="50">
        <f>VLOOKUP(F161,$A$20:$B$20,2,TRUE)</f>
        <v>50000</v>
      </c>
      <c r="I161" s="45">
        <f t="shared" si="1"/>
        <v>0</v>
      </c>
      <c r="J161" s="47"/>
      <c r="K161" s="18"/>
      <c r="L161" s="18"/>
      <c r="M161" s="18"/>
      <c r="N161" s="18"/>
    </row>
    <row r="162" ht="15.75" customHeight="1">
      <c r="A162" s="39"/>
      <c r="B162" s="39"/>
      <c r="C162" s="39"/>
      <c r="D162" s="47"/>
      <c r="E162" s="47"/>
      <c r="F162" s="42" t="s">
        <v>38</v>
      </c>
      <c r="G162" s="43"/>
      <c r="H162" s="50">
        <f>VLOOKUP(F162,$A$21:$B$21,2,TRUE)</f>
        <v>10000</v>
      </c>
      <c r="I162" s="45">
        <f t="shared" si="1"/>
        <v>0</v>
      </c>
      <c r="J162" s="47"/>
      <c r="K162" s="18"/>
      <c r="L162" s="18"/>
      <c r="M162" s="18"/>
      <c r="N162" s="18"/>
    </row>
    <row r="163" ht="15.75" customHeight="1">
      <c r="A163" s="39"/>
      <c r="B163" s="39"/>
      <c r="C163" s="39"/>
      <c r="D163" s="47"/>
      <c r="E163" s="47"/>
      <c r="F163" s="42" t="s">
        <v>39</v>
      </c>
      <c r="G163" s="43"/>
      <c r="H163" s="50">
        <f>VLOOKUP(F163,$A$22:$B$22,2,TRUE)</f>
        <v>1000</v>
      </c>
      <c r="I163" s="45">
        <f t="shared" si="1"/>
        <v>0</v>
      </c>
      <c r="J163" s="47"/>
      <c r="K163" s="18"/>
      <c r="L163" s="18"/>
      <c r="M163" s="18"/>
      <c r="N163" s="18"/>
    </row>
    <row r="164" ht="15.75" customHeight="1">
      <c r="A164" s="39"/>
      <c r="B164" s="39"/>
      <c r="C164" s="39"/>
      <c r="D164" s="47"/>
      <c r="E164" s="47"/>
      <c r="F164" s="42" t="s">
        <v>40</v>
      </c>
      <c r="G164" s="43">
        <v>1.0</v>
      </c>
      <c r="H164" s="50">
        <f>VLOOKUP(F164,$A$23:$B$23,2,TRUE)</f>
        <v>500</v>
      </c>
      <c r="I164" s="45">
        <f t="shared" si="1"/>
        <v>500</v>
      </c>
      <c r="J164" s="47"/>
      <c r="K164" s="18"/>
      <c r="L164" s="18"/>
      <c r="M164" s="18"/>
      <c r="N164" s="18"/>
    </row>
    <row r="165" ht="15.75" customHeight="1">
      <c r="A165" s="39"/>
      <c r="B165" s="39"/>
      <c r="C165" s="39"/>
      <c r="D165" s="47"/>
      <c r="E165" s="47"/>
      <c r="F165" s="42" t="s">
        <v>41</v>
      </c>
      <c r="G165" s="43">
        <v>1.0</v>
      </c>
      <c r="H165" s="50">
        <f>VLOOKUP(F165,$A$24:$B$24,2,TRUE)</f>
        <v>200</v>
      </c>
      <c r="I165" s="45">
        <f t="shared" si="1"/>
        <v>200</v>
      </c>
      <c r="J165" s="47"/>
      <c r="K165" s="18"/>
      <c r="L165" s="18"/>
      <c r="M165" s="18"/>
      <c r="N165" s="18"/>
    </row>
    <row r="166" ht="15.75" customHeight="1">
      <c r="A166" s="39"/>
      <c r="B166" s="39"/>
      <c r="C166" s="39"/>
      <c r="D166" s="47"/>
      <c r="E166" s="47"/>
      <c r="F166" s="42" t="s">
        <v>42</v>
      </c>
      <c r="G166" s="43"/>
      <c r="H166" s="50">
        <f>VLOOKUP(F166,$A$25:$B$25,2,TRUE)</f>
        <v>1000</v>
      </c>
      <c r="I166" s="45">
        <f t="shared" si="1"/>
        <v>0</v>
      </c>
      <c r="J166" s="47"/>
      <c r="K166" s="18"/>
      <c r="L166" s="18"/>
      <c r="M166" s="18"/>
      <c r="N166" s="18"/>
    </row>
    <row r="167" ht="15.75" customHeight="1">
      <c r="A167" s="39"/>
      <c r="B167" s="39"/>
      <c r="C167" s="39"/>
      <c r="D167" s="47"/>
      <c r="E167" s="47"/>
      <c r="F167" s="42" t="s">
        <v>17</v>
      </c>
      <c r="G167" s="43">
        <v>4.5</v>
      </c>
      <c r="H167" s="50">
        <f>VLOOKUP(F167,$A$26:$B$26,2,TRUE)</f>
        <v>300</v>
      </c>
      <c r="I167" s="45">
        <f t="shared" si="1"/>
        <v>1350</v>
      </c>
      <c r="J167" s="47"/>
      <c r="K167" s="18"/>
      <c r="L167" s="18"/>
      <c r="M167" s="18"/>
      <c r="N167" s="18"/>
    </row>
    <row r="168" ht="15.75" customHeight="1">
      <c r="A168" s="39"/>
      <c r="B168" s="39"/>
      <c r="C168" s="39"/>
      <c r="D168" s="47"/>
      <c r="E168" s="47"/>
      <c r="F168" s="42" t="s">
        <v>43</v>
      </c>
      <c r="G168" s="43"/>
      <c r="H168" s="50">
        <f>VLOOKUP(F168,$A$27:$B$27,2,TRUE)</f>
        <v>100</v>
      </c>
      <c r="I168" s="45">
        <f t="shared" si="1"/>
        <v>0</v>
      </c>
      <c r="J168" s="47"/>
      <c r="K168" s="18"/>
      <c r="L168" s="18"/>
      <c r="M168" s="18"/>
      <c r="N168" s="18"/>
    </row>
    <row r="169" ht="15.75" customHeight="1">
      <c r="A169" s="39"/>
      <c r="B169" s="39"/>
      <c r="C169" s="39"/>
      <c r="D169" s="47"/>
      <c r="E169" s="47"/>
      <c r="F169" s="42" t="s">
        <v>59</v>
      </c>
      <c r="G169" s="43"/>
      <c r="H169" s="50">
        <f>VLOOKUP(F169,$A$28:$B$28,2,TRUE)</f>
        <v>500</v>
      </c>
      <c r="I169" s="45">
        <f t="shared" si="1"/>
        <v>0</v>
      </c>
      <c r="J169" s="47"/>
      <c r="K169" s="18"/>
      <c r="L169" s="18"/>
      <c r="M169" s="18"/>
      <c r="N169" s="18"/>
    </row>
    <row r="170" ht="15.75" customHeight="1">
      <c r="A170" s="39"/>
      <c r="B170" s="39"/>
      <c r="C170" s="39"/>
      <c r="D170" s="47"/>
      <c r="E170" s="47"/>
      <c r="F170" s="42" t="s">
        <v>13</v>
      </c>
      <c r="G170" s="43"/>
      <c r="H170" s="50">
        <f>VLOOKUP(F170,$A$29:$B$29,2,TRUE)</f>
        <v>1500</v>
      </c>
      <c r="I170" s="45">
        <f t="shared" si="1"/>
        <v>0</v>
      </c>
      <c r="J170" s="47"/>
      <c r="K170" s="18"/>
      <c r="L170" s="18"/>
      <c r="M170" s="18"/>
      <c r="N170" s="18"/>
    </row>
    <row r="171" ht="15.75" customHeight="1">
      <c r="A171" s="39"/>
      <c r="B171" s="39"/>
      <c r="C171" s="39"/>
      <c r="D171" s="47"/>
      <c r="E171" s="47"/>
      <c r="F171" s="42" t="s">
        <v>19</v>
      </c>
      <c r="G171" s="43">
        <v>1.0</v>
      </c>
      <c r="H171" s="50">
        <f>VLOOKUP(F171,$A$30:$B$30,2,TRUE)</f>
        <v>4000</v>
      </c>
      <c r="I171" s="45">
        <f t="shared" si="1"/>
        <v>4000</v>
      </c>
      <c r="J171" s="47"/>
      <c r="K171" s="18"/>
      <c r="L171" s="18"/>
      <c r="M171" s="18"/>
      <c r="N171" s="18"/>
    </row>
    <row r="172" ht="15.75" customHeight="1">
      <c r="A172" s="39"/>
      <c r="B172" s="39"/>
      <c r="C172" s="39"/>
      <c r="D172" s="7"/>
      <c r="E172" s="7"/>
      <c r="F172" s="42" t="s">
        <v>20</v>
      </c>
      <c r="G172" s="43">
        <v>1.5</v>
      </c>
      <c r="H172" s="50">
        <f>VLOOKUP(F172,$A$31:$B$31,2,TRUE)</f>
        <v>0</v>
      </c>
      <c r="I172" s="45">
        <f t="shared" si="1"/>
        <v>0</v>
      </c>
      <c r="J172" s="7"/>
      <c r="K172" s="18"/>
      <c r="L172" s="18"/>
      <c r="M172" s="18"/>
      <c r="N172" s="18"/>
    </row>
    <row r="173" ht="15.75" customHeight="1">
      <c r="A173" s="39"/>
      <c r="B173" s="39"/>
      <c r="C173" s="39"/>
      <c r="D173" s="40">
        <v>8.0</v>
      </c>
      <c r="E173" s="41" t="s">
        <v>125</v>
      </c>
      <c r="F173" s="42" t="s">
        <v>21</v>
      </c>
      <c r="G173" s="43"/>
      <c r="H173" s="50">
        <f>VLOOKUP(F173,$A$4:$B$4,2,TRUE)</f>
        <v>5000</v>
      </c>
      <c r="I173" s="45">
        <f t="shared" si="1"/>
        <v>0</v>
      </c>
      <c r="J173" s="46">
        <f>SUM(I173:I200)</f>
        <v>4500</v>
      </c>
      <c r="K173" s="18"/>
      <c r="L173" s="18"/>
      <c r="M173" s="18"/>
      <c r="N173" s="18"/>
    </row>
    <row r="174" ht="15.75" customHeight="1">
      <c r="A174" s="39"/>
      <c r="B174" s="39"/>
      <c r="C174" s="39"/>
      <c r="D174" s="47"/>
      <c r="E174" s="47"/>
      <c r="F174" s="42" t="s">
        <v>56</v>
      </c>
      <c r="G174" s="43">
        <v>1.5</v>
      </c>
      <c r="H174" s="50">
        <f>VLOOKUP(F174,$A$5:$B$5,2,TRUE)</f>
        <v>3000</v>
      </c>
      <c r="I174" s="45">
        <f t="shared" si="1"/>
        <v>4500</v>
      </c>
      <c r="J174" s="47"/>
      <c r="K174" s="18"/>
      <c r="L174" s="18"/>
      <c r="M174" s="18"/>
      <c r="N174" s="18"/>
    </row>
    <row r="175" ht="15.75" customHeight="1">
      <c r="A175" s="39"/>
      <c r="B175" s="39"/>
      <c r="C175" s="39"/>
      <c r="D175" s="47"/>
      <c r="E175" s="47"/>
      <c r="F175" s="42" t="s">
        <v>58</v>
      </c>
      <c r="G175" s="43"/>
      <c r="H175" s="50">
        <f>VLOOKUP(F175,$A$6:$B$6,2,TRUE)</f>
        <v>1000</v>
      </c>
      <c r="I175" s="45">
        <f t="shared" si="1"/>
        <v>0</v>
      </c>
      <c r="J175" s="47"/>
      <c r="K175" s="18"/>
      <c r="L175" s="18"/>
      <c r="M175" s="18"/>
      <c r="N175" s="18"/>
    </row>
    <row r="176" ht="15.75" customHeight="1">
      <c r="A176" s="39"/>
      <c r="B176" s="39"/>
      <c r="C176" s="39"/>
      <c r="D176" s="47"/>
      <c r="E176" s="47"/>
      <c r="F176" s="42" t="s">
        <v>24</v>
      </c>
      <c r="G176" s="43"/>
      <c r="H176" s="50">
        <f>VLOOKUP(F176,$A$7:$B$7,2,TRUE)</f>
        <v>2800</v>
      </c>
      <c r="I176" s="45">
        <f t="shared" si="1"/>
        <v>0</v>
      </c>
      <c r="J176" s="47"/>
      <c r="K176" s="18"/>
      <c r="L176" s="18"/>
      <c r="M176" s="18"/>
      <c r="N176" s="18"/>
    </row>
    <row r="177" ht="15.75" customHeight="1">
      <c r="A177" s="39"/>
      <c r="B177" s="39"/>
      <c r="C177" s="39"/>
      <c r="D177" s="47"/>
      <c r="E177" s="47"/>
      <c r="F177" s="42" t="s">
        <v>25</v>
      </c>
      <c r="G177" s="43"/>
      <c r="H177" s="50">
        <f>VLOOKUP(F177,$A$8:$B$8,2,TRUE)</f>
        <v>3500</v>
      </c>
      <c r="I177" s="45">
        <f t="shared" si="1"/>
        <v>0</v>
      </c>
      <c r="J177" s="47"/>
      <c r="K177" s="18"/>
      <c r="L177" s="18"/>
      <c r="M177" s="18"/>
      <c r="N177" s="18"/>
    </row>
    <row r="178" ht="15.75" customHeight="1">
      <c r="A178" s="39"/>
      <c r="B178" s="39"/>
      <c r="C178" s="39"/>
      <c r="D178" s="47"/>
      <c r="E178" s="47"/>
      <c r="F178" s="42" t="s">
        <v>26</v>
      </c>
      <c r="G178" s="43"/>
      <c r="H178" s="50">
        <f>VLOOKUP(F178,$A$9:$B$9,2,TRUE)</f>
        <v>1000</v>
      </c>
      <c r="I178" s="45">
        <f t="shared" si="1"/>
        <v>0</v>
      </c>
      <c r="J178" s="47"/>
      <c r="K178" s="18"/>
      <c r="L178" s="18"/>
      <c r="M178" s="18"/>
      <c r="N178" s="18"/>
    </row>
    <row r="179" ht="15.75" customHeight="1">
      <c r="A179" s="39"/>
      <c r="B179" s="39"/>
      <c r="C179" s="39"/>
      <c r="D179" s="47"/>
      <c r="E179" s="47"/>
      <c r="F179" s="42" t="s">
        <v>27</v>
      </c>
      <c r="G179" s="43"/>
      <c r="H179" s="50">
        <f>VLOOKUP(F179,$A$10:$B$10,2,TRUE)</f>
        <v>2000</v>
      </c>
      <c r="I179" s="45">
        <f t="shared" si="1"/>
        <v>0</v>
      </c>
      <c r="J179" s="47"/>
      <c r="K179" s="18"/>
      <c r="L179" s="18"/>
      <c r="M179" s="18"/>
      <c r="N179" s="18"/>
    </row>
    <row r="180" ht="15.75" customHeight="1">
      <c r="A180" s="39"/>
      <c r="B180" s="39"/>
      <c r="C180" s="39"/>
      <c r="D180" s="47"/>
      <c r="E180" s="47"/>
      <c r="F180" s="42" t="s">
        <v>28</v>
      </c>
      <c r="G180" s="43"/>
      <c r="H180" s="50">
        <f>VLOOKUP(F180,$A$11:$B$11,2,TRUE)</f>
        <v>2000</v>
      </c>
      <c r="I180" s="45">
        <f t="shared" si="1"/>
        <v>0</v>
      </c>
      <c r="J180" s="47"/>
      <c r="K180" s="18"/>
      <c r="L180" s="18"/>
      <c r="M180" s="18"/>
      <c r="N180" s="18"/>
    </row>
    <row r="181" ht="15.75" customHeight="1">
      <c r="A181" s="39"/>
      <c r="B181" s="39"/>
      <c r="C181" s="39"/>
      <c r="D181" s="47"/>
      <c r="E181" s="47"/>
      <c r="F181" s="42" t="s">
        <v>29</v>
      </c>
      <c r="G181" s="43"/>
      <c r="H181" s="50">
        <f>VLOOKUP(F181,$A$12:$B$12,2,TRUE)</f>
        <v>1300</v>
      </c>
      <c r="I181" s="45">
        <f t="shared" si="1"/>
        <v>0</v>
      </c>
      <c r="J181" s="47"/>
      <c r="K181" s="18"/>
      <c r="L181" s="18"/>
      <c r="M181" s="18"/>
      <c r="N181" s="18"/>
    </row>
    <row r="182" ht="15.75" customHeight="1">
      <c r="A182" s="39"/>
      <c r="B182" s="39"/>
      <c r="C182" s="39"/>
      <c r="D182" s="47"/>
      <c r="E182" s="47"/>
      <c r="F182" s="42" t="s">
        <v>30</v>
      </c>
      <c r="G182" s="43"/>
      <c r="H182" s="50">
        <f>VLOOKUP(F182,$A$13:$B$13,2,TRUE)</f>
        <v>1000</v>
      </c>
      <c r="I182" s="45">
        <f t="shared" si="1"/>
        <v>0</v>
      </c>
      <c r="J182" s="47"/>
      <c r="K182" s="18"/>
      <c r="L182" s="18"/>
      <c r="M182" s="18"/>
      <c r="N182" s="18"/>
    </row>
    <row r="183" ht="15.75" customHeight="1">
      <c r="A183" s="39"/>
      <c r="B183" s="39"/>
      <c r="C183" s="39"/>
      <c r="D183" s="47"/>
      <c r="E183" s="47"/>
      <c r="F183" s="42" t="s">
        <v>31</v>
      </c>
      <c r="G183" s="43"/>
      <c r="H183" s="50">
        <f>VLOOKUP(F183,$A$14:$B$14,2,TRUE)</f>
        <v>400</v>
      </c>
      <c r="I183" s="45">
        <f t="shared" si="1"/>
        <v>0</v>
      </c>
      <c r="J183" s="47"/>
      <c r="K183" s="18"/>
      <c r="L183" s="18"/>
      <c r="M183" s="18"/>
      <c r="N183" s="18"/>
    </row>
    <row r="184" ht="15.75" customHeight="1">
      <c r="A184" s="39"/>
      <c r="B184" s="39"/>
      <c r="C184" s="39"/>
      <c r="D184" s="47"/>
      <c r="E184" s="47"/>
      <c r="F184" s="42" t="s">
        <v>32</v>
      </c>
      <c r="G184" s="43"/>
      <c r="H184" s="50">
        <f>VLOOKUP(F184,$A$15:$B$15,2,TRUE)</f>
        <v>7500</v>
      </c>
      <c r="I184" s="45">
        <f t="shared" si="1"/>
        <v>0</v>
      </c>
      <c r="J184" s="47"/>
      <c r="K184" s="18"/>
      <c r="L184" s="18"/>
      <c r="M184" s="18"/>
      <c r="N184" s="18"/>
    </row>
    <row r="185" ht="15.75" customHeight="1">
      <c r="A185" s="39"/>
      <c r="B185" s="39"/>
      <c r="C185" s="39"/>
      <c r="D185" s="47"/>
      <c r="E185" s="47"/>
      <c r="F185" s="42" t="s">
        <v>33</v>
      </c>
      <c r="G185" s="43"/>
      <c r="H185" s="50">
        <f>VLOOKUP(F185,$A$16:$B$16,2,TRUE)</f>
        <v>2000</v>
      </c>
      <c r="I185" s="45">
        <f t="shared" si="1"/>
        <v>0</v>
      </c>
      <c r="J185" s="47"/>
      <c r="K185" s="18"/>
      <c r="L185" s="18"/>
      <c r="M185" s="18"/>
      <c r="N185" s="18"/>
    </row>
    <row r="186" ht="15.75" customHeight="1">
      <c r="A186" s="39"/>
      <c r="B186" s="39"/>
      <c r="C186" s="39"/>
      <c r="D186" s="47"/>
      <c r="E186" s="47"/>
      <c r="F186" s="42" t="s">
        <v>34</v>
      </c>
      <c r="G186" s="43"/>
      <c r="H186" s="50">
        <f>VLOOKUP(F186,$A$17:$B$17,2,TRUE)</f>
        <v>800</v>
      </c>
      <c r="I186" s="45">
        <f t="shared" si="1"/>
        <v>0</v>
      </c>
      <c r="J186" s="47"/>
      <c r="K186" s="18"/>
      <c r="L186" s="18"/>
      <c r="M186" s="18"/>
      <c r="N186" s="18"/>
    </row>
    <row r="187" ht="15.75" customHeight="1">
      <c r="A187" s="39"/>
      <c r="B187" s="39"/>
      <c r="C187" s="39"/>
      <c r="D187" s="47"/>
      <c r="E187" s="47"/>
      <c r="F187" s="42" t="s">
        <v>35</v>
      </c>
      <c r="G187" s="43"/>
      <c r="H187" s="50">
        <f>VLOOKUP(F187,$A$18:$B$18,2,TRUE)</f>
        <v>5000</v>
      </c>
      <c r="I187" s="45">
        <f t="shared" si="1"/>
        <v>0</v>
      </c>
      <c r="J187" s="47"/>
      <c r="K187" s="18"/>
      <c r="L187" s="18"/>
      <c r="M187" s="18"/>
      <c r="N187" s="18"/>
    </row>
    <row r="188" ht="15.75" customHeight="1">
      <c r="A188" s="39"/>
      <c r="B188" s="39"/>
      <c r="C188" s="39"/>
      <c r="D188" s="47"/>
      <c r="E188" s="47"/>
      <c r="F188" s="42" t="s">
        <v>36</v>
      </c>
      <c r="G188" s="43"/>
      <c r="H188" s="50">
        <f>VLOOKUP(F188,$A$19:$B$19,2,TRUE)</f>
        <v>2700</v>
      </c>
      <c r="I188" s="45">
        <f t="shared" si="1"/>
        <v>0</v>
      </c>
      <c r="J188" s="47"/>
      <c r="K188" s="18"/>
      <c r="L188" s="18"/>
      <c r="M188" s="18"/>
      <c r="N188" s="18"/>
    </row>
    <row r="189" ht="15.75" customHeight="1">
      <c r="A189" s="39"/>
      <c r="B189" s="39"/>
      <c r="C189" s="39"/>
      <c r="D189" s="47"/>
      <c r="E189" s="47"/>
      <c r="F189" s="42" t="s">
        <v>37</v>
      </c>
      <c r="G189" s="43"/>
      <c r="H189" s="50">
        <f>VLOOKUP(F189,$A$20:$B$20,2,TRUE)</f>
        <v>50000</v>
      </c>
      <c r="I189" s="45">
        <f t="shared" si="1"/>
        <v>0</v>
      </c>
      <c r="J189" s="47"/>
      <c r="K189" s="18"/>
      <c r="L189" s="18"/>
      <c r="M189" s="18"/>
      <c r="N189" s="18"/>
    </row>
    <row r="190" ht="15.75" customHeight="1">
      <c r="A190" s="39"/>
      <c r="B190" s="39"/>
      <c r="C190" s="39"/>
      <c r="D190" s="47"/>
      <c r="E190" s="47"/>
      <c r="F190" s="42" t="s">
        <v>38</v>
      </c>
      <c r="G190" s="43"/>
      <c r="H190" s="50">
        <f>VLOOKUP(F190,$A$21:$B$21,2,TRUE)</f>
        <v>10000</v>
      </c>
      <c r="I190" s="45">
        <f t="shared" si="1"/>
        <v>0</v>
      </c>
      <c r="J190" s="47"/>
      <c r="K190" s="18"/>
      <c r="L190" s="18"/>
      <c r="M190" s="18"/>
      <c r="N190" s="18"/>
    </row>
    <row r="191" ht="15.75" customHeight="1">
      <c r="A191" s="39"/>
      <c r="B191" s="39"/>
      <c r="C191" s="39"/>
      <c r="D191" s="47"/>
      <c r="E191" s="47"/>
      <c r="F191" s="42" t="s">
        <v>39</v>
      </c>
      <c r="G191" s="43"/>
      <c r="H191" s="50">
        <f>VLOOKUP(F191,$A$22:$B$22,2,TRUE)</f>
        <v>1000</v>
      </c>
      <c r="I191" s="45">
        <f t="shared" si="1"/>
        <v>0</v>
      </c>
      <c r="J191" s="47"/>
      <c r="K191" s="18"/>
      <c r="L191" s="18"/>
      <c r="M191" s="18"/>
      <c r="N191" s="18"/>
    </row>
    <row r="192" ht="15.75" customHeight="1">
      <c r="A192" s="39"/>
      <c r="B192" s="39"/>
      <c r="C192" s="39"/>
      <c r="D192" s="47"/>
      <c r="E192" s="47"/>
      <c r="F192" s="42" t="s">
        <v>40</v>
      </c>
      <c r="G192" s="43"/>
      <c r="H192" s="50">
        <f>VLOOKUP(F192,$A$23:$B$23,2,TRUE)</f>
        <v>500</v>
      </c>
      <c r="I192" s="45">
        <f t="shared" si="1"/>
        <v>0</v>
      </c>
      <c r="J192" s="47"/>
      <c r="K192" s="18"/>
      <c r="L192" s="18"/>
      <c r="M192" s="18"/>
      <c r="N192" s="18"/>
    </row>
    <row r="193" ht="15.75" customHeight="1">
      <c r="A193" s="39"/>
      <c r="B193" s="39"/>
      <c r="C193" s="39"/>
      <c r="D193" s="47"/>
      <c r="E193" s="47"/>
      <c r="F193" s="42" t="s">
        <v>41</v>
      </c>
      <c r="G193" s="43"/>
      <c r="H193" s="50">
        <f>VLOOKUP(F193,$A$24:$B$24,2,TRUE)</f>
        <v>200</v>
      </c>
      <c r="I193" s="45">
        <f t="shared" si="1"/>
        <v>0</v>
      </c>
      <c r="J193" s="47"/>
      <c r="K193" s="18"/>
      <c r="L193" s="18"/>
      <c r="M193" s="18"/>
      <c r="N193" s="18"/>
    </row>
    <row r="194" ht="15.75" customHeight="1">
      <c r="A194" s="39"/>
      <c r="B194" s="39"/>
      <c r="C194" s="39"/>
      <c r="D194" s="47"/>
      <c r="E194" s="47"/>
      <c r="F194" s="42" t="s">
        <v>42</v>
      </c>
      <c r="G194" s="43"/>
      <c r="H194" s="50">
        <f>VLOOKUP(F194,$A$25:$B$25,2,TRUE)</f>
        <v>1000</v>
      </c>
      <c r="I194" s="45">
        <f t="shared" si="1"/>
        <v>0</v>
      </c>
      <c r="J194" s="47"/>
      <c r="K194" s="18"/>
      <c r="L194" s="18"/>
      <c r="M194" s="18"/>
      <c r="N194" s="18"/>
    </row>
    <row r="195" ht="15.75" customHeight="1">
      <c r="A195" s="39"/>
      <c r="B195" s="39"/>
      <c r="C195" s="39"/>
      <c r="D195" s="47"/>
      <c r="E195" s="47"/>
      <c r="F195" s="42" t="s">
        <v>17</v>
      </c>
      <c r="G195" s="43"/>
      <c r="H195" s="50">
        <f>VLOOKUP(F195,$A$26:$B$26,2,TRUE)</f>
        <v>300</v>
      </c>
      <c r="I195" s="45">
        <f t="shared" si="1"/>
        <v>0</v>
      </c>
      <c r="J195" s="47"/>
      <c r="K195" s="18"/>
      <c r="L195" s="18"/>
      <c r="M195" s="18"/>
      <c r="N195" s="18"/>
    </row>
    <row r="196" ht="15.75" customHeight="1">
      <c r="A196" s="39"/>
      <c r="B196" s="39"/>
      <c r="C196" s="39"/>
      <c r="D196" s="47"/>
      <c r="E196" s="47"/>
      <c r="F196" s="42" t="s">
        <v>43</v>
      </c>
      <c r="G196" s="43"/>
      <c r="H196" s="50">
        <f>VLOOKUP(F196,$A$27:$B$27,2,TRUE)</f>
        <v>100</v>
      </c>
      <c r="I196" s="45">
        <f t="shared" si="1"/>
        <v>0</v>
      </c>
      <c r="J196" s="47"/>
      <c r="K196" s="18"/>
      <c r="L196" s="18"/>
      <c r="M196" s="18"/>
      <c r="N196" s="18"/>
    </row>
    <row r="197" ht="15.75" customHeight="1">
      <c r="A197" s="39"/>
      <c r="B197" s="39"/>
      <c r="C197" s="39"/>
      <c r="D197" s="47"/>
      <c r="E197" s="47"/>
      <c r="F197" s="42" t="s">
        <v>59</v>
      </c>
      <c r="G197" s="43"/>
      <c r="H197" s="50">
        <f>VLOOKUP(F197,$A$28:$B$28,2,TRUE)</f>
        <v>500</v>
      </c>
      <c r="I197" s="45">
        <f t="shared" si="1"/>
        <v>0</v>
      </c>
      <c r="J197" s="47"/>
      <c r="K197" s="18"/>
      <c r="L197" s="18"/>
      <c r="M197" s="18"/>
      <c r="N197" s="18"/>
    </row>
    <row r="198" ht="15.75" customHeight="1">
      <c r="A198" s="39"/>
      <c r="B198" s="39"/>
      <c r="C198" s="39"/>
      <c r="D198" s="47"/>
      <c r="E198" s="47"/>
      <c r="F198" s="42" t="s">
        <v>13</v>
      </c>
      <c r="G198" s="43"/>
      <c r="H198" s="50">
        <f>VLOOKUP(F198,$A$29:$B$29,2,TRUE)</f>
        <v>1500</v>
      </c>
      <c r="I198" s="45">
        <f t="shared" si="1"/>
        <v>0</v>
      </c>
      <c r="J198" s="47"/>
      <c r="K198" s="18"/>
      <c r="L198" s="18"/>
      <c r="M198" s="18"/>
      <c r="N198" s="18"/>
    </row>
    <row r="199" ht="15.75" customHeight="1">
      <c r="A199" s="39"/>
      <c r="B199" s="39"/>
      <c r="C199" s="39"/>
      <c r="D199" s="47"/>
      <c r="E199" s="47"/>
      <c r="F199" s="42" t="s">
        <v>19</v>
      </c>
      <c r="G199" s="43"/>
      <c r="H199" s="50">
        <f>VLOOKUP(F199,$A$30:$B$30,2,TRUE)</f>
        <v>4000</v>
      </c>
      <c r="I199" s="45">
        <f t="shared" si="1"/>
        <v>0</v>
      </c>
      <c r="J199" s="47"/>
      <c r="K199" s="18"/>
      <c r="L199" s="18"/>
      <c r="M199" s="18"/>
      <c r="N199" s="18"/>
    </row>
    <row r="200" ht="15.75" customHeight="1">
      <c r="A200" s="39"/>
      <c r="B200" s="39"/>
      <c r="C200" s="39"/>
      <c r="D200" s="7"/>
      <c r="E200" s="7"/>
      <c r="F200" s="42" t="s">
        <v>20</v>
      </c>
      <c r="G200" s="43">
        <v>4.0</v>
      </c>
      <c r="H200" s="50">
        <f>VLOOKUP(F200,$A$31:$B$31,2,TRUE)</f>
        <v>0</v>
      </c>
      <c r="I200" s="45">
        <f t="shared" si="1"/>
        <v>0</v>
      </c>
      <c r="J200" s="7"/>
      <c r="K200" s="18"/>
      <c r="L200" s="18"/>
      <c r="M200" s="18"/>
      <c r="N200" s="18"/>
    </row>
    <row r="201" ht="15.75" customHeight="1">
      <c r="A201" s="39"/>
      <c r="B201" s="39"/>
      <c r="C201" s="39"/>
      <c r="D201" s="52" t="s">
        <v>70</v>
      </c>
      <c r="E201" s="53"/>
      <c r="F201" s="53"/>
      <c r="G201" s="53"/>
      <c r="H201" s="53"/>
      <c r="I201" s="45">
        <f t="shared" si="1"/>
        <v>0</v>
      </c>
      <c r="J201" s="54">
        <f>SUM(J5:J200)</f>
        <v>143600</v>
      </c>
      <c r="K201" s="18"/>
      <c r="L201" s="18"/>
      <c r="M201" s="18"/>
      <c r="N201" s="18"/>
    </row>
    <row r="202" ht="15.75" customHeight="1">
      <c r="A202" s="39"/>
      <c r="B202" s="39"/>
      <c r="C202" s="39"/>
      <c r="D202" s="52" t="s">
        <v>71</v>
      </c>
      <c r="E202" s="53"/>
      <c r="F202" s="53"/>
      <c r="G202" s="53"/>
      <c r="H202" s="53"/>
      <c r="I202" s="45">
        <f t="shared" si="1"/>
        <v>0</v>
      </c>
      <c r="J202" s="54">
        <f>J201*5%</f>
        <v>7180</v>
      </c>
      <c r="K202" s="18"/>
      <c r="L202" s="18"/>
      <c r="M202" s="18"/>
      <c r="N202" s="18"/>
    </row>
    <row r="203" ht="15.75" customHeight="1">
      <c r="A203" s="16"/>
      <c r="B203" s="16"/>
      <c r="C203" s="16"/>
      <c r="D203" s="16"/>
      <c r="E203" s="55"/>
      <c r="F203" s="18"/>
      <c r="G203" s="18"/>
      <c r="H203" s="18"/>
      <c r="I203" s="18"/>
      <c r="J203" s="19"/>
      <c r="K203" s="18"/>
      <c r="L203" s="18"/>
      <c r="M203" s="18"/>
      <c r="N203" s="18"/>
    </row>
    <row r="204" ht="15.75" customHeight="1">
      <c r="A204" s="16"/>
      <c r="B204" s="16"/>
      <c r="C204" s="16"/>
      <c r="D204" s="16"/>
      <c r="E204" s="17"/>
      <c r="F204" s="18"/>
      <c r="G204" s="18"/>
      <c r="H204" s="18"/>
      <c r="I204" s="18"/>
      <c r="J204" s="19"/>
      <c r="K204" s="18"/>
      <c r="L204" s="18"/>
      <c r="M204" s="18"/>
      <c r="N204" s="18"/>
    </row>
    <row r="205" ht="15.75" customHeight="1">
      <c r="A205" s="16"/>
      <c r="B205" s="16"/>
      <c r="C205" s="16"/>
      <c r="D205" s="16"/>
      <c r="E205" s="17"/>
      <c r="F205" s="18"/>
      <c r="G205" s="18"/>
      <c r="H205" s="18"/>
      <c r="I205" s="18"/>
      <c r="J205" s="19"/>
      <c r="K205" s="18"/>
      <c r="L205" s="18"/>
      <c r="M205" s="18"/>
      <c r="N205" s="18"/>
    </row>
    <row r="206" ht="15.75" customHeight="1">
      <c r="A206" s="16"/>
      <c r="B206" s="16"/>
      <c r="C206" s="16"/>
      <c r="D206" s="16"/>
      <c r="E206" s="17"/>
      <c r="F206" s="18"/>
      <c r="G206" s="18"/>
      <c r="H206" s="18"/>
      <c r="I206" s="18"/>
      <c r="J206" s="19"/>
      <c r="K206" s="18"/>
      <c r="L206" s="18"/>
      <c r="M206" s="18"/>
      <c r="N206" s="18"/>
    </row>
    <row r="207" ht="15.75" customHeight="1">
      <c r="A207" s="16"/>
      <c r="B207" s="16"/>
      <c r="C207" s="16"/>
      <c r="D207" s="16"/>
      <c r="E207" s="17"/>
      <c r="F207" s="18"/>
      <c r="G207" s="18"/>
      <c r="H207" s="18"/>
      <c r="I207" s="18"/>
      <c r="J207" s="19"/>
      <c r="K207" s="18"/>
      <c r="L207" s="18"/>
      <c r="M207" s="18"/>
      <c r="N207" s="18"/>
    </row>
    <row r="208" ht="15.75" customHeight="1">
      <c r="A208" s="16"/>
      <c r="B208" s="16"/>
      <c r="C208" s="16"/>
      <c r="D208" s="16"/>
      <c r="E208" s="17"/>
      <c r="F208" s="18"/>
      <c r="G208" s="18"/>
      <c r="H208" s="18"/>
      <c r="I208" s="18"/>
      <c r="J208" s="19"/>
      <c r="K208" s="18"/>
      <c r="L208" s="18"/>
      <c r="M208" s="18"/>
      <c r="N208" s="18"/>
    </row>
    <row r="209" ht="15.75" customHeight="1">
      <c r="A209" s="16"/>
      <c r="B209" s="16"/>
      <c r="C209" s="16"/>
      <c r="D209" s="16"/>
      <c r="E209" s="17"/>
      <c r="F209" s="18"/>
      <c r="G209" s="18"/>
      <c r="H209" s="18"/>
      <c r="I209" s="18"/>
      <c r="J209" s="19"/>
      <c r="K209" s="18"/>
      <c r="L209" s="18"/>
      <c r="M209" s="18"/>
      <c r="N209" s="18"/>
    </row>
    <row r="210" ht="15.75" customHeight="1">
      <c r="A210" s="16"/>
      <c r="B210" s="16"/>
      <c r="C210" s="16"/>
      <c r="D210" s="16"/>
      <c r="E210" s="17"/>
      <c r="F210" s="18"/>
      <c r="G210" s="18"/>
      <c r="H210" s="18"/>
      <c r="I210" s="18"/>
      <c r="J210" s="19"/>
      <c r="K210" s="18"/>
      <c r="L210" s="18"/>
      <c r="M210" s="18"/>
      <c r="N210" s="18"/>
    </row>
    <row r="211" ht="15.75" customHeight="1">
      <c r="A211" s="16"/>
      <c r="B211" s="16"/>
      <c r="C211" s="16"/>
      <c r="D211" s="16"/>
      <c r="E211" s="17"/>
      <c r="J211" s="19"/>
    </row>
    <row r="212" ht="15.75" customHeight="1">
      <c r="A212" s="16"/>
      <c r="B212" s="16"/>
      <c r="C212" s="16"/>
      <c r="D212" s="16"/>
      <c r="E212" s="17"/>
      <c r="J212" s="19"/>
    </row>
    <row r="213" ht="15.75" customHeight="1">
      <c r="A213" s="16"/>
      <c r="B213" s="16"/>
      <c r="C213" s="16"/>
      <c r="D213" s="16"/>
      <c r="E213" s="17"/>
      <c r="J213" s="19"/>
    </row>
    <row r="214" ht="15.75" customHeight="1">
      <c r="A214" s="16"/>
      <c r="B214" s="16"/>
      <c r="C214" s="16"/>
      <c r="D214" s="16"/>
      <c r="E214" s="17"/>
      <c r="J214" s="19"/>
    </row>
    <row r="215" ht="15.75" customHeight="1">
      <c r="A215" s="16"/>
      <c r="B215" s="16"/>
      <c r="C215" s="16"/>
      <c r="D215" s="16"/>
      <c r="E215" s="17"/>
      <c r="J215" s="19"/>
    </row>
    <row r="216" ht="15.75" customHeight="1">
      <c r="A216" s="16"/>
      <c r="B216" s="16"/>
      <c r="C216" s="16"/>
      <c r="D216" s="16"/>
      <c r="E216" s="17"/>
      <c r="J216" s="19"/>
    </row>
    <row r="217" ht="15.75" customHeight="1">
      <c r="A217" s="16"/>
      <c r="B217" s="16"/>
      <c r="C217" s="16"/>
      <c r="D217" s="16"/>
      <c r="E217" s="17"/>
      <c r="J217" s="19"/>
    </row>
    <row r="218" ht="15.75" customHeight="1">
      <c r="A218" s="16"/>
      <c r="B218" s="16"/>
      <c r="C218" s="16"/>
      <c r="D218" s="16"/>
      <c r="E218" s="17"/>
      <c r="J218" s="19"/>
    </row>
    <row r="219" ht="15.75" customHeight="1">
      <c r="A219" s="16"/>
      <c r="B219" s="16"/>
      <c r="C219" s="16"/>
      <c r="D219" s="16"/>
      <c r="E219" s="17"/>
      <c r="J219" s="19"/>
    </row>
    <row r="220" ht="15.75" customHeight="1">
      <c r="A220" s="16"/>
      <c r="B220" s="16"/>
      <c r="C220" s="16"/>
      <c r="D220" s="16"/>
      <c r="E220" s="17"/>
      <c r="J220" s="19"/>
    </row>
    <row r="221" ht="15.75" customHeight="1">
      <c r="A221" s="16"/>
      <c r="B221" s="16"/>
      <c r="C221" s="16"/>
      <c r="D221" s="16"/>
      <c r="E221" s="17"/>
      <c r="J221" s="19"/>
    </row>
    <row r="222" ht="15.75" customHeight="1">
      <c r="A222" s="16"/>
      <c r="B222" s="16"/>
      <c r="C222" s="16"/>
      <c r="D222" s="16"/>
      <c r="E222" s="17"/>
      <c r="J222" s="19"/>
    </row>
    <row r="223" ht="15.75" customHeight="1">
      <c r="A223" s="16"/>
      <c r="B223" s="16"/>
      <c r="C223" s="16"/>
      <c r="D223" s="16"/>
      <c r="E223" s="17"/>
      <c r="J223" s="19"/>
    </row>
    <row r="224" ht="15.75" customHeight="1">
      <c r="A224" s="16"/>
      <c r="B224" s="16"/>
      <c r="C224" s="16"/>
      <c r="D224" s="16"/>
      <c r="E224" s="17"/>
      <c r="J224" s="19"/>
    </row>
    <row r="225" ht="15.75" customHeight="1">
      <c r="A225" s="16"/>
      <c r="B225" s="16"/>
      <c r="C225" s="16"/>
      <c r="D225" s="16"/>
      <c r="E225" s="17"/>
      <c r="J225" s="19"/>
    </row>
    <row r="226" ht="15.75" customHeight="1">
      <c r="A226" s="16"/>
      <c r="B226" s="16"/>
      <c r="C226" s="16"/>
      <c r="D226" s="16"/>
      <c r="E226" s="17"/>
      <c r="J226" s="19"/>
    </row>
    <row r="227" ht="15.75" customHeight="1">
      <c r="A227" s="16"/>
      <c r="B227" s="16"/>
      <c r="C227" s="16"/>
      <c r="D227" s="16"/>
      <c r="E227" s="17"/>
      <c r="J227" s="19"/>
    </row>
    <row r="228" ht="15.75" customHeight="1">
      <c r="A228" s="16"/>
      <c r="B228" s="16"/>
      <c r="C228" s="16"/>
      <c r="D228" s="16"/>
      <c r="E228" s="17"/>
      <c r="J228" s="19"/>
    </row>
    <row r="229" ht="15.75" customHeight="1">
      <c r="A229" s="16"/>
      <c r="B229" s="16"/>
      <c r="C229" s="16"/>
      <c r="D229" s="16"/>
      <c r="E229" s="17"/>
      <c r="J229" s="19"/>
    </row>
    <row r="230" ht="15.75" customHeight="1">
      <c r="A230" s="16"/>
      <c r="B230" s="16"/>
      <c r="C230" s="16"/>
      <c r="D230" s="16"/>
      <c r="E230" s="17"/>
      <c r="J230" s="19"/>
    </row>
    <row r="231" ht="15.75" customHeight="1">
      <c r="A231" s="16"/>
      <c r="B231" s="16"/>
      <c r="C231" s="16"/>
      <c r="D231" s="16"/>
      <c r="E231" s="17"/>
      <c r="J231" s="19"/>
    </row>
    <row r="232" ht="15.75" customHeight="1">
      <c r="A232" s="16"/>
      <c r="B232" s="16"/>
      <c r="C232" s="16"/>
      <c r="D232" s="16"/>
      <c r="E232" s="17"/>
      <c r="J232" s="19"/>
    </row>
    <row r="233" ht="15.75" customHeight="1">
      <c r="A233" s="16"/>
      <c r="B233" s="16"/>
      <c r="C233" s="16"/>
      <c r="D233" s="16"/>
      <c r="E233" s="17"/>
      <c r="J233" s="19"/>
    </row>
    <row r="234" ht="15.75" customHeight="1">
      <c r="A234" s="16"/>
      <c r="B234" s="16"/>
      <c r="C234" s="16"/>
      <c r="D234" s="16"/>
      <c r="E234" s="17"/>
      <c r="J234" s="19"/>
    </row>
    <row r="235" ht="15.75" customHeight="1">
      <c r="A235" s="16"/>
      <c r="B235" s="16"/>
      <c r="C235" s="16"/>
      <c r="D235" s="16"/>
      <c r="E235" s="17"/>
      <c r="J235" s="19"/>
    </row>
    <row r="236" ht="15.75" customHeight="1">
      <c r="A236" s="16"/>
      <c r="B236" s="16"/>
      <c r="C236" s="16"/>
      <c r="D236" s="16"/>
      <c r="E236" s="17"/>
      <c r="J236" s="19"/>
    </row>
    <row r="237" ht="15.75" customHeight="1">
      <c r="A237" s="16"/>
      <c r="B237" s="16"/>
      <c r="C237" s="16"/>
      <c r="D237" s="16"/>
      <c r="E237" s="17"/>
      <c r="J237" s="19"/>
    </row>
    <row r="238" ht="15.75" customHeight="1">
      <c r="A238" s="16"/>
      <c r="B238" s="16"/>
      <c r="C238" s="16"/>
      <c r="D238" s="16"/>
      <c r="E238" s="17"/>
      <c r="J238" s="19"/>
    </row>
    <row r="239" ht="15.75" customHeight="1">
      <c r="A239" s="16"/>
      <c r="B239" s="16"/>
      <c r="C239" s="16"/>
      <c r="D239" s="16"/>
      <c r="E239" s="17"/>
      <c r="J239" s="19"/>
    </row>
    <row r="240" ht="15.75" customHeight="1">
      <c r="A240" s="16"/>
      <c r="B240" s="16"/>
      <c r="C240" s="16"/>
      <c r="D240" s="16"/>
      <c r="E240" s="17"/>
      <c r="J240" s="19"/>
    </row>
    <row r="241" ht="15.75" customHeight="1">
      <c r="A241" s="16"/>
      <c r="B241" s="16"/>
      <c r="C241" s="16"/>
      <c r="D241" s="16"/>
      <c r="E241" s="17"/>
      <c r="J241" s="19"/>
    </row>
    <row r="242" ht="15.75" customHeight="1">
      <c r="A242" s="16"/>
      <c r="B242" s="16"/>
      <c r="C242" s="16"/>
      <c r="D242" s="16"/>
      <c r="E242" s="17"/>
      <c r="J242" s="19"/>
    </row>
    <row r="243" ht="15.75" customHeight="1">
      <c r="A243" s="16"/>
      <c r="B243" s="16"/>
      <c r="C243" s="16"/>
      <c r="D243" s="16"/>
      <c r="E243" s="17"/>
      <c r="J243" s="19"/>
    </row>
    <row r="244" ht="15.75" customHeight="1">
      <c r="A244" s="16"/>
      <c r="B244" s="16"/>
      <c r="C244" s="16"/>
      <c r="D244" s="16"/>
      <c r="E244" s="17"/>
      <c r="J244" s="19"/>
    </row>
    <row r="245" ht="15.75" customHeight="1">
      <c r="A245" s="16"/>
      <c r="B245" s="16"/>
      <c r="C245" s="16"/>
      <c r="D245" s="16"/>
      <c r="E245" s="17"/>
      <c r="J245" s="19"/>
    </row>
    <row r="246" ht="15.75" customHeight="1">
      <c r="A246" s="16"/>
      <c r="B246" s="16"/>
      <c r="C246" s="16"/>
      <c r="D246" s="16"/>
      <c r="E246" s="17"/>
      <c r="J246" s="19"/>
    </row>
    <row r="247" ht="15.75" customHeight="1">
      <c r="A247" s="16"/>
      <c r="B247" s="16"/>
      <c r="C247" s="16"/>
      <c r="D247" s="16"/>
      <c r="E247" s="17"/>
      <c r="J247" s="19"/>
    </row>
    <row r="248" ht="15.75" customHeight="1">
      <c r="A248" s="16"/>
      <c r="B248" s="16"/>
      <c r="C248" s="16"/>
      <c r="D248" s="16"/>
      <c r="E248" s="17"/>
      <c r="J248" s="19"/>
    </row>
    <row r="249" ht="15.75" customHeight="1">
      <c r="A249" s="16"/>
      <c r="B249" s="16"/>
      <c r="C249" s="16"/>
      <c r="D249" s="16"/>
      <c r="E249" s="17"/>
      <c r="J249" s="19"/>
    </row>
    <row r="250" ht="15.75" customHeight="1">
      <c r="A250" s="16"/>
      <c r="B250" s="16"/>
      <c r="C250" s="16"/>
      <c r="D250" s="16"/>
      <c r="E250" s="17"/>
      <c r="J250" s="19"/>
    </row>
    <row r="251" ht="15.75" customHeight="1">
      <c r="A251" s="16"/>
      <c r="B251" s="16"/>
      <c r="C251" s="16"/>
      <c r="D251" s="16"/>
      <c r="E251" s="17"/>
      <c r="J251" s="19"/>
    </row>
    <row r="252" ht="15.75" customHeight="1">
      <c r="A252" s="16"/>
      <c r="B252" s="16"/>
      <c r="C252" s="16"/>
      <c r="D252" s="16"/>
      <c r="E252" s="17"/>
      <c r="J252" s="19"/>
    </row>
    <row r="253" ht="15.75" customHeight="1">
      <c r="A253" s="16"/>
      <c r="B253" s="16"/>
      <c r="C253" s="16"/>
      <c r="D253" s="16"/>
      <c r="E253" s="17"/>
      <c r="J253" s="19"/>
    </row>
    <row r="254" ht="15.75" customHeight="1">
      <c r="A254" s="16"/>
      <c r="B254" s="16"/>
      <c r="C254" s="16"/>
      <c r="D254" s="16"/>
      <c r="E254" s="17"/>
      <c r="J254" s="19"/>
    </row>
    <row r="255" ht="15.75" customHeight="1">
      <c r="A255" s="16"/>
      <c r="B255" s="16"/>
      <c r="C255" s="16"/>
      <c r="D255" s="16"/>
      <c r="E255" s="17"/>
      <c r="J255" s="19"/>
    </row>
    <row r="256" ht="15.75" customHeight="1">
      <c r="A256" s="16"/>
      <c r="B256" s="16"/>
      <c r="C256" s="16"/>
      <c r="D256" s="16"/>
      <c r="E256" s="17"/>
      <c r="J256" s="19"/>
    </row>
    <row r="257" ht="15.75" customHeight="1">
      <c r="A257" s="16"/>
      <c r="B257" s="16"/>
      <c r="C257" s="16"/>
      <c r="D257" s="16"/>
      <c r="E257" s="17"/>
      <c r="J257" s="19"/>
    </row>
    <row r="258" ht="15.75" customHeight="1">
      <c r="A258" s="16"/>
      <c r="B258" s="16"/>
      <c r="C258" s="16"/>
      <c r="D258" s="16"/>
      <c r="E258" s="17"/>
      <c r="J258" s="19"/>
    </row>
    <row r="259" ht="15.75" customHeight="1">
      <c r="A259" s="16"/>
      <c r="B259" s="16"/>
      <c r="C259" s="16"/>
      <c r="D259" s="16"/>
      <c r="E259" s="17"/>
      <c r="J259" s="19"/>
    </row>
    <row r="260" ht="15.75" customHeight="1">
      <c r="A260" s="16"/>
      <c r="B260" s="16"/>
      <c r="C260" s="16"/>
      <c r="D260" s="16"/>
      <c r="E260" s="17"/>
      <c r="J260" s="19"/>
    </row>
    <row r="261" ht="15.75" customHeight="1">
      <c r="A261" s="16"/>
      <c r="B261" s="16"/>
      <c r="C261" s="16"/>
      <c r="D261" s="16"/>
      <c r="E261" s="17"/>
      <c r="J261" s="19"/>
    </row>
    <row r="262" ht="15.75" customHeight="1">
      <c r="A262" s="16"/>
      <c r="B262" s="16"/>
      <c r="C262" s="16"/>
      <c r="D262" s="16"/>
      <c r="E262" s="17"/>
      <c r="J262" s="19"/>
    </row>
    <row r="263" ht="15.75" customHeight="1">
      <c r="A263" s="16"/>
      <c r="B263" s="16"/>
      <c r="C263" s="16"/>
      <c r="D263" s="16"/>
      <c r="E263" s="17"/>
      <c r="J263" s="19"/>
    </row>
    <row r="264" ht="15.75" customHeight="1">
      <c r="A264" s="16"/>
      <c r="B264" s="16"/>
      <c r="C264" s="16"/>
      <c r="D264" s="16"/>
      <c r="E264" s="17"/>
      <c r="J264" s="19"/>
    </row>
    <row r="265" ht="15.75" customHeight="1">
      <c r="A265" s="16"/>
      <c r="B265" s="16"/>
      <c r="C265" s="16"/>
      <c r="D265" s="16"/>
      <c r="E265" s="17"/>
      <c r="J265" s="19"/>
    </row>
    <row r="266" ht="15.75" customHeight="1">
      <c r="A266" s="16"/>
      <c r="B266" s="16"/>
      <c r="C266" s="16"/>
      <c r="D266" s="16"/>
      <c r="E266" s="17"/>
      <c r="J266" s="19"/>
    </row>
    <row r="267" ht="15.75" customHeight="1">
      <c r="A267" s="16"/>
      <c r="B267" s="16"/>
      <c r="C267" s="16"/>
      <c r="D267" s="16"/>
      <c r="E267" s="17"/>
      <c r="J267" s="19"/>
    </row>
    <row r="268" ht="15.75" customHeight="1">
      <c r="A268" s="16"/>
      <c r="B268" s="16"/>
      <c r="C268" s="16"/>
      <c r="D268" s="16"/>
      <c r="E268" s="17"/>
      <c r="J268" s="19"/>
    </row>
    <row r="269" ht="15.75" customHeight="1">
      <c r="A269" s="16"/>
      <c r="B269" s="16"/>
      <c r="C269" s="16"/>
      <c r="D269" s="16"/>
      <c r="E269" s="17"/>
      <c r="J269" s="19"/>
    </row>
    <row r="270" ht="15.75" customHeight="1">
      <c r="A270" s="16"/>
      <c r="B270" s="16"/>
      <c r="C270" s="16"/>
      <c r="D270" s="16"/>
      <c r="E270" s="17"/>
      <c r="J270" s="19"/>
    </row>
    <row r="271" ht="15.75" customHeight="1">
      <c r="A271" s="16"/>
      <c r="B271" s="16"/>
      <c r="C271" s="16"/>
      <c r="D271" s="16"/>
      <c r="E271" s="17"/>
      <c r="J271" s="19"/>
    </row>
    <row r="272" ht="15.75" customHeight="1">
      <c r="A272" s="16"/>
      <c r="B272" s="16"/>
      <c r="C272" s="16"/>
      <c r="D272" s="16"/>
      <c r="E272" s="17"/>
      <c r="J272" s="19"/>
    </row>
    <row r="273" ht="15.75" customHeight="1">
      <c r="A273" s="16"/>
      <c r="B273" s="16"/>
      <c r="C273" s="16"/>
      <c r="D273" s="16"/>
      <c r="E273" s="17"/>
      <c r="J273" s="19"/>
    </row>
    <row r="274" ht="15.75" customHeight="1">
      <c r="A274" s="16"/>
      <c r="B274" s="16"/>
      <c r="C274" s="16"/>
      <c r="D274" s="16"/>
      <c r="E274" s="17"/>
      <c r="J274" s="19"/>
    </row>
    <row r="275" ht="15.75" customHeight="1">
      <c r="A275" s="16"/>
      <c r="B275" s="16"/>
      <c r="C275" s="16"/>
      <c r="D275" s="16"/>
      <c r="E275" s="17"/>
      <c r="J275" s="19"/>
    </row>
    <row r="276" ht="15.75" customHeight="1">
      <c r="A276" s="16"/>
      <c r="B276" s="16"/>
      <c r="C276" s="16"/>
      <c r="D276" s="16"/>
      <c r="E276" s="17"/>
      <c r="J276" s="19"/>
    </row>
    <row r="277" ht="15.75" customHeight="1">
      <c r="A277" s="16"/>
      <c r="B277" s="16"/>
      <c r="C277" s="16"/>
      <c r="D277" s="16"/>
      <c r="E277" s="17"/>
      <c r="J277" s="19"/>
    </row>
    <row r="278" ht="15.75" customHeight="1">
      <c r="A278" s="16"/>
      <c r="B278" s="16"/>
      <c r="C278" s="16"/>
      <c r="D278" s="16"/>
      <c r="E278" s="17"/>
      <c r="J278" s="19"/>
    </row>
    <row r="279" ht="15.75" customHeight="1">
      <c r="A279" s="16"/>
      <c r="B279" s="16"/>
      <c r="C279" s="16"/>
      <c r="D279" s="16"/>
      <c r="E279" s="17"/>
      <c r="J279" s="19"/>
    </row>
    <row r="280" ht="15.75" customHeight="1">
      <c r="A280" s="16"/>
      <c r="B280" s="16"/>
      <c r="C280" s="16"/>
      <c r="D280" s="16"/>
      <c r="E280" s="17"/>
      <c r="J280" s="19"/>
    </row>
    <row r="281" ht="15.75" customHeight="1">
      <c r="A281" s="16"/>
      <c r="B281" s="16"/>
      <c r="C281" s="16"/>
      <c r="D281" s="16"/>
      <c r="E281" s="17"/>
      <c r="J281" s="19"/>
    </row>
    <row r="282" ht="15.75" customHeight="1">
      <c r="A282" s="16"/>
      <c r="B282" s="16"/>
      <c r="C282" s="16"/>
      <c r="D282" s="16"/>
      <c r="E282" s="17"/>
      <c r="J282" s="19"/>
    </row>
    <row r="283" ht="15.75" customHeight="1">
      <c r="A283" s="16"/>
      <c r="B283" s="16"/>
      <c r="C283" s="16"/>
      <c r="D283" s="16"/>
      <c r="E283" s="17"/>
      <c r="J283" s="19"/>
    </row>
    <row r="284" ht="15.75" customHeight="1">
      <c r="A284" s="16"/>
      <c r="B284" s="16"/>
      <c r="C284" s="16"/>
      <c r="D284" s="16"/>
      <c r="E284" s="17"/>
      <c r="J284" s="19"/>
    </row>
    <row r="285" ht="15.75" customHeight="1">
      <c r="A285" s="16"/>
      <c r="B285" s="16"/>
      <c r="C285" s="16"/>
      <c r="D285" s="16"/>
      <c r="E285" s="17"/>
      <c r="J285" s="19"/>
    </row>
    <row r="286" ht="15.75" customHeight="1">
      <c r="A286" s="16"/>
      <c r="B286" s="16"/>
      <c r="C286" s="16"/>
      <c r="D286" s="16"/>
      <c r="E286" s="17"/>
      <c r="J286" s="19"/>
    </row>
    <row r="287" ht="15.75" customHeight="1">
      <c r="A287" s="16"/>
      <c r="B287" s="16"/>
      <c r="C287" s="16"/>
      <c r="D287" s="16"/>
      <c r="E287" s="17"/>
      <c r="J287" s="19"/>
    </row>
    <row r="288" ht="15.75" customHeight="1">
      <c r="A288" s="16"/>
      <c r="B288" s="16"/>
      <c r="C288" s="16"/>
      <c r="D288" s="16"/>
      <c r="E288" s="17"/>
      <c r="J288" s="19"/>
    </row>
    <row r="289" ht="15.75" customHeight="1">
      <c r="A289" s="16"/>
      <c r="B289" s="16"/>
      <c r="C289" s="16"/>
      <c r="D289" s="16"/>
      <c r="E289" s="17"/>
      <c r="J289" s="19"/>
    </row>
    <row r="290" ht="15.75" customHeight="1">
      <c r="A290" s="16"/>
      <c r="B290" s="16"/>
      <c r="C290" s="16"/>
      <c r="D290" s="16"/>
      <c r="E290" s="17"/>
      <c r="J290" s="19"/>
    </row>
    <row r="291" ht="15.75" customHeight="1">
      <c r="A291" s="16"/>
      <c r="B291" s="16"/>
      <c r="C291" s="16"/>
      <c r="D291" s="16"/>
      <c r="E291" s="17"/>
      <c r="J291" s="19"/>
    </row>
    <row r="292" ht="15.75" customHeight="1">
      <c r="A292" s="16"/>
      <c r="B292" s="16"/>
      <c r="C292" s="16"/>
      <c r="D292" s="16"/>
      <c r="E292" s="17"/>
      <c r="J292" s="19"/>
    </row>
    <row r="293" ht="15.75" customHeight="1">
      <c r="A293" s="16"/>
      <c r="B293" s="16"/>
      <c r="C293" s="16"/>
      <c r="D293" s="16"/>
      <c r="E293" s="17"/>
      <c r="J293" s="19"/>
    </row>
    <row r="294" ht="15.75" customHeight="1">
      <c r="A294" s="16"/>
      <c r="B294" s="16"/>
      <c r="C294" s="16"/>
      <c r="D294" s="16"/>
      <c r="E294" s="17"/>
      <c r="J294" s="19"/>
    </row>
    <row r="295" ht="15.75" customHeight="1">
      <c r="A295" s="16"/>
      <c r="B295" s="16"/>
      <c r="C295" s="16"/>
      <c r="D295" s="16"/>
      <c r="E295" s="17"/>
      <c r="J295" s="19"/>
    </row>
    <row r="296" ht="15.75" customHeight="1">
      <c r="A296" s="16"/>
      <c r="B296" s="16"/>
      <c r="C296" s="16"/>
      <c r="D296" s="16"/>
      <c r="E296" s="17"/>
      <c r="J296" s="19"/>
    </row>
    <row r="297" ht="15.75" customHeight="1">
      <c r="A297" s="16"/>
      <c r="B297" s="16"/>
      <c r="C297" s="16"/>
      <c r="D297" s="16"/>
      <c r="E297" s="17"/>
      <c r="J297" s="19"/>
    </row>
    <row r="298" ht="15.75" customHeight="1">
      <c r="A298" s="16"/>
      <c r="B298" s="16"/>
      <c r="C298" s="16"/>
      <c r="D298" s="16"/>
      <c r="E298" s="17"/>
      <c r="J298" s="19"/>
    </row>
    <row r="299" ht="15.75" customHeight="1">
      <c r="A299" s="16"/>
      <c r="B299" s="16"/>
      <c r="C299" s="16"/>
      <c r="D299" s="16"/>
      <c r="E299" s="17"/>
      <c r="J299" s="19"/>
    </row>
    <row r="300" ht="15.75" customHeight="1">
      <c r="A300" s="16"/>
      <c r="B300" s="16"/>
      <c r="C300" s="16"/>
      <c r="D300" s="16"/>
      <c r="E300" s="17"/>
      <c r="J300" s="19"/>
    </row>
    <row r="301" ht="15.75" customHeight="1">
      <c r="A301" s="16"/>
      <c r="B301" s="16"/>
      <c r="C301" s="16"/>
      <c r="D301" s="16"/>
      <c r="E301" s="17"/>
      <c r="J301" s="19"/>
    </row>
    <row r="302" ht="15.75" customHeight="1">
      <c r="A302" s="16"/>
      <c r="B302" s="16"/>
      <c r="C302" s="16"/>
      <c r="D302" s="16"/>
      <c r="E302" s="17"/>
      <c r="J302" s="19"/>
    </row>
    <row r="303" ht="15.75" customHeight="1">
      <c r="A303" s="16"/>
      <c r="B303" s="16"/>
      <c r="C303" s="16"/>
      <c r="D303" s="16"/>
      <c r="E303" s="17"/>
      <c r="J303" s="19"/>
    </row>
    <row r="304" ht="15.75" customHeight="1">
      <c r="A304" s="16"/>
      <c r="B304" s="16"/>
      <c r="C304" s="16"/>
      <c r="D304" s="16"/>
      <c r="E304" s="17"/>
      <c r="J304" s="19"/>
    </row>
    <row r="305" ht="15.75" customHeight="1">
      <c r="A305" s="16"/>
      <c r="B305" s="16"/>
      <c r="C305" s="16"/>
      <c r="D305" s="16"/>
      <c r="E305" s="17"/>
      <c r="J305" s="19"/>
    </row>
    <row r="306" ht="15.75" customHeight="1">
      <c r="A306" s="16"/>
      <c r="B306" s="16"/>
      <c r="C306" s="16"/>
      <c r="D306" s="16"/>
      <c r="E306" s="17"/>
      <c r="J306" s="19"/>
    </row>
    <row r="307" ht="15.75" customHeight="1">
      <c r="A307" s="16"/>
      <c r="B307" s="16"/>
      <c r="C307" s="16"/>
      <c r="D307" s="16"/>
      <c r="E307" s="17"/>
      <c r="J307" s="19"/>
    </row>
    <row r="308" ht="15.75" customHeight="1">
      <c r="A308" s="16"/>
      <c r="B308" s="16"/>
      <c r="C308" s="16"/>
      <c r="D308" s="16"/>
      <c r="E308" s="17"/>
      <c r="J308" s="19"/>
    </row>
    <row r="309" ht="15.75" customHeight="1">
      <c r="A309" s="16"/>
      <c r="B309" s="16"/>
      <c r="C309" s="16"/>
      <c r="D309" s="16"/>
      <c r="E309" s="17"/>
      <c r="J309" s="19"/>
    </row>
    <row r="310" ht="15.75" customHeight="1">
      <c r="A310" s="16"/>
      <c r="B310" s="16"/>
      <c r="C310" s="16"/>
      <c r="D310" s="16"/>
      <c r="E310" s="17"/>
      <c r="J310" s="19"/>
    </row>
    <row r="311" ht="15.75" customHeight="1">
      <c r="A311" s="16"/>
      <c r="B311" s="16"/>
      <c r="C311" s="16"/>
      <c r="D311" s="16"/>
      <c r="E311" s="17"/>
      <c r="J311" s="19"/>
    </row>
    <row r="312" ht="15.75" customHeight="1">
      <c r="A312" s="16"/>
      <c r="B312" s="16"/>
      <c r="C312" s="16"/>
      <c r="D312" s="16"/>
      <c r="E312" s="17"/>
      <c r="J312" s="19"/>
    </row>
    <row r="313" ht="15.75" customHeight="1">
      <c r="A313" s="16"/>
      <c r="B313" s="16"/>
      <c r="C313" s="16"/>
      <c r="D313" s="16"/>
      <c r="E313" s="17"/>
      <c r="J313" s="19"/>
    </row>
    <row r="314" ht="15.75" customHeight="1">
      <c r="A314" s="16"/>
      <c r="B314" s="16"/>
      <c r="C314" s="16"/>
      <c r="D314" s="16"/>
      <c r="E314" s="17"/>
      <c r="J314" s="19"/>
    </row>
    <row r="315" ht="15.75" customHeight="1">
      <c r="A315" s="16"/>
      <c r="B315" s="16"/>
      <c r="C315" s="16"/>
      <c r="D315" s="16"/>
      <c r="E315" s="17"/>
      <c r="J315" s="19"/>
    </row>
    <row r="316" ht="15.75" customHeight="1">
      <c r="A316" s="16"/>
      <c r="B316" s="16"/>
      <c r="C316" s="16"/>
      <c r="D316" s="16"/>
      <c r="E316" s="17"/>
      <c r="J316" s="19"/>
    </row>
    <row r="317" ht="15.75" customHeight="1">
      <c r="A317" s="16"/>
      <c r="B317" s="16"/>
      <c r="C317" s="16"/>
      <c r="D317" s="16"/>
      <c r="E317" s="17"/>
      <c r="J317" s="19"/>
    </row>
    <row r="318" ht="15.75" customHeight="1">
      <c r="A318" s="16"/>
      <c r="B318" s="16"/>
      <c r="C318" s="16"/>
      <c r="D318" s="16"/>
      <c r="E318" s="17"/>
      <c r="J318" s="19"/>
    </row>
    <row r="319" ht="15.75" customHeight="1">
      <c r="A319" s="16"/>
      <c r="B319" s="16"/>
      <c r="C319" s="16"/>
      <c r="D319" s="16"/>
      <c r="E319" s="17"/>
      <c r="J319" s="19"/>
    </row>
    <row r="320" ht="15.75" customHeight="1">
      <c r="A320" s="16"/>
      <c r="B320" s="16"/>
      <c r="C320" s="16"/>
      <c r="D320" s="16"/>
      <c r="E320" s="17"/>
      <c r="J320" s="19"/>
    </row>
    <row r="321" ht="15.75" customHeight="1">
      <c r="A321" s="16"/>
      <c r="B321" s="16"/>
      <c r="C321" s="16"/>
      <c r="D321" s="16"/>
      <c r="E321" s="17"/>
      <c r="J321" s="19"/>
    </row>
    <row r="322" ht="15.75" customHeight="1">
      <c r="A322" s="16"/>
      <c r="B322" s="16"/>
      <c r="C322" s="16"/>
      <c r="D322" s="16"/>
      <c r="E322" s="17"/>
      <c r="J322" s="19"/>
    </row>
    <row r="323" ht="15.75" customHeight="1">
      <c r="A323" s="16"/>
      <c r="B323" s="16"/>
      <c r="C323" s="16"/>
      <c r="D323" s="16"/>
      <c r="E323" s="17"/>
      <c r="J323" s="19"/>
    </row>
    <row r="324" ht="15.75" customHeight="1">
      <c r="A324" s="16"/>
      <c r="B324" s="16"/>
      <c r="C324" s="16"/>
      <c r="D324" s="16"/>
      <c r="E324" s="17"/>
      <c r="J324" s="19"/>
    </row>
    <row r="325" ht="15.75" customHeight="1">
      <c r="A325" s="16"/>
      <c r="B325" s="16"/>
      <c r="C325" s="16"/>
      <c r="D325" s="16"/>
      <c r="E325" s="17"/>
      <c r="J325" s="19"/>
    </row>
    <row r="326" ht="15.75" customHeight="1">
      <c r="A326" s="16"/>
      <c r="B326" s="16"/>
      <c r="C326" s="16"/>
      <c r="D326" s="16"/>
      <c r="E326" s="17"/>
      <c r="J326" s="19"/>
    </row>
    <row r="327" ht="15.75" customHeight="1">
      <c r="A327" s="16"/>
      <c r="B327" s="16"/>
      <c r="C327" s="16"/>
      <c r="D327" s="16"/>
      <c r="E327" s="17"/>
      <c r="J327" s="19"/>
    </row>
    <row r="328" ht="15.75" customHeight="1">
      <c r="A328" s="16"/>
      <c r="B328" s="16"/>
      <c r="C328" s="16"/>
      <c r="D328" s="16"/>
      <c r="E328" s="17"/>
      <c r="J328" s="19"/>
    </row>
    <row r="329" ht="15.75" customHeight="1">
      <c r="A329" s="16"/>
      <c r="B329" s="16"/>
      <c r="C329" s="16"/>
      <c r="D329" s="16"/>
      <c r="E329" s="17"/>
      <c r="J329" s="19"/>
    </row>
    <row r="330" ht="15.75" customHeight="1">
      <c r="A330" s="16"/>
      <c r="B330" s="16"/>
      <c r="C330" s="16"/>
      <c r="D330" s="16"/>
      <c r="E330" s="17"/>
      <c r="J330" s="19"/>
    </row>
    <row r="331" ht="15.75" customHeight="1">
      <c r="A331" s="16"/>
      <c r="B331" s="16"/>
      <c r="C331" s="16"/>
      <c r="D331" s="16"/>
      <c r="E331" s="17"/>
      <c r="J331" s="19"/>
    </row>
    <row r="332" ht="15.75" customHeight="1">
      <c r="A332" s="16"/>
      <c r="B332" s="16"/>
      <c r="C332" s="16"/>
      <c r="D332" s="16"/>
      <c r="E332" s="17"/>
      <c r="J332" s="19"/>
    </row>
    <row r="333" ht="15.75" customHeight="1">
      <c r="A333" s="16"/>
      <c r="B333" s="16"/>
      <c r="C333" s="16"/>
      <c r="D333" s="16"/>
      <c r="E333" s="17"/>
      <c r="J333" s="19"/>
    </row>
    <row r="334" ht="15.75" customHeight="1">
      <c r="A334" s="16"/>
      <c r="B334" s="16"/>
      <c r="C334" s="16"/>
      <c r="D334" s="16"/>
      <c r="E334" s="17"/>
      <c r="J334" s="19"/>
    </row>
    <row r="335" ht="15.75" customHeight="1">
      <c r="A335" s="16"/>
      <c r="B335" s="16"/>
      <c r="C335" s="16"/>
      <c r="D335" s="16"/>
      <c r="E335" s="17"/>
      <c r="J335" s="19"/>
    </row>
    <row r="336" ht="15.75" customHeight="1">
      <c r="A336" s="16"/>
      <c r="B336" s="16"/>
      <c r="C336" s="16"/>
      <c r="D336" s="16"/>
      <c r="E336" s="17"/>
      <c r="J336" s="19"/>
    </row>
    <row r="337" ht="15.75" customHeight="1">
      <c r="A337" s="16"/>
      <c r="B337" s="16"/>
      <c r="C337" s="16"/>
      <c r="D337" s="16"/>
      <c r="E337" s="17"/>
      <c r="J337" s="19"/>
    </row>
    <row r="338" ht="15.75" customHeight="1">
      <c r="A338" s="16"/>
      <c r="B338" s="16"/>
      <c r="C338" s="16"/>
      <c r="D338" s="16"/>
      <c r="E338" s="17"/>
      <c r="J338" s="19"/>
    </row>
    <row r="339" ht="15.75" customHeight="1">
      <c r="A339" s="16"/>
      <c r="B339" s="16"/>
      <c r="C339" s="16"/>
      <c r="D339" s="16"/>
      <c r="E339" s="17"/>
      <c r="J339" s="19"/>
    </row>
    <row r="340" ht="15.75" customHeight="1">
      <c r="A340" s="16"/>
      <c r="B340" s="16"/>
      <c r="C340" s="16"/>
      <c r="D340" s="16"/>
      <c r="E340" s="17"/>
      <c r="J340" s="19"/>
    </row>
    <row r="341" ht="15.75" customHeight="1">
      <c r="A341" s="16"/>
      <c r="B341" s="16"/>
      <c r="C341" s="16"/>
      <c r="D341" s="16"/>
      <c r="E341" s="17"/>
      <c r="J341" s="19"/>
    </row>
    <row r="342" ht="15.75" customHeight="1">
      <c r="A342" s="16"/>
      <c r="B342" s="16"/>
      <c r="C342" s="16"/>
      <c r="D342" s="16"/>
      <c r="E342" s="17"/>
      <c r="J342" s="19"/>
    </row>
    <row r="343" ht="15.75" customHeight="1">
      <c r="A343" s="16"/>
      <c r="B343" s="16"/>
      <c r="C343" s="16"/>
      <c r="D343" s="16"/>
      <c r="E343" s="17"/>
      <c r="J343" s="19"/>
    </row>
    <row r="344" ht="15.75" customHeight="1">
      <c r="A344" s="16"/>
      <c r="B344" s="16"/>
      <c r="C344" s="16"/>
      <c r="D344" s="16"/>
      <c r="E344" s="17"/>
      <c r="J344" s="19"/>
    </row>
    <row r="345" ht="15.75" customHeight="1">
      <c r="A345" s="16"/>
      <c r="B345" s="16"/>
      <c r="C345" s="16"/>
      <c r="D345" s="16"/>
      <c r="E345" s="17"/>
      <c r="J345" s="19"/>
    </row>
    <row r="346" ht="15.75" customHeight="1">
      <c r="A346" s="16"/>
      <c r="B346" s="16"/>
      <c r="C346" s="16"/>
      <c r="D346" s="16"/>
      <c r="E346" s="17"/>
      <c r="J346" s="19"/>
    </row>
    <row r="347" ht="15.75" customHeight="1">
      <c r="A347" s="16"/>
      <c r="B347" s="16"/>
      <c r="C347" s="16"/>
      <c r="D347" s="16"/>
      <c r="E347" s="17"/>
      <c r="J347" s="19"/>
    </row>
    <row r="348" ht="15.75" customHeight="1">
      <c r="A348" s="16"/>
      <c r="B348" s="16"/>
      <c r="C348" s="16"/>
      <c r="D348" s="16"/>
      <c r="E348" s="17"/>
      <c r="J348" s="19"/>
    </row>
    <row r="349" ht="15.75" customHeight="1">
      <c r="A349" s="16"/>
      <c r="B349" s="16"/>
      <c r="C349" s="16"/>
      <c r="D349" s="16"/>
      <c r="E349" s="17"/>
      <c r="J349" s="19"/>
    </row>
    <row r="350" ht="15.75" customHeight="1">
      <c r="A350" s="16"/>
      <c r="B350" s="16"/>
      <c r="C350" s="16"/>
      <c r="D350" s="16"/>
      <c r="E350" s="17"/>
      <c r="J350" s="19"/>
    </row>
    <row r="351" ht="15.75" customHeight="1">
      <c r="A351" s="16"/>
      <c r="B351" s="16"/>
      <c r="C351" s="16"/>
      <c r="D351" s="16"/>
      <c r="E351" s="17"/>
      <c r="J351" s="19"/>
    </row>
    <row r="352" ht="15.75" customHeight="1">
      <c r="A352" s="16"/>
      <c r="B352" s="16"/>
      <c r="C352" s="16"/>
      <c r="D352" s="16"/>
      <c r="E352" s="17"/>
      <c r="J352" s="19"/>
    </row>
    <row r="353" ht="15.75" customHeight="1">
      <c r="A353" s="16"/>
      <c r="B353" s="16"/>
      <c r="C353" s="16"/>
      <c r="D353" s="16"/>
      <c r="E353" s="17"/>
      <c r="J353" s="19"/>
    </row>
    <row r="354" ht="15.75" customHeight="1">
      <c r="E354" s="56"/>
      <c r="J354" s="19"/>
    </row>
    <row r="355" ht="15.75" customHeight="1">
      <c r="E355" s="56"/>
      <c r="J355" s="19"/>
    </row>
    <row r="356" ht="15.75" customHeight="1">
      <c r="E356" s="56"/>
      <c r="J356" s="19"/>
    </row>
  </sheetData>
  <mergeCells count="24">
    <mergeCell ref="J5:J32"/>
    <mergeCell ref="J33:J60"/>
    <mergeCell ref="J61:J88"/>
    <mergeCell ref="J89:J116"/>
    <mergeCell ref="J117:J144"/>
    <mergeCell ref="J145:J172"/>
    <mergeCell ref="J173:J200"/>
    <mergeCell ref="A2:B2"/>
    <mergeCell ref="D2:J2"/>
    <mergeCell ref="L2:M3"/>
    <mergeCell ref="D5:D32"/>
    <mergeCell ref="E5:E32"/>
    <mergeCell ref="D33:D60"/>
    <mergeCell ref="E33:E60"/>
    <mergeCell ref="D145:D172"/>
    <mergeCell ref="D173:D200"/>
    <mergeCell ref="D61:D88"/>
    <mergeCell ref="E61:E88"/>
    <mergeCell ref="D89:D116"/>
    <mergeCell ref="E89:E116"/>
    <mergeCell ref="D117:D144"/>
    <mergeCell ref="E117:E144"/>
    <mergeCell ref="E145:E172"/>
    <mergeCell ref="E173:E20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