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PAKOJAN 2023" sheetId="2" r:id="rId5"/>
    <sheet state="visible" name="RT 04 PAKOJAN" sheetId="3" r:id="rId6"/>
    <sheet state="visible" name="MULTILAYER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<sst xmlns="http://schemas.openxmlformats.org/spreadsheetml/2006/main" count="415" uniqueCount="180">
  <si>
    <t>DAFTAR NASABAH BANK SAMPAH DIGITAL</t>
  </si>
  <si>
    <t>No</t>
  </si>
  <si>
    <t>Nama Lengkap</t>
  </si>
  <si>
    <t>Sisa Saldo 2022</t>
  </si>
  <si>
    <t>Jan</t>
  </si>
  <si>
    <t>Feb</t>
  </si>
  <si>
    <t>Mart</t>
  </si>
  <si>
    <t>Jun</t>
  </si>
  <si>
    <t>Agustus</t>
  </si>
  <si>
    <t>September</t>
  </si>
  <si>
    <t>Oktober</t>
  </si>
  <si>
    <t>Jumlah Total</t>
  </si>
  <si>
    <t>Total Dicairkan</t>
  </si>
  <si>
    <t>Sisa Saldo</t>
  </si>
  <si>
    <t>Ratu Ulfi Nurul Fitri</t>
  </si>
  <si>
    <t>25/3/2024 90.000</t>
  </si>
  <si>
    <t>Ayu Arsimawati</t>
  </si>
  <si>
    <t>Fadhilah</t>
  </si>
  <si>
    <t>Tb Anur Rofiq</t>
  </si>
  <si>
    <t>25/3/2024 75.000</t>
  </si>
  <si>
    <t>Yunidar</t>
  </si>
  <si>
    <t>Hj. Maryanah</t>
  </si>
  <si>
    <t>Muhammad Arip Saputro</t>
  </si>
  <si>
    <t>H. Hikmatullah</t>
  </si>
  <si>
    <t>Lelly Haknyonowati</t>
  </si>
  <si>
    <t>-</t>
  </si>
  <si>
    <t>Nafiatul Baetiyah</t>
  </si>
  <si>
    <t>25/3/2024 200.000</t>
  </si>
  <si>
    <t>Gia Rosita</t>
  </si>
  <si>
    <t>Hadijah</t>
  </si>
  <si>
    <t>Aghfa Maulana Abifatah</t>
  </si>
  <si>
    <t>Nova Linda</t>
  </si>
  <si>
    <t>Netri</t>
  </si>
  <si>
    <t>Siti Nurhayati</t>
  </si>
  <si>
    <t>Masani</t>
  </si>
  <si>
    <t>Sueb</t>
  </si>
  <si>
    <t>Hj. RT Nafiah</t>
  </si>
  <si>
    <t>Kusmawati</t>
  </si>
  <si>
    <t>Nuraeni</t>
  </si>
  <si>
    <t>Saadijah</t>
  </si>
  <si>
    <t>Suhartini</t>
  </si>
  <si>
    <t>25/3/2024 117.000</t>
  </si>
  <si>
    <t>Hj. Maryatul Kiftiyah</t>
  </si>
  <si>
    <t>Sofiah</t>
  </si>
  <si>
    <t>25/3/2024 88.000</t>
  </si>
  <si>
    <t>Entin Sopa Atin</t>
  </si>
  <si>
    <t>Sunariyah</t>
  </si>
  <si>
    <t>Hj Mariatul Kibtiyah</t>
  </si>
  <si>
    <t>Entin</t>
  </si>
  <si>
    <t>Tb Ozzy</t>
  </si>
  <si>
    <t>25/3/2024 65.000</t>
  </si>
  <si>
    <t>Lindawati</t>
  </si>
  <si>
    <t>Naufal</t>
  </si>
  <si>
    <t>Fauzi</t>
  </si>
  <si>
    <t>Jumlah Nasabah Menabung</t>
  </si>
  <si>
    <t>Total Transaksi</t>
  </si>
  <si>
    <t>Ap</t>
  </si>
  <si>
    <t>Mei</t>
  </si>
  <si>
    <t>5/5/2023 200.000Habis Lebaran</t>
  </si>
  <si>
    <t>20/3/23</t>
  </si>
  <si>
    <t>5/5/2023 300.000 habis Lebaran</t>
  </si>
  <si>
    <t>21/7/2023 182.000</t>
  </si>
  <si>
    <t>11/6/2023 100.000</t>
  </si>
  <si>
    <t>5/5/2023 220.000 habis lebaran</t>
  </si>
  <si>
    <t>21/03/23 150.000</t>
  </si>
  <si>
    <t>6/9/2023 400.000</t>
  </si>
  <si>
    <t>November</t>
  </si>
  <si>
    <t>Desember</t>
  </si>
  <si>
    <t>Januari</t>
  </si>
  <si>
    <t>Februari</t>
  </si>
  <si>
    <t>Maret</t>
  </si>
  <si>
    <t>April</t>
  </si>
  <si>
    <t>Juni</t>
  </si>
  <si>
    <t>Juli</t>
  </si>
  <si>
    <t>20/4/2022120.850</t>
  </si>
  <si>
    <t>26/7/22</t>
  </si>
  <si>
    <t>21/11/2022 1.174.000</t>
  </si>
  <si>
    <t>Tb Ozzy/Fauzi/Oji</t>
  </si>
  <si>
    <t>NOV</t>
  </si>
  <si>
    <t>DES</t>
  </si>
  <si>
    <t>JAN</t>
  </si>
  <si>
    <t>FEB</t>
  </si>
  <si>
    <t>MART</t>
  </si>
  <si>
    <t>APR</t>
  </si>
  <si>
    <t>MEI</t>
  </si>
  <si>
    <t>JUN</t>
  </si>
  <si>
    <t>JUL</t>
  </si>
  <si>
    <t>AGS</t>
  </si>
  <si>
    <t>SEP</t>
  </si>
  <si>
    <t>OKT</t>
  </si>
  <si>
    <t>Nama Bank Sampah</t>
  </si>
  <si>
    <t>Pengurus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</si>
  <si>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</si>
  <si>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</si>
  <si>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</si>
  <si>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</si>
  <si>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</si>
  <si>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</si>
  <si>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</si>
  <si>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01-02-0024-001</t>
  </si>
  <si>
    <t>Kp. Pakojan RT 04 RW 03 Desa Anyar Kec. Anyar Kab Serang</t>
  </si>
  <si>
    <t>Tabungan Uang</t>
  </si>
  <si>
    <t>01-02-0024-002</t>
  </si>
  <si>
    <t>085215059338</t>
  </si>
  <si>
    <t>3604036711760002</t>
  </si>
  <si>
    <t>01-02-0024-003</t>
  </si>
  <si>
    <t>087881757175</t>
  </si>
  <si>
    <t>3604305503790002</t>
  </si>
  <si>
    <t>01-02-0024-004</t>
  </si>
  <si>
    <t>085779053167</t>
  </si>
  <si>
    <t>3604302404660001</t>
  </si>
  <si>
    <t>01-02-0024-005</t>
  </si>
  <si>
    <t>081288740659</t>
  </si>
  <si>
    <t>3604306308630003</t>
  </si>
  <si>
    <t>01-02-0024-006</t>
  </si>
  <si>
    <t>087774844441</t>
  </si>
  <si>
    <t>3604304101590004</t>
  </si>
  <si>
    <t>01-02-0024-007</t>
  </si>
  <si>
    <t>087872221643</t>
  </si>
  <si>
    <t>3604300909940001</t>
  </si>
  <si>
    <t>Kp Kepuh 1 RT 001 RW 002 Kel Anyar Kab Serang</t>
  </si>
  <si>
    <t>01-02-0024-008</t>
  </si>
  <si>
    <t>089638053664</t>
  </si>
  <si>
    <t>01-02-0024-009</t>
  </si>
  <si>
    <t>087884144997</t>
  </si>
  <si>
    <t>3604306511630001</t>
  </si>
  <si>
    <t>01-02-0024-010</t>
  </si>
  <si>
    <t>087780663432</t>
  </si>
  <si>
    <t>3604306406880001</t>
  </si>
  <si>
    <t>01-02-0024-011</t>
  </si>
  <si>
    <t>083813780466</t>
  </si>
  <si>
    <t>3604306409660001</t>
  </si>
  <si>
    <t>01-02-0024-012</t>
  </si>
  <si>
    <t>087771160349</t>
  </si>
  <si>
    <t>3604305704640001</t>
  </si>
  <si>
    <t>01-02-0024-013</t>
  </si>
  <si>
    <t>082249070407</t>
  </si>
  <si>
    <t>3604302805930001</t>
  </si>
  <si>
    <t>01-02-0024-014</t>
  </si>
  <si>
    <t>082312620646</t>
  </si>
  <si>
    <t>3604305207810001</t>
  </si>
  <si>
    <t>01-02-0024-015</t>
  </si>
  <si>
    <t>085313913269</t>
  </si>
  <si>
    <t>3175046108710004</t>
  </si>
  <si>
    <t>01-02-0024-016</t>
  </si>
  <si>
    <t>085946506340</t>
  </si>
  <si>
    <t>3604305312700003</t>
  </si>
  <si>
    <t>01-02-0024-017</t>
  </si>
  <si>
    <t>087771636522</t>
  </si>
  <si>
    <t>3604306910680001</t>
  </si>
  <si>
    <t>01-02-0024-018</t>
  </si>
  <si>
    <t>087771590858</t>
  </si>
  <si>
    <t>3604301207710002</t>
  </si>
  <si>
    <t>01-02-0024-019</t>
  </si>
  <si>
    <t>08975037727</t>
  </si>
  <si>
    <t>3604305308560001</t>
  </si>
  <si>
    <t>01-02-0024-020</t>
  </si>
  <si>
    <t>087701445512</t>
  </si>
  <si>
    <t>01-02-0024-021</t>
  </si>
  <si>
    <t>087871949104</t>
  </si>
  <si>
    <t>3604304501750003</t>
  </si>
  <si>
    <t>01-02-0024-022</t>
  </si>
  <si>
    <t>087871395343</t>
  </si>
  <si>
    <t>36043305404530001</t>
  </si>
  <si>
    <t>01-02-0024-023</t>
  </si>
  <si>
    <t>087809730544</t>
  </si>
  <si>
    <t>3604306210640001</t>
  </si>
  <si>
    <t>01-02-0024-024</t>
  </si>
  <si>
    <t>3604304701500001</t>
  </si>
  <si>
    <t>01-02-0024-025</t>
  </si>
  <si>
    <t>085710546175</t>
  </si>
  <si>
    <t>3604304103580001</t>
  </si>
  <si>
    <t>01-02-0024-026</t>
  </si>
  <si>
    <t>3604305705660001</t>
  </si>
  <si>
    <t>01-02-0024-027</t>
  </si>
  <si>
    <t>01-02-0024-028</t>
  </si>
  <si>
    <t>Hj. Mariatul Kibtiyah</t>
  </si>
  <si>
    <t>01-02-0024-029</t>
  </si>
  <si>
    <t>Tb. Ozzy</t>
  </si>
  <si>
    <t>01-02-0024-030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</si>
</sst>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Rp* #,##0_);_(Rp* (#,##0);_(Rp* &quot;-&quot;??_);_(@_)"/>
    <numFmt numFmtId="165" formatCode="#,##0.0"/>
  </numFmts>
  <fonts count="11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sz val="11.0"/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  <font>
      <sz val="11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2" fontId="3" numFmtId="164" xfId="0" applyAlignment="1" applyBorder="1" applyFill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3" numFmtId="164" xfId="0" applyAlignment="1" applyBorder="1" applyFill="1" applyFont="1" applyNumberFormat="1">
      <alignment readingOrder="0"/>
    </xf>
    <xf borderId="1" fillId="0" fontId="5" numFmtId="0" xfId="0" applyAlignment="1" applyBorder="1" applyFont="1">
      <alignment readingOrder="0" vertical="bottom"/>
    </xf>
    <xf borderId="1" fillId="4" fontId="2" numFmtId="0" xfId="0" applyAlignment="1" applyBorder="1" applyFill="1" applyFont="1">
      <alignment horizontal="center" readingOrder="0"/>
    </xf>
    <xf borderId="1" fillId="4" fontId="5" numFmtId="0" xfId="0" applyAlignment="1" applyBorder="1" applyFont="1">
      <alignment readingOrder="0" vertical="bottom"/>
    </xf>
    <xf borderId="1" fillId="4" fontId="3" numFmtId="164" xfId="0" applyAlignment="1" applyBorder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3" numFmtId="164" xfId="0" applyFont="1" applyNumberFormat="1"/>
    <xf borderId="0" fillId="5" fontId="3" numFmtId="164" xfId="0" applyFill="1" applyFont="1" applyNumberFormat="1"/>
    <xf borderId="0" fillId="3" fontId="1" numFmtId="0" xfId="0" applyAlignment="1" applyFont="1">
      <alignment horizontal="center"/>
    </xf>
    <xf borderId="1" fillId="3" fontId="1" numFmtId="0" xfId="0" applyAlignment="1" applyBorder="1" applyFont="1">
      <alignment horizontal="center" readingOrder="0" vertical="bottom"/>
    </xf>
    <xf borderId="0" fillId="3" fontId="3" numFmtId="0" xfId="0" applyFont="1"/>
    <xf borderId="0" fillId="3" fontId="3" numFmtId="0" xfId="0" applyAlignment="1" applyFont="1">
      <alignment horizontal="center" readingOrder="0"/>
    </xf>
    <xf borderId="0" fillId="3" fontId="3" numFmtId="164" xfId="0" applyFont="1" applyNumberFormat="1"/>
    <xf borderId="0" fillId="0" fontId="1" numFmtId="165" xfId="0" applyAlignment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readingOrder="0"/>
    </xf>
    <xf borderId="0" fillId="0" fontId="3" numFmtId="165" xfId="0" applyFont="1" applyNumberFormat="1"/>
    <xf borderId="0" fillId="0" fontId="3" numFmtId="165" xfId="0" applyAlignment="1" applyFont="1" applyNumberFormat="1">
      <alignment horizontal="center" readingOrder="0"/>
    </xf>
    <xf borderId="0" fillId="5" fontId="3" numFmtId="165" xfId="0" applyFont="1" applyNumberFormat="1"/>
    <xf borderId="0" fillId="0" fontId="6" numFmtId="0" xfId="0" applyFont="1"/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4" numFmtId="0" xfId="0" applyFont="1"/>
    <xf borderId="1" fillId="0" fontId="8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quotePrefix="1"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/>
    </xf>
    <xf quotePrefix="1"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10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15.88"/>
    <col customWidth="1" min="6" max="11" width="14.25"/>
    <col customWidth="1" min="12" max="12" width="15.88"/>
  </cols>
  <sheetData>
    <row r="1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2" t="s">
        <v>11</v>
      </c>
      <c r="L3" s="2" t="s">
        <v>12</v>
      </c>
      <c r="M3" s="2" t="s">
        <v>13</v>
      </c>
    </row>
    <row r="4">
      <c r="A4" s="4">
        <v>1.0</v>
      </c>
      <c r="B4" s="5" t="s">
        <v>14</v>
      </c>
      <c r="C4" s="6">
        <v>72350.0</v>
      </c>
      <c r="D4" s="6">
        <v>7500.0</v>
      </c>
      <c r="E4" s="6">
        <v>7500.0</v>
      </c>
      <c r="F4" s="6">
        <v>5250.0</v>
      </c>
      <c r="G4" s="6">
        <v>24400.0</v>
      </c>
      <c r="H4" s="6"/>
      <c r="I4" s="6"/>
      <c r="J4" s="6"/>
      <c r="K4" s="6">
        <f t="shared" ref="K4:K37" si="1">sum(C4:J4)</f>
        <v>117000</v>
      </c>
      <c r="L4" s="6">
        <v>90000.0</v>
      </c>
      <c r="M4" s="6">
        <f t="shared" ref="M4:M37" si="2">K4-L4</f>
        <v>27000</v>
      </c>
      <c r="N4" s="7" t="s">
        <v>15</v>
      </c>
    </row>
    <row r="5">
      <c r="A5" s="4">
        <v>2.0</v>
      </c>
      <c r="B5" s="5" t="s">
        <v>16</v>
      </c>
      <c r="C5" s="6">
        <v>41850.0</v>
      </c>
      <c r="D5" s="6"/>
      <c r="E5" s="6"/>
      <c r="F5" s="6"/>
      <c r="G5" s="6"/>
      <c r="H5" s="6"/>
      <c r="I5" s="6"/>
      <c r="J5" s="6"/>
      <c r="K5" s="6">
        <f t="shared" si="1"/>
        <v>41850</v>
      </c>
      <c r="L5" s="6"/>
      <c r="M5" s="6">
        <f t="shared" si="2"/>
        <v>41850</v>
      </c>
    </row>
    <row r="6">
      <c r="A6" s="4">
        <v>3.0</v>
      </c>
      <c r="B6" s="5" t="s">
        <v>17</v>
      </c>
      <c r="C6" s="6">
        <v>88500.0</v>
      </c>
      <c r="D6" s="6"/>
      <c r="E6" s="6"/>
      <c r="F6" s="6"/>
      <c r="G6" s="6"/>
      <c r="H6" s="6"/>
      <c r="I6" s="6"/>
      <c r="J6" s="6"/>
      <c r="K6" s="6">
        <f t="shared" si="1"/>
        <v>88500</v>
      </c>
      <c r="L6" s="6"/>
      <c r="M6" s="6">
        <f t="shared" si="2"/>
        <v>88500</v>
      </c>
    </row>
    <row r="7">
      <c r="A7" s="4">
        <v>4.0</v>
      </c>
      <c r="B7" s="5" t="s">
        <v>18</v>
      </c>
      <c r="C7" s="6">
        <v>75525.0</v>
      </c>
      <c r="D7" s="6"/>
      <c r="E7" s="6"/>
      <c r="F7" s="6"/>
      <c r="G7" s="6"/>
      <c r="H7" s="6"/>
      <c r="I7" s="6"/>
      <c r="J7" s="6"/>
      <c r="K7" s="6">
        <f t="shared" si="1"/>
        <v>75525</v>
      </c>
      <c r="L7" s="8">
        <v>75000.0</v>
      </c>
      <c r="M7" s="6">
        <f t="shared" si="2"/>
        <v>525</v>
      </c>
      <c r="N7" s="7" t="s">
        <v>19</v>
      </c>
    </row>
    <row r="8">
      <c r="A8" s="4">
        <v>5.0</v>
      </c>
      <c r="B8" s="5" t="s">
        <v>20</v>
      </c>
      <c r="C8" s="6">
        <v>8600.0</v>
      </c>
      <c r="D8" s="6"/>
      <c r="E8" s="6"/>
      <c r="F8" s="6"/>
      <c r="G8" s="6"/>
      <c r="H8" s="6"/>
      <c r="I8" s="6"/>
      <c r="J8" s="6"/>
      <c r="K8" s="6">
        <f t="shared" si="1"/>
        <v>8600</v>
      </c>
      <c r="L8" s="6"/>
      <c r="M8" s="6">
        <f t="shared" si="2"/>
        <v>8600</v>
      </c>
    </row>
    <row r="9">
      <c r="A9" s="4">
        <v>6.0</v>
      </c>
      <c r="B9" s="5" t="s">
        <v>21</v>
      </c>
      <c r="C9" s="6">
        <v>27900.0</v>
      </c>
      <c r="D9" s="6"/>
      <c r="E9" s="6"/>
      <c r="F9" s="6"/>
      <c r="G9" s="6"/>
      <c r="H9" s="6"/>
      <c r="I9" s="6"/>
      <c r="J9" s="6"/>
      <c r="K9" s="6">
        <f t="shared" si="1"/>
        <v>27900</v>
      </c>
      <c r="L9" s="6"/>
      <c r="M9" s="6">
        <f t="shared" si="2"/>
        <v>27900</v>
      </c>
    </row>
    <row r="10">
      <c r="A10" s="4">
        <v>7.0</v>
      </c>
      <c r="B10" s="5" t="s">
        <v>22</v>
      </c>
      <c r="C10" s="6">
        <v>20000.0</v>
      </c>
      <c r="D10" s="6"/>
      <c r="E10" s="6"/>
      <c r="F10" s="6"/>
      <c r="G10" s="6"/>
      <c r="H10" s="6"/>
      <c r="I10" s="6"/>
      <c r="J10" s="6"/>
      <c r="K10" s="6">
        <f t="shared" si="1"/>
        <v>20000</v>
      </c>
      <c r="L10" s="6"/>
      <c r="M10" s="6">
        <f t="shared" si="2"/>
        <v>20000</v>
      </c>
    </row>
    <row r="11">
      <c r="A11" s="4">
        <v>8.0</v>
      </c>
      <c r="B11" s="5" t="s">
        <v>23</v>
      </c>
      <c r="C11" s="6">
        <v>8600.0</v>
      </c>
      <c r="D11" s="6"/>
      <c r="E11" s="6"/>
      <c r="F11" s="6"/>
      <c r="G11" s="6"/>
      <c r="H11" s="6"/>
      <c r="I11" s="6"/>
      <c r="J11" s="6"/>
      <c r="K11" s="6">
        <f t="shared" si="1"/>
        <v>8600</v>
      </c>
      <c r="L11" s="6"/>
      <c r="M11" s="6">
        <f t="shared" si="2"/>
        <v>8600</v>
      </c>
    </row>
    <row r="12">
      <c r="A12" s="4">
        <v>9.0</v>
      </c>
      <c r="B12" s="5" t="s">
        <v>24</v>
      </c>
      <c r="C12" s="6" t="s">
        <v>25</v>
      </c>
      <c r="D12" s="6"/>
      <c r="E12" s="6"/>
      <c r="F12" s="6"/>
      <c r="G12" s="6"/>
      <c r="H12" s="6"/>
      <c r="I12" s="6"/>
      <c r="J12" s="6"/>
      <c r="K12" s="6">
        <f t="shared" si="1"/>
        <v>0</v>
      </c>
      <c r="L12" s="6"/>
      <c r="M12" s="6">
        <f t="shared" si="2"/>
        <v>0</v>
      </c>
    </row>
    <row r="13">
      <c r="A13" s="4">
        <v>10.0</v>
      </c>
      <c r="B13" s="5" t="s">
        <v>26</v>
      </c>
      <c r="C13" s="6">
        <v>159750.0</v>
      </c>
      <c r="D13" s="6">
        <v>43100.0</v>
      </c>
      <c r="E13" s="6"/>
      <c r="F13" s="6">
        <v>27400.0</v>
      </c>
      <c r="G13" s="6">
        <v>10600.0</v>
      </c>
      <c r="H13" s="6"/>
      <c r="I13" s="6"/>
      <c r="J13" s="6"/>
      <c r="K13" s="6">
        <f t="shared" si="1"/>
        <v>240850</v>
      </c>
      <c r="L13" s="8">
        <v>200000.0</v>
      </c>
      <c r="M13" s="6">
        <f t="shared" si="2"/>
        <v>40850</v>
      </c>
      <c r="N13" s="7" t="s">
        <v>27</v>
      </c>
    </row>
    <row r="14">
      <c r="A14" s="4">
        <v>11.0</v>
      </c>
      <c r="B14" s="9" t="s">
        <v>28</v>
      </c>
      <c r="C14" s="6">
        <v>6830.0</v>
      </c>
      <c r="D14" s="6"/>
      <c r="E14" s="6"/>
      <c r="F14" s="6"/>
      <c r="G14" s="6"/>
      <c r="H14" s="6"/>
      <c r="I14" s="6"/>
      <c r="J14" s="6"/>
      <c r="K14" s="6">
        <f t="shared" si="1"/>
        <v>6830</v>
      </c>
      <c r="L14" s="6"/>
      <c r="M14" s="6">
        <f t="shared" si="2"/>
        <v>6830</v>
      </c>
    </row>
    <row r="15">
      <c r="A15" s="4">
        <v>12.0</v>
      </c>
      <c r="B15" s="10" t="s">
        <v>29</v>
      </c>
      <c r="C15" s="6">
        <v>16675.0</v>
      </c>
      <c r="D15" s="6"/>
      <c r="E15" s="6"/>
      <c r="F15" s="6"/>
      <c r="G15" s="6"/>
      <c r="H15" s="6"/>
      <c r="I15" s="6"/>
      <c r="J15" s="6"/>
      <c r="K15" s="6">
        <f t="shared" si="1"/>
        <v>16675</v>
      </c>
      <c r="L15" s="6"/>
      <c r="M15" s="6">
        <f t="shared" si="2"/>
        <v>16675</v>
      </c>
    </row>
    <row r="16">
      <c r="A16" s="4">
        <v>13.0</v>
      </c>
      <c r="B16" s="10" t="s">
        <v>30</v>
      </c>
      <c r="C16" s="6">
        <v>68550.0</v>
      </c>
      <c r="D16" s="6"/>
      <c r="E16" s="6"/>
      <c r="F16" s="6"/>
      <c r="G16" s="6"/>
      <c r="H16" s="6"/>
      <c r="I16" s="6"/>
      <c r="J16" s="6"/>
      <c r="K16" s="6">
        <f t="shared" si="1"/>
        <v>68550</v>
      </c>
      <c r="L16" s="6"/>
      <c r="M16" s="6">
        <f t="shared" si="2"/>
        <v>68550</v>
      </c>
    </row>
    <row r="17">
      <c r="A17" s="4">
        <v>14.0</v>
      </c>
      <c r="B17" s="10" t="s">
        <v>31</v>
      </c>
      <c r="C17" s="6" t="s">
        <v>25</v>
      </c>
      <c r="D17" s="6"/>
      <c r="E17" s="6"/>
      <c r="F17" s="6"/>
      <c r="G17" s="6"/>
      <c r="H17" s="6"/>
      <c r="I17" s="6"/>
      <c r="J17" s="6"/>
      <c r="K17" s="6">
        <f t="shared" si="1"/>
        <v>0</v>
      </c>
      <c r="L17" s="6"/>
      <c r="M17" s="6">
        <f t="shared" si="2"/>
        <v>0</v>
      </c>
    </row>
    <row r="18">
      <c r="A18" s="4">
        <v>15.0</v>
      </c>
      <c r="B18" s="10" t="s">
        <v>32</v>
      </c>
      <c r="C18" s="6" t="s">
        <v>25</v>
      </c>
      <c r="D18" s="6"/>
      <c r="E18" s="6"/>
      <c r="F18" s="6"/>
      <c r="G18" s="6"/>
      <c r="H18" s="6"/>
      <c r="I18" s="6"/>
      <c r="J18" s="6"/>
      <c r="K18" s="6">
        <f t="shared" si="1"/>
        <v>0</v>
      </c>
      <c r="L18" s="6"/>
      <c r="M18" s="6">
        <f t="shared" si="2"/>
        <v>0</v>
      </c>
    </row>
    <row r="19">
      <c r="A19" s="4">
        <v>16.0</v>
      </c>
      <c r="B19" s="10" t="s">
        <v>33</v>
      </c>
      <c r="C19" s="6" t="s">
        <v>25</v>
      </c>
      <c r="D19" s="6"/>
      <c r="E19" s="6"/>
      <c r="F19" s="6"/>
      <c r="G19" s="6"/>
      <c r="H19" s="6"/>
      <c r="I19" s="6"/>
      <c r="J19" s="6"/>
      <c r="K19" s="6">
        <f t="shared" si="1"/>
        <v>0</v>
      </c>
      <c r="L19" s="6"/>
      <c r="M19" s="6">
        <f t="shared" si="2"/>
        <v>0</v>
      </c>
    </row>
    <row r="20">
      <c r="A20" s="4">
        <v>17.0</v>
      </c>
      <c r="B20" s="10" t="s">
        <v>34</v>
      </c>
      <c r="C20" s="6">
        <v>92775.0</v>
      </c>
      <c r="D20" s="6"/>
      <c r="E20" s="6"/>
      <c r="F20" s="6"/>
      <c r="G20" s="6"/>
      <c r="H20" s="6"/>
      <c r="I20" s="6"/>
      <c r="J20" s="6"/>
      <c r="K20" s="6">
        <f t="shared" si="1"/>
        <v>92775</v>
      </c>
      <c r="L20" s="6"/>
      <c r="M20" s="6">
        <f t="shared" si="2"/>
        <v>92775</v>
      </c>
    </row>
    <row r="21">
      <c r="A21" s="4">
        <v>18.0</v>
      </c>
      <c r="B21" s="10" t="s">
        <v>35</v>
      </c>
      <c r="C21" s="6">
        <v>150.0</v>
      </c>
      <c r="D21" s="6"/>
      <c r="E21" s="6"/>
      <c r="F21" s="6"/>
      <c r="G21" s="6"/>
      <c r="H21" s="6"/>
      <c r="I21" s="6"/>
      <c r="J21" s="6"/>
      <c r="K21" s="6">
        <f t="shared" si="1"/>
        <v>150</v>
      </c>
      <c r="L21" s="6"/>
      <c r="M21" s="6">
        <f t="shared" si="2"/>
        <v>150</v>
      </c>
    </row>
    <row r="22">
      <c r="A22" s="4">
        <v>19.0</v>
      </c>
      <c r="B22" s="10" t="s">
        <v>36</v>
      </c>
      <c r="C22" s="11">
        <v>30800.0</v>
      </c>
      <c r="D22" s="6"/>
      <c r="E22" s="6"/>
      <c r="F22" s="6"/>
      <c r="G22" s="6"/>
      <c r="H22" s="6"/>
      <c r="I22" s="6"/>
      <c r="J22" s="6"/>
      <c r="K22" s="6">
        <f t="shared" si="1"/>
        <v>30800</v>
      </c>
      <c r="L22" s="8">
        <v>30000.0</v>
      </c>
      <c r="M22" s="6">
        <f t="shared" si="2"/>
        <v>800</v>
      </c>
    </row>
    <row r="23">
      <c r="A23" s="4">
        <v>20.0</v>
      </c>
      <c r="B23" s="10" t="s">
        <v>37</v>
      </c>
      <c r="C23" s="6">
        <v>4500.0</v>
      </c>
      <c r="D23" s="6"/>
      <c r="E23" s="6"/>
      <c r="F23" s="6"/>
      <c r="G23" s="6"/>
      <c r="H23" s="6"/>
      <c r="I23" s="6"/>
      <c r="J23" s="6"/>
      <c r="K23" s="6">
        <f t="shared" si="1"/>
        <v>4500</v>
      </c>
      <c r="L23" s="6"/>
      <c r="M23" s="6">
        <f t="shared" si="2"/>
        <v>4500</v>
      </c>
    </row>
    <row r="24">
      <c r="A24" s="4">
        <v>21.0</v>
      </c>
      <c r="B24" s="12" t="s">
        <v>38</v>
      </c>
      <c r="C24" s="6">
        <v>61900.0</v>
      </c>
      <c r="D24" s="6"/>
      <c r="E24" s="6"/>
      <c r="F24" s="6"/>
      <c r="G24" s="6"/>
      <c r="H24" s="6"/>
      <c r="I24" s="6"/>
      <c r="J24" s="6"/>
      <c r="K24" s="6">
        <f t="shared" si="1"/>
        <v>61900</v>
      </c>
      <c r="L24" s="6"/>
      <c r="M24" s="6">
        <f t="shared" si="2"/>
        <v>61900</v>
      </c>
    </row>
    <row r="25">
      <c r="A25" s="4">
        <v>22.0</v>
      </c>
      <c r="B25" s="12" t="s">
        <v>39</v>
      </c>
      <c r="C25" s="6">
        <v>11450.0</v>
      </c>
      <c r="D25" s="6"/>
      <c r="E25" s="6"/>
      <c r="F25" s="6"/>
      <c r="G25" s="6"/>
      <c r="H25" s="6"/>
      <c r="I25" s="6"/>
      <c r="J25" s="6"/>
      <c r="K25" s="6">
        <f t="shared" si="1"/>
        <v>11450</v>
      </c>
      <c r="L25" s="6"/>
      <c r="M25" s="6">
        <f t="shared" si="2"/>
        <v>11450</v>
      </c>
    </row>
    <row r="26">
      <c r="A26" s="4">
        <v>23.0</v>
      </c>
      <c r="B26" s="12" t="s">
        <v>40</v>
      </c>
      <c r="C26" s="6">
        <v>83050.0</v>
      </c>
      <c r="D26" s="6"/>
      <c r="E26" s="6">
        <v>35000.0</v>
      </c>
      <c r="F26" s="6"/>
      <c r="G26" s="6">
        <v>15400.0</v>
      </c>
      <c r="H26" s="6"/>
      <c r="I26" s="6"/>
      <c r="J26" s="6"/>
      <c r="K26" s="6">
        <f t="shared" si="1"/>
        <v>133450</v>
      </c>
      <c r="L26" s="8">
        <v>117000.0</v>
      </c>
      <c r="M26" s="6">
        <f t="shared" si="2"/>
        <v>16450</v>
      </c>
      <c r="N26" s="7" t="s">
        <v>41</v>
      </c>
    </row>
    <row r="27">
      <c r="A27" s="4">
        <v>24.0</v>
      </c>
      <c r="B27" s="12" t="s">
        <v>42</v>
      </c>
      <c r="C27" s="6">
        <v>71000.0</v>
      </c>
      <c r="D27" s="6"/>
      <c r="E27" s="6"/>
      <c r="F27" s="6"/>
      <c r="G27" s="6"/>
      <c r="H27" s="6"/>
      <c r="I27" s="6"/>
      <c r="J27" s="6"/>
      <c r="K27" s="6">
        <f t="shared" si="1"/>
        <v>71000</v>
      </c>
      <c r="L27" s="6"/>
      <c r="M27" s="6">
        <f t="shared" si="2"/>
        <v>71000</v>
      </c>
    </row>
    <row r="28">
      <c r="A28" s="13">
        <v>25.0</v>
      </c>
      <c r="B28" s="14" t="s">
        <v>43</v>
      </c>
      <c r="C28" s="15">
        <v>88100.0</v>
      </c>
      <c r="D28" s="15"/>
      <c r="E28" s="15"/>
      <c r="F28" s="15"/>
      <c r="G28" s="15"/>
      <c r="H28" s="15"/>
      <c r="I28" s="15"/>
      <c r="J28" s="15"/>
      <c r="K28" s="15">
        <f t="shared" si="1"/>
        <v>88100</v>
      </c>
      <c r="L28" s="15">
        <v>88000.0</v>
      </c>
      <c r="M28" s="15">
        <f t="shared" si="2"/>
        <v>100</v>
      </c>
      <c r="N28" s="16" t="s">
        <v>44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4">
        <v>26.0</v>
      </c>
      <c r="B29" s="12" t="s">
        <v>45</v>
      </c>
      <c r="C29" s="6">
        <v>24150.0</v>
      </c>
      <c r="D29" s="6"/>
      <c r="E29" s="6"/>
      <c r="F29" s="6"/>
      <c r="G29" s="6"/>
      <c r="H29" s="6"/>
      <c r="I29" s="6"/>
      <c r="J29" s="6"/>
      <c r="K29" s="6">
        <f t="shared" si="1"/>
        <v>24150</v>
      </c>
      <c r="L29" s="6"/>
      <c r="M29" s="6">
        <f t="shared" si="2"/>
        <v>24150</v>
      </c>
    </row>
    <row r="30">
      <c r="A30" s="4">
        <v>27.0</v>
      </c>
      <c r="B30" s="12" t="s">
        <v>46</v>
      </c>
      <c r="C30" s="6">
        <v>3000.0</v>
      </c>
      <c r="D30" s="6"/>
      <c r="E30" s="6"/>
      <c r="F30" s="6"/>
      <c r="G30" s="6"/>
      <c r="H30" s="6"/>
      <c r="I30" s="6"/>
      <c r="J30" s="6"/>
      <c r="K30" s="6">
        <f t="shared" si="1"/>
        <v>3000</v>
      </c>
      <c r="L30" s="6"/>
      <c r="M30" s="6">
        <f t="shared" si="2"/>
        <v>3000</v>
      </c>
    </row>
    <row r="31">
      <c r="A31" s="4">
        <v>28.0</v>
      </c>
      <c r="B31" s="12" t="s">
        <v>34</v>
      </c>
      <c r="C31" s="6">
        <v>74900.0</v>
      </c>
      <c r="D31" s="6"/>
      <c r="E31" s="6"/>
      <c r="F31" s="6"/>
      <c r="G31" s="6"/>
      <c r="H31" s="6"/>
      <c r="I31" s="6"/>
      <c r="J31" s="6"/>
      <c r="K31" s="6">
        <f t="shared" si="1"/>
        <v>74900</v>
      </c>
      <c r="L31" s="6"/>
      <c r="M31" s="6">
        <f t="shared" si="2"/>
        <v>74900</v>
      </c>
    </row>
    <row r="32">
      <c r="A32" s="4">
        <v>29.0</v>
      </c>
      <c r="B32" s="12" t="s">
        <v>47</v>
      </c>
      <c r="C32" s="6">
        <v>32200.0</v>
      </c>
      <c r="D32" s="6"/>
      <c r="E32" s="6"/>
      <c r="F32" s="6"/>
      <c r="G32" s="6"/>
      <c r="H32" s="6"/>
      <c r="I32" s="6"/>
      <c r="J32" s="6"/>
      <c r="K32" s="6">
        <f t="shared" si="1"/>
        <v>32200</v>
      </c>
      <c r="L32" s="6"/>
      <c r="M32" s="6">
        <f t="shared" si="2"/>
        <v>32200</v>
      </c>
    </row>
    <row r="33">
      <c r="A33" s="4">
        <v>30.0</v>
      </c>
      <c r="B33" s="12" t="s">
        <v>48</v>
      </c>
      <c r="C33" s="6">
        <v>4650.0</v>
      </c>
      <c r="D33" s="6"/>
      <c r="E33" s="6"/>
      <c r="F33" s="6"/>
      <c r="G33" s="6"/>
      <c r="H33" s="6"/>
      <c r="I33" s="6"/>
      <c r="J33" s="6"/>
      <c r="K33" s="6">
        <f t="shared" si="1"/>
        <v>4650</v>
      </c>
      <c r="L33" s="6"/>
      <c r="M33" s="6">
        <f t="shared" si="2"/>
        <v>4650</v>
      </c>
    </row>
    <row r="34">
      <c r="A34" s="4">
        <v>31.0</v>
      </c>
      <c r="B34" s="12" t="s">
        <v>49</v>
      </c>
      <c r="C34" s="6">
        <v>119950.0</v>
      </c>
      <c r="D34" s="6"/>
      <c r="E34" s="6"/>
      <c r="F34" s="6"/>
      <c r="G34" s="6"/>
      <c r="H34" s="6"/>
      <c r="I34" s="6"/>
      <c r="J34" s="6"/>
      <c r="K34" s="6">
        <f t="shared" si="1"/>
        <v>119950</v>
      </c>
      <c r="L34" s="8">
        <v>65000.0</v>
      </c>
      <c r="M34" s="6">
        <f t="shared" si="2"/>
        <v>54950</v>
      </c>
      <c r="N34" s="7" t="s">
        <v>50</v>
      </c>
    </row>
    <row r="35">
      <c r="A35" s="4">
        <v>32.0</v>
      </c>
      <c r="B35" s="12" t="s">
        <v>51</v>
      </c>
      <c r="C35" s="6">
        <v>68500.0</v>
      </c>
      <c r="D35" s="6"/>
      <c r="E35" s="6"/>
      <c r="F35" s="6"/>
      <c r="G35" s="6"/>
      <c r="H35" s="6"/>
      <c r="I35" s="6"/>
      <c r="J35" s="6"/>
      <c r="K35" s="6">
        <f t="shared" si="1"/>
        <v>68500</v>
      </c>
      <c r="L35" s="6"/>
      <c r="M35" s="6">
        <f t="shared" si="2"/>
        <v>68500</v>
      </c>
    </row>
    <row r="36">
      <c r="A36" s="4">
        <v>33.0</v>
      </c>
      <c r="B36" s="12" t="s">
        <v>52</v>
      </c>
      <c r="C36" s="6">
        <v>4400.0</v>
      </c>
      <c r="D36" s="6"/>
      <c r="E36" s="6"/>
      <c r="F36" s="6"/>
      <c r="G36" s="6"/>
      <c r="H36" s="6"/>
      <c r="I36" s="6"/>
      <c r="J36" s="6"/>
      <c r="K36" s="6">
        <f t="shared" si="1"/>
        <v>4400</v>
      </c>
      <c r="L36" s="6"/>
      <c r="M36" s="6">
        <f t="shared" si="2"/>
        <v>4400</v>
      </c>
    </row>
    <row r="37">
      <c r="A37" s="4">
        <v>34.0</v>
      </c>
      <c r="B37" s="12" t="s">
        <v>53</v>
      </c>
      <c r="C37" s="6">
        <v>94750.0</v>
      </c>
      <c r="D37" s="6"/>
      <c r="E37" s="6"/>
      <c r="F37" s="6"/>
      <c r="G37" s="6"/>
      <c r="H37" s="6"/>
      <c r="I37" s="6"/>
      <c r="J37" s="6"/>
      <c r="K37" s="6">
        <f t="shared" si="1"/>
        <v>94750</v>
      </c>
      <c r="L37" s="6"/>
      <c r="M37" s="6">
        <f t="shared" si="2"/>
        <v>94750</v>
      </c>
    </row>
    <row r="38">
      <c r="B38" s="18"/>
    </row>
    <row r="39">
      <c r="B39" s="19" t="s">
        <v>54</v>
      </c>
      <c r="C39" s="20"/>
      <c r="D39" s="20">
        <v>4.0</v>
      </c>
      <c r="E39" s="20">
        <v>2.0</v>
      </c>
      <c r="G39" s="20"/>
      <c r="H39" s="20"/>
      <c r="I39" s="20"/>
      <c r="J39" s="20"/>
    </row>
    <row r="40">
      <c r="B40" s="21" t="s">
        <v>55</v>
      </c>
      <c r="C40" s="22">
        <f>sum(C4:C37)</f>
        <v>1465355</v>
      </c>
      <c r="D40" s="22">
        <f>SUM(D4:D34)</f>
        <v>50600</v>
      </c>
      <c r="E40" s="22">
        <f>SUM(E4:E37)</f>
        <v>42500</v>
      </c>
      <c r="F40" s="22">
        <f t="shared" ref="F40:J40" si="3">SUM(F4:F34)</f>
        <v>32650</v>
      </c>
      <c r="G40" s="22">
        <f t="shared" si="3"/>
        <v>50400</v>
      </c>
      <c r="H40" s="22">
        <f t="shared" si="3"/>
        <v>0</v>
      </c>
      <c r="I40" s="22">
        <f t="shared" si="3"/>
        <v>0</v>
      </c>
      <c r="J40" s="22">
        <f t="shared" si="3"/>
        <v>0</v>
      </c>
      <c r="K40" s="23">
        <f>SUM(K4:K37)</f>
        <v>1641505</v>
      </c>
      <c r="L40" s="22">
        <f>sum(L4:L34)</f>
        <v>665000</v>
      </c>
      <c r="M40" s="22">
        <f>sum(M4:M37)</f>
        <v>976505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15.88"/>
    <col customWidth="1" min="6" max="13" width="14.25"/>
    <col customWidth="1" min="14" max="14" width="15.88"/>
  </cols>
  <sheetData>
    <row r="1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56</v>
      </c>
      <c r="H3" s="3" t="s">
        <v>57</v>
      </c>
      <c r="I3" s="3" t="s">
        <v>7</v>
      </c>
      <c r="J3" s="3" t="s">
        <v>8</v>
      </c>
      <c r="K3" s="3" t="s">
        <v>9</v>
      </c>
      <c r="L3" s="3" t="s">
        <v>10</v>
      </c>
      <c r="M3" s="2" t="s">
        <v>11</v>
      </c>
      <c r="N3" s="2" t="s">
        <v>12</v>
      </c>
      <c r="O3" s="2" t="s">
        <v>13</v>
      </c>
    </row>
    <row r="4">
      <c r="A4" s="4">
        <v>1.0</v>
      </c>
      <c r="B4" s="5" t="s">
        <v>14</v>
      </c>
      <c r="C4" s="6">
        <v>216900.0</v>
      </c>
      <c r="D4" s="6"/>
      <c r="E4" s="6">
        <v>11550.0</v>
      </c>
      <c r="F4" s="6"/>
      <c r="G4" s="6"/>
      <c r="H4" s="6"/>
      <c r="I4" s="6">
        <v>6000.0</v>
      </c>
      <c r="J4" s="6">
        <v>15600.0</v>
      </c>
      <c r="K4" s="6">
        <v>5450.0</v>
      </c>
      <c r="L4" s="6">
        <v>16850.0</v>
      </c>
      <c r="M4" s="6">
        <f t="shared" ref="M4:M37" si="1">sum(C4:L4)</f>
        <v>272350</v>
      </c>
      <c r="N4" s="6">
        <v>200000.0</v>
      </c>
      <c r="O4" s="6">
        <f t="shared" ref="O4:O37" si="2">M4-N4</f>
        <v>72350</v>
      </c>
      <c r="P4" s="7" t="s">
        <v>58</v>
      </c>
    </row>
    <row r="5">
      <c r="A5" s="4">
        <v>2.0</v>
      </c>
      <c r="B5" s="5" t="s">
        <v>16</v>
      </c>
      <c r="C5" s="6">
        <v>41850.0</v>
      </c>
      <c r="D5" s="6"/>
      <c r="E5" s="6"/>
      <c r="F5" s="6"/>
      <c r="G5" s="6"/>
      <c r="H5" s="6"/>
      <c r="I5" s="6"/>
      <c r="J5" s="6"/>
      <c r="K5" s="6"/>
      <c r="L5" s="6"/>
      <c r="M5" s="6">
        <f t="shared" si="1"/>
        <v>41850</v>
      </c>
      <c r="N5" s="6"/>
      <c r="O5" s="6">
        <f t="shared" si="2"/>
        <v>41850</v>
      </c>
    </row>
    <row r="6">
      <c r="A6" s="4">
        <v>3.0</v>
      </c>
      <c r="B6" s="5" t="s">
        <v>17</v>
      </c>
      <c r="C6" s="6">
        <v>69600.0</v>
      </c>
      <c r="D6" s="6"/>
      <c r="E6" s="6"/>
      <c r="F6" s="6"/>
      <c r="G6" s="6"/>
      <c r="H6" s="6">
        <v>18900.0</v>
      </c>
      <c r="I6" s="6"/>
      <c r="J6" s="6"/>
      <c r="K6" s="6"/>
      <c r="L6" s="6"/>
      <c r="M6" s="6">
        <f t="shared" si="1"/>
        <v>88500</v>
      </c>
      <c r="N6" s="6"/>
      <c r="O6" s="6">
        <f t="shared" si="2"/>
        <v>88500</v>
      </c>
    </row>
    <row r="7">
      <c r="A7" s="4">
        <v>4.0</v>
      </c>
      <c r="B7" s="5" t="s">
        <v>18</v>
      </c>
      <c r="C7" s="6">
        <v>75525.0</v>
      </c>
      <c r="D7" s="6"/>
      <c r="E7" s="6"/>
      <c r="F7" s="6"/>
      <c r="G7" s="6"/>
      <c r="H7" s="6"/>
      <c r="I7" s="6"/>
      <c r="J7" s="6"/>
      <c r="K7" s="6"/>
      <c r="L7" s="6"/>
      <c r="M7" s="6">
        <f t="shared" si="1"/>
        <v>75525</v>
      </c>
      <c r="N7" s="6"/>
      <c r="O7" s="6">
        <f t="shared" si="2"/>
        <v>75525</v>
      </c>
    </row>
    <row r="8">
      <c r="A8" s="4">
        <v>5.0</v>
      </c>
      <c r="B8" s="5" t="s">
        <v>20</v>
      </c>
      <c r="C8" s="6">
        <v>8600.0</v>
      </c>
      <c r="D8" s="6"/>
      <c r="E8" s="6"/>
      <c r="F8" s="6"/>
      <c r="G8" s="6"/>
      <c r="H8" s="6"/>
      <c r="I8" s="6"/>
      <c r="J8" s="6"/>
      <c r="K8" s="6"/>
      <c r="L8" s="6"/>
      <c r="M8" s="6">
        <f t="shared" si="1"/>
        <v>8600</v>
      </c>
      <c r="N8" s="6"/>
      <c r="O8" s="6">
        <f t="shared" si="2"/>
        <v>8600</v>
      </c>
    </row>
    <row r="9">
      <c r="A9" s="4">
        <v>6.0</v>
      </c>
      <c r="B9" s="5" t="s">
        <v>21</v>
      </c>
      <c r="C9" s="6">
        <v>27900.0</v>
      </c>
      <c r="D9" s="6"/>
      <c r="E9" s="6"/>
      <c r="F9" s="6"/>
      <c r="G9" s="6"/>
      <c r="H9" s="6"/>
      <c r="I9" s="6"/>
      <c r="J9" s="6"/>
      <c r="K9" s="6"/>
      <c r="L9" s="6"/>
      <c r="M9" s="6">
        <f t="shared" si="1"/>
        <v>27900</v>
      </c>
      <c r="N9" s="6"/>
      <c r="O9" s="6">
        <f t="shared" si="2"/>
        <v>27900</v>
      </c>
    </row>
    <row r="10">
      <c r="A10" s="4">
        <v>7.0</v>
      </c>
      <c r="B10" s="5" t="s">
        <v>22</v>
      </c>
      <c r="C10" s="6">
        <v>20000.0</v>
      </c>
      <c r="D10" s="6"/>
      <c r="E10" s="6"/>
      <c r="F10" s="6"/>
      <c r="G10" s="6"/>
      <c r="H10" s="6"/>
      <c r="I10" s="6"/>
      <c r="J10" s="6"/>
      <c r="K10" s="6"/>
      <c r="L10" s="6"/>
      <c r="M10" s="6">
        <f t="shared" si="1"/>
        <v>20000</v>
      </c>
      <c r="N10" s="6"/>
      <c r="O10" s="6">
        <f t="shared" si="2"/>
        <v>20000</v>
      </c>
    </row>
    <row r="11">
      <c r="A11" s="4">
        <v>8.0</v>
      </c>
      <c r="B11" s="5" t="s">
        <v>23</v>
      </c>
      <c r="C11" s="6">
        <v>8600.0</v>
      </c>
      <c r="D11" s="6"/>
      <c r="E11" s="6"/>
      <c r="F11" s="6"/>
      <c r="G11" s="6"/>
      <c r="H11" s="6"/>
      <c r="I11" s="6"/>
      <c r="J11" s="6"/>
      <c r="K11" s="6"/>
      <c r="L11" s="6"/>
      <c r="M11" s="6">
        <f t="shared" si="1"/>
        <v>8600</v>
      </c>
      <c r="N11" s="6"/>
      <c r="O11" s="6">
        <f t="shared" si="2"/>
        <v>8600</v>
      </c>
    </row>
    <row r="12">
      <c r="A12" s="4">
        <v>9.0</v>
      </c>
      <c r="B12" s="5" t="s">
        <v>24</v>
      </c>
      <c r="C12" s="6" t="s">
        <v>25</v>
      </c>
      <c r="D12" s="6"/>
      <c r="E12" s="6"/>
      <c r="F12" s="6"/>
      <c r="G12" s="6"/>
      <c r="H12" s="6"/>
      <c r="I12" s="6"/>
      <c r="J12" s="6"/>
      <c r="K12" s="6"/>
      <c r="L12" s="6"/>
      <c r="M12" s="6">
        <f t="shared" si="1"/>
        <v>0</v>
      </c>
      <c r="N12" s="6"/>
      <c r="O12" s="6">
        <f t="shared" si="2"/>
        <v>0</v>
      </c>
    </row>
    <row r="13">
      <c r="A13" s="4">
        <v>10.0</v>
      </c>
      <c r="B13" s="5" t="s">
        <v>26</v>
      </c>
      <c r="C13" s="6">
        <v>109050.0</v>
      </c>
      <c r="D13" s="6">
        <v>24000.0</v>
      </c>
      <c r="E13" s="6">
        <v>25950.0</v>
      </c>
      <c r="F13" s="6"/>
      <c r="G13" s="6"/>
      <c r="H13" s="6">
        <v>75350.0</v>
      </c>
      <c r="I13" s="6"/>
      <c r="J13" s="6">
        <v>30700.0</v>
      </c>
      <c r="K13" s="6"/>
      <c r="L13" s="6">
        <v>44700.0</v>
      </c>
      <c r="M13" s="6">
        <f t="shared" si="1"/>
        <v>309750</v>
      </c>
      <c r="N13" s="6">
        <v>150000.0</v>
      </c>
      <c r="O13" s="6">
        <f t="shared" si="2"/>
        <v>159750</v>
      </c>
      <c r="P13" s="7" t="s">
        <v>59</v>
      </c>
    </row>
    <row r="14">
      <c r="A14" s="4">
        <v>11.0</v>
      </c>
      <c r="B14" s="9" t="s">
        <v>28</v>
      </c>
      <c r="C14" s="6">
        <v>6830.0</v>
      </c>
      <c r="D14" s="6"/>
      <c r="E14" s="6"/>
      <c r="F14" s="6"/>
      <c r="G14" s="6"/>
      <c r="H14" s="6"/>
      <c r="I14" s="6"/>
      <c r="J14" s="6"/>
      <c r="K14" s="6"/>
      <c r="L14" s="6"/>
      <c r="M14" s="6">
        <f t="shared" si="1"/>
        <v>6830</v>
      </c>
      <c r="N14" s="6"/>
      <c r="O14" s="6">
        <f t="shared" si="2"/>
        <v>6830</v>
      </c>
    </row>
    <row r="15">
      <c r="A15" s="4">
        <v>12.0</v>
      </c>
      <c r="B15" s="10" t="s">
        <v>29</v>
      </c>
      <c r="C15" s="6">
        <v>274925.0</v>
      </c>
      <c r="D15" s="6"/>
      <c r="E15" s="6">
        <v>16250.0</v>
      </c>
      <c r="F15" s="6">
        <v>19500.0</v>
      </c>
      <c r="G15" s="6"/>
      <c r="H15" s="6"/>
      <c r="I15" s="6">
        <v>6000.0</v>
      </c>
      <c r="J15" s="6"/>
      <c r="K15" s="6"/>
      <c r="L15" s="6"/>
      <c r="M15" s="6">
        <f t="shared" si="1"/>
        <v>316675</v>
      </c>
      <c r="N15" s="6">
        <v>300000.0</v>
      </c>
      <c r="O15" s="6">
        <f t="shared" si="2"/>
        <v>16675</v>
      </c>
      <c r="P15" s="7" t="s">
        <v>60</v>
      </c>
    </row>
    <row r="16">
      <c r="A16" s="4">
        <v>13.0</v>
      </c>
      <c r="B16" s="10" t="s">
        <v>30</v>
      </c>
      <c r="C16" s="6">
        <v>68550.0</v>
      </c>
      <c r="D16" s="6"/>
      <c r="E16" s="6"/>
      <c r="F16" s="6"/>
      <c r="G16" s="6"/>
      <c r="H16" s="6"/>
      <c r="I16" s="6"/>
      <c r="J16" s="6"/>
      <c r="K16" s="6"/>
      <c r="L16" s="6"/>
      <c r="M16" s="6">
        <f t="shared" si="1"/>
        <v>68550</v>
      </c>
      <c r="N16" s="6"/>
      <c r="O16" s="6">
        <f t="shared" si="2"/>
        <v>68550</v>
      </c>
    </row>
    <row r="17">
      <c r="A17" s="4">
        <v>14.0</v>
      </c>
      <c r="B17" s="10" t="s">
        <v>31</v>
      </c>
      <c r="C17" s="6" t="s">
        <v>25</v>
      </c>
      <c r="D17" s="6"/>
      <c r="E17" s="6"/>
      <c r="F17" s="6"/>
      <c r="G17" s="6"/>
      <c r="H17" s="6"/>
      <c r="I17" s="6"/>
      <c r="J17" s="6"/>
      <c r="K17" s="6"/>
      <c r="L17" s="6"/>
      <c r="M17" s="6">
        <f t="shared" si="1"/>
        <v>0</v>
      </c>
      <c r="N17" s="6"/>
      <c r="O17" s="6">
        <f t="shared" si="2"/>
        <v>0</v>
      </c>
    </row>
    <row r="18">
      <c r="A18" s="4">
        <v>15.0</v>
      </c>
      <c r="B18" s="10" t="s">
        <v>32</v>
      </c>
      <c r="C18" s="6" t="s">
        <v>25</v>
      </c>
      <c r="D18" s="6"/>
      <c r="E18" s="6"/>
      <c r="F18" s="6"/>
      <c r="G18" s="6"/>
      <c r="H18" s="6"/>
      <c r="I18" s="6"/>
      <c r="J18" s="6"/>
      <c r="K18" s="6"/>
      <c r="L18" s="6"/>
      <c r="M18" s="6">
        <f t="shared" si="1"/>
        <v>0</v>
      </c>
      <c r="N18" s="6"/>
      <c r="O18" s="6">
        <f t="shared" si="2"/>
        <v>0</v>
      </c>
    </row>
    <row r="19">
      <c r="A19" s="4">
        <v>16.0</v>
      </c>
      <c r="B19" s="10" t="s">
        <v>33</v>
      </c>
      <c r="C19" s="6" t="s">
        <v>25</v>
      </c>
      <c r="D19" s="6"/>
      <c r="E19" s="6"/>
      <c r="F19" s="6"/>
      <c r="G19" s="6"/>
      <c r="H19" s="6"/>
      <c r="I19" s="6"/>
      <c r="J19" s="6"/>
      <c r="K19" s="6"/>
      <c r="L19" s="6"/>
      <c r="M19" s="6">
        <f t="shared" si="1"/>
        <v>0</v>
      </c>
      <c r="N19" s="6"/>
      <c r="O19" s="6">
        <f t="shared" si="2"/>
        <v>0</v>
      </c>
    </row>
    <row r="20">
      <c r="A20" s="4">
        <v>17.0</v>
      </c>
      <c r="B20" s="10" t="s">
        <v>34</v>
      </c>
      <c r="C20" s="6">
        <v>92775.0</v>
      </c>
      <c r="D20" s="6"/>
      <c r="E20" s="6"/>
      <c r="F20" s="6"/>
      <c r="G20" s="6"/>
      <c r="H20" s="6"/>
      <c r="I20" s="6"/>
      <c r="J20" s="6"/>
      <c r="K20" s="6"/>
      <c r="L20" s="6"/>
      <c r="M20" s="6">
        <f t="shared" si="1"/>
        <v>92775</v>
      </c>
      <c r="N20" s="6"/>
      <c r="O20" s="6">
        <f t="shared" si="2"/>
        <v>92775</v>
      </c>
    </row>
    <row r="21">
      <c r="A21" s="4">
        <v>18.0</v>
      </c>
      <c r="B21" s="10" t="s">
        <v>35</v>
      </c>
      <c r="C21" s="6">
        <v>120150.0</v>
      </c>
      <c r="D21" s="6">
        <v>54500.0</v>
      </c>
      <c r="E21" s="6"/>
      <c r="F21" s="6"/>
      <c r="G21" s="6"/>
      <c r="H21" s="6">
        <v>7500.0</v>
      </c>
      <c r="I21" s="6"/>
      <c r="J21" s="6"/>
      <c r="K21" s="6"/>
      <c r="L21" s="6"/>
      <c r="M21" s="6">
        <f t="shared" si="1"/>
        <v>182150</v>
      </c>
      <c r="N21" s="6">
        <v>182000.0</v>
      </c>
      <c r="O21" s="6">
        <f t="shared" si="2"/>
        <v>150</v>
      </c>
      <c r="P21" s="7" t="s">
        <v>61</v>
      </c>
    </row>
    <row r="22">
      <c r="A22" s="4">
        <v>19.0</v>
      </c>
      <c r="B22" s="10" t="s">
        <v>36</v>
      </c>
      <c r="C22" s="6">
        <v>30800.0</v>
      </c>
      <c r="D22" s="6"/>
      <c r="E22" s="6"/>
      <c r="F22" s="6"/>
      <c r="G22" s="6"/>
      <c r="H22" s="6"/>
      <c r="I22" s="6"/>
      <c r="J22" s="6"/>
      <c r="K22" s="6"/>
      <c r="L22" s="6"/>
      <c r="M22" s="6">
        <f t="shared" si="1"/>
        <v>30800</v>
      </c>
      <c r="N22" s="6"/>
      <c r="O22" s="6">
        <f t="shared" si="2"/>
        <v>30800</v>
      </c>
    </row>
    <row r="23">
      <c r="A23" s="4">
        <v>20.0</v>
      </c>
      <c r="B23" s="10" t="s">
        <v>37</v>
      </c>
      <c r="C23" s="6">
        <v>4500.0</v>
      </c>
      <c r="D23" s="6"/>
      <c r="E23" s="6"/>
      <c r="F23" s="6"/>
      <c r="G23" s="6"/>
      <c r="H23" s="6"/>
      <c r="I23" s="6"/>
      <c r="J23" s="6"/>
      <c r="K23" s="6"/>
      <c r="L23" s="6"/>
      <c r="M23" s="6">
        <f t="shared" si="1"/>
        <v>4500</v>
      </c>
      <c r="N23" s="6"/>
      <c r="O23" s="6">
        <f t="shared" si="2"/>
        <v>4500</v>
      </c>
    </row>
    <row r="24">
      <c r="A24" s="4">
        <v>21.0</v>
      </c>
      <c r="B24" s="12" t="s">
        <v>38</v>
      </c>
      <c r="C24" s="6">
        <v>161900.0</v>
      </c>
      <c r="D24" s="6"/>
      <c r="E24" s="6"/>
      <c r="F24" s="6"/>
      <c r="G24" s="6"/>
      <c r="H24" s="6"/>
      <c r="I24" s="6"/>
      <c r="J24" s="6"/>
      <c r="K24" s="6"/>
      <c r="L24" s="6"/>
      <c r="M24" s="6">
        <f t="shared" si="1"/>
        <v>161900</v>
      </c>
      <c r="N24" s="6">
        <v>100000.0</v>
      </c>
      <c r="O24" s="6">
        <f t="shared" si="2"/>
        <v>61900</v>
      </c>
      <c r="P24" s="7" t="s">
        <v>62</v>
      </c>
    </row>
    <row r="25">
      <c r="A25" s="4">
        <v>22.0</v>
      </c>
      <c r="B25" s="12" t="s">
        <v>39</v>
      </c>
      <c r="C25" s="6">
        <v>11450.0</v>
      </c>
      <c r="D25" s="6"/>
      <c r="E25" s="6"/>
      <c r="F25" s="6"/>
      <c r="G25" s="6"/>
      <c r="H25" s="6"/>
      <c r="I25" s="6"/>
      <c r="J25" s="6"/>
      <c r="K25" s="6"/>
      <c r="L25" s="6"/>
      <c r="M25" s="6">
        <f t="shared" si="1"/>
        <v>11450</v>
      </c>
      <c r="N25" s="6"/>
      <c r="O25" s="6">
        <f t="shared" si="2"/>
        <v>11450</v>
      </c>
    </row>
    <row r="26">
      <c r="A26" s="4">
        <v>23.0</v>
      </c>
      <c r="B26" s="12" t="s">
        <v>40</v>
      </c>
      <c r="C26" s="6">
        <v>186850.0</v>
      </c>
      <c r="D26" s="6"/>
      <c r="E26" s="6">
        <v>39750.0</v>
      </c>
      <c r="F26" s="6"/>
      <c r="G26" s="6"/>
      <c r="H26" s="6">
        <v>37650.0</v>
      </c>
      <c r="I26" s="6"/>
      <c r="J26" s="6">
        <v>28650.0</v>
      </c>
      <c r="K26" s="6">
        <v>4750.0</v>
      </c>
      <c r="L26" s="6">
        <v>5400.0</v>
      </c>
      <c r="M26" s="6">
        <f t="shared" si="1"/>
        <v>303050</v>
      </c>
      <c r="N26" s="6">
        <v>220000.0</v>
      </c>
      <c r="O26" s="6">
        <f t="shared" si="2"/>
        <v>83050</v>
      </c>
      <c r="P26" s="7" t="s">
        <v>63</v>
      </c>
    </row>
    <row r="27">
      <c r="A27" s="4">
        <v>24.0</v>
      </c>
      <c r="B27" s="12" t="s">
        <v>42</v>
      </c>
      <c r="C27" s="6">
        <v>71000.0</v>
      </c>
      <c r="D27" s="6"/>
      <c r="E27" s="6"/>
      <c r="F27" s="6"/>
      <c r="G27" s="6"/>
      <c r="H27" s="6"/>
      <c r="I27" s="6"/>
      <c r="J27" s="6"/>
      <c r="K27" s="6"/>
      <c r="L27" s="6"/>
      <c r="M27" s="6">
        <f t="shared" si="1"/>
        <v>71000</v>
      </c>
      <c r="N27" s="6"/>
      <c r="O27" s="6">
        <f t="shared" si="2"/>
        <v>71000</v>
      </c>
    </row>
    <row r="28">
      <c r="A28" s="4">
        <v>25.0</v>
      </c>
      <c r="B28" s="12" t="s">
        <v>43</v>
      </c>
      <c r="C28" s="6">
        <v>123850.0</v>
      </c>
      <c r="D28" s="6">
        <v>27500.0</v>
      </c>
      <c r="E28" s="6">
        <v>32050.0</v>
      </c>
      <c r="F28" s="6">
        <v>27900.0</v>
      </c>
      <c r="G28" s="6"/>
      <c r="H28" s="6">
        <v>19100.0</v>
      </c>
      <c r="I28" s="6"/>
      <c r="J28" s="6"/>
      <c r="K28" s="6"/>
      <c r="L28" s="6">
        <v>7700.0</v>
      </c>
      <c r="M28" s="6">
        <f t="shared" si="1"/>
        <v>238100</v>
      </c>
      <c r="N28" s="6">
        <v>150000.0</v>
      </c>
      <c r="O28" s="6">
        <f t="shared" si="2"/>
        <v>88100</v>
      </c>
      <c r="P28" s="7" t="s">
        <v>64</v>
      </c>
    </row>
    <row r="29">
      <c r="A29" s="4">
        <v>26.0</v>
      </c>
      <c r="B29" s="12" t="s">
        <v>45</v>
      </c>
      <c r="C29" s="6">
        <v>24150.0</v>
      </c>
      <c r="D29" s="6"/>
      <c r="E29" s="6"/>
      <c r="F29" s="6"/>
      <c r="G29" s="6"/>
      <c r="H29" s="6"/>
      <c r="I29" s="6"/>
      <c r="J29" s="6"/>
      <c r="K29" s="6"/>
      <c r="L29" s="6"/>
      <c r="M29" s="6">
        <f t="shared" si="1"/>
        <v>24150</v>
      </c>
      <c r="N29" s="6"/>
      <c r="O29" s="6">
        <f t="shared" si="2"/>
        <v>24150</v>
      </c>
    </row>
    <row r="30">
      <c r="A30" s="4">
        <v>27.0</v>
      </c>
      <c r="B30" s="12" t="s">
        <v>46</v>
      </c>
      <c r="C30" s="6">
        <v>3000.0</v>
      </c>
      <c r="D30" s="6"/>
      <c r="E30" s="6"/>
      <c r="F30" s="6"/>
      <c r="G30" s="6"/>
      <c r="H30" s="6"/>
      <c r="I30" s="6"/>
      <c r="J30" s="6"/>
      <c r="K30" s="6"/>
      <c r="L30" s="6"/>
      <c r="M30" s="6">
        <f t="shared" si="1"/>
        <v>3000</v>
      </c>
      <c r="N30" s="6"/>
      <c r="O30" s="6">
        <f t="shared" si="2"/>
        <v>3000</v>
      </c>
    </row>
    <row r="31">
      <c r="A31" s="4">
        <v>28.0</v>
      </c>
      <c r="B31" s="12" t="s">
        <v>34</v>
      </c>
      <c r="C31" s="6">
        <v>74900.0</v>
      </c>
      <c r="D31" s="6"/>
      <c r="E31" s="6"/>
      <c r="F31" s="6"/>
      <c r="G31" s="6"/>
      <c r="H31" s="6"/>
      <c r="I31" s="6"/>
      <c r="J31" s="6"/>
      <c r="K31" s="6"/>
      <c r="L31" s="6"/>
      <c r="M31" s="6">
        <f t="shared" si="1"/>
        <v>74900</v>
      </c>
      <c r="N31" s="6"/>
      <c r="O31" s="6">
        <f t="shared" si="2"/>
        <v>74900</v>
      </c>
    </row>
    <row r="32">
      <c r="A32" s="4">
        <v>29.0</v>
      </c>
      <c r="B32" s="12" t="s">
        <v>47</v>
      </c>
      <c r="C32" s="6">
        <v>32200.0</v>
      </c>
      <c r="D32" s="6"/>
      <c r="E32" s="6"/>
      <c r="F32" s="6"/>
      <c r="G32" s="6"/>
      <c r="H32" s="6"/>
      <c r="I32" s="6"/>
      <c r="J32" s="6"/>
      <c r="K32" s="6"/>
      <c r="L32" s="6"/>
      <c r="M32" s="6">
        <f t="shared" si="1"/>
        <v>32200</v>
      </c>
      <c r="N32" s="6"/>
      <c r="O32" s="6">
        <f t="shared" si="2"/>
        <v>32200</v>
      </c>
    </row>
    <row r="33">
      <c r="A33" s="4">
        <v>30.0</v>
      </c>
      <c r="B33" s="12" t="s">
        <v>48</v>
      </c>
      <c r="C33" s="6">
        <v>4650.0</v>
      </c>
      <c r="D33" s="6"/>
      <c r="E33" s="6"/>
      <c r="F33" s="6"/>
      <c r="G33" s="6"/>
      <c r="H33" s="6"/>
      <c r="I33" s="6"/>
      <c r="J33" s="6"/>
      <c r="K33" s="6"/>
      <c r="L33" s="6"/>
      <c r="M33" s="6">
        <f t="shared" si="1"/>
        <v>4650</v>
      </c>
      <c r="N33" s="6"/>
      <c r="O33" s="6">
        <f t="shared" si="2"/>
        <v>4650</v>
      </c>
    </row>
    <row r="34">
      <c r="A34" s="4">
        <v>31.0</v>
      </c>
      <c r="B34" s="12" t="s">
        <v>49</v>
      </c>
      <c r="C34" s="6">
        <v>289350.0</v>
      </c>
      <c r="D34" s="6">
        <v>74850.0</v>
      </c>
      <c r="E34" s="6"/>
      <c r="F34" s="6"/>
      <c r="G34" s="6"/>
      <c r="H34" s="6">
        <v>99750.0</v>
      </c>
      <c r="I34" s="6">
        <v>56000.0</v>
      </c>
      <c r="J34" s="6"/>
      <c r="K34" s="6"/>
      <c r="L34" s="6"/>
      <c r="M34" s="6">
        <f t="shared" si="1"/>
        <v>519950</v>
      </c>
      <c r="N34" s="6">
        <v>400000.0</v>
      </c>
      <c r="O34" s="6">
        <f t="shared" si="2"/>
        <v>119950</v>
      </c>
      <c r="P34" s="7" t="s">
        <v>65</v>
      </c>
    </row>
    <row r="35">
      <c r="A35" s="4">
        <v>32.0</v>
      </c>
      <c r="B35" s="12" t="s">
        <v>51</v>
      </c>
      <c r="C35" s="6">
        <v>46500.0</v>
      </c>
      <c r="D35" s="6"/>
      <c r="E35" s="6">
        <v>22000.0</v>
      </c>
      <c r="F35" s="6"/>
      <c r="G35" s="6"/>
      <c r="H35" s="6"/>
      <c r="I35" s="6"/>
      <c r="J35" s="6"/>
      <c r="K35" s="6"/>
      <c r="L35" s="6"/>
      <c r="M35" s="6">
        <f t="shared" si="1"/>
        <v>68500</v>
      </c>
      <c r="N35" s="6"/>
      <c r="O35" s="6">
        <f t="shared" si="2"/>
        <v>68500</v>
      </c>
    </row>
    <row r="36">
      <c r="A36" s="4">
        <v>33.0</v>
      </c>
      <c r="B36" s="12" t="s">
        <v>52</v>
      </c>
      <c r="C36" s="6">
        <v>4400.0</v>
      </c>
      <c r="D36" s="6"/>
      <c r="E36" s="6"/>
      <c r="F36" s="6"/>
      <c r="G36" s="6"/>
      <c r="H36" s="6"/>
      <c r="I36" s="6"/>
      <c r="J36" s="6"/>
      <c r="K36" s="6"/>
      <c r="L36" s="6"/>
      <c r="M36" s="6">
        <f t="shared" si="1"/>
        <v>4400</v>
      </c>
      <c r="N36" s="6"/>
      <c r="O36" s="6">
        <f t="shared" si="2"/>
        <v>4400</v>
      </c>
    </row>
    <row r="37">
      <c r="A37" s="4">
        <v>34.0</v>
      </c>
      <c r="B37" s="12" t="s">
        <v>53</v>
      </c>
      <c r="C37" s="6">
        <v>94750.0</v>
      </c>
      <c r="D37" s="6"/>
      <c r="E37" s="6"/>
      <c r="F37" s="6"/>
      <c r="G37" s="6"/>
      <c r="H37" s="6"/>
      <c r="I37" s="6"/>
      <c r="J37" s="6"/>
      <c r="K37" s="6"/>
      <c r="L37" s="6"/>
      <c r="M37" s="6">
        <f t="shared" si="1"/>
        <v>94750</v>
      </c>
      <c r="N37" s="6"/>
      <c r="O37" s="6">
        <f t="shared" si="2"/>
        <v>94750</v>
      </c>
    </row>
    <row r="38">
      <c r="B38" s="18"/>
    </row>
    <row r="39">
      <c r="B39" s="19" t="s">
        <v>54</v>
      </c>
      <c r="C39" s="20"/>
      <c r="D39" s="20">
        <v>4.0</v>
      </c>
      <c r="E39" s="20">
        <v>6.0</v>
      </c>
      <c r="G39" s="20"/>
      <c r="H39" s="20"/>
      <c r="I39" s="20"/>
      <c r="J39" s="20"/>
      <c r="K39" s="20"/>
      <c r="L39" s="20"/>
    </row>
    <row r="40">
      <c r="B40" s="21" t="s">
        <v>55</v>
      </c>
      <c r="C40" s="22">
        <f>sum(C4:C37)</f>
        <v>2305505</v>
      </c>
      <c r="D40" s="22">
        <f>SUM(D4:D34)</f>
        <v>180850</v>
      </c>
      <c r="E40" s="22">
        <f>SUM(E4:E37)</f>
        <v>147550</v>
      </c>
      <c r="F40" s="22">
        <f t="shared" ref="F40:L40" si="3">SUM(F4:F34)</f>
        <v>47400</v>
      </c>
      <c r="G40" s="22">
        <f t="shared" si="3"/>
        <v>0</v>
      </c>
      <c r="H40" s="22">
        <f t="shared" si="3"/>
        <v>258250</v>
      </c>
      <c r="I40" s="22">
        <f t="shared" si="3"/>
        <v>68000</v>
      </c>
      <c r="J40" s="22">
        <f t="shared" si="3"/>
        <v>74950</v>
      </c>
      <c r="K40" s="22">
        <f t="shared" si="3"/>
        <v>10200</v>
      </c>
      <c r="L40" s="22">
        <f t="shared" si="3"/>
        <v>74650</v>
      </c>
      <c r="M40" s="23">
        <f>SUM(M4:M37)</f>
        <v>3167355</v>
      </c>
      <c r="N40" s="22">
        <f>sum(N4:N34)</f>
        <v>1702000</v>
      </c>
      <c r="O40" s="22">
        <f>sum(O4:O37)</f>
        <v>1465355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5" max="16" width="14.25"/>
    <col customWidth="1" min="17" max="17" width="15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24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1"/>
      <c r="D2" s="1"/>
      <c r="E2" s="1"/>
      <c r="F2" s="1"/>
      <c r="G2" s="1"/>
      <c r="H2" s="1"/>
      <c r="I2" s="1"/>
      <c r="J2" s="24"/>
      <c r="K2" s="1"/>
      <c r="L2" s="1"/>
      <c r="M2" s="1"/>
      <c r="N2" s="1"/>
      <c r="O2" s="1"/>
      <c r="P2" s="1"/>
      <c r="Q2" s="1"/>
      <c r="R2" s="1"/>
    </row>
    <row r="3">
      <c r="A3" s="2" t="s">
        <v>1</v>
      </c>
      <c r="B3" s="2" t="s">
        <v>2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57</v>
      </c>
      <c r="J3" s="25" t="s">
        <v>72</v>
      </c>
      <c r="K3" s="3" t="s">
        <v>73</v>
      </c>
      <c r="L3" s="3" t="s">
        <v>8</v>
      </c>
      <c r="M3" s="3" t="s">
        <v>9</v>
      </c>
      <c r="N3" s="3" t="s">
        <v>10</v>
      </c>
      <c r="O3" s="3" t="s">
        <v>66</v>
      </c>
      <c r="P3" s="2" t="s">
        <v>11</v>
      </c>
      <c r="Q3" s="2" t="s">
        <v>12</v>
      </c>
      <c r="R3" s="2" t="s">
        <v>13</v>
      </c>
    </row>
    <row r="4">
      <c r="A4" s="4">
        <v>1.0</v>
      </c>
      <c r="B4" s="5" t="s">
        <v>14</v>
      </c>
      <c r="C4" s="6">
        <v>27700.0</v>
      </c>
      <c r="D4" s="6">
        <v>19150.0</v>
      </c>
      <c r="E4" s="6">
        <v>11250.0</v>
      </c>
      <c r="F4" s="6">
        <v>8500.0</v>
      </c>
      <c r="G4" s="6">
        <v>27600.0</v>
      </c>
      <c r="H4" s="6">
        <v>30000.0</v>
      </c>
      <c r="I4" s="6">
        <v>13550.0</v>
      </c>
      <c r="J4" s="11">
        <v>5900.0</v>
      </c>
      <c r="K4" s="6">
        <v>16150.0</v>
      </c>
      <c r="L4" s="6">
        <v>7600.0</v>
      </c>
      <c r="M4" s="6">
        <v>19100.0</v>
      </c>
      <c r="N4" s="6">
        <v>12000.0</v>
      </c>
      <c r="O4" s="6">
        <v>18000.0</v>
      </c>
      <c r="P4" s="6">
        <f t="shared" ref="P4:P37" si="1">SUM(C4:O4)</f>
        <v>216500</v>
      </c>
      <c r="Q4" s="6"/>
      <c r="R4" s="6">
        <f t="shared" ref="R4:R37" si="2">P4-Q4</f>
        <v>216500</v>
      </c>
    </row>
    <row r="5">
      <c r="A5" s="4">
        <v>2.0</v>
      </c>
      <c r="B5" s="5" t="s">
        <v>16</v>
      </c>
      <c r="C5" s="6">
        <v>15000.0</v>
      </c>
      <c r="D5" s="6">
        <v>7800.0</v>
      </c>
      <c r="E5" s="6"/>
      <c r="F5" s="6">
        <v>15000.0</v>
      </c>
      <c r="G5" s="6">
        <v>4050.0</v>
      </c>
      <c r="H5" s="6"/>
      <c r="I5" s="6"/>
      <c r="J5" s="11"/>
      <c r="K5" s="6"/>
      <c r="L5" s="6"/>
      <c r="M5" s="6"/>
      <c r="N5" s="6"/>
      <c r="O5" s="6"/>
      <c r="P5" s="6">
        <f t="shared" si="1"/>
        <v>41850</v>
      </c>
      <c r="Q5" s="6"/>
      <c r="R5" s="6">
        <f t="shared" si="2"/>
        <v>41850</v>
      </c>
    </row>
    <row r="6">
      <c r="A6" s="4">
        <v>3.0</v>
      </c>
      <c r="B6" s="5" t="s">
        <v>17</v>
      </c>
      <c r="C6" s="6"/>
      <c r="D6" s="6">
        <v>33600.0</v>
      </c>
      <c r="E6" s="6"/>
      <c r="F6" s="6">
        <v>6400.0</v>
      </c>
      <c r="G6" s="6"/>
      <c r="H6" s="6">
        <v>19000.0</v>
      </c>
      <c r="I6" s="6"/>
      <c r="J6" s="11"/>
      <c r="K6" s="6"/>
      <c r="L6" s="6"/>
      <c r="M6" s="6">
        <v>10600.0</v>
      </c>
      <c r="N6" s="6"/>
      <c r="O6" s="6"/>
      <c r="P6" s="6">
        <f t="shared" si="1"/>
        <v>69600</v>
      </c>
      <c r="Q6" s="6"/>
      <c r="R6" s="6">
        <f t="shared" si="2"/>
        <v>69600</v>
      </c>
    </row>
    <row r="7">
      <c r="A7" s="4">
        <v>4.0</v>
      </c>
      <c r="B7" s="5" t="s">
        <v>18</v>
      </c>
      <c r="C7" s="6">
        <v>48600.0</v>
      </c>
      <c r="D7" s="6"/>
      <c r="E7" s="6">
        <v>14550.0</v>
      </c>
      <c r="F7" s="6">
        <v>4325.0</v>
      </c>
      <c r="G7" s="6"/>
      <c r="H7" s="6">
        <v>8050.0</v>
      </c>
      <c r="I7" s="6"/>
      <c r="J7" s="11"/>
      <c r="K7" s="6"/>
      <c r="L7" s="6"/>
      <c r="M7" s="6"/>
      <c r="N7" s="6"/>
      <c r="O7" s="6"/>
      <c r="P7" s="6">
        <f t="shared" si="1"/>
        <v>75525</v>
      </c>
      <c r="Q7" s="6"/>
      <c r="R7" s="6">
        <f t="shared" si="2"/>
        <v>75525</v>
      </c>
    </row>
    <row r="8">
      <c r="A8" s="4">
        <v>5.0</v>
      </c>
      <c r="B8" s="5" t="s">
        <v>20</v>
      </c>
      <c r="C8" s="6">
        <v>8600.0</v>
      </c>
      <c r="D8" s="6"/>
      <c r="E8" s="6"/>
      <c r="F8" s="6"/>
      <c r="G8" s="6"/>
      <c r="H8" s="6"/>
      <c r="I8" s="6"/>
      <c r="J8" s="11"/>
      <c r="K8" s="6"/>
      <c r="L8" s="6"/>
      <c r="M8" s="6"/>
      <c r="N8" s="6"/>
      <c r="O8" s="6"/>
      <c r="P8" s="6">
        <f t="shared" si="1"/>
        <v>8600</v>
      </c>
      <c r="Q8" s="6"/>
      <c r="R8" s="6">
        <f t="shared" si="2"/>
        <v>8600</v>
      </c>
    </row>
    <row r="9">
      <c r="A9" s="4">
        <v>6.0</v>
      </c>
      <c r="B9" s="5" t="s">
        <v>21</v>
      </c>
      <c r="C9" s="6">
        <v>27900.0</v>
      </c>
      <c r="D9" s="6"/>
      <c r="E9" s="6"/>
      <c r="F9" s="6"/>
      <c r="G9" s="6"/>
      <c r="H9" s="6"/>
      <c r="I9" s="6"/>
      <c r="J9" s="11"/>
      <c r="K9" s="6"/>
      <c r="L9" s="6"/>
      <c r="M9" s="6"/>
      <c r="N9" s="6"/>
      <c r="O9" s="6"/>
      <c r="P9" s="6">
        <f t="shared" si="1"/>
        <v>27900</v>
      </c>
      <c r="Q9" s="6"/>
      <c r="R9" s="6">
        <f t="shared" si="2"/>
        <v>27900</v>
      </c>
    </row>
    <row r="10">
      <c r="A10" s="4">
        <v>7.0</v>
      </c>
      <c r="B10" s="5" t="s">
        <v>22</v>
      </c>
      <c r="C10" s="6"/>
      <c r="D10" s="6"/>
      <c r="E10" s="6"/>
      <c r="F10" s="6"/>
      <c r="G10" s="6">
        <v>20000.0</v>
      </c>
      <c r="H10" s="6"/>
      <c r="I10" s="6"/>
      <c r="J10" s="11"/>
      <c r="K10" s="6"/>
      <c r="L10" s="6"/>
      <c r="M10" s="6"/>
      <c r="N10" s="6"/>
      <c r="O10" s="6"/>
      <c r="P10" s="6">
        <f t="shared" si="1"/>
        <v>20000</v>
      </c>
      <c r="Q10" s="6"/>
      <c r="R10" s="6">
        <f t="shared" si="2"/>
        <v>20000</v>
      </c>
    </row>
    <row r="11">
      <c r="A11" s="4">
        <v>8.0</v>
      </c>
      <c r="B11" s="5" t="s">
        <v>23</v>
      </c>
      <c r="C11" s="6">
        <v>4100.0</v>
      </c>
      <c r="D11" s="6">
        <v>4500.0</v>
      </c>
      <c r="E11" s="6"/>
      <c r="F11" s="6"/>
      <c r="G11" s="6"/>
      <c r="H11" s="6"/>
      <c r="I11" s="6"/>
      <c r="J11" s="11"/>
      <c r="K11" s="6"/>
      <c r="L11" s="6"/>
      <c r="M11" s="6"/>
      <c r="N11" s="6"/>
      <c r="O11" s="6"/>
      <c r="P11" s="6">
        <f t="shared" si="1"/>
        <v>8600</v>
      </c>
      <c r="Q11" s="6"/>
      <c r="R11" s="6">
        <f t="shared" si="2"/>
        <v>8600</v>
      </c>
    </row>
    <row r="12">
      <c r="A12" s="4">
        <v>9.0</v>
      </c>
      <c r="B12" s="5" t="s">
        <v>24</v>
      </c>
      <c r="C12" s="6"/>
      <c r="D12" s="6"/>
      <c r="E12" s="6"/>
      <c r="F12" s="6"/>
      <c r="G12" s="6"/>
      <c r="H12" s="6"/>
      <c r="I12" s="6"/>
      <c r="J12" s="11"/>
      <c r="K12" s="6"/>
      <c r="L12" s="6"/>
      <c r="M12" s="6"/>
      <c r="N12" s="6"/>
      <c r="O12" s="6"/>
      <c r="P12" s="6">
        <f t="shared" si="1"/>
        <v>0</v>
      </c>
      <c r="Q12" s="6"/>
      <c r="R12" s="6">
        <f t="shared" si="2"/>
        <v>0</v>
      </c>
    </row>
    <row r="13">
      <c r="A13" s="4">
        <v>10.0</v>
      </c>
      <c r="B13" s="5" t="s">
        <v>26</v>
      </c>
      <c r="C13" s="6">
        <v>20600.0</v>
      </c>
      <c r="D13" s="6">
        <v>3750.0</v>
      </c>
      <c r="E13" s="6">
        <v>14900.0</v>
      </c>
      <c r="F13" s="6">
        <v>16900.0</v>
      </c>
      <c r="G13" s="6">
        <v>17400.0</v>
      </c>
      <c r="H13" s="6">
        <v>47300.0</v>
      </c>
      <c r="I13" s="6"/>
      <c r="J13" s="11">
        <v>16500.0</v>
      </c>
      <c r="K13" s="6">
        <v>34400.0</v>
      </c>
      <c r="L13" s="6"/>
      <c r="M13" s="6">
        <v>11400.0</v>
      </c>
      <c r="N13" s="6">
        <v>12750.0</v>
      </c>
      <c r="O13" s="6">
        <v>34000.0</v>
      </c>
      <c r="P13" s="6">
        <f t="shared" si="1"/>
        <v>229900</v>
      </c>
      <c r="Q13" s="6">
        <v>120850.0</v>
      </c>
      <c r="R13" s="6">
        <f t="shared" si="2"/>
        <v>109050</v>
      </c>
      <c r="S13" s="7" t="s">
        <v>74</v>
      </c>
    </row>
    <row r="14">
      <c r="A14" s="4">
        <v>11.0</v>
      </c>
      <c r="B14" s="9" t="s">
        <v>28</v>
      </c>
      <c r="C14" s="6">
        <v>17380.0</v>
      </c>
      <c r="D14" s="6">
        <v>8400.0</v>
      </c>
      <c r="E14" s="6">
        <v>12400.0</v>
      </c>
      <c r="F14" s="6"/>
      <c r="G14" s="6">
        <v>28650.0</v>
      </c>
      <c r="H14" s="6">
        <v>15000.0</v>
      </c>
      <c r="I14" s="6">
        <v>15000.0</v>
      </c>
      <c r="J14" s="11"/>
      <c r="K14" s="6"/>
      <c r="L14" s="6"/>
      <c r="M14" s="6"/>
      <c r="N14" s="6"/>
      <c r="O14" s="6"/>
      <c r="P14" s="6">
        <f t="shared" si="1"/>
        <v>96830</v>
      </c>
      <c r="Q14" s="6">
        <v>90000.0</v>
      </c>
      <c r="R14" s="6">
        <f t="shared" si="2"/>
        <v>6830</v>
      </c>
      <c r="S14" s="7" t="s">
        <v>75</v>
      </c>
    </row>
    <row r="15">
      <c r="A15" s="4">
        <v>12.0</v>
      </c>
      <c r="B15" s="10" t="s">
        <v>29</v>
      </c>
      <c r="C15" s="6">
        <v>54700.0</v>
      </c>
      <c r="D15" s="6"/>
      <c r="E15" s="6">
        <v>29000.0</v>
      </c>
      <c r="F15" s="6">
        <v>26700.0</v>
      </c>
      <c r="G15" s="6">
        <v>13750.0</v>
      </c>
      <c r="H15" s="6">
        <v>28800.0</v>
      </c>
      <c r="I15" s="6">
        <v>16000.0</v>
      </c>
      <c r="J15" s="11">
        <v>34000.0</v>
      </c>
      <c r="K15" s="6">
        <v>34975.0</v>
      </c>
      <c r="L15" s="6">
        <v>5000.0</v>
      </c>
      <c r="M15" s="6"/>
      <c r="N15" s="6">
        <v>15750.0</v>
      </c>
      <c r="O15" s="6">
        <v>16250.0</v>
      </c>
      <c r="P15" s="6">
        <f t="shared" si="1"/>
        <v>274925</v>
      </c>
      <c r="Q15" s="6"/>
      <c r="R15" s="6">
        <f t="shared" si="2"/>
        <v>274925</v>
      </c>
    </row>
    <row r="16">
      <c r="A16" s="4">
        <v>13.0</v>
      </c>
      <c r="B16" s="10" t="s">
        <v>30</v>
      </c>
      <c r="C16" s="6">
        <v>10650.0</v>
      </c>
      <c r="D16" s="6"/>
      <c r="E16" s="6"/>
      <c r="F16" s="6"/>
      <c r="G16" s="6"/>
      <c r="H16" s="6"/>
      <c r="I16" s="6"/>
      <c r="J16" s="11"/>
      <c r="K16" s="6">
        <v>18950.0</v>
      </c>
      <c r="L16" s="6"/>
      <c r="M16" s="6"/>
      <c r="N16" s="6"/>
      <c r="O16" s="6">
        <v>38950.0</v>
      </c>
      <c r="P16" s="6">
        <f t="shared" si="1"/>
        <v>68550</v>
      </c>
      <c r="Q16" s="6"/>
      <c r="R16" s="6">
        <f t="shared" si="2"/>
        <v>68550</v>
      </c>
    </row>
    <row r="17">
      <c r="A17" s="4">
        <v>14.0</v>
      </c>
      <c r="B17" s="10" t="s">
        <v>31</v>
      </c>
      <c r="C17" s="6"/>
      <c r="D17" s="6"/>
      <c r="E17" s="6"/>
      <c r="F17" s="6"/>
      <c r="G17" s="6"/>
      <c r="H17" s="6"/>
      <c r="I17" s="6"/>
      <c r="J17" s="11"/>
      <c r="K17" s="6"/>
      <c r="L17" s="6"/>
      <c r="M17" s="6"/>
      <c r="N17" s="6"/>
      <c r="O17" s="6"/>
      <c r="P17" s="6">
        <f t="shared" si="1"/>
        <v>0</v>
      </c>
      <c r="Q17" s="6"/>
      <c r="R17" s="6">
        <f t="shared" si="2"/>
        <v>0</v>
      </c>
    </row>
    <row r="18">
      <c r="A18" s="4">
        <v>15.0</v>
      </c>
      <c r="B18" s="10" t="s">
        <v>32</v>
      </c>
      <c r="C18" s="6"/>
      <c r="D18" s="6"/>
      <c r="E18" s="6"/>
      <c r="F18" s="6"/>
      <c r="G18" s="6"/>
      <c r="H18" s="6"/>
      <c r="I18" s="6"/>
      <c r="J18" s="11"/>
      <c r="K18" s="6"/>
      <c r="L18" s="6"/>
      <c r="M18" s="6"/>
      <c r="N18" s="6"/>
      <c r="O18" s="6"/>
      <c r="P18" s="6">
        <f t="shared" si="1"/>
        <v>0</v>
      </c>
      <c r="Q18" s="6"/>
      <c r="R18" s="6">
        <f t="shared" si="2"/>
        <v>0</v>
      </c>
    </row>
    <row r="19">
      <c r="A19" s="4">
        <v>16.0</v>
      </c>
      <c r="B19" s="10" t="s">
        <v>33</v>
      </c>
      <c r="C19" s="6"/>
      <c r="D19" s="6"/>
      <c r="E19" s="6"/>
      <c r="F19" s="6"/>
      <c r="G19" s="6"/>
      <c r="H19" s="6"/>
      <c r="I19" s="6"/>
      <c r="J19" s="11"/>
      <c r="K19" s="6"/>
      <c r="L19" s="6"/>
      <c r="M19" s="6"/>
      <c r="N19" s="6"/>
      <c r="O19" s="6"/>
      <c r="P19" s="6">
        <f t="shared" si="1"/>
        <v>0</v>
      </c>
      <c r="Q19" s="6"/>
      <c r="R19" s="6">
        <f t="shared" si="2"/>
        <v>0</v>
      </c>
    </row>
    <row r="20">
      <c r="A20" s="4">
        <v>17.0</v>
      </c>
      <c r="B20" s="10" t="s">
        <v>34</v>
      </c>
      <c r="C20" s="6"/>
      <c r="D20" s="6"/>
      <c r="E20" s="6"/>
      <c r="F20" s="6">
        <v>59200.0</v>
      </c>
      <c r="G20" s="6"/>
      <c r="H20" s="6"/>
      <c r="I20" s="6"/>
      <c r="J20" s="11"/>
      <c r="K20" s="6">
        <v>24525.0</v>
      </c>
      <c r="L20" s="6"/>
      <c r="M20" s="6"/>
      <c r="N20" s="6"/>
      <c r="O20" s="6">
        <v>9050.0</v>
      </c>
      <c r="P20" s="6">
        <f t="shared" si="1"/>
        <v>92775</v>
      </c>
      <c r="Q20" s="6"/>
      <c r="R20" s="6">
        <f t="shared" si="2"/>
        <v>92775</v>
      </c>
    </row>
    <row r="21">
      <c r="A21" s="4">
        <v>18.0</v>
      </c>
      <c r="B21" s="10" t="s">
        <v>35</v>
      </c>
      <c r="C21" s="6">
        <v>17000.0</v>
      </c>
      <c r="D21" s="6">
        <v>47500.0</v>
      </c>
      <c r="E21" s="6">
        <v>55000.0</v>
      </c>
      <c r="F21" s="6">
        <v>74000.0</v>
      </c>
      <c r="G21" s="6">
        <v>85750.0</v>
      </c>
      <c r="H21" s="6">
        <v>131000.0</v>
      </c>
      <c r="I21" s="6">
        <v>133500.0</v>
      </c>
      <c r="J21" s="11">
        <v>141600.0</v>
      </c>
      <c r="K21" s="6">
        <v>108000.0</v>
      </c>
      <c r="L21" s="6">
        <v>129800.0</v>
      </c>
      <c r="M21" s="6">
        <v>136000.0</v>
      </c>
      <c r="N21" s="6">
        <v>115000.0</v>
      </c>
      <c r="O21" s="6">
        <v>120000.0</v>
      </c>
      <c r="P21" s="6">
        <f t="shared" si="1"/>
        <v>1294150</v>
      </c>
      <c r="Q21" s="6">
        <v>1174000.0</v>
      </c>
      <c r="R21" s="6">
        <f t="shared" si="2"/>
        <v>120150</v>
      </c>
      <c r="S21" s="7" t="s">
        <v>76</v>
      </c>
    </row>
    <row r="22">
      <c r="A22" s="4">
        <v>19.0</v>
      </c>
      <c r="B22" s="10" t="s">
        <v>36</v>
      </c>
      <c r="C22" s="6">
        <v>9400.0</v>
      </c>
      <c r="D22" s="6">
        <v>4900.0</v>
      </c>
      <c r="E22" s="6"/>
      <c r="F22" s="6"/>
      <c r="G22" s="6"/>
      <c r="H22" s="6"/>
      <c r="I22" s="6"/>
      <c r="J22" s="11">
        <v>16500.0</v>
      </c>
      <c r="K22" s="6"/>
      <c r="L22" s="6"/>
      <c r="M22" s="6"/>
      <c r="N22" s="6"/>
      <c r="O22" s="6"/>
      <c r="P22" s="6">
        <f t="shared" si="1"/>
        <v>30800</v>
      </c>
      <c r="Q22" s="6"/>
      <c r="R22" s="6">
        <f t="shared" si="2"/>
        <v>30800</v>
      </c>
    </row>
    <row r="23">
      <c r="A23" s="4">
        <v>20.0</v>
      </c>
      <c r="B23" s="10" t="s">
        <v>37</v>
      </c>
      <c r="C23" s="6">
        <v>15900.0</v>
      </c>
      <c r="D23" s="6">
        <v>4600.0</v>
      </c>
      <c r="E23" s="6">
        <v>6300.0</v>
      </c>
      <c r="F23" s="6"/>
      <c r="G23" s="6">
        <v>5600.0</v>
      </c>
      <c r="H23" s="6">
        <v>4300.0</v>
      </c>
      <c r="I23" s="6"/>
      <c r="J23" s="11">
        <v>7800.0</v>
      </c>
      <c r="K23" s="6"/>
      <c r="L23" s="6"/>
      <c r="M23" s="6"/>
      <c r="N23" s="6"/>
      <c r="O23" s="6"/>
      <c r="P23" s="6">
        <f t="shared" si="1"/>
        <v>44500</v>
      </c>
      <c r="Q23" s="6">
        <v>40000.0</v>
      </c>
      <c r="R23" s="6">
        <f t="shared" si="2"/>
        <v>4500</v>
      </c>
      <c r="S23" s="7" t="s">
        <v>75</v>
      </c>
    </row>
    <row r="24">
      <c r="A24" s="4">
        <v>21.0</v>
      </c>
      <c r="B24" s="12" t="s">
        <v>38</v>
      </c>
      <c r="C24" s="6">
        <v>36100.0</v>
      </c>
      <c r="D24" s="6">
        <v>18300.0</v>
      </c>
      <c r="E24" s="6"/>
      <c r="F24" s="6">
        <v>4500.0</v>
      </c>
      <c r="G24" s="6"/>
      <c r="H24" s="6"/>
      <c r="I24" s="6">
        <v>66000.0</v>
      </c>
      <c r="J24" s="11"/>
      <c r="K24" s="6">
        <v>37000.0</v>
      </c>
      <c r="L24" s="6"/>
      <c r="M24" s="6"/>
      <c r="N24" s="6"/>
      <c r="O24" s="6"/>
      <c r="P24" s="6">
        <f t="shared" si="1"/>
        <v>161900</v>
      </c>
      <c r="Q24" s="6"/>
      <c r="R24" s="6">
        <f t="shared" si="2"/>
        <v>161900</v>
      </c>
    </row>
    <row r="25">
      <c r="A25" s="4">
        <v>22.0</v>
      </c>
      <c r="B25" s="12" t="s">
        <v>39</v>
      </c>
      <c r="C25" s="6"/>
      <c r="D25" s="6"/>
      <c r="E25" s="6"/>
      <c r="F25" s="6"/>
      <c r="G25" s="6"/>
      <c r="H25" s="6"/>
      <c r="I25" s="6"/>
      <c r="J25" s="11"/>
      <c r="K25" s="6">
        <v>11450.0</v>
      </c>
      <c r="L25" s="6"/>
      <c r="M25" s="6"/>
      <c r="N25" s="6"/>
      <c r="O25" s="6"/>
      <c r="P25" s="6">
        <f t="shared" si="1"/>
        <v>11450</v>
      </c>
      <c r="Q25" s="6"/>
      <c r="R25" s="6">
        <f t="shared" si="2"/>
        <v>11450</v>
      </c>
    </row>
    <row r="26">
      <c r="A26" s="4">
        <v>23.0</v>
      </c>
      <c r="B26" s="12" t="s">
        <v>40</v>
      </c>
      <c r="C26" s="6">
        <v>7400.0</v>
      </c>
      <c r="D26" s="6">
        <v>23150.0</v>
      </c>
      <c r="E26" s="6"/>
      <c r="F26" s="6">
        <v>10100.0</v>
      </c>
      <c r="G26" s="6">
        <v>22950.0</v>
      </c>
      <c r="H26" s="6">
        <v>25300.0</v>
      </c>
      <c r="I26" s="6">
        <v>19750.0</v>
      </c>
      <c r="J26" s="11">
        <v>14300.0</v>
      </c>
      <c r="K26" s="6">
        <v>11600.0</v>
      </c>
      <c r="L26" s="6"/>
      <c r="M26" s="6">
        <v>26950.0</v>
      </c>
      <c r="N26" s="6"/>
      <c r="O26" s="6">
        <v>25350.0</v>
      </c>
      <c r="P26" s="6">
        <f t="shared" si="1"/>
        <v>186850</v>
      </c>
      <c r="Q26" s="6"/>
      <c r="R26" s="6">
        <f t="shared" si="2"/>
        <v>186850</v>
      </c>
    </row>
    <row r="27">
      <c r="A27" s="4">
        <v>24.0</v>
      </c>
      <c r="B27" s="12" t="s">
        <v>42</v>
      </c>
      <c r="C27" s="6"/>
      <c r="D27" s="6"/>
      <c r="E27" s="6"/>
      <c r="F27" s="6">
        <v>33500.0</v>
      </c>
      <c r="G27" s="6"/>
      <c r="H27" s="6"/>
      <c r="I27" s="6">
        <v>3000.0</v>
      </c>
      <c r="J27" s="11"/>
      <c r="K27" s="6">
        <v>14000.0</v>
      </c>
      <c r="L27" s="6"/>
      <c r="M27" s="6">
        <v>10000.0</v>
      </c>
      <c r="N27" s="6"/>
      <c r="O27" s="6">
        <v>10500.0</v>
      </c>
      <c r="P27" s="6">
        <f t="shared" si="1"/>
        <v>71000</v>
      </c>
      <c r="Q27" s="6"/>
      <c r="R27" s="6">
        <f t="shared" si="2"/>
        <v>71000</v>
      </c>
    </row>
    <row r="28">
      <c r="A28" s="4">
        <v>25.0</v>
      </c>
      <c r="B28" s="12" t="s">
        <v>43</v>
      </c>
      <c r="C28" s="6">
        <v>32500.0</v>
      </c>
      <c r="D28" s="6"/>
      <c r="E28" s="6">
        <v>23800.0</v>
      </c>
      <c r="F28" s="6">
        <v>32000.0</v>
      </c>
      <c r="G28" s="6">
        <v>17100.0</v>
      </c>
      <c r="H28" s="6">
        <v>25400.0</v>
      </c>
      <c r="I28" s="6">
        <v>26600.0</v>
      </c>
      <c r="J28" s="11">
        <v>22250.0</v>
      </c>
      <c r="K28" s="6">
        <v>19700.0</v>
      </c>
      <c r="L28" s="6">
        <v>10900.0</v>
      </c>
      <c r="M28" s="6">
        <v>38300.0</v>
      </c>
      <c r="N28" s="6"/>
      <c r="O28" s="6">
        <v>45300.0</v>
      </c>
      <c r="P28" s="6">
        <f t="shared" si="1"/>
        <v>293850</v>
      </c>
      <c r="Q28" s="6">
        <v>170000.0</v>
      </c>
      <c r="R28" s="6">
        <f t="shared" si="2"/>
        <v>123850</v>
      </c>
      <c r="S28" s="7" t="s">
        <v>75</v>
      </c>
    </row>
    <row r="29">
      <c r="A29" s="4">
        <v>26.0</v>
      </c>
      <c r="B29" s="12" t="s">
        <v>45</v>
      </c>
      <c r="C29" s="6">
        <v>21250.0</v>
      </c>
      <c r="D29" s="6"/>
      <c r="E29" s="6"/>
      <c r="F29" s="6">
        <v>2900.0</v>
      </c>
      <c r="G29" s="6"/>
      <c r="H29" s="6"/>
      <c r="I29" s="6"/>
      <c r="J29" s="11"/>
      <c r="K29" s="6"/>
      <c r="L29" s="6"/>
      <c r="M29" s="6"/>
      <c r="N29" s="6"/>
      <c r="O29" s="6"/>
      <c r="P29" s="6">
        <f t="shared" si="1"/>
        <v>24150</v>
      </c>
      <c r="Q29" s="6"/>
      <c r="R29" s="6">
        <f t="shared" si="2"/>
        <v>24150</v>
      </c>
    </row>
    <row r="30">
      <c r="A30" s="4">
        <v>27.0</v>
      </c>
      <c r="B30" s="12" t="s">
        <v>46</v>
      </c>
      <c r="C30" s="6">
        <v>3000.0</v>
      </c>
      <c r="D30" s="6"/>
      <c r="E30" s="6"/>
      <c r="F30" s="6"/>
      <c r="G30" s="6"/>
      <c r="H30" s="6"/>
      <c r="I30" s="6"/>
      <c r="J30" s="11"/>
      <c r="K30" s="6"/>
      <c r="L30" s="6"/>
      <c r="M30" s="6"/>
      <c r="N30" s="6"/>
      <c r="O30" s="6"/>
      <c r="P30" s="6">
        <f t="shared" si="1"/>
        <v>3000</v>
      </c>
      <c r="Q30" s="6"/>
      <c r="R30" s="6">
        <f t="shared" si="2"/>
        <v>3000</v>
      </c>
    </row>
    <row r="31">
      <c r="A31" s="4">
        <v>28.0</v>
      </c>
      <c r="B31" s="12" t="s">
        <v>34</v>
      </c>
      <c r="C31" s="6">
        <v>74900.0</v>
      </c>
      <c r="D31" s="6"/>
      <c r="E31" s="6"/>
      <c r="F31" s="6"/>
      <c r="G31" s="6"/>
      <c r="H31" s="6"/>
      <c r="I31" s="6"/>
      <c r="J31" s="11"/>
      <c r="K31" s="6"/>
      <c r="L31" s="6"/>
      <c r="M31" s="6"/>
      <c r="N31" s="6"/>
      <c r="O31" s="6"/>
      <c r="P31" s="6">
        <f t="shared" si="1"/>
        <v>74900</v>
      </c>
      <c r="Q31" s="6"/>
      <c r="R31" s="6">
        <f t="shared" si="2"/>
        <v>74900</v>
      </c>
    </row>
    <row r="32">
      <c r="A32" s="4">
        <v>29.0</v>
      </c>
      <c r="B32" s="12" t="s">
        <v>47</v>
      </c>
      <c r="C32" s="6"/>
      <c r="D32" s="6">
        <v>16000.0</v>
      </c>
      <c r="E32" s="6"/>
      <c r="F32" s="6"/>
      <c r="G32" s="6"/>
      <c r="H32" s="6"/>
      <c r="I32" s="6">
        <v>6200.0</v>
      </c>
      <c r="J32" s="11"/>
      <c r="K32" s="6"/>
      <c r="L32" s="6">
        <v>10000.0</v>
      </c>
      <c r="M32" s="6"/>
      <c r="N32" s="6"/>
      <c r="O32" s="6"/>
      <c r="P32" s="6">
        <f t="shared" si="1"/>
        <v>32200</v>
      </c>
      <c r="Q32" s="6"/>
      <c r="R32" s="6">
        <f t="shared" si="2"/>
        <v>32200</v>
      </c>
    </row>
    <row r="33">
      <c r="A33" s="4">
        <v>30.0</v>
      </c>
      <c r="B33" s="12" t="s">
        <v>48</v>
      </c>
      <c r="C33" s="6"/>
      <c r="D33" s="6">
        <v>4650.0</v>
      </c>
      <c r="E33" s="6"/>
      <c r="F33" s="6"/>
      <c r="G33" s="6"/>
      <c r="H33" s="6"/>
      <c r="I33" s="6"/>
      <c r="J33" s="11"/>
      <c r="K33" s="6"/>
      <c r="L33" s="6"/>
      <c r="M33" s="6"/>
      <c r="N33" s="6"/>
      <c r="O33" s="6"/>
      <c r="P33" s="6">
        <f t="shared" si="1"/>
        <v>4650</v>
      </c>
      <c r="Q33" s="6"/>
      <c r="R33" s="6">
        <f t="shared" si="2"/>
        <v>4650</v>
      </c>
    </row>
    <row r="34">
      <c r="A34" s="4">
        <v>31.0</v>
      </c>
      <c r="B34" s="12" t="s">
        <v>77</v>
      </c>
      <c r="C34" s="6"/>
      <c r="D34" s="6"/>
      <c r="E34" s="6">
        <v>21000.0</v>
      </c>
      <c r="F34" s="6">
        <v>33500.0</v>
      </c>
      <c r="G34" s="6"/>
      <c r="H34" s="6"/>
      <c r="I34" s="6">
        <v>60200.0</v>
      </c>
      <c r="J34" s="11"/>
      <c r="K34" s="6"/>
      <c r="L34" s="6"/>
      <c r="M34" s="6">
        <v>28000.0</v>
      </c>
      <c r="N34" s="6">
        <v>51900.0</v>
      </c>
      <c r="O34" s="6">
        <v>94750.0</v>
      </c>
      <c r="P34" s="6">
        <f t="shared" si="1"/>
        <v>289350</v>
      </c>
      <c r="Q34" s="6"/>
      <c r="R34" s="6">
        <f t="shared" si="2"/>
        <v>289350</v>
      </c>
    </row>
    <row r="35">
      <c r="A35" s="4">
        <v>32.0</v>
      </c>
      <c r="B35" s="12" t="s">
        <v>51</v>
      </c>
      <c r="C35" s="6"/>
      <c r="D35" s="6"/>
      <c r="E35" s="6"/>
      <c r="F35" s="6"/>
      <c r="G35" s="6"/>
      <c r="H35" s="6"/>
      <c r="I35" s="6"/>
      <c r="J35" s="11">
        <v>7000.0</v>
      </c>
      <c r="K35" s="6"/>
      <c r="L35" s="6">
        <v>24500.0</v>
      </c>
      <c r="M35" s="6"/>
      <c r="N35" s="6"/>
      <c r="O35" s="6">
        <v>15000.0</v>
      </c>
      <c r="P35" s="6">
        <f t="shared" si="1"/>
        <v>46500</v>
      </c>
      <c r="Q35" s="6"/>
      <c r="R35" s="6">
        <f t="shared" si="2"/>
        <v>46500</v>
      </c>
    </row>
    <row r="36">
      <c r="A36" s="4">
        <v>33.0</v>
      </c>
      <c r="B36" s="12" t="s">
        <v>52</v>
      </c>
      <c r="C36" s="6"/>
      <c r="D36" s="6"/>
      <c r="E36" s="6"/>
      <c r="F36" s="6"/>
      <c r="G36" s="6"/>
      <c r="H36" s="6"/>
      <c r="I36" s="6"/>
      <c r="J36" s="11"/>
      <c r="K36" s="6"/>
      <c r="L36" s="6">
        <v>4400.0</v>
      </c>
      <c r="M36" s="6"/>
      <c r="N36" s="6"/>
      <c r="O36" s="6"/>
      <c r="P36" s="6">
        <f t="shared" si="1"/>
        <v>4400</v>
      </c>
      <c r="Q36" s="6"/>
      <c r="R36" s="6">
        <f t="shared" si="2"/>
        <v>4400</v>
      </c>
    </row>
    <row r="37">
      <c r="A37" s="4">
        <v>34.0</v>
      </c>
      <c r="B37" s="12" t="s">
        <v>53</v>
      </c>
      <c r="C37" s="6"/>
      <c r="D37" s="6"/>
      <c r="E37" s="6"/>
      <c r="F37" s="6"/>
      <c r="G37" s="6"/>
      <c r="H37" s="6"/>
      <c r="I37" s="6"/>
      <c r="J37" s="11"/>
      <c r="K37" s="6"/>
      <c r="L37" s="6"/>
      <c r="M37" s="6"/>
      <c r="N37" s="6"/>
      <c r="O37" s="6"/>
      <c r="P37" s="6">
        <f t="shared" si="1"/>
        <v>0</v>
      </c>
      <c r="Q37" s="6"/>
      <c r="R37" s="6">
        <f t="shared" si="2"/>
        <v>0</v>
      </c>
    </row>
    <row r="38">
      <c r="B38" s="18"/>
      <c r="J38" s="26"/>
    </row>
    <row r="39">
      <c r="B39" s="19" t="s">
        <v>54</v>
      </c>
      <c r="C39" s="20">
        <v>19.0</v>
      </c>
      <c r="D39" s="7">
        <v>13.0</v>
      </c>
      <c r="E39" s="7">
        <v>9.0</v>
      </c>
      <c r="F39" s="20">
        <v>14.0</v>
      </c>
      <c r="G39" s="20">
        <v>10.0</v>
      </c>
      <c r="H39" s="20">
        <v>10.0</v>
      </c>
      <c r="I39" s="20">
        <v>10.0</v>
      </c>
      <c r="J39" s="27">
        <v>8.0</v>
      </c>
      <c r="K39" s="20">
        <v>11.0</v>
      </c>
      <c r="L39" s="20">
        <v>7.0</v>
      </c>
      <c r="M39" s="20">
        <v>8.0</v>
      </c>
      <c r="N39" s="7">
        <v>5.0</v>
      </c>
      <c r="O39" s="7">
        <v>11.0</v>
      </c>
    </row>
    <row r="40">
      <c r="B40" s="21" t="s">
        <v>55</v>
      </c>
      <c r="C40" s="22">
        <f t="shared" ref="C40:I40" si="3">SUM(C4:C34)</f>
        <v>452680</v>
      </c>
      <c r="D40" s="22">
        <f t="shared" si="3"/>
        <v>196300</v>
      </c>
      <c r="E40" s="22">
        <f t="shared" si="3"/>
        <v>188200</v>
      </c>
      <c r="F40" s="22">
        <f t="shared" si="3"/>
        <v>327525</v>
      </c>
      <c r="G40" s="22">
        <f t="shared" si="3"/>
        <v>242850</v>
      </c>
      <c r="H40" s="22">
        <f t="shared" si="3"/>
        <v>334150</v>
      </c>
      <c r="I40" s="22">
        <f t="shared" si="3"/>
        <v>359800</v>
      </c>
      <c r="J40" s="28">
        <f t="shared" ref="J40:K40" si="4">SUM(J4:J35)</f>
        <v>265850</v>
      </c>
      <c r="K40" s="22">
        <f t="shared" si="4"/>
        <v>330750</v>
      </c>
      <c r="L40" s="22">
        <f t="shared" ref="L40:O40" si="5">SUM(L4:L37)</f>
        <v>192200</v>
      </c>
      <c r="M40" s="22">
        <f t="shared" si="5"/>
        <v>280350</v>
      </c>
      <c r="N40" s="22">
        <f t="shared" si="5"/>
        <v>207400</v>
      </c>
      <c r="O40" s="22">
        <f t="shared" si="5"/>
        <v>427150</v>
      </c>
      <c r="P40" s="23">
        <f>SUM(P4:P36)</f>
        <v>3805205</v>
      </c>
      <c r="Q40" s="22">
        <f>sum(Q4:Q34)</f>
        <v>1594850</v>
      </c>
      <c r="R40" s="22">
        <f>sum(R4:R37)</f>
        <v>2210355</v>
      </c>
    </row>
    <row r="41">
      <c r="J41" s="26"/>
    </row>
    <row r="42">
      <c r="J42" s="26"/>
    </row>
    <row r="43">
      <c r="J43" s="26"/>
    </row>
    <row r="44">
      <c r="J44" s="26"/>
    </row>
    <row r="45">
      <c r="J45" s="26"/>
    </row>
    <row r="46">
      <c r="J46" s="26"/>
    </row>
    <row r="47">
      <c r="J47" s="26"/>
    </row>
    <row r="48">
      <c r="J48" s="26"/>
    </row>
    <row r="49">
      <c r="J49" s="26"/>
    </row>
    <row r="50">
      <c r="J50" s="26"/>
    </row>
    <row r="51">
      <c r="J51" s="26"/>
    </row>
    <row r="52">
      <c r="J52" s="26"/>
    </row>
    <row r="53">
      <c r="J53" s="26"/>
    </row>
    <row r="54">
      <c r="J54" s="26"/>
    </row>
    <row r="55">
      <c r="J55" s="26"/>
    </row>
    <row r="56">
      <c r="J56" s="26"/>
    </row>
    <row r="57">
      <c r="J57" s="26"/>
    </row>
    <row r="58">
      <c r="J58" s="26"/>
    </row>
    <row r="59">
      <c r="J59" s="26"/>
    </row>
    <row r="60">
      <c r="J60" s="26"/>
    </row>
    <row r="61">
      <c r="J61" s="26"/>
    </row>
    <row r="62">
      <c r="J62" s="26"/>
    </row>
    <row r="63">
      <c r="J63" s="26"/>
    </row>
    <row r="64">
      <c r="J64" s="26"/>
    </row>
    <row r="65">
      <c r="J65" s="26"/>
    </row>
    <row r="66">
      <c r="J66" s="26"/>
    </row>
    <row r="67">
      <c r="J67" s="26"/>
    </row>
    <row r="68">
      <c r="J68" s="26"/>
    </row>
    <row r="69">
      <c r="J69" s="26"/>
    </row>
    <row r="70">
      <c r="J70" s="26"/>
    </row>
    <row r="71">
      <c r="J71" s="26"/>
    </row>
    <row r="72">
      <c r="J72" s="26"/>
    </row>
    <row r="73">
      <c r="J73" s="26"/>
    </row>
    <row r="74">
      <c r="J74" s="26"/>
    </row>
    <row r="75">
      <c r="J75" s="26"/>
    </row>
    <row r="76">
      <c r="J76" s="26"/>
    </row>
    <row r="77">
      <c r="J77" s="26"/>
    </row>
    <row r="78">
      <c r="J78" s="26"/>
    </row>
    <row r="79">
      <c r="J79" s="26"/>
    </row>
    <row r="80">
      <c r="J80" s="26"/>
    </row>
    <row r="81">
      <c r="J81" s="26"/>
    </row>
    <row r="82">
      <c r="J82" s="26"/>
    </row>
    <row r="83">
      <c r="J83" s="26"/>
    </row>
    <row r="84">
      <c r="J84" s="26"/>
    </row>
    <row r="85">
      <c r="J85" s="26"/>
    </row>
    <row r="86">
      <c r="J86" s="26"/>
    </row>
    <row r="87">
      <c r="J87" s="26"/>
    </row>
    <row r="88">
      <c r="J88" s="26"/>
    </row>
    <row r="89">
      <c r="J89" s="26"/>
    </row>
    <row r="90">
      <c r="J90" s="26"/>
    </row>
    <row r="91">
      <c r="J91" s="26"/>
    </row>
    <row r="92">
      <c r="J92" s="26"/>
    </row>
    <row r="93">
      <c r="J93" s="26"/>
    </row>
    <row r="94">
      <c r="J94" s="26"/>
    </row>
    <row r="95">
      <c r="J95" s="26"/>
    </row>
    <row r="96">
      <c r="J96" s="26"/>
    </row>
    <row r="97">
      <c r="J97" s="26"/>
    </row>
    <row r="98">
      <c r="J98" s="26"/>
    </row>
    <row r="99">
      <c r="J99" s="26"/>
    </row>
    <row r="100">
      <c r="J100" s="26"/>
    </row>
    <row r="101">
      <c r="J101" s="26"/>
    </row>
    <row r="102">
      <c r="J102" s="26"/>
    </row>
    <row r="103">
      <c r="J103" s="26"/>
    </row>
    <row r="104">
      <c r="J104" s="26"/>
    </row>
    <row r="105">
      <c r="J105" s="26"/>
    </row>
    <row r="106">
      <c r="J106" s="26"/>
    </row>
    <row r="107">
      <c r="J107" s="26"/>
    </row>
    <row r="108">
      <c r="J108" s="26"/>
    </row>
    <row r="109">
      <c r="J109" s="26"/>
    </row>
    <row r="110">
      <c r="J110" s="26"/>
    </row>
    <row r="111">
      <c r="J111" s="26"/>
    </row>
    <row r="112">
      <c r="J112" s="26"/>
    </row>
    <row r="113">
      <c r="J113" s="26"/>
    </row>
    <row r="114">
      <c r="J114" s="26"/>
    </row>
    <row r="115">
      <c r="J115" s="26"/>
    </row>
    <row r="116">
      <c r="J116" s="26"/>
    </row>
    <row r="117">
      <c r="J117" s="26"/>
    </row>
    <row r="118">
      <c r="J118" s="26"/>
    </row>
    <row r="119">
      <c r="J119" s="26"/>
    </row>
    <row r="120">
      <c r="J120" s="26"/>
    </row>
    <row r="121">
      <c r="J121" s="26"/>
    </row>
    <row r="122">
      <c r="J122" s="26"/>
    </row>
    <row r="123">
      <c r="J123" s="26"/>
    </row>
    <row r="124">
      <c r="J124" s="26"/>
    </row>
    <row r="125">
      <c r="J125" s="26"/>
    </row>
    <row r="126">
      <c r="J126" s="26"/>
    </row>
    <row r="127">
      <c r="J127" s="26"/>
    </row>
    <row r="128">
      <c r="J128" s="26"/>
    </row>
    <row r="129">
      <c r="J129" s="26"/>
    </row>
    <row r="130">
      <c r="J130" s="26"/>
    </row>
    <row r="131">
      <c r="J131" s="26"/>
    </row>
    <row r="132">
      <c r="J132" s="26"/>
    </row>
    <row r="133">
      <c r="J133" s="26"/>
    </row>
    <row r="134">
      <c r="J134" s="26"/>
    </row>
    <row r="135">
      <c r="J135" s="26"/>
    </row>
    <row r="136">
      <c r="J136" s="26"/>
    </row>
    <row r="137">
      <c r="J137" s="26"/>
    </row>
    <row r="138">
      <c r="J138" s="26"/>
    </row>
    <row r="139">
      <c r="J139" s="26"/>
    </row>
    <row r="140">
      <c r="J140" s="26"/>
    </row>
    <row r="141">
      <c r="J141" s="26"/>
    </row>
    <row r="142">
      <c r="J142" s="26"/>
    </row>
    <row r="143">
      <c r="J143" s="26"/>
    </row>
    <row r="144">
      <c r="J144" s="26"/>
    </row>
    <row r="145">
      <c r="J145" s="26"/>
    </row>
    <row r="146">
      <c r="J146" s="26"/>
    </row>
    <row r="147">
      <c r="J147" s="26"/>
    </row>
    <row r="148">
      <c r="J148" s="26"/>
    </row>
    <row r="149">
      <c r="J149" s="26"/>
    </row>
    <row r="150">
      <c r="J150" s="26"/>
    </row>
    <row r="151">
      <c r="J151" s="26"/>
    </row>
    <row r="152">
      <c r="J152" s="26"/>
    </row>
    <row r="153">
      <c r="J153" s="26"/>
    </row>
    <row r="154">
      <c r="J154" s="26"/>
    </row>
    <row r="155">
      <c r="J155" s="26"/>
    </row>
    <row r="156">
      <c r="J156" s="26"/>
    </row>
    <row r="157">
      <c r="J157" s="26"/>
    </row>
    <row r="158">
      <c r="J158" s="26"/>
    </row>
    <row r="159">
      <c r="J159" s="26"/>
    </row>
    <row r="160">
      <c r="J160" s="26"/>
    </row>
    <row r="161">
      <c r="J161" s="26"/>
    </row>
    <row r="162">
      <c r="J162" s="26"/>
    </row>
    <row r="163">
      <c r="J163" s="26"/>
    </row>
    <row r="164">
      <c r="J164" s="26"/>
    </row>
    <row r="165">
      <c r="J165" s="26"/>
    </row>
    <row r="166">
      <c r="J166" s="26"/>
    </row>
    <row r="167">
      <c r="J167" s="26"/>
    </row>
    <row r="168">
      <c r="J168" s="26"/>
    </row>
    <row r="169">
      <c r="J169" s="26"/>
    </row>
    <row r="170">
      <c r="J170" s="26"/>
    </row>
    <row r="171">
      <c r="J171" s="26"/>
    </row>
    <row r="172">
      <c r="J172" s="26"/>
    </row>
    <row r="173">
      <c r="J173" s="26"/>
    </row>
    <row r="174">
      <c r="J174" s="26"/>
    </row>
    <row r="175">
      <c r="J175" s="26"/>
    </row>
    <row r="176">
      <c r="J176" s="26"/>
    </row>
    <row r="177">
      <c r="J177" s="26"/>
    </row>
    <row r="178">
      <c r="J178" s="26"/>
    </row>
    <row r="179">
      <c r="J179" s="26"/>
    </row>
    <row r="180">
      <c r="J180" s="26"/>
    </row>
    <row r="181">
      <c r="J181" s="26"/>
    </row>
    <row r="182">
      <c r="J182" s="26"/>
    </row>
    <row r="183">
      <c r="J183" s="26"/>
    </row>
    <row r="184">
      <c r="J184" s="26"/>
    </row>
    <row r="185">
      <c r="J185" s="26"/>
    </row>
    <row r="186">
      <c r="J186" s="26"/>
    </row>
    <row r="187">
      <c r="J187" s="26"/>
    </row>
    <row r="188">
      <c r="J188" s="26"/>
    </row>
    <row r="189">
      <c r="J189" s="26"/>
    </row>
    <row r="190">
      <c r="J190" s="26"/>
    </row>
    <row r="191">
      <c r="J191" s="26"/>
    </row>
    <row r="192">
      <c r="J192" s="26"/>
    </row>
    <row r="193">
      <c r="J193" s="26"/>
    </row>
    <row r="194">
      <c r="J194" s="26"/>
    </row>
    <row r="195">
      <c r="J195" s="26"/>
    </row>
    <row r="196">
      <c r="J196" s="26"/>
    </row>
    <row r="197">
      <c r="J197" s="26"/>
    </row>
    <row r="198">
      <c r="J198" s="26"/>
    </row>
    <row r="199">
      <c r="J199" s="26"/>
    </row>
    <row r="200">
      <c r="J200" s="26"/>
    </row>
    <row r="201">
      <c r="J201" s="26"/>
    </row>
    <row r="202">
      <c r="J202" s="26"/>
    </row>
    <row r="203">
      <c r="J203" s="26"/>
    </row>
    <row r="204">
      <c r="J204" s="26"/>
    </row>
    <row r="205">
      <c r="J205" s="26"/>
    </row>
    <row r="206">
      <c r="J206" s="26"/>
    </row>
    <row r="207">
      <c r="J207" s="26"/>
    </row>
    <row r="208">
      <c r="J208" s="26"/>
    </row>
    <row r="209">
      <c r="J209" s="26"/>
    </row>
    <row r="210">
      <c r="J210" s="26"/>
    </row>
    <row r="211">
      <c r="J211" s="26"/>
    </row>
    <row r="212">
      <c r="J212" s="26"/>
    </row>
    <row r="213">
      <c r="J213" s="26"/>
    </row>
    <row r="214">
      <c r="J214" s="26"/>
    </row>
    <row r="215">
      <c r="J215" s="26"/>
    </row>
    <row r="216">
      <c r="J216" s="26"/>
    </row>
    <row r="217">
      <c r="J217" s="26"/>
    </row>
    <row r="218">
      <c r="J218" s="26"/>
    </row>
    <row r="219">
      <c r="J219" s="26"/>
    </row>
    <row r="220">
      <c r="J220" s="26"/>
    </row>
    <row r="221">
      <c r="J221" s="26"/>
    </row>
    <row r="222">
      <c r="J222" s="26"/>
    </row>
    <row r="223">
      <c r="J223" s="26"/>
    </row>
    <row r="224">
      <c r="J224" s="26"/>
    </row>
    <row r="225">
      <c r="J225" s="26"/>
    </row>
    <row r="226">
      <c r="J226" s="26"/>
    </row>
    <row r="227">
      <c r="J227" s="26"/>
    </row>
    <row r="228">
      <c r="J228" s="26"/>
    </row>
    <row r="229">
      <c r="J229" s="26"/>
    </row>
    <row r="230">
      <c r="J230" s="26"/>
    </row>
    <row r="231">
      <c r="J231" s="26"/>
    </row>
    <row r="232">
      <c r="J232" s="26"/>
    </row>
    <row r="233">
      <c r="J233" s="26"/>
    </row>
    <row r="234">
      <c r="J234" s="26"/>
    </row>
    <row r="235">
      <c r="J235" s="26"/>
    </row>
    <row r="236">
      <c r="J236" s="26"/>
    </row>
    <row r="237">
      <c r="J237" s="26"/>
    </row>
    <row r="238">
      <c r="J238" s="26"/>
    </row>
    <row r="239">
      <c r="J239" s="26"/>
    </row>
    <row r="240">
      <c r="J240" s="26"/>
    </row>
    <row r="241">
      <c r="J241" s="26"/>
    </row>
    <row r="242">
      <c r="J242" s="26"/>
    </row>
    <row r="243">
      <c r="J243" s="26"/>
    </row>
    <row r="244">
      <c r="J244" s="26"/>
    </row>
    <row r="245">
      <c r="J245" s="26"/>
    </row>
    <row r="246">
      <c r="J246" s="26"/>
    </row>
    <row r="247">
      <c r="J247" s="26"/>
    </row>
    <row r="248">
      <c r="J248" s="26"/>
    </row>
    <row r="249">
      <c r="J249" s="26"/>
    </row>
    <row r="250">
      <c r="J250" s="26"/>
    </row>
    <row r="251">
      <c r="J251" s="26"/>
    </row>
    <row r="252">
      <c r="J252" s="26"/>
    </row>
    <row r="253">
      <c r="J253" s="26"/>
    </row>
    <row r="254">
      <c r="J254" s="26"/>
    </row>
    <row r="255">
      <c r="J255" s="26"/>
    </row>
    <row r="256">
      <c r="J256" s="26"/>
    </row>
    <row r="257">
      <c r="J257" s="26"/>
    </row>
    <row r="258">
      <c r="J258" s="26"/>
    </row>
    <row r="259">
      <c r="J259" s="26"/>
    </row>
    <row r="260">
      <c r="J260" s="26"/>
    </row>
    <row r="261">
      <c r="J261" s="26"/>
    </row>
    <row r="262">
      <c r="J262" s="26"/>
    </row>
    <row r="263">
      <c r="J263" s="26"/>
    </row>
    <row r="264">
      <c r="J264" s="26"/>
    </row>
    <row r="265">
      <c r="J265" s="26"/>
    </row>
    <row r="266">
      <c r="J266" s="26"/>
    </row>
    <row r="267">
      <c r="J267" s="26"/>
    </row>
    <row r="268">
      <c r="J268" s="26"/>
    </row>
    <row r="269">
      <c r="J269" s="26"/>
    </row>
    <row r="270">
      <c r="J270" s="26"/>
    </row>
    <row r="271">
      <c r="J271" s="26"/>
    </row>
    <row r="272">
      <c r="J272" s="26"/>
    </row>
    <row r="273">
      <c r="J273" s="26"/>
    </row>
    <row r="274">
      <c r="J274" s="26"/>
    </row>
    <row r="275">
      <c r="J275" s="26"/>
    </row>
    <row r="276">
      <c r="J276" s="26"/>
    </row>
    <row r="277">
      <c r="J277" s="26"/>
    </row>
    <row r="278">
      <c r="J278" s="26"/>
    </row>
    <row r="279">
      <c r="J279" s="26"/>
    </row>
    <row r="280">
      <c r="J280" s="26"/>
    </row>
    <row r="281">
      <c r="J281" s="26"/>
    </row>
    <row r="282">
      <c r="J282" s="26"/>
    </row>
    <row r="283">
      <c r="J283" s="26"/>
    </row>
    <row r="284">
      <c r="J284" s="26"/>
    </row>
    <row r="285">
      <c r="J285" s="26"/>
    </row>
    <row r="286">
      <c r="J286" s="26"/>
    </row>
    <row r="287">
      <c r="J287" s="26"/>
    </row>
    <row r="288">
      <c r="J288" s="26"/>
    </row>
    <row r="289">
      <c r="J289" s="26"/>
    </row>
    <row r="290">
      <c r="J290" s="26"/>
    </row>
    <row r="291">
      <c r="J291" s="26"/>
    </row>
    <row r="292">
      <c r="J292" s="26"/>
    </row>
    <row r="293">
      <c r="J293" s="26"/>
    </row>
    <row r="294">
      <c r="J294" s="26"/>
    </row>
    <row r="295">
      <c r="J295" s="26"/>
    </row>
    <row r="296">
      <c r="J296" s="26"/>
    </row>
    <row r="297">
      <c r="J297" s="26"/>
    </row>
    <row r="298">
      <c r="J298" s="26"/>
    </row>
    <row r="299">
      <c r="J299" s="26"/>
    </row>
    <row r="300">
      <c r="J300" s="26"/>
    </row>
    <row r="301">
      <c r="J301" s="26"/>
    </row>
    <row r="302">
      <c r="J302" s="26"/>
    </row>
    <row r="303">
      <c r="J303" s="26"/>
    </row>
    <row r="304">
      <c r="J304" s="26"/>
    </row>
    <row r="305">
      <c r="J305" s="26"/>
    </row>
    <row r="306">
      <c r="J306" s="26"/>
    </row>
    <row r="307">
      <c r="J307" s="26"/>
    </row>
    <row r="308">
      <c r="J308" s="26"/>
    </row>
    <row r="309">
      <c r="J309" s="26"/>
    </row>
    <row r="310">
      <c r="J310" s="26"/>
    </row>
    <row r="311">
      <c r="J311" s="26"/>
    </row>
    <row r="312">
      <c r="J312" s="26"/>
    </row>
    <row r="313">
      <c r="J313" s="26"/>
    </row>
    <row r="314">
      <c r="J314" s="26"/>
    </row>
    <row r="315">
      <c r="J315" s="26"/>
    </row>
    <row r="316">
      <c r="J316" s="26"/>
    </row>
    <row r="317">
      <c r="J317" s="26"/>
    </row>
    <row r="318">
      <c r="J318" s="26"/>
    </row>
    <row r="319">
      <c r="J319" s="26"/>
    </row>
    <row r="320">
      <c r="J320" s="26"/>
    </row>
    <row r="321">
      <c r="J321" s="26"/>
    </row>
    <row r="322">
      <c r="J322" s="26"/>
    </row>
    <row r="323">
      <c r="J323" s="26"/>
    </row>
    <row r="324">
      <c r="J324" s="26"/>
    </row>
    <row r="325">
      <c r="J325" s="26"/>
    </row>
    <row r="326">
      <c r="J326" s="26"/>
    </row>
    <row r="327">
      <c r="J327" s="26"/>
    </row>
    <row r="328">
      <c r="J328" s="26"/>
    </row>
    <row r="329">
      <c r="J329" s="26"/>
    </row>
    <row r="330">
      <c r="J330" s="26"/>
    </row>
    <row r="331">
      <c r="J331" s="26"/>
    </row>
    <row r="332">
      <c r="J332" s="26"/>
    </row>
    <row r="333">
      <c r="J333" s="26"/>
    </row>
    <row r="334">
      <c r="J334" s="26"/>
    </row>
    <row r="335">
      <c r="J335" s="26"/>
    </row>
    <row r="336">
      <c r="J336" s="26"/>
    </row>
    <row r="337">
      <c r="J337" s="26"/>
    </row>
    <row r="338">
      <c r="J338" s="26"/>
    </row>
    <row r="339">
      <c r="J339" s="26"/>
    </row>
    <row r="340">
      <c r="J340" s="26"/>
    </row>
    <row r="341">
      <c r="J341" s="26"/>
    </row>
    <row r="342">
      <c r="J342" s="26"/>
    </row>
    <row r="343">
      <c r="J343" s="26"/>
    </row>
    <row r="344">
      <c r="J344" s="26"/>
    </row>
    <row r="345">
      <c r="J345" s="26"/>
    </row>
    <row r="346">
      <c r="J346" s="26"/>
    </row>
    <row r="347">
      <c r="J347" s="26"/>
    </row>
    <row r="348">
      <c r="J348" s="26"/>
    </row>
    <row r="349">
      <c r="J349" s="26"/>
    </row>
    <row r="350">
      <c r="J350" s="26"/>
    </row>
    <row r="351">
      <c r="J351" s="26"/>
    </row>
    <row r="352">
      <c r="J352" s="26"/>
    </row>
    <row r="353">
      <c r="J353" s="26"/>
    </row>
    <row r="354">
      <c r="J354" s="26"/>
    </row>
    <row r="355">
      <c r="J355" s="26"/>
    </row>
    <row r="356">
      <c r="J356" s="26"/>
    </row>
    <row r="357">
      <c r="J357" s="26"/>
    </row>
    <row r="358">
      <c r="J358" s="26"/>
    </row>
    <row r="359">
      <c r="J359" s="26"/>
    </row>
    <row r="360">
      <c r="J360" s="26"/>
    </row>
    <row r="361">
      <c r="J361" s="26"/>
    </row>
    <row r="362">
      <c r="J362" s="26"/>
    </row>
    <row r="363">
      <c r="J363" s="26"/>
    </row>
    <row r="364">
      <c r="J364" s="26"/>
    </row>
    <row r="365">
      <c r="J365" s="26"/>
    </row>
    <row r="366">
      <c r="J366" s="26"/>
    </row>
    <row r="367">
      <c r="J367" s="26"/>
    </row>
    <row r="368">
      <c r="J368" s="26"/>
    </row>
    <row r="369">
      <c r="J369" s="26"/>
    </row>
    <row r="370">
      <c r="J370" s="26"/>
    </row>
    <row r="371">
      <c r="J371" s="26"/>
    </row>
    <row r="372">
      <c r="J372" s="26"/>
    </row>
    <row r="373">
      <c r="J373" s="26"/>
    </row>
    <row r="374">
      <c r="J374" s="26"/>
    </row>
    <row r="375">
      <c r="J375" s="26"/>
    </row>
    <row r="376">
      <c r="J376" s="26"/>
    </row>
    <row r="377">
      <c r="J377" s="26"/>
    </row>
    <row r="378">
      <c r="J378" s="26"/>
    </row>
    <row r="379">
      <c r="J379" s="26"/>
    </row>
    <row r="380">
      <c r="J380" s="26"/>
    </row>
    <row r="381">
      <c r="J381" s="26"/>
    </row>
    <row r="382">
      <c r="J382" s="26"/>
    </row>
    <row r="383">
      <c r="J383" s="26"/>
    </row>
    <row r="384">
      <c r="J384" s="26"/>
    </row>
    <row r="385">
      <c r="J385" s="26"/>
    </row>
    <row r="386">
      <c r="J386" s="26"/>
    </row>
    <row r="387">
      <c r="J387" s="26"/>
    </row>
    <row r="388">
      <c r="J388" s="26"/>
    </row>
    <row r="389">
      <c r="J389" s="26"/>
    </row>
    <row r="390">
      <c r="J390" s="26"/>
    </row>
    <row r="391">
      <c r="J391" s="26"/>
    </row>
    <row r="392">
      <c r="J392" s="26"/>
    </row>
    <row r="393">
      <c r="J393" s="26"/>
    </row>
    <row r="394">
      <c r="J394" s="26"/>
    </row>
    <row r="395">
      <c r="J395" s="26"/>
    </row>
    <row r="396">
      <c r="J396" s="26"/>
    </row>
    <row r="397">
      <c r="J397" s="26"/>
    </row>
    <row r="398">
      <c r="J398" s="26"/>
    </row>
    <row r="399">
      <c r="J399" s="26"/>
    </row>
    <row r="400">
      <c r="J400" s="26"/>
    </row>
    <row r="401">
      <c r="J401" s="26"/>
    </row>
    <row r="402">
      <c r="J402" s="26"/>
    </row>
    <row r="403">
      <c r="J403" s="26"/>
    </row>
    <row r="404">
      <c r="J404" s="26"/>
    </row>
    <row r="405">
      <c r="J405" s="26"/>
    </row>
    <row r="406">
      <c r="J406" s="26"/>
    </row>
    <row r="407">
      <c r="J407" s="26"/>
    </row>
    <row r="408">
      <c r="J408" s="26"/>
    </row>
    <row r="409">
      <c r="J409" s="26"/>
    </row>
    <row r="410">
      <c r="J410" s="26"/>
    </row>
    <row r="411">
      <c r="J411" s="26"/>
    </row>
    <row r="412">
      <c r="J412" s="26"/>
    </row>
    <row r="413">
      <c r="J413" s="26"/>
    </row>
    <row r="414">
      <c r="J414" s="26"/>
    </row>
    <row r="415">
      <c r="J415" s="26"/>
    </row>
    <row r="416">
      <c r="J416" s="26"/>
    </row>
    <row r="417">
      <c r="J417" s="26"/>
    </row>
    <row r="418">
      <c r="J418" s="26"/>
    </row>
    <row r="419">
      <c r="J419" s="26"/>
    </row>
    <row r="420">
      <c r="J420" s="26"/>
    </row>
    <row r="421">
      <c r="J421" s="26"/>
    </row>
    <row r="422">
      <c r="J422" s="26"/>
    </row>
    <row r="423">
      <c r="J423" s="26"/>
    </row>
    <row r="424">
      <c r="J424" s="26"/>
    </row>
    <row r="425">
      <c r="J425" s="26"/>
    </row>
    <row r="426">
      <c r="J426" s="26"/>
    </row>
    <row r="427">
      <c r="J427" s="26"/>
    </row>
    <row r="428">
      <c r="J428" s="26"/>
    </row>
    <row r="429">
      <c r="J429" s="26"/>
    </row>
    <row r="430">
      <c r="J430" s="26"/>
    </row>
    <row r="431">
      <c r="J431" s="26"/>
    </row>
    <row r="432">
      <c r="J432" s="26"/>
    </row>
    <row r="433">
      <c r="J433" s="26"/>
    </row>
    <row r="434">
      <c r="J434" s="26"/>
    </row>
    <row r="435">
      <c r="J435" s="26"/>
    </row>
    <row r="436">
      <c r="J436" s="26"/>
    </row>
    <row r="437">
      <c r="J437" s="26"/>
    </row>
    <row r="438">
      <c r="J438" s="26"/>
    </row>
    <row r="439">
      <c r="J439" s="26"/>
    </row>
    <row r="440">
      <c r="J440" s="26"/>
    </row>
    <row r="441">
      <c r="J441" s="26"/>
    </row>
    <row r="442">
      <c r="J442" s="26"/>
    </row>
    <row r="443">
      <c r="J443" s="26"/>
    </row>
    <row r="444">
      <c r="J444" s="26"/>
    </row>
    <row r="445">
      <c r="J445" s="26"/>
    </row>
    <row r="446">
      <c r="J446" s="26"/>
    </row>
    <row r="447">
      <c r="J447" s="26"/>
    </row>
    <row r="448">
      <c r="J448" s="26"/>
    </row>
    <row r="449">
      <c r="J449" s="26"/>
    </row>
    <row r="450">
      <c r="J450" s="26"/>
    </row>
    <row r="451">
      <c r="J451" s="26"/>
    </row>
    <row r="452">
      <c r="J452" s="26"/>
    </row>
    <row r="453">
      <c r="J453" s="26"/>
    </row>
    <row r="454">
      <c r="J454" s="26"/>
    </row>
    <row r="455">
      <c r="J455" s="26"/>
    </row>
    <row r="456">
      <c r="J456" s="26"/>
    </row>
    <row r="457">
      <c r="J457" s="26"/>
    </row>
    <row r="458">
      <c r="J458" s="26"/>
    </row>
    <row r="459">
      <c r="J459" s="26"/>
    </row>
    <row r="460">
      <c r="J460" s="26"/>
    </row>
    <row r="461">
      <c r="J461" s="26"/>
    </row>
    <row r="462">
      <c r="J462" s="26"/>
    </row>
    <row r="463">
      <c r="J463" s="26"/>
    </row>
    <row r="464">
      <c r="J464" s="26"/>
    </row>
    <row r="465">
      <c r="J465" s="26"/>
    </row>
    <row r="466">
      <c r="J466" s="26"/>
    </row>
    <row r="467">
      <c r="J467" s="26"/>
    </row>
    <row r="468">
      <c r="J468" s="26"/>
    </row>
    <row r="469">
      <c r="J469" s="26"/>
    </row>
    <row r="470">
      <c r="J470" s="26"/>
    </row>
    <row r="471">
      <c r="J471" s="26"/>
    </row>
    <row r="472">
      <c r="J472" s="26"/>
    </row>
    <row r="473">
      <c r="J473" s="26"/>
    </row>
    <row r="474">
      <c r="J474" s="26"/>
    </row>
    <row r="475">
      <c r="J475" s="26"/>
    </row>
    <row r="476">
      <c r="J476" s="26"/>
    </row>
    <row r="477">
      <c r="J477" s="26"/>
    </row>
    <row r="478">
      <c r="J478" s="26"/>
    </row>
    <row r="479">
      <c r="J479" s="26"/>
    </row>
    <row r="480">
      <c r="J480" s="26"/>
    </row>
    <row r="481">
      <c r="J481" s="26"/>
    </row>
    <row r="482">
      <c r="J482" s="26"/>
    </row>
    <row r="483">
      <c r="J483" s="26"/>
    </row>
    <row r="484">
      <c r="J484" s="26"/>
    </row>
    <row r="485">
      <c r="J485" s="26"/>
    </row>
    <row r="486">
      <c r="J486" s="26"/>
    </row>
    <row r="487">
      <c r="J487" s="26"/>
    </row>
    <row r="488">
      <c r="J488" s="26"/>
    </row>
    <row r="489">
      <c r="J489" s="26"/>
    </row>
    <row r="490">
      <c r="J490" s="26"/>
    </row>
    <row r="491">
      <c r="J491" s="26"/>
    </row>
    <row r="492">
      <c r="J492" s="26"/>
    </row>
    <row r="493">
      <c r="J493" s="26"/>
    </row>
    <row r="494">
      <c r="J494" s="26"/>
    </row>
    <row r="495">
      <c r="J495" s="26"/>
    </row>
    <row r="496">
      <c r="J496" s="26"/>
    </row>
    <row r="497">
      <c r="J497" s="26"/>
    </row>
    <row r="498">
      <c r="J498" s="26"/>
    </row>
    <row r="499">
      <c r="J499" s="26"/>
    </row>
    <row r="500">
      <c r="J500" s="26"/>
    </row>
    <row r="501">
      <c r="J501" s="26"/>
    </row>
    <row r="502">
      <c r="J502" s="26"/>
    </row>
    <row r="503">
      <c r="J503" s="26"/>
    </row>
    <row r="504">
      <c r="J504" s="26"/>
    </row>
    <row r="505">
      <c r="J505" s="26"/>
    </row>
    <row r="506">
      <c r="J506" s="26"/>
    </row>
    <row r="507">
      <c r="J507" s="26"/>
    </row>
    <row r="508">
      <c r="J508" s="26"/>
    </row>
    <row r="509">
      <c r="J509" s="26"/>
    </row>
    <row r="510">
      <c r="J510" s="26"/>
    </row>
    <row r="511">
      <c r="J511" s="26"/>
    </row>
    <row r="512">
      <c r="J512" s="26"/>
    </row>
    <row r="513">
      <c r="J513" s="26"/>
    </row>
    <row r="514">
      <c r="J514" s="26"/>
    </row>
    <row r="515">
      <c r="J515" s="26"/>
    </row>
    <row r="516">
      <c r="J516" s="26"/>
    </row>
    <row r="517">
      <c r="J517" s="26"/>
    </row>
    <row r="518">
      <c r="J518" s="26"/>
    </row>
    <row r="519">
      <c r="J519" s="26"/>
    </row>
    <row r="520">
      <c r="J520" s="26"/>
    </row>
    <row r="521">
      <c r="J521" s="26"/>
    </row>
    <row r="522">
      <c r="J522" s="26"/>
    </row>
    <row r="523">
      <c r="J523" s="26"/>
    </row>
    <row r="524">
      <c r="J524" s="26"/>
    </row>
    <row r="525">
      <c r="J525" s="26"/>
    </row>
    <row r="526">
      <c r="J526" s="26"/>
    </row>
    <row r="527">
      <c r="J527" s="26"/>
    </row>
    <row r="528">
      <c r="J528" s="26"/>
    </row>
    <row r="529">
      <c r="J529" s="26"/>
    </row>
    <row r="530">
      <c r="J530" s="26"/>
    </row>
    <row r="531">
      <c r="J531" s="26"/>
    </row>
    <row r="532">
      <c r="J532" s="26"/>
    </row>
    <row r="533">
      <c r="J533" s="26"/>
    </row>
    <row r="534">
      <c r="J534" s="26"/>
    </row>
    <row r="535">
      <c r="J535" s="26"/>
    </row>
    <row r="536">
      <c r="J536" s="26"/>
    </row>
    <row r="537">
      <c r="J537" s="26"/>
    </row>
    <row r="538">
      <c r="J538" s="26"/>
    </row>
    <row r="539">
      <c r="J539" s="26"/>
    </row>
    <row r="540">
      <c r="J540" s="26"/>
    </row>
    <row r="541">
      <c r="J541" s="26"/>
    </row>
    <row r="542">
      <c r="J542" s="26"/>
    </row>
    <row r="543">
      <c r="J543" s="26"/>
    </row>
    <row r="544">
      <c r="J544" s="26"/>
    </row>
    <row r="545">
      <c r="J545" s="26"/>
    </row>
    <row r="546">
      <c r="J546" s="26"/>
    </row>
    <row r="547">
      <c r="J547" s="26"/>
    </row>
    <row r="548">
      <c r="J548" s="26"/>
    </row>
    <row r="549">
      <c r="J549" s="26"/>
    </row>
    <row r="550">
      <c r="J550" s="26"/>
    </row>
    <row r="551">
      <c r="J551" s="26"/>
    </row>
    <row r="552">
      <c r="J552" s="26"/>
    </row>
    <row r="553">
      <c r="J553" s="26"/>
    </row>
    <row r="554">
      <c r="J554" s="26"/>
    </row>
    <row r="555">
      <c r="J555" s="26"/>
    </row>
    <row r="556">
      <c r="J556" s="26"/>
    </row>
    <row r="557">
      <c r="J557" s="26"/>
    </row>
    <row r="558">
      <c r="J558" s="26"/>
    </row>
    <row r="559">
      <c r="J559" s="26"/>
    </row>
    <row r="560">
      <c r="J560" s="26"/>
    </row>
    <row r="561">
      <c r="J561" s="26"/>
    </row>
    <row r="562">
      <c r="J562" s="26"/>
    </row>
    <row r="563">
      <c r="J563" s="26"/>
    </row>
    <row r="564">
      <c r="J564" s="26"/>
    </row>
    <row r="565">
      <c r="J565" s="26"/>
    </row>
    <row r="566">
      <c r="J566" s="26"/>
    </row>
    <row r="567">
      <c r="J567" s="26"/>
    </row>
    <row r="568">
      <c r="J568" s="26"/>
    </row>
    <row r="569">
      <c r="J569" s="26"/>
    </row>
    <row r="570">
      <c r="J570" s="26"/>
    </row>
    <row r="571">
      <c r="J571" s="26"/>
    </row>
    <row r="572">
      <c r="J572" s="26"/>
    </row>
    <row r="573">
      <c r="J573" s="26"/>
    </row>
    <row r="574">
      <c r="J574" s="26"/>
    </row>
    <row r="575">
      <c r="J575" s="26"/>
    </row>
    <row r="576">
      <c r="J576" s="26"/>
    </row>
    <row r="577">
      <c r="J577" s="26"/>
    </row>
    <row r="578">
      <c r="J578" s="26"/>
    </row>
    <row r="579">
      <c r="J579" s="26"/>
    </row>
    <row r="580">
      <c r="J580" s="26"/>
    </row>
    <row r="581">
      <c r="J581" s="26"/>
    </row>
    <row r="582">
      <c r="J582" s="26"/>
    </row>
    <row r="583">
      <c r="J583" s="26"/>
    </row>
    <row r="584">
      <c r="J584" s="26"/>
    </row>
    <row r="585">
      <c r="J585" s="26"/>
    </row>
    <row r="586">
      <c r="J586" s="26"/>
    </row>
    <row r="587">
      <c r="J587" s="26"/>
    </row>
    <row r="588">
      <c r="J588" s="26"/>
    </row>
    <row r="589">
      <c r="J589" s="26"/>
    </row>
    <row r="590">
      <c r="J590" s="26"/>
    </row>
    <row r="591">
      <c r="J591" s="26"/>
    </row>
    <row r="592">
      <c r="J592" s="26"/>
    </row>
    <row r="593">
      <c r="J593" s="26"/>
    </row>
    <row r="594">
      <c r="J594" s="26"/>
    </row>
    <row r="595">
      <c r="J595" s="26"/>
    </row>
    <row r="596">
      <c r="J596" s="26"/>
    </row>
    <row r="597">
      <c r="J597" s="26"/>
    </row>
    <row r="598">
      <c r="J598" s="26"/>
    </row>
    <row r="599">
      <c r="J599" s="26"/>
    </row>
    <row r="600">
      <c r="J600" s="26"/>
    </row>
    <row r="601">
      <c r="J601" s="26"/>
    </row>
    <row r="602">
      <c r="J602" s="26"/>
    </row>
    <row r="603">
      <c r="J603" s="26"/>
    </row>
    <row r="604">
      <c r="J604" s="26"/>
    </row>
    <row r="605">
      <c r="J605" s="26"/>
    </row>
    <row r="606">
      <c r="J606" s="26"/>
    </row>
    <row r="607">
      <c r="J607" s="26"/>
    </row>
    <row r="608">
      <c r="J608" s="26"/>
    </row>
    <row r="609">
      <c r="J609" s="26"/>
    </row>
    <row r="610">
      <c r="J610" s="26"/>
    </row>
    <row r="611">
      <c r="J611" s="26"/>
    </row>
    <row r="612">
      <c r="J612" s="26"/>
    </row>
    <row r="613">
      <c r="J613" s="26"/>
    </row>
    <row r="614">
      <c r="J614" s="26"/>
    </row>
    <row r="615">
      <c r="J615" s="26"/>
    </row>
    <row r="616">
      <c r="J616" s="26"/>
    </row>
    <row r="617">
      <c r="J617" s="26"/>
    </row>
    <row r="618">
      <c r="J618" s="26"/>
    </row>
    <row r="619">
      <c r="J619" s="26"/>
    </row>
    <row r="620">
      <c r="J620" s="26"/>
    </row>
    <row r="621">
      <c r="J621" s="26"/>
    </row>
    <row r="622">
      <c r="J622" s="26"/>
    </row>
    <row r="623">
      <c r="J623" s="26"/>
    </row>
    <row r="624">
      <c r="J624" s="26"/>
    </row>
    <row r="625">
      <c r="J625" s="26"/>
    </row>
    <row r="626">
      <c r="J626" s="26"/>
    </row>
    <row r="627">
      <c r="J627" s="26"/>
    </row>
    <row r="628">
      <c r="J628" s="26"/>
    </row>
    <row r="629">
      <c r="J629" s="26"/>
    </row>
    <row r="630">
      <c r="J630" s="26"/>
    </row>
    <row r="631">
      <c r="J631" s="26"/>
    </row>
    <row r="632">
      <c r="J632" s="26"/>
    </row>
    <row r="633">
      <c r="J633" s="26"/>
    </row>
    <row r="634">
      <c r="J634" s="26"/>
    </row>
    <row r="635">
      <c r="J635" s="26"/>
    </row>
    <row r="636">
      <c r="J636" s="26"/>
    </row>
    <row r="637">
      <c r="J637" s="26"/>
    </row>
    <row r="638">
      <c r="J638" s="26"/>
    </row>
    <row r="639">
      <c r="J639" s="26"/>
    </row>
    <row r="640">
      <c r="J640" s="26"/>
    </row>
    <row r="641">
      <c r="J641" s="26"/>
    </row>
    <row r="642">
      <c r="J642" s="26"/>
    </row>
    <row r="643">
      <c r="J643" s="26"/>
    </row>
    <row r="644">
      <c r="J644" s="26"/>
    </row>
    <row r="645">
      <c r="J645" s="26"/>
    </row>
    <row r="646">
      <c r="J646" s="26"/>
    </row>
    <row r="647">
      <c r="J647" s="26"/>
    </row>
    <row r="648">
      <c r="J648" s="26"/>
    </row>
    <row r="649">
      <c r="J649" s="26"/>
    </row>
    <row r="650">
      <c r="J650" s="26"/>
    </row>
    <row r="651">
      <c r="J651" s="26"/>
    </row>
    <row r="652">
      <c r="J652" s="26"/>
    </row>
    <row r="653">
      <c r="J653" s="26"/>
    </row>
    <row r="654">
      <c r="J654" s="26"/>
    </row>
    <row r="655">
      <c r="J655" s="26"/>
    </row>
    <row r="656">
      <c r="J656" s="26"/>
    </row>
    <row r="657">
      <c r="J657" s="26"/>
    </row>
    <row r="658">
      <c r="J658" s="26"/>
    </row>
    <row r="659">
      <c r="J659" s="26"/>
    </row>
    <row r="660">
      <c r="J660" s="26"/>
    </row>
    <row r="661">
      <c r="J661" s="26"/>
    </row>
    <row r="662">
      <c r="J662" s="26"/>
    </row>
    <row r="663">
      <c r="J663" s="26"/>
    </row>
    <row r="664">
      <c r="J664" s="26"/>
    </row>
    <row r="665">
      <c r="J665" s="26"/>
    </row>
    <row r="666">
      <c r="J666" s="26"/>
    </row>
    <row r="667">
      <c r="J667" s="26"/>
    </row>
    <row r="668">
      <c r="J668" s="26"/>
    </row>
    <row r="669">
      <c r="J669" s="26"/>
    </row>
    <row r="670">
      <c r="J670" s="26"/>
    </row>
    <row r="671">
      <c r="J671" s="26"/>
    </row>
    <row r="672">
      <c r="J672" s="26"/>
    </row>
    <row r="673">
      <c r="J673" s="26"/>
    </row>
    <row r="674">
      <c r="J674" s="26"/>
    </row>
    <row r="675">
      <c r="J675" s="26"/>
    </row>
    <row r="676">
      <c r="J676" s="26"/>
    </row>
    <row r="677">
      <c r="J677" s="26"/>
    </row>
    <row r="678">
      <c r="J678" s="26"/>
    </row>
    <row r="679">
      <c r="J679" s="26"/>
    </row>
    <row r="680">
      <c r="J680" s="26"/>
    </row>
    <row r="681">
      <c r="J681" s="26"/>
    </row>
    <row r="682">
      <c r="J682" s="26"/>
    </row>
    <row r="683">
      <c r="J683" s="26"/>
    </row>
    <row r="684">
      <c r="J684" s="26"/>
    </row>
    <row r="685">
      <c r="J685" s="26"/>
    </row>
    <row r="686">
      <c r="J686" s="26"/>
    </row>
    <row r="687">
      <c r="J687" s="26"/>
    </row>
    <row r="688">
      <c r="J688" s="26"/>
    </row>
    <row r="689">
      <c r="J689" s="26"/>
    </row>
    <row r="690">
      <c r="J690" s="26"/>
    </row>
    <row r="691">
      <c r="J691" s="26"/>
    </row>
    <row r="692">
      <c r="J692" s="26"/>
    </row>
    <row r="693">
      <c r="J693" s="26"/>
    </row>
    <row r="694">
      <c r="J694" s="26"/>
    </row>
    <row r="695">
      <c r="J695" s="26"/>
    </row>
    <row r="696">
      <c r="J696" s="26"/>
    </row>
    <row r="697">
      <c r="J697" s="26"/>
    </row>
    <row r="698">
      <c r="J698" s="26"/>
    </row>
    <row r="699">
      <c r="J699" s="26"/>
    </row>
    <row r="700">
      <c r="J700" s="26"/>
    </row>
    <row r="701">
      <c r="J701" s="26"/>
    </row>
    <row r="702">
      <c r="J702" s="26"/>
    </row>
    <row r="703">
      <c r="J703" s="26"/>
    </row>
    <row r="704">
      <c r="J704" s="26"/>
    </row>
    <row r="705">
      <c r="J705" s="26"/>
    </row>
    <row r="706">
      <c r="J706" s="26"/>
    </row>
    <row r="707">
      <c r="J707" s="26"/>
    </row>
    <row r="708">
      <c r="J708" s="26"/>
    </row>
    <row r="709">
      <c r="J709" s="26"/>
    </row>
    <row r="710">
      <c r="J710" s="26"/>
    </row>
    <row r="711">
      <c r="J711" s="26"/>
    </row>
    <row r="712">
      <c r="J712" s="26"/>
    </row>
    <row r="713">
      <c r="J713" s="26"/>
    </row>
    <row r="714">
      <c r="J714" s="26"/>
    </row>
    <row r="715">
      <c r="J715" s="26"/>
    </row>
    <row r="716">
      <c r="J716" s="26"/>
    </row>
    <row r="717">
      <c r="J717" s="26"/>
    </row>
    <row r="718">
      <c r="J718" s="26"/>
    </row>
    <row r="719">
      <c r="J719" s="26"/>
    </row>
    <row r="720">
      <c r="J720" s="26"/>
    </row>
    <row r="721">
      <c r="J721" s="26"/>
    </row>
    <row r="722">
      <c r="J722" s="26"/>
    </row>
    <row r="723">
      <c r="J723" s="26"/>
    </row>
    <row r="724">
      <c r="J724" s="26"/>
    </row>
    <row r="725">
      <c r="J725" s="26"/>
    </row>
    <row r="726">
      <c r="J726" s="26"/>
    </row>
    <row r="727">
      <c r="J727" s="26"/>
    </row>
    <row r="728">
      <c r="J728" s="26"/>
    </row>
    <row r="729">
      <c r="J729" s="26"/>
    </row>
    <row r="730">
      <c r="J730" s="26"/>
    </row>
    <row r="731">
      <c r="J731" s="26"/>
    </row>
    <row r="732">
      <c r="J732" s="26"/>
    </row>
    <row r="733">
      <c r="J733" s="26"/>
    </row>
    <row r="734">
      <c r="J734" s="26"/>
    </row>
    <row r="735">
      <c r="J735" s="26"/>
    </row>
    <row r="736">
      <c r="J736" s="26"/>
    </row>
    <row r="737">
      <c r="J737" s="26"/>
    </row>
    <row r="738">
      <c r="J738" s="26"/>
    </row>
    <row r="739">
      <c r="J739" s="26"/>
    </row>
    <row r="740">
      <c r="J740" s="26"/>
    </row>
    <row r="741">
      <c r="J741" s="26"/>
    </row>
    <row r="742">
      <c r="J742" s="26"/>
    </row>
    <row r="743">
      <c r="J743" s="26"/>
    </row>
    <row r="744">
      <c r="J744" s="26"/>
    </row>
    <row r="745">
      <c r="J745" s="26"/>
    </row>
    <row r="746">
      <c r="J746" s="26"/>
    </row>
    <row r="747">
      <c r="J747" s="26"/>
    </row>
    <row r="748">
      <c r="J748" s="26"/>
    </row>
    <row r="749">
      <c r="J749" s="26"/>
    </row>
    <row r="750">
      <c r="J750" s="26"/>
    </row>
    <row r="751">
      <c r="J751" s="26"/>
    </row>
    <row r="752">
      <c r="J752" s="26"/>
    </row>
    <row r="753">
      <c r="J753" s="26"/>
    </row>
    <row r="754">
      <c r="J754" s="26"/>
    </row>
    <row r="755">
      <c r="J755" s="26"/>
    </row>
    <row r="756">
      <c r="J756" s="26"/>
    </row>
    <row r="757">
      <c r="J757" s="26"/>
    </row>
    <row r="758">
      <c r="J758" s="26"/>
    </row>
    <row r="759">
      <c r="J759" s="26"/>
    </row>
    <row r="760">
      <c r="J760" s="26"/>
    </row>
    <row r="761">
      <c r="J761" s="26"/>
    </row>
    <row r="762">
      <c r="J762" s="26"/>
    </row>
    <row r="763">
      <c r="J763" s="26"/>
    </row>
    <row r="764">
      <c r="J764" s="26"/>
    </row>
    <row r="765">
      <c r="J765" s="26"/>
    </row>
    <row r="766">
      <c r="J766" s="26"/>
    </row>
    <row r="767">
      <c r="J767" s="26"/>
    </row>
    <row r="768">
      <c r="J768" s="26"/>
    </row>
    <row r="769">
      <c r="J769" s="26"/>
    </row>
    <row r="770">
      <c r="J770" s="26"/>
    </row>
    <row r="771">
      <c r="J771" s="26"/>
    </row>
    <row r="772">
      <c r="J772" s="26"/>
    </row>
    <row r="773">
      <c r="J773" s="26"/>
    </row>
    <row r="774">
      <c r="J774" s="26"/>
    </row>
    <row r="775">
      <c r="J775" s="26"/>
    </row>
    <row r="776">
      <c r="J776" s="26"/>
    </row>
    <row r="777">
      <c r="J777" s="26"/>
    </row>
    <row r="778">
      <c r="J778" s="26"/>
    </row>
    <row r="779">
      <c r="J779" s="26"/>
    </row>
    <row r="780">
      <c r="J780" s="26"/>
    </row>
    <row r="781">
      <c r="J781" s="26"/>
    </row>
    <row r="782">
      <c r="J782" s="26"/>
    </row>
    <row r="783">
      <c r="J783" s="26"/>
    </row>
    <row r="784">
      <c r="J784" s="26"/>
    </row>
    <row r="785">
      <c r="J785" s="26"/>
    </row>
    <row r="786">
      <c r="J786" s="26"/>
    </row>
    <row r="787">
      <c r="J787" s="26"/>
    </row>
    <row r="788">
      <c r="J788" s="26"/>
    </row>
    <row r="789">
      <c r="J789" s="26"/>
    </row>
    <row r="790">
      <c r="J790" s="26"/>
    </row>
    <row r="791">
      <c r="J791" s="26"/>
    </row>
    <row r="792">
      <c r="J792" s="26"/>
    </row>
    <row r="793">
      <c r="J793" s="26"/>
    </row>
    <row r="794">
      <c r="J794" s="26"/>
    </row>
    <row r="795">
      <c r="J795" s="26"/>
    </row>
    <row r="796">
      <c r="J796" s="26"/>
    </row>
    <row r="797">
      <c r="J797" s="26"/>
    </row>
    <row r="798">
      <c r="J798" s="26"/>
    </row>
    <row r="799">
      <c r="J799" s="26"/>
    </row>
    <row r="800">
      <c r="J800" s="26"/>
    </row>
    <row r="801">
      <c r="J801" s="26"/>
    </row>
    <row r="802">
      <c r="J802" s="26"/>
    </row>
    <row r="803">
      <c r="J803" s="26"/>
    </row>
    <row r="804">
      <c r="J804" s="26"/>
    </row>
    <row r="805">
      <c r="J805" s="26"/>
    </row>
    <row r="806">
      <c r="J806" s="26"/>
    </row>
    <row r="807">
      <c r="J807" s="26"/>
    </row>
    <row r="808">
      <c r="J808" s="26"/>
    </row>
    <row r="809">
      <c r="J809" s="26"/>
    </row>
    <row r="810">
      <c r="J810" s="26"/>
    </row>
    <row r="811">
      <c r="J811" s="26"/>
    </row>
    <row r="812">
      <c r="J812" s="26"/>
    </row>
    <row r="813">
      <c r="J813" s="26"/>
    </row>
    <row r="814">
      <c r="J814" s="26"/>
    </row>
    <row r="815">
      <c r="J815" s="26"/>
    </row>
    <row r="816">
      <c r="J816" s="26"/>
    </row>
    <row r="817">
      <c r="J817" s="26"/>
    </row>
    <row r="818">
      <c r="J818" s="26"/>
    </row>
    <row r="819">
      <c r="J819" s="26"/>
    </row>
    <row r="820">
      <c r="J820" s="26"/>
    </row>
    <row r="821">
      <c r="J821" s="26"/>
    </row>
    <row r="822">
      <c r="J822" s="26"/>
    </row>
    <row r="823">
      <c r="J823" s="26"/>
    </row>
    <row r="824">
      <c r="J824" s="26"/>
    </row>
    <row r="825">
      <c r="J825" s="26"/>
    </row>
    <row r="826">
      <c r="J826" s="26"/>
    </row>
    <row r="827">
      <c r="J827" s="26"/>
    </row>
    <row r="828">
      <c r="J828" s="26"/>
    </row>
    <row r="829">
      <c r="J829" s="26"/>
    </row>
    <row r="830">
      <c r="J830" s="26"/>
    </row>
    <row r="831">
      <c r="J831" s="26"/>
    </row>
    <row r="832">
      <c r="J832" s="26"/>
    </row>
    <row r="833">
      <c r="J833" s="26"/>
    </row>
    <row r="834">
      <c r="J834" s="26"/>
    </row>
    <row r="835">
      <c r="J835" s="26"/>
    </row>
    <row r="836">
      <c r="J836" s="26"/>
    </row>
    <row r="837">
      <c r="J837" s="26"/>
    </row>
    <row r="838">
      <c r="J838" s="26"/>
    </row>
    <row r="839">
      <c r="J839" s="26"/>
    </row>
    <row r="840">
      <c r="J840" s="26"/>
    </row>
    <row r="841">
      <c r="J841" s="26"/>
    </row>
    <row r="842">
      <c r="J842" s="26"/>
    </row>
    <row r="843">
      <c r="J843" s="26"/>
    </row>
    <row r="844">
      <c r="J844" s="26"/>
    </row>
    <row r="845">
      <c r="J845" s="26"/>
    </row>
    <row r="846">
      <c r="J846" s="26"/>
    </row>
    <row r="847">
      <c r="J847" s="26"/>
    </row>
    <row r="848">
      <c r="J848" s="26"/>
    </row>
    <row r="849">
      <c r="J849" s="26"/>
    </row>
    <row r="850">
      <c r="J850" s="26"/>
    </row>
    <row r="851">
      <c r="J851" s="26"/>
    </row>
    <row r="852">
      <c r="J852" s="26"/>
    </row>
    <row r="853">
      <c r="J853" s="26"/>
    </row>
    <row r="854">
      <c r="J854" s="26"/>
    </row>
    <row r="855">
      <c r="J855" s="26"/>
    </row>
    <row r="856">
      <c r="J856" s="26"/>
    </row>
    <row r="857">
      <c r="J857" s="26"/>
    </row>
    <row r="858">
      <c r="J858" s="26"/>
    </row>
    <row r="859">
      <c r="J859" s="26"/>
    </row>
    <row r="860">
      <c r="J860" s="26"/>
    </row>
    <row r="861">
      <c r="J861" s="26"/>
    </row>
    <row r="862">
      <c r="J862" s="26"/>
    </row>
    <row r="863">
      <c r="J863" s="26"/>
    </row>
    <row r="864">
      <c r="J864" s="26"/>
    </row>
    <row r="865">
      <c r="J865" s="26"/>
    </row>
    <row r="866">
      <c r="J866" s="26"/>
    </row>
    <row r="867">
      <c r="J867" s="26"/>
    </row>
    <row r="868">
      <c r="J868" s="26"/>
    </row>
    <row r="869">
      <c r="J869" s="26"/>
    </row>
    <row r="870">
      <c r="J870" s="26"/>
    </row>
    <row r="871">
      <c r="J871" s="26"/>
    </row>
    <row r="872">
      <c r="J872" s="26"/>
    </row>
    <row r="873">
      <c r="J873" s="26"/>
    </row>
    <row r="874">
      <c r="J874" s="26"/>
    </row>
    <row r="875">
      <c r="J875" s="26"/>
    </row>
    <row r="876">
      <c r="J876" s="26"/>
    </row>
    <row r="877">
      <c r="J877" s="26"/>
    </row>
    <row r="878">
      <c r="J878" s="26"/>
    </row>
    <row r="879">
      <c r="J879" s="26"/>
    </row>
    <row r="880">
      <c r="J880" s="26"/>
    </row>
    <row r="881">
      <c r="J881" s="26"/>
    </row>
    <row r="882">
      <c r="J882" s="26"/>
    </row>
    <row r="883">
      <c r="J883" s="26"/>
    </row>
    <row r="884">
      <c r="J884" s="26"/>
    </row>
    <row r="885">
      <c r="J885" s="26"/>
    </row>
    <row r="886">
      <c r="J886" s="26"/>
    </row>
    <row r="887">
      <c r="J887" s="26"/>
    </row>
    <row r="888">
      <c r="J888" s="26"/>
    </row>
    <row r="889">
      <c r="J889" s="26"/>
    </row>
    <row r="890">
      <c r="J890" s="26"/>
    </row>
    <row r="891">
      <c r="J891" s="26"/>
    </row>
    <row r="892">
      <c r="J892" s="26"/>
    </row>
    <row r="893">
      <c r="J893" s="26"/>
    </row>
    <row r="894">
      <c r="J894" s="26"/>
    </row>
    <row r="895">
      <c r="J895" s="26"/>
    </row>
    <row r="896">
      <c r="J896" s="26"/>
    </row>
    <row r="897">
      <c r="J897" s="26"/>
    </row>
    <row r="898">
      <c r="J898" s="26"/>
    </row>
    <row r="899">
      <c r="J899" s="26"/>
    </row>
    <row r="900">
      <c r="J900" s="26"/>
    </row>
    <row r="901">
      <c r="J901" s="26"/>
    </row>
    <row r="902">
      <c r="J902" s="26"/>
    </row>
    <row r="903">
      <c r="J903" s="26"/>
    </row>
    <row r="904">
      <c r="J904" s="26"/>
    </row>
    <row r="905">
      <c r="J905" s="26"/>
    </row>
    <row r="906">
      <c r="J906" s="26"/>
    </row>
    <row r="907">
      <c r="J907" s="26"/>
    </row>
    <row r="908">
      <c r="J908" s="26"/>
    </row>
    <row r="909">
      <c r="J909" s="26"/>
    </row>
    <row r="910">
      <c r="J910" s="26"/>
    </row>
    <row r="911">
      <c r="J911" s="26"/>
    </row>
    <row r="912">
      <c r="J912" s="26"/>
    </row>
    <row r="913">
      <c r="J913" s="26"/>
    </row>
    <row r="914">
      <c r="J914" s="26"/>
    </row>
    <row r="915">
      <c r="J915" s="26"/>
    </row>
    <row r="916">
      <c r="J916" s="26"/>
    </row>
    <row r="917">
      <c r="J917" s="26"/>
    </row>
    <row r="918">
      <c r="J918" s="26"/>
    </row>
    <row r="919">
      <c r="J919" s="26"/>
    </row>
    <row r="920">
      <c r="J920" s="26"/>
    </row>
    <row r="921">
      <c r="J921" s="26"/>
    </row>
    <row r="922">
      <c r="J922" s="26"/>
    </row>
    <row r="923">
      <c r="J923" s="26"/>
    </row>
    <row r="924">
      <c r="J924" s="26"/>
    </row>
    <row r="925">
      <c r="J925" s="26"/>
    </row>
    <row r="926">
      <c r="J926" s="26"/>
    </row>
    <row r="927">
      <c r="J927" s="26"/>
    </row>
    <row r="928">
      <c r="J928" s="26"/>
    </row>
    <row r="929">
      <c r="J929" s="26"/>
    </row>
    <row r="930">
      <c r="J930" s="26"/>
    </row>
    <row r="931">
      <c r="J931" s="26"/>
    </row>
    <row r="932">
      <c r="J932" s="26"/>
    </row>
    <row r="933">
      <c r="J933" s="26"/>
    </row>
    <row r="934">
      <c r="J934" s="26"/>
    </row>
    <row r="935">
      <c r="J935" s="26"/>
    </row>
    <row r="936">
      <c r="J936" s="26"/>
    </row>
    <row r="937">
      <c r="J937" s="26"/>
    </row>
    <row r="938">
      <c r="J938" s="26"/>
    </row>
    <row r="939">
      <c r="J939" s="26"/>
    </row>
    <row r="940">
      <c r="J940" s="26"/>
    </row>
    <row r="941">
      <c r="J941" s="26"/>
    </row>
    <row r="942">
      <c r="J942" s="26"/>
    </row>
    <row r="943">
      <c r="J943" s="26"/>
    </row>
    <row r="944">
      <c r="J944" s="26"/>
    </row>
    <row r="945">
      <c r="J945" s="26"/>
    </row>
    <row r="946">
      <c r="J946" s="26"/>
    </row>
    <row r="947">
      <c r="J947" s="26"/>
    </row>
    <row r="948">
      <c r="J948" s="26"/>
    </row>
    <row r="949">
      <c r="J949" s="26"/>
    </row>
    <row r="950">
      <c r="J950" s="26"/>
    </row>
    <row r="951">
      <c r="J951" s="26"/>
    </row>
    <row r="952">
      <c r="J952" s="26"/>
    </row>
    <row r="953">
      <c r="J953" s="26"/>
    </row>
    <row r="954">
      <c r="J954" s="26"/>
    </row>
    <row r="955">
      <c r="J955" s="26"/>
    </row>
    <row r="956">
      <c r="J956" s="26"/>
    </row>
    <row r="957">
      <c r="J957" s="26"/>
    </row>
    <row r="958">
      <c r="J958" s="26"/>
    </row>
    <row r="959">
      <c r="J959" s="26"/>
    </row>
    <row r="960">
      <c r="J960" s="26"/>
    </row>
    <row r="961">
      <c r="J961" s="26"/>
    </row>
    <row r="962">
      <c r="J962" s="26"/>
    </row>
    <row r="963">
      <c r="J963" s="26"/>
    </row>
    <row r="964">
      <c r="J964" s="26"/>
    </row>
    <row r="965">
      <c r="J965" s="26"/>
    </row>
    <row r="966">
      <c r="J966" s="26"/>
    </row>
    <row r="967">
      <c r="J967" s="26"/>
    </row>
    <row r="968">
      <c r="J968" s="26"/>
    </row>
    <row r="969">
      <c r="J969" s="26"/>
    </row>
    <row r="970">
      <c r="J970" s="26"/>
    </row>
    <row r="971">
      <c r="J971" s="26"/>
    </row>
    <row r="972">
      <c r="J972" s="26"/>
    </row>
    <row r="973">
      <c r="J973" s="26"/>
    </row>
    <row r="974">
      <c r="J974" s="26"/>
    </row>
    <row r="975">
      <c r="J975" s="26"/>
    </row>
    <row r="976">
      <c r="J976" s="26"/>
    </row>
    <row r="977">
      <c r="J977" s="26"/>
    </row>
    <row r="978">
      <c r="J978" s="26"/>
    </row>
    <row r="979">
      <c r="J979" s="26"/>
    </row>
    <row r="980">
      <c r="J980" s="26"/>
    </row>
    <row r="981">
      <c r="J981" s="26"/>
    </row>
    <row r="982">
      <c r="J982" s="26"/>
    </row>
    <row r="983">
      <c r="J983" s="26"/>
    </row>
    <row r="984">
      <c r="J984" s="26"/>
    </row>
    <row r="985">
      <c r="J985" s="26"/>
    </row>
    <row r="986">
      <c r="J986" s="26"/>
    </row>
    <row r="987">
      <c r="J987" s="26"/>
    </row>
    <row r="988">
      <c r="J988" s="26"/>
    </row>
    <row r="989">
      <c r="J989" s="26"/>
    </row>
    <row r="990">
      <c r="J990" s="26"/>
    </row>
    <row r="991">
      <c r="J991" s="26"/>
    </row>
    <row r="992">
      <c r="J992" s="26"/>
    </row>
    <row r="993">
      <c r="J993" s="26"/>
    </row>
    <row r="994">
      <c r="J994" s="26"/>
    </row>
    <row r="995">
      <c r="J995" s="26"/>
    </row>
    <row r="996">
      <c r="J996" s="26"/>
    </row>
    <row r="997">
      <c r="J997" s="26"/>
    </row>
    <row r="998">
      <c r="J998" s="26"/>
    </row>
    <row r="999">
      <c r="J999" s="26"/>
    </row>
    <row r="1000">
      <c r="J1000" s="26"/>
    </row>
    <row r="1001">
      <c r="J1001" s="26"/>
    </row>
    <row r="1002">
      <c r="J1002" s="26"/>
    </row>
    <row r="1003">
      <c r="J1003" s="26"/>
    </row>
    <row r="1004">
      <c r="J1004" s="26"/>
    </row>
    <row r="1005">
      <c r="J1005" s="26"/>
    </row>
    <row r="1006">
      <c r="J1006" s="26"/>
    </row>
    <row r="1007">
      <c r="J1007" s="26"/>
    </row>
    <row r="1008">
      <c r="J1008" s="26"/>
    </row>
    <row r="1009">
      <c r="J1009" s="26"/>
    </row>
    <row r="1010">
      <c r="J1010" s="26"/>
    </row>
    <row r="1011">
      <c r="J1011" s="26"/>
    </row>
    <row r="1012">
      <c r="J1012" s="26"/>
    </row>
    <row r="1013">
      <c r="J1013" s="26"/>
    </row>
    <row r="1014">
      <c r="J1014" s="26"/>
    </row>
    <row r="1015">
      <c r="J1015" s="26"/>
    </row>
    <row r="1016">
      <c r="J1016" s="26"/>
    </row>
    <row r="1017">
      <c r="J1017" s="26"/>
    </row>
    <row r="1018">
      <c r="J1018" s="26"/>
    </row>
    <row r="1019">
      <c r="J1019" s="26"/>
    </row>
    <row r="1020">
      <c r="J1020" s="26"/>
    </row>
    <row r="1021">
      <c r="J1021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75"/>
    <col customWidth="1" min="3" max="3" width="8.75"/>
    <col customWidth="1" min="4" max="4" width="9.5"/>
    <col customWidth="1" min="5" max="6" width="9.63"/>
    <col customWidth="1" min="7" max="13" width="9.0"/>
    <col customWidth="1" min="14" max="14" width="8.38"/>
    <col customWidth="1" min="15" max="18" width="8.5"/>
    <col customWidth="1" min="19" max="19" width="14.25"/>
  </cols>
  <sheetData>
    <row r="1">
      <c r="A1" s="1"/>
      <c r="B1" s="1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>
      <c r="A2" s="1"/>
      <c r="B2" s="1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>
      <c r="A3" s="2" t="s">
        <v>1</v>
      </c>
      <c r="B3" s="2" t="s">
        <v>2</v>
      </c>
      <c r="C3" s="30" t="s">
        <v>78</v>
      </c>
      <c r="D3" s="30" t="s">
        <v>79</v>
      </c>
      <c r="E3" s="30" t="s">
        <v>80</v>
      </c>
      <c r="F3" s="30" t="s">
        <v>81</v>
      </c>
      <c r="G3" s="30" t="s">
        <v>82</v>
      </c>
      <c r="H3" s="30" t="s">
        <v>83</v>
      </c>
      <c r="I3" s="30" t="s">
        <v>84</v>
      </c>
      <c r="J3" s="30" t="s">
        <v>85</v>
      </c>
      <c r="K3" s="30" t="s">
        <v>86</v>
      </c>
      <c r="L3" s="30" t="s">
        <v>87</v>
      </c>
      <c r="M3" s="30" t="s">
        <v>88</v>
      </c>
      <c r="N3" s="30" t="s">
        <v>89</v>
      </c>
      <c r="O3" s="30" t="s">
        <v>78</v>
      </c>
      <c r="P3" s="30" t="s">
        <v>80</v>
      </c>
      <c r="Q3" s="30" t="s">
        <v>81</v>
      </c>
      <c r="R3" s="30" t="s">
        <v>82</v>
      </c>
      <c r="S3" s="31" t="s">
        <v>11</v>
      </c>
    </row>
    <row r="4">
      <c r="A4" s="4">
        <v>1.0</v>
      </c>
      <c r="B4" s="5" t="s">
        <v>14</v>
      </c>
      <c r="C4" s="32"/>
      <c r="D4" s="32">
        <v>0.5</v>
      </c>
      <c r="E4" s="32">
        <v>1.5</v>
      </c>
      <c r="F4" s="32">
        <v>0.5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>
        <f t="shared" ref="S4:S37" si="1">sum(D4:R4)</f>
        <v>2.5</v>
      </c>
    </row>
    <row r="5">
      <c r="A5" s="4">
        <v>2.0</v>
      </c>
      <c r="B5" s="5" t="s">
        <v>16</v>
      </c>
      <c r="C5" s="32">
        <v>11.5</v>
      </c>
      <c r="D5" s="32">
        <v>5.0</v>
      </c>
      <c r="E5" s="32"/>
      <c r="F5" s="32">
        <v>2.0</v>
      </c>
      <c r="G5" s="32">
        <v>5.0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f t="shared" si="1"/>
        <v>12</v>
      </c>
    </row>
    <row r="6">
      <c r="A6" s="4">
        <v>3.0</v>
      </c>
      <c r="B6" s="5" t="s">
        <v>17</v>
      </c>
      <c r="C6" s="32"/>
      <c r="D6" s="32">
        <v>10.5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>
        <f t="shared" si="1"/>
        <v>10.5</v>
      </c>
    </row>
    <row r="7">
      <c r="A7" s="4">
        <v>4.0</v>
      </c>
      <c r="B7" s="5" t="s">
        <v>18</v>
      </c>
      <c r="C7" s="32">
        <v>3.0</v>
      </c>
      <c r="D7" s="32"/>
      <c r="E7" s="32">
        <v>2.0</v>
      </c>
      <c r="F7" s="32">
        <v>1.0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>
        <f t="shared" si="1"/>
        <v>3</v>
      </c>
    </row>
    <row r="8">
      <c r="A8" s="4">
        <v>5.0</v>
      </c>
      <c r="B8" s="5" t="s">
        <v>20</v>
      </c>
      <c r="C8" s="32">
        <v>2.5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>
        <f t="shared" si="1"/>
        <v>0</v>
      </c>
    </row>
    <row r="9">
      <c r="A9" s="4">
        <v>6.0</v>
      </c>
      <c r="B9" s="5" t="s">
        <v>21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>
        <f t="shared" si="1"/>
        <v>0</v>
      </c>
    </row>
    <row r="10">
      <c r="A10" s="4">
        <v>7.0</v>
      </c>
      <c r="B10" s="5" t="s">
        <v>22</v>
      </c>
      <c r="C10" s="32"/>
      <c r="D10" s="32"/>
      <c r="E10" s="32"/>
      <c r="F10" s="32"/>
      <c r="G10" s="32">
        <v>5.0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>
        <f t="shared" si="1"/>
        <v>5</v>
      </c>
    </row>
    <row r="11">
      <c r="A11" s="4">
        <v>8.0</v>
      </c>
      <c r="B11" s="5" t="s">
        <v>23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>
        <f t="shared" si="1"/>
        <v>0</v>
      </c>
    </row>
    <row r="12">
      <c r="A12" s="4">
        <v>9.0</v>
      </c>
      <c r="B12" s="5" t="s">
        <v>24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>
        <f t="shared" si="1"/>
        <v>0</v>
      </c>
    </row>
    <row r="13">
      <c r="A13" s="4">
        <v>10.0</v>
      </c>
      <c r="B13" s="5" t="s">
        <v>26</v>
      </c>
      <c r="C13" s="32">
        <v>1.0</v>
      </c>
      <c r="D13" s="32">
        <v>1.0</v>
      </c>
      <c r="E13" s="32">
        <v>1.0</v>
      </c>
      <c r="F13" s="32">
        <v>2.5</v>
      </c>
      <c r="G13" s="32">
        <v>3.0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>
        <f t="shared" si="1"/>
        <v>7.5</v>
      </c>
    </row>
    <row r="14">
      <c r="A14" s="4">
        <v>11.0</v>
      </c>
      <c r="B14" s="9" t="s">
        <v>28</v>
      </c>
      <c r="C14" s="32">
        <v>1.5</v>
      </c>
      <c r="D14" s="32">
        <v>1.0</v>
      </c>
      <c r="E14" s="32">
        <v>1.0</v>
      </c>
      <c r="F14" s="32"/>
      <c r="G14" s="32">
        <v>1.5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>
        <f t="shared" si="1"/>
        <v>3.5</v>
      </c>
    </row>
    <row r="15">
      <c r="A15" s="4">
        <v>12.0</v>
      </c>
      <c r="B15" s="10" t="s">
        <v>29</v>
      </c>
      <c r="C15" s="32">
        <v>1.0</v>
      </c>
      <c r="D15" s="32"/>
      <c r="E15" s="32"/>
      <c r="F15" s="32">
        <v>2.0</v>
      </c>
      <c r="G15" s="32">
        <v>2.5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>
        <f t="shared" si="1"/>
        <v>4.5</v>
      </c>
    </row>
    <row r="16">
      <c r="A16" s="4">
        <v>13.0</v>
      </c>
      <c r="B16" s="10" t="s">
        <v>30</v>
      </c>
      <c r="C16" s="32">
        <v>3.0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>
        <f t="shared" si="1"/>
        <v>0</v>
      </c>
    </row>
    <row r="17">
      <c r="A17" s="4">
        <v>14.0</v>
      </c>
      <c r="B17" s="10" t="s">
        <v>31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>
        <f t="shared" si="1"/>
        <v>0</v>
      </c>
    </row>
    <row r="18">
      <c r="A18" s="4">
        <v>15.0</v>
      </c>
      <c r="B18" s="10" t="s">
        <v>32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>
        <f t="shared" si="1"/>
        <v>0</v>
      </c>
    </row>
    <row r="19">
      <c r="A19" s="4">
        <v>16.0</v>
      </c>
      <c r="B19" s="10" t="s">
        <v>33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>
        <f t="shared" si="1"/>
        <v>0</v>
      </c>
    </row>
    <row r="20">
      <c r="A20" s="4">
        <v>17.0</v>
      </c>
      <c r="B20" s="10" t="s">
        <v>34</v>
      </c>
      <c r="C20" s="32">
        <v>4.0</v>
      </c>
      <c r="D20" s="32"/>
      <c r="E20" s="32"/>
      <c r="F20" s="32">
        <v>8.0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>
        <f t="shared" si="1"/>
        <v>8</v>
      </c>
    </row>
    <row r="21">
      <c r="A21" s="4">
        <v>18.0</v>
      </c>
      <c r="B21" s="10" t="s">
        <v>35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>
        <f t="shared" si="1"/>
        <v>0</v>
      </c>
    </row>
    <row r="22">
      <c r="A22" s="4">
        <v>19.0</v>
      </c>
      <c r="B22" s="10" t="s">
        <v>36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>
        <f t="shared" si="1"/>
        <v>0</v>
      </c>
    </row>
    <row r="23">
      <c r="A23" s="4">
        <v>20.0</v>
      </c>
      <c r="B23" s="10" t="s">
        <v>37</v>
      </c>
      <c r="C23" s="32"/>
      <c r="D23" s="32">
        <v>4.0</v>
      </c>
      <c r="E23" s="32">
        <v>4.0</v>
      </c>
      <c r="F23" s="32"/>
      <c r="G23" s="32">
        <v>5.0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>
        <f t="shared" si="1"/>
        <v>13</v>
      </c>
    </row>
    <row r="24">
      <c r="A24" s="4">
        <v>21.0</v>
      </c>
      <c r="B24" s="12" t="s">
        <v>38</v>
      </c>
      <c r="C24" s="32"/>
      <c r="D24" s="32"/>
      <c r="E24" s="32"/>
      <c r="F24" s="32">
        <v>2.0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>
        <f t="shared" si="1"/>
        <v>2</v>
      </c>
    </row>
    <row r="25">
      <c r="A25" s="4">
        <v>22.0</v>
      </c>
      <c r="B25" s="12" t="s">
        <v>39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>
        <f t="shared" si="1"/>
        <v>0</v>
      </c>
    </row>
    <row r="26">
      <c r="A26" s="4">
        <v>23.0</v>
      </c>
      <c r="B26" s="12" t="s">
        <v>40</v>
      </c>
      <c r="C26" s="32">
        <v>0.5</v>
      </c>
      <c r="D26" s="32">
        <v>1.0</v>
      </c>
      <c r="E26" s="32"/>
      <c r="F26" s="32">
        <v>3.5</v>
      </c>
      <c r="G26" s="32">
        <v>0.5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>
        <f t="shared" si="1"/>
        <v>5</v>
      </c>
    </row>
    <row r="27">
      <c r="A27" s="4">
        <v>24.0</v>
      </c>
      <c r="B27" s="12" t="s">
        <v>42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>
        <f t="shared" si="1"/>
        <v>0</v>
      </c>
    </row>
    <row r="28">
      <c r="A28" s="4">
        <v>25.0</v>
      </c>
      <c r="B28" s="12" t="s">
        <v>43</v>
      </c>
      <c r="C28" s="32"/>
      <c r="D28" s="32"/>
      <c r="E28" s="32">
        <v>3.0</v>
      </c>
      <c r="F28" s="32">
        <v>1.0</v>
      </c>
      <c r="G28" s="32">
        <v>1.5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>
        <f t="shared" si="1"/>
        <v>5.5</v>
      </c>
    </row>
    <row r="29">
      <c r="A29" s="4">
        <v>26.0</v>
      </c>
      <c r="B29" s="12" t="s">
        <v>45</v>
      </c>
      <c r="C29" s="32"/>
      <c r="D29" s="32">
        <v>2.0</v>
      </c>
      <c r="E29" s="32"/>
      <c r="F29" s="32">
        <v>3.0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>
        <f t="shared" si="1"/>
        <v>5</v>
      </c>
    </row>
    <row r="30">
      <c r="A30" s="4">
        <v>27.0</v>
      </c>
      <c r="B30" s="12" t="s">
        <v>46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>
        <f t="shared" si="1"/>
        <v>0</v>
      </c>
    </row>
    <row r="31">
      <c r="A31" s="4">
        <v>28.0</v>
      </c>
      <c r="B31" s="12" t="s">
        <v>34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>
        <f t="shared" si="1"/>
        <v>0</v>
      </c>
    </row>
    <row r="32">
      <c r="A32" s="4">
        <v>29.0</v>
      </c>
      <c r="B32" s="12" t="s">
        <v>47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>
        <f t="shared" si="1"/>
        <v>0</v>
      </c>
    </row>
    <row r="33">
      <c r="A33" s="4">
        <v>30.0</v>
      </c>
      <c r="B33" s="12" t="s">
        <v>48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>
        <f t="shared" si="1"/>
        <v>0</v>
      </c>
    </row>
    <row r="34">
      <c r="A34" s="4">
        <v>31.0</v>
      </c>
      <c r="B34" s="12" t="s">
        <v>49</v>
      </c>
      <c r="C34" s="32"/>
      <c r="D34" s="32"/>
      <c r="E34" s="32">
        <v>1.0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>
        <f t="shared" si="1"/>
        <v>1</v>
      </c>
    </row>
    <row r="35">
      <c r="A35" s="4">
        <v>32.0</v>
      </c>
      <c r="B35" s="12" t="s">
        <v>51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>
        <f t="shared" si="1"/>
        <v>0</v>
      </c>
    </row>
    <row r="36">
      <c r="A36" s="4">
        <v>33.0</v>
      </c>
      <c r="B36" s="12" t="s">
        <v>52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>
        <f t="shared" si="1"/>
        <v>0</v>
      </c>
    </row>
    <row r="37">
      <c r="A37" s="4">
        <v>34.0</v>
      </c>
      <c r="B37" s="12" t="s">
        <v>53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>
        <f t="shared" si="1"/>
        <v>0</v>
      </c>
    </row>
    <row r="38">
      <c r="B38" s="18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>
      <c r="B39" s="19" t="s">
        <v>54</v>
      </c>
      <c r="C39" s="34"/>
      <c r="D39" s="34"/>
      <c r="E39" s="34"/>
      <c r="F39" s="3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3"/>
    </row>
    <row r="40">
      <c r="B40" s="21" t="s">
        <v>55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5">
        <f>SUM(S4:S37)</f>
        <v>88</v>
      </c>
    </row>
    <row r="41"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</row>
    <row r="42"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</row>
    <row r="260"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</row>
    <row r="261"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</row>
    <row r="262"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</row>
    <row r="263"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</row>
    <row r="265"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</row>
    <row r="266"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</row>
    <row r="267"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</row>
    <row r="268"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</row>
    <row r="269"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</row>
    <row r="270"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</row>
    <row r="271"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</row>
    <row r="272"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</row>
    <row r="273"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</row>
    <row r="274"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</row>
    <row r="275"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</row>
    <row r="276"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</row>
    <row r="277"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</row>
    <row r="278"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</row>
    <row r="279"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</row>
    <row r="280"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</row>
    <row r="281"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</row>
    <row r="282"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</row>
    <row r="283"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</row>
    <row r="284"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</row>
    <row r="285"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</row>
    <row r="286"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</row>
    <row r="287"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</row>
    <row r="288"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</row>
    <row r="289"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</row>
    <row r="290"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</row>
    <row r="291"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</row>
    <row r="292"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</row>
    <row r="293"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</row>
    <row r="294"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</row>
    <row r="295"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</row>
    <row r="296"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</row>
    <row r="297"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</row>
    <row r="298"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</row>
    <row r="299"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</row>
    <row r="300"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</row>
    <row r="301"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</row>
    <row r="302"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</row>
    <row r="303"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</row>
    <row r="304"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</row>
    <row r="305"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</row>
    <row r="306"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</row>
    <row r="307"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</row>
    <row r="308"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</row>
    <row r="309"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</row>
    <row r="310"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</row>
    <row r="311"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</row>
    <row r="312"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</row>
    <row r="313"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</row>
    <row r="314"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</row>
    <row r="315"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</row>
    <row r="341"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</row>
    <row r="342"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</row>
    <row r="343"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</row>
    <row r="344"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</row>
    <row r="345"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</row>
    <row r="346"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</row>
    <row r="347"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</row>
    <row r="348"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</row>
    <row r="349"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</row>
    <row r="350"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</row>
    <row r="351"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</row>
    <row r="352"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</row>
    <row r="353"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</row>
    <row r="354"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</row>
    <row r="355"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</row>
    <row r="356"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</row>
    <row r="357"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</row>
    <row r="358"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</row>
    <row r="359"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</row>
    <row r="360"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</row>
    <row r="361"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</row>
    <row r="362"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</row>
    <row r="363"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</row>
    <row r="364"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</row>
    <row r="365"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</row>
    <row r="366"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</row>
    <row r="367"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</row>
    <row r="368"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</row>
    <row r="369"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</row>
    <row r="370"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</row>
    <row r="371"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</row>
    <row r="372"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</row>
    <row r="373"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</row>
    <row r="374"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</row>
    <row r="375"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</row>
    <row r="377"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</row>
    <row r="378"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</row>
    <row r="379"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</row>
    <row r="380"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</row>
    <row r="381"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</row>
    <row r="382"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</row>
    <row r="383"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</row>
    <row r="384"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</row>
    <row r="385"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</row>
    <row r="386"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</row>
    <row r="387"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</row>
    <row r="388"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</row>
    <row r="389"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</row>
    <row r="390"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</row>
    <row r="391"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</row>
    <row r="392"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</row>
    <row r="393"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</row>
    <row r="394"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</row>
    <row r="395"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</row>
    <row r="396"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</row>
    <row r="397"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</row>
    <row r="398"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</row>
    <row r="399"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</row>
    <row r="400"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</row>
    <row r="401"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</row>
    <row r="402"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</row>
    <row r="403"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</row>
    <row r="404"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</row>
    <row r="405"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</row>
    <row r="406"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</row>
    <row r="407"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</row>
    <row r="408"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</row>
    <row r="409"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</row>
    <row r="410"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</row>
    <row r="411"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</row>
    <row r="412"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</row>
    <row r="413"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</row>
    <row r="414"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</row>
    <row r="415"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</row>
    <row r="416"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</row>
    <row r="417"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</row>
    <row r="418"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</row>
    <row r="419"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</row>
    <row r="420"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</row>
    <row r="421"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</row>
    <row r="422"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</row>
    <row r="423"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</row>
    <row r="424"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</row>
    <row r="425"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</row>
    <row r="426"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</row>
    <row r="427"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</row>
    <row r="428"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</row>
    <row r="429"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</row>
    <row r="430"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</row>
    <row r="431"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</row>
    <row r="432"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</row>
    <row r="433"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</row>
    <row r="434"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</row>
    <row r="435"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</row>
    <row r="436"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</row>
    <row r="437"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</row>
    <row r="438"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</row>
    <row r="439"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</row>
    <row r="440"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</row>
    <row r="441"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</row>
    <row r="442"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</row>
    <row r="443"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</row>
    <row r="444"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</row>
    <row r="445"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</row>
    <row r="446"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</row>
    <row r="447"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</row>
    <row r="448"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</row>
    <row r="449"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</row>
    <row r="450"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</row>
    <row r="451"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</row>
    <row r="452"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</row>
    <row r="453"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</row>
    <row r="454"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</row>
    <row r="455"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</row>
    <row r="456"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</row>
    <row r="457"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</row>
    <row r="458"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</row>
    <row r="459"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</row>
    <row r="460"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</row>
    <row r="461"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</row>
    <row r="462"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</row>
    <row r="463"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</row>
    <row r="464"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</row>
    <row r="465"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</row>
    <row r="466"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</row>
    <row r="467"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</row>
    <row r="468"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</row>
    <row r="469"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</row>
    <row r="470"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</row>
    <row r="471"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</row>
    <row r="472"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</row>
    <row r="473"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</row>
    <row r="474"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</row>
    <row r="475"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</row>
    <row r="476"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</row>
    <row r="477"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</row>
    <row r="478"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</row>
    <row r="479"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</row>
    <row r="480"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</row>
    <row r="481"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</row>
    <row r="482"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</row>
    <row r="483"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</row>
    <row r="484"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</row>
    <row r="485"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</row>
    <row r="486"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</row>
    <row r="487"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</row>
    <row r="488"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</row>
    <row r="489"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</row>
    <row r="490"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</row>
    <row r="491"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</row>
    <row r="492"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</row>
    <row r="493"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</row>
    <row r="494"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</row>
    <row r="495"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</row>
    <row r="496"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</row>
    <row r="497"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</row>
    <row r="498"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</row>
    <row r="499"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</row>
    <row r="500"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</row>
    <row r="501"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</row>
    <row r="502"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</row>
    <row r="503"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</row>
    <row r="504"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</row>
    <row r="505"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</row>
    <row r="506"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</row>
    <row r="507"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</row>
    <row r="508"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</row>
    <row r="509"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</row>
    <row r="510"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</row>
    <row r="511"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</row>
    <row r="512"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</row>
    <row r="513"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</row>
    <row r="514"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</row>
    <row r="515"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</row>
    <row r="516"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</row>
    <row r="517"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</row>
    <row r="518"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</row>
    <row r="519"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</row>
    <row r="520"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</row>
    <row r="521"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</row>
    <row r="522"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</row>
    <row r="523"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</row>
    <row r="524"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</row>
    <row r="525"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</row>
    <row r="526"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</row>
    <row r="527"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</row>
    <row r="528"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</row>
    <row r="529"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</row>
    <row r="530"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</row>
    <row r="531"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</row>
    <row r="532"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</row>
    <row r="533"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</row>
    <row r="534"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</row>
    <row r="535"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</row>
    <row r="536"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</row>
    <row r="537"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</row>
    <row r="538"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</row>
    <row r="539"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</row>
    <row r="540"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</row>
    <row r="541"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</row>
    <row r="542"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</row>
    <row r="543"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</row>
    <row r="544"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</row>
    <row r="545"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</row>
    <row r="546"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</row>
    <row r="547"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</row>
    <row r="548"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</row>
    <row r="550"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</row>
    <row r="551"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</row>
    <row r="552"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</row>
    <row r="553"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</row>
    <row r="554"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</row>
    <row r="555"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</row>
    <row r="556"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</row>
    <row r="557"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</row>
    <row r="558"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</row>
    <row r="559"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</row>
    <row r="560"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</row>
    <row r="561"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</row>
    <row r="562"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</row>
    <row r="563"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</row>
    <row r="564"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</row>
    <row r="565"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</row>
    <row r="566"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</row>
    <row r="567"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</row>
    <row r="568"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</row>
    <row r="569"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</row>
    <row r="570"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</row>
    <row r="571"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</row>
    <row r="572"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</row>
    <row r="573"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</row>
    <row r="574"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</row>
    <row r="575"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</row>
    <row r="576"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</row>
    <row r="577"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</row>
    <row r="578"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</row>
    <row r="579"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</row>
    <row r="580"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</row>
    <row r="581"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</row>
    <row r="582"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</row>
    <row r="583"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</row>
    <row r="584"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</row>
    <row r="585"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</row>
    <row r="586"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</row>
    <row r="587"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</row>
    <row r="588"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</row>
    <row r="589"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</row>
    <row r="590"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</row>
    <row r="591"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</row>
    <row r="592"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</row>
    <row r="593"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</row>
    <row r="594"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</row>
    <row r="595"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</row>
    <row r="596"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</row>
    <row r="597"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</row>
    <row r="598"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</row>
    <row r="599"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</row>
    <row r="600"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</row>
    <row r="601"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</row>
    <row r="602"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</row>
    <row r="603"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</row>
    <row r="604"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</row>
    <row r="605"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</row>
    <row r="606"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</row>
    <row r="607"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</row>
    <row r="608"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</row>
    <row r="609"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</row>
    <row r="610"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</row>
    <row r="611"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</row>
    <row r="612"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</row>
    <row r="613"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</row>
    <row r="614"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</row>
    <row r="615"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</row>
    <row r="616"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</row>
    <row r="617"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</row>
    <row r="618"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</row>
    <row r="619"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</row>
    <row r="620"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</row>
    <row r="621"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</row>
    <row r="622"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</row>
    <row r="623"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</row>
    <row r="624"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</row>
    <row r="625"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</row>
    <row r="626"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</row>
    <row r="627"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</row>
    <row r="628"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</row>
    <row r="629"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</row>
    <row r="630"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</row>
    <row r="631"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</row>
    <row r="632"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</row>
    <row r="633"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</row>
    <row r="634"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</row>
    <row r="635"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</row>
    <row r="636"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</row>
    <row r="637"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</row>
    <row r="638"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</row>
    <row r="639"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</row>
    <row r="640"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</row>
    <row r="641"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</row>
    <row r="642"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</row>
    <row r="643"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</row>
    <row r="644"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</row>
    <row r="645"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</row>
    <row r="646"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</row>
    <row r="647"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</row>
    <row r="648"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</row>
    <row r="649"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</row>
    <row r="650"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</row>
    <row r="651"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</row>
    <row r="652"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</row>
    <row r="653"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</row>
    <row r="654"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</row>
    <row r="655"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</row>
    <row r="656"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</row>
    <row r="657"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</row>
    <row r="658"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</row>
    <row r="659"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</row>
    <row r="660"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</row>
    <row r="661"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</row>
    <row r="662"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</row>
    <row r="663"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</row>
    <row r="664"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</row>
    <row r="665"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</row>
    <row r="666"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</row>
    <row r="667"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</row>
    <row r="668"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</row>
    <row r="669"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</row>
    <row r="670"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</row>
    <row r="671"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</row>
    <row r="672"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</row>
    <row r="673"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</row>
    <row r="674"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</row>
    <row r="675"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</row>
    <row r="676"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</row>
    <row r="677"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</row>
    <row r="678"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</row>
    <row r="679"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</row>
    <row r="680"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</row>
    <row r="681"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</row>
    <row r="682"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</row>
    <row r="683"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</row>
    <row r="684"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</row>
    <row r="685"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</row>
    <row r="686"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</row>
    <row r="687"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</row>
    <row r="688"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</row>
    <row r="689"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</row>
    <row r="690"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</row>
    <row r="691"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</row>
    <row r="692"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</row>
    <row r="693"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</row>
    <row r="694"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</row>
    <row r="695"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</row>
    <row r="696"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</row>
    <row r="697"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</row>
    <row r="698"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</row>
    <row r="699"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</row>
    <row r="700"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</row>
    <row r="701"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</row>
    <row r="702"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</row>
    <row r="703"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</row>
    <row r="704"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</row>
    <row r="705"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</row>
    <row r="706"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</row>
    <row r="707"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</row>
    <row r="708"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</row>
    <row r="709"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</row>
    <row r="710"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</row>
    <row r="711"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</row>
    <row r="712"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</row>
    <row r="713"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</row>
    <row r="714"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</row>
    <row r="715"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</row>
    <row r="716"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</row>
    <row r="717"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</row>
    <row r="718"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</row>
    <row r="719"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</row>
    <row r="720"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</row>
    <row r="721"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</row>
    <row r="722"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</row>
    <row r="723"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</row>
    <row r="724"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</row>
    <row r="725"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</row>
    <row r="726"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</row>
    <row r="727"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</row>
    <row r="728"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</row>
    <row r="729"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</row>
    <row r="730"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</row>
    <row r="731"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</row>
    <row r="732"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</row>
    <row r="733"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</row>
    <row r="734"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</row>
    <row r="735"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</row>
    <row r="736"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</row>
    <row r="737"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</row>
    <row r="738"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</row>
    <row r="739"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</row>
    <row r="740"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</row>
    <row r="741"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</row>
    <row r="742"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</row>
    <row r="743"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</row>
    <row r="744"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</row>
    <row r="745"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</row>
    <row r="746"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</row>
    <row r="747"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</row>
    <row r="748"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</row>
    <row r="749"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</row>
    <row r="750"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</row>
    <row r="751"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</row>
    <row r="752"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</row>
    <row r="753"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</row>
    <row r="754"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</row>
    <row r="755"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</row>
    <row r="756"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</row>
    <row r="757"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</row>
    <row r="758"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</row>
    <row r="759"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</row>
    <row r="760"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</row>
    <row r="761"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</row>
    <row r="762"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</row>
    <row r="763"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</row>
    <row r="764"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</row>
    <row r="765"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</row>
    <row r="766"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</row>
    <row r="767"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</row>
    <row r="768"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</row>
    <row r="769"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</row>
    <row r="770"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</row>
    <row r="771"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</row>
    <row r="772"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</row>
    <row r="773"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</row>
    <row r="774"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</row>
    <row r="775"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</row>
    <row r="776"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</row>
    <row r="777"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</row>
    <row r="778"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</row>
    <row r="779"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</row>
    <row r="780"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</row>
    <row r="781"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</row>
    <row r="782"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</row>
    <row r="783"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</row>
    <row r="784"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</row>
    <row r="785"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</row>
    <row r="786"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</row>
    <row r="787"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</row>
    <row r="788"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</row>
    <row r="789"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</row>
    <row r="790"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</row>
    <row r="791"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</row>
    <row r="792"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</row>
    <row r="793"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</row>
    <row r="794"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</row>
    <row r="795"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</row>
    <row r="796"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</row>
    <row r="797"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</row>
    <row r="798"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</row>
    <row r="799"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</row>
    <row r="800"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</row>
    <row r="801"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</row>
    <row r="802"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</row>
    <row r="803"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</row>
    <row r="804"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</row>
    <row r="805"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</row>
    <row r="806"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</row>
    <row r="807"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</row>
    <row r="808"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</row>
    <row r="809"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</row>
    <row r="810"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</row>
    <row r="811"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</row>
    <row r="812"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</row>
    <row r="813"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</row>
    <row r="814"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</row>
    <row r="815"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</row>
    <row r="816"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</row>
    <row r="817"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</row>
    <row r="818"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</row>
    <row r="819"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</row>
    <row r="820"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</row>
    <row r="821"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</row>
    <row r="822"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</row>
    <row r="823"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</row>
    <row r="824"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</row>
    <row r="825"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</row>
    <row r="826"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</row>
    <row r="827"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</row>
    <row r="828"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</row>
    <row r="829"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</row>
    <row r="830"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</row>
    <row r="831"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</row>
    <row r="832"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</row>
    <row r="833"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</row>
    <row r="834"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</row>
    <row r="835"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</row>
    <row r="836"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</row>
    <row r="837"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</row>
    <row r="838"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</row>
    <row r="839"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</row>
    <row r="840"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</row>
    <row r="841"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</row>
    <row r="842"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</row>
    <row r="843"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</row>
    <row r="844"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</row>
    <row r="845"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</row>
    <row r="846"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</row>
    <row r="847"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</row>
    <row r="848"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</row>
    <row r="849"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</row>
    <row r="850"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</row>
    <row r="851"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</row>
    <row r="852"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</row>
    <row r="853"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</row>
    <row r="854"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</row>
    <row r="855"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</row>
    <row r="856"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</row>
    <row r="857"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</row>
    <row r="858"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</row>
    <row r="859"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</row>
    <row r="860"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</row>
    <row r="861"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</row>
    <row r="862"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</row>
    <row r="863"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</row>
    <row r="864"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</row>
    <row r="865"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</row>
    <row r="866"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</row>
    <row r="867"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</row>
    <row r="868"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</row>
    <row r="869"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</row>
    <row r="870"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</row>
    <row r="871"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</row>
    <row r="872"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</row>
    <row r="873"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</row>
    <row r="874"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</row>
    <row r="875"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</row>
    <row r="876"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</row>
    <row r="877"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</row>
    <row r="878"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</row>
    <row r="879"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</row>
    <row r="880"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</row>
    <row r="881"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</row>
    <row r="882"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</row>
    <row r="883"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</row>
    <row r="884"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</row>
    <row r="885"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</row>
    <row r="886"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</row>
    <row r="887"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</row>
    <row r="888"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</row>
    <row r="889"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</row>
    <row r="890"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</row>
    <row r="891"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</row>
    <row r="892"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</row>
    <row r="893"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</row>
    <row r="894"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</row>
    <row r="895"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</row>
    <row r="896"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</row>
    <row r="897"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</row>
    <row r="898"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</row>
    <row r="899"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</row>
    <row r="900"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</row>
    <row r="901"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</row>
    <row r="902"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</row>
    <row r="903"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</row>
    <row r="904"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</row>
    <row r="905"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</row>
    <row r="906"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</row>
    <row r="907"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</row>
    <row r="908"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</row>
    <row r="909"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</row>
    <row r="910"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</row>
    <row r="911"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</row>
    <row r="912"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</row>
    <row r="913"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</row>
    <row r="914"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</row>
    <row r="915"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</row>
    <row r="916"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</row>
    <row r="917"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</row>
    <row r="918"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</row>
    <row r="919"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</row>
    <row r="920"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</row>
    <row r="921"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</row>
    <row r="922"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</row>
    <row r="923"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</row>
    <row r="924"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</row>
    <row r="925"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</row>
    <row r="926"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</row>
    <row r="927"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</row>
    <row r="928"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</row>
    <row r="929"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</row>
    <row r="930"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</row>
    <row r="931"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</row>
    <row r="932"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</row>
    <row r="933"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</row>
    <row r="934"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</row>
    <row r="935"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</row>
    <row r="936"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</row>
    <row r="937"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</row>
    <row r="938"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</row>
    <row r="939"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</row>
    <row r="940"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</row>
    <row r="941"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</row>
    <row r="942"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</row>
    <row r="943"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</row>
    <row r="944"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</row>
    <row r="945"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</row>
    <row r="946"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</row>
    <row r="947"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</row>
    <row r="948"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</row>
    <row r="949"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</row>
    <row r="950"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</row>
    <row r="951"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</row>
    <row r="952"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</row>
    <row r="953"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</row>
    <row r="954"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</row>
    <row r="955"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</row>
    <row r="956"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</row>
    <row r="957"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</row>
    <row r="958"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</row>
    <row r="959"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</row>
    <row r="960"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</row>
    <row r="961"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</row>
    <row r="962"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</row>
    <row r="963"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</row>
    <row r="964"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</row>
    <row r="965"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</row>
    <row r="966"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</row>
    <row r="967"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</row>
    <row r="968"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</row>
    <row r="969"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</row>
    <row r="970"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</row>
    <row r="971"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</row>
    <row r="972"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</row>
    <row r="973"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</row>
    <row r="974"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</row>
    <row r="975"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</row>
    <row r="976"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</row>
    <row r="977"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</row>
    <row r="978"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</row>
    <row r="979"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</row>
    <row r="980"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</row>
    <row r="981"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</row>
    <row r="982"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</row>
    <row r="983"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</row>
    <row r="984"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</row>
    <row r="985"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</row>
    <row r="986"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</row>
    <row r="987"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</row>
    <row r="988"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</row>
    <row r="989"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</row>
    <row r="990"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</row>
    <row r="991"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</row>
    <row r="992"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</row>
    <row r="993"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</row>
    <row r="994"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</row>
    <row r="995"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</row>
    <row r="996"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</row>
    <row r="997"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</row>
    <row r="998"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</row>
    <row r="999"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</row>
    <row r="1000"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</row>
    <row r="1001"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</row>
    <row r="1002"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</row>
    <row r="1003"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</row>
    <row r="1004"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</row>
    <row r="1005"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</row>
    <row r="1006"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</row>
    <row r="1007"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</row>
    <row r="1008"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</row>
    <row r="1009"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</row>
    <row r="1010"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</row>
    <row r="1011"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</row>
    <row r="1012"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</row>
    <row r="1013"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</row>
    <row r="1014"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</row>
    <row r="1015"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</row>
    <row r="1016"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</row>
    <row r="1017"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</row>
    <row r="1018"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</row>
    <row r="1019"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</row>
    <row r="1020"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</row>
    <row r="1021"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50.5"/>
    <col customWidth="1" min="7" max="7" width="23.38"/>
  </cols>
  <sheetData>
    <row r="1">
      <c r="A1" s="36"/>
      <c r="B1" s="37" t="s">
        <v>90</v>
      </c>
      <c r="C1" s="38"/>
      <c r="D1" s="38"/>
      <c r="E1" s="39"/>
      <c r="F1" s="36"/>
    </row>
    <row r="2">
      <c r="A2" s="36"/>
      <c r="B2" s="37" t="s">
        <v>91</v>
      </c>
      <c r="C2" s="38"/>
      <c r="D2" s="38"/>
      <c r="E2" s="39"/>
      <c r="F2" s="36"/>
    </row>
    <row r="3">
      <c r="A3" s="36"/>
      <c r="B3" s="39"/>
      <c r="C3" s="38"/>
      <c r="D3" s="38"/>
      <c r="E3" s="39"/>
      <c r="F3" s="36"/>
    </row>
    <row r="4">
      <c r="A4" s="36"/>
      <c r="B4" s="39"/>
      <c r="C4" s="38"/>
      <c r="D4" s="38"/>
      <c r="E4" s="39"/>
      <c r="F4" s="36"/>
    </row>
    <row r="5">
      <c r="A5" s="40" t="s">
        <v>92</v>
      </c>
      <c r="B5" s="41" t="s">
        <v>93</v>
      </c>
      <c r="C5" s="3" t="s">
        <v>94</v>
      </c>
      <c r="D5" s="41" t="s">
        <v>95</v>
      </c>
      <c r="E5" s="41" t="s">
        <v>96</v>
      </c>
      <c r="F5" s="41" t="s">
        <v>97</v>
      </c>
      <c r="G5" s="42" t="s">
        <v>98</v>
      </c>
    </row>
    <row r="6">
      <c r="A6" s="4">
        <v>1.0</v>
      </c>
      <c r="B6" s="5" t="s">
        <v>14</v>
      </c>
      <c r="C6" s="4" t="s">
        <v>99</v>
      </c>
      <c r="D6" s="4"/>
      <c r="E6" s="4"/>
      <c r="F6" s="5" t="s">
        <v>100</v>
      </c>
      <c r="G6" s="43" t="s">
        <v>101</v>
      </c>
    </row>
    <row r="7">
      <c r="A7" s="4">
        <v>2.0</v>
      </c>
      <c r="B7" s="5" t="s">
        <v>16</v>
      </c>
      <c r="C7" s="4" t="s">
        <v>102</v>
      </c>
      <c r="D7" s="44" t="s">
        <v>103</v>
      </c>
      <c r="E7" s="4" t="s">
        <v>104</v>
      </c>
      <c r="F7" s="5" t="s">
        <v>100</v>
      </c>
      <c r="G7" s="43" t="s">
        <v>101</v>
      </c>
    </row>
    <row r="8">
      <c r="A8" s="4">
        <v>3.0</v>
      </c>
      <c r="B8" s="5" t="s">
        <v>17</v>
      </c>
      <c r="C8" s="4" t="s">
        <v>105</v>
      </c>
      <c r="D8" s="44" t="s">
        <v>106</v>
      </c>
      <c r="E8" s="4" t="s">
        <v>107</v>
      </c>
      <c r="F8" s="5" t="s">
        <v>100</v>
      </c>
      <c r="G8" s="43" t="s">
        <v>101</v>
      </c>
    </row>
    <row r="9">
      <c r="A9" s="4">
        <v>4.0</v>
      </c>
      <c r="B9" s="5" t="s">
        <v>18</v>
      </c>
      <c r="C9" s="4" t="s">
        <v>108</v>
      </c>
      <c r="D9" s="44" t="s">
        <v>109</v>
      </c>
      <c r="E9" s="4" t="s">
        <v>110</v>
      </c>
      <c r="F9" s="5" t="s">
        <v>100</v>
      </c>
      <c r="G9" s="43" t="s">
        <v>101</v>
      </c>
    </row>
    <row r="10">
      <c r="A10" s="4">
        <v>5.0</v>
      </c>
      <c r="B10" s="5" t="s">
        <v>20</v>
      </c>
      <c r="C10" s="4" t="s">
        <v>111</v>
      </c>
      <c r="D10" s="44" t="s">
        <v>112</v>
      </c>
      <c r="E10" s="4" t="s">
        <v>113</v>
      </c>
      <c r="F10" s="5" t="s">
        <v>100</v>
      </c>
      <c r="G10" s="43" t="s">
        <v>101</v>
      </c>
    </row>
    <row r="11">
      <c r="A11" s="4">
        <v>6.0</v>
      </c>
      <c r="B11" s="5" t="s">
        <v>21</v>
      </c>
      <c r="C11" s="4" t="s">
        <v>114</v>
      </c>
      <c r="D11" s="44" t="s">
        <v>115</v>
      </c>
      <c r="E11" s="4" t="s">
        <v>116</v>
      </c>
      <c r="F11" s="5" t="s">
        <v>100</v>
      </c>
      <c r="G11" s="43" t="s">
        <v>101</v>
      </c>
    </row>
    <row r="12">
      <c r="A12" s="4">
        <v>7.0</v>
      </c>
      <c r="B12" s="5" t="s">
        <v>22</v>
      </c>
      <c r="C12" s="4" t="s">
        <v>117</v>
      </c>
      <c r="D12" s="44" t="s">
        <v>118</v>
      </c>
      <c r="E12" s="4" t="s">
        <v>119</v>
      </c>
      <c r="F12" s="5" t="s">
        <v>120</v>
      </c>
      <c r="G12" s="43" t="s">
        <v>101</v>
      </c>
    </row>
    <row r="13">
      <c r="A13" s="4">
        <v>8.0</v>
      </c>
      <c r="B13" s="5" t="s">
        <v>23</v>
      </c>
      <c r="C13" s="4" t="s">
        <v>121</v>
      </c>
      <c r="D13" s="44" t="s">
        <v>122</v>
      </c>
      <c r="E13" s="4">
        <v>3.60430080860004E14</v>
      </c>
      <c r="F13" s="5" t="s">
        <v>100</v>
      </c>
      <c r="G13" s="43" t="s">
        <v>101</v>
      </c>
    </row>
    <row r="14">
      <c r="A14" s="4">
        <v>9.0</v>
      </c>
      <c r="B14" s="5" t="s">
        <v>24</v>
      </c>
      <c r="C14" s="4" t="s">
        <v>123</v>
      </c>
      <c r="D14" s="44" t="s">
        <v>124</v>
      </c>
      <c r="E14" s="4" t="s">
        <v>125</v>
      </c>
      <c r="F14" s="5" t="s">
        <v>100</v>
      </c>
      <c r="G14" s="43" t="s">
        <v>101</v>
      </c>
    </row>
    <row r="15">
      <c r="A15" s="4">
        <v>10.0</v>
      </c>
      <c r="B15" s="5" t="s">
        <v>26</v>
      </c>
      <c r="C15" s="4" t="s">
        <v>126</v>
      </c>
      <c r="D15" s="44" t="s">
        <v>127</v>
      </c>
      <c r="E15" s="4" t="s">
        <v>128</v>
      </c>
      <c r="F15" s="5" t="s">
        <v>100</v>
      </c>
      <c r="G15" s="43" t="s">
        <v>101</v>
      </c>
    </row>
    <row r="16">
      <c r="A16" s="45">
        <v>11.0</v>
      </c>
      <c r="B16" s="9" t="s">
        <v>28</v>
      </c>
      <c r="C16" s="4" t="s">
        <v>129</v>
      </c>
      <c r="D16" s="46" t="s">
        <v>130</v>
      </c>
      <c r="E16" s="43" t="s">
        <v>131</v>
      </c>
      <c r="F16" s="5" t="s">
        <v>100</v>
      </c>
      <c r="G16" s="43" t="s">
        <v>101</v>
      </c>
    </row>
    <row r="17">
      <c r="A17" s="4">
        <v>12.0</v>
      </c>
      <c r="B17" s="10" t="s">
        <v>29</v>
      </c>
      <c r="C17" s="4" t="s">
        <v>132</v>
      </c>
      <c r="D17" s="47" t="s">
        <v>133</v>
      </c>
      <c r="E17" s="48" t="s">
        <v>134</v>
      </c>
      <c r="F17" s="5" t="s">
        <v>100</v>
      </c>
      <c r="G17" s="43" t="s">
        <v>101</v>
      </c>
    </row>
    <row r="18">
      <c r="A18" s="45">
        <v>13.0</v>
      </c>
      <c r="B18" s="10" t="s">
        <v>30</v>
      </c>
      <c r="C18" s="4" t="s">
        <v>135</v>
      </c>
      <c r="D18" s="47" t="s">
        <v>136</v>
      </c>
      <c r="E18" s="48" t="s">
        <v>137</v>
      </c>
      <c r="F18" s="5" t="s">
        <v>100</v>
      </c>
      <c r="G18" s="43" t="s">
        <v>101</v>
      </c>
    </row>
    <row r="19">
      <c r="A19" s="4">
        <v>14.0</v>
      </c>
      <c r="B19" s="10" t="s">
        <v>31</v>
      </c>
      <c r="C19" s="4" t="s">
        <v>138</v>
      </c>
      <c r="D19" s="47" t="s">
        <v>139</v>
      </c>
      <c r="E19" s="48" t="s">
        <v>140</v>
      </c>
      <c r="F19" s="5" t="s">
        <v>100</v>
      </c>
      <c r="G19" s="43" t="s">
        <v>101</v>
      </c>
    </row>
    <row r="20">
      <c r="A20" s="45">
        <v>15.0</v>
      </c>
      <c r="B20" s="10" t="s">
        <v>32</v>
      </c>
      <c r="C20" s="4" t="s">
        <v>141</v>
      </c>
      <c r="D20" s="47" t="s">
        <v>142</v>
      </c>
      <c r="E20" s="48" t="s">
        <v>143</v>
      </c>
      <c r="F20" s="5" t="s">
        <v>100</v>
      </c>
      <c r="G20" s="43" t="s">
        <v>101</v>
      </c>
    </row>
    <row r="21">
      <c r="A21" s="4">
        <v>16.0</v>
      </c>
      <c r="B21" s="10" t="s">
        <v>33</v>
      </c>
      <c r="C21" s="4" t="s">
        <v>144</v>
      </c>
      <c r="D21" s="47" t="s">
        <v>145</v>
      </c>
      <c r="E21" s="48" t="s">
        <v>146</v>
      </c>
      <c r="F21" s="5" t="s">
        <v>100</v>
      </c>
      <c r="G21" s="43" t="s">
        <v>101</v>
      </c>
    </row>
    <row r="22">
      <c r="A22" s="45">
        <v>17.0</v>
      </c>
      <c r="B22" s="10" t="s">
        <v>34</v>
      </c>
      <c r="C22" s="4" t="s">
        <v>147</v>
      </c>
      <c r="D22" s="47" t="s">
        <v>148</v>
      </c>
      <c r="E22" s="48" t="s">
        <v>149</v>
      </c>
      <c r="F22" s="5" t="s">
        <v>100</v>
      </c>
      <c r="G22" s="43" t="s">
        <v>101</v>
      </c>
    </row>
    <row r="23">
      <c r="A23" s="4">
        <v>18.0</v>
      </c>
      <c r="B23" s="10" t="s">
        <v>35</v>
      </c>
      <c r="C23" s="4" t="s">
        <v>150</v>
      </c>
      <c r="D23" s="47" t="s">
        <v>151</v>
      </c>
      <c r="E23" s="48" t="s">
        <v>152</v>
      </c>
      <c r="F23" s="5" t="s">
        <v>100</v>
      </c>
      <c r="G23" s="43" t="s">
        <v>101</v>
      </c>
    </row>
    <row r="24">
      <c r="A24" s="45">
        <v>19.0</v>
      </c>
      <c r="B24" s="10" t="s">
        <v>36</v>
      </c>
      <c r="C24" s="4" t="s">
        <v>153</v>
      </c>
      <c r="D24" s="47" t="s">
        <v>154</v>
      </c>
      <c r="E24" s="48" t="s">
        <v>155</v>
      </c>
      <c r="F24" s="5" t="s">
        <v>100</v>
      </c>
      <c r="G24" s="43" t="s">
        <v>101</v>
      </c>
    </row>
    <row r="25">
      <c r="A25" s="4">
        <v>20.0</v>
      </c>
      <c r="B25" s="10" t="s">
        <v>37</v>
      </c>
      <c r="C25" s="4" t="s">
        <v>156</v>
      </c>
      <c r="D25" s="47" t="s">
        <v>157</v>
      </c>
      <c r="E25" s="48">
        <v>3.60430520960001E14</v>
      </c>
      <c r="F25" s="5" t="s">
        <v>100</v>
      </c>
      <c r="G25" s="43" t="s">
        <v>101</v>
      </c>
    </row>
    <row r="26">
      <c r="A26" s="4">
        <v>21.0</v>
      </c>
      <c r="B26" s="12" t="s">
        <v>38</v>
      </c>
      <c r="C26" s="4" t="s">
        <v>158</v>
      </c>
      <c r="D26" s="49" t="s">
        <v>159</v>
      </c>
      <c r="E26" s="50" t="s">
        <v>160</v>
      </c>
      <c r="F26" s="5" t="s">
        <v>100</v>
      </c>
      <c r="G26" s="43" t="s">
        <v>101</v>
      </c>
    </row>
    <row r="27">
      <c r="A27" s="45">
        <v>22.0</v>
      </c>
      <c r="B27" s="12" t="s">
        <v>39</v>
      </c>
      <c r="C27" s="4" t="s">
        <v>161</v>
      </c>
      <c r="D27" s="49" t="s">
        <v>162</v>
      </c>
      <c r="E27" s="50" t="s">
        <v>163</v>
      </c>
      <c r="F27" s="5" t="s">
        <v>100</v>
      </c>
      <c r="G27" s="43" t="s">
        <v>101</v>
      </c>
    </row>
    <row r="28">
      <c r="A28" s="4">
        <v>23.0</v>
      </c>
      <c r="B28" s="12" t="s">
        <v>40</v>
      </c>
      <c r="C28" s="4" t="s">
        <v>164</v>
      </c>
      <c r="D28" s="49" t="s">
        <v>165</v>
      </c>
      <c r="E28" s="50" t="s">
        <v>166</v>
      </c>
      <c r="F28" s="5" t="s">
        <v>100</v>
      </c>
      <c r="G28" s="43" t="s">
        <v>101</v>
      </c>
    </row>
    <row r="29">
      <c r="A29" s="45">
        <v>24.0</v>
      </c>
      <c r="B29" s="12" t="s">
        <v>42</v>
      </c>
      <c r="C29" s="4" t="s">
        <v>167</v>
      </c>
      <c r="D29" s="51"/>
      <c r="E29" s="50" t="s">
        <v>168</v>
      </c>
      <c r="F29" s="5" t="s">
        <v>100</v>
      </c>
      <c r="G29" s="43" t="s">
        <v>101</v>
      </c>
    </row>
    <row r="30">
      <c r="A30" s="4">
        <v>25.0</v>
      </c>
      <c r="B30" s="12" t="s">
        <v>43</v>
      </c>
      <c r="C30" s="4" t="s">
        <v>169</v>
      </c>
      <c r="D30" s="49" t="s">
        <v>170</v>
      </c>
      <c r="E30" s="50" t="s">
        <v>171</v>
      </c>
      <c r="F30" s="5" t="s">
        <v>100</v>
      </c>
      <c r="G30" s="43" t="s">
        <v>101</v>
      </c>
    </row>
    <row r="31">
      <c r="A31" s="45">
        <v>26.0</v>
      </c>
      <c r="B31" s="12" t="s">
        <v>45</v>
      </c>
      <c r="C31" s="4" t="s">
        <v>172</v>
      </c>
      <c r="D31" s="4"/>
      <c r="E31" s="4" t="s">
        <v>173</v>
      </c>
      <c r="F31" s="5" t="s">
        <v>100</v>
      </c>
      <c r="G31" s="43" t="s">
        <v>101</v>
      </c>
    </row>
    <row r="32">
      <c r="A32" s="4">
        <v>27.0</v>
      </c>
      <c r="B32" s="12" t="s">
        <v>46</v>
      </c>
      <c r="C32" s="4" t="s">
        <v>174</v>
      </c>
      <c r="D32" s="52"/>
      <c r="E32" s="52"/>
      <c r="F32" s="5" t="s">
        <v>100</v>
      </c>
      <c r="G32" s="43" t="s">
        <v>101</v>
      </c>
    </row>
    <row r="33">
      <c r="A33" s="45">
        <v>28.0</v>
      </c>
      <c r="B33" s="12" t="s">
        <v>34</v>
      </c>
      <c r="C33" s="4" t="s">
        <v>175</v>
      </c>
      <c r="D33" s="53"/>
      <c r="E33" s="53"/>
      <c r="F33" s="5" t="s">
        <v>100</v>
      </c>
      <c r="G33" s="43" t="s">
        <v>101</v>
      </c>
    </row>
    <row r="34">
      <c r="A34" s="45">
        <v>29.0</v>
      </c>
      <c r="B34" s="12" t="s">
        <v>176</v>
      </c>
      <c r="C34" s="4" t="s">
        <v>177</v>
      </c>
      <c r="D34" s="9"/>
      <c r="E34" s="4" t="s">
        <v>168</v>
      </c>
      <c r="F34" s="5" t="s">
        <v>100</v>
      </c>
      <c r="G34" s="43" t="s">
        <v>101</v>
      </c>
    </row>
    <row r="35">
      <c r="A35" s="45">
        <v>30.0</v>
      </c>
      <c r="B35" s="9" t="s">
        <v>178</v>
      </c>
      <c r="C35" s="4" t="s">
        <v>179</v>
      </c>
      <c r="D35" s="53"/>
      <c r="E35" s="53"/>
      <c r="F35" s="5" t="s">
        <v>100</v>
      </c>
      <c r="G35" s="43" t="s">
        <v>101</v>
      </c>
    </row>
  </sheetData>
  <drawing r:id="rId1"/>
</worksheet>
</file>