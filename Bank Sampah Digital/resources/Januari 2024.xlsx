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ojan " sheetId="2" r:id="rId5"/>
    <sheet state="visible" name="Kepuh" sheetId="3" r:id="rId6"/>
    <sheet state="visible" name="Paku" sheetId="4" r:id="rId7"/>
    <sheet state="visible" name="Cempaka " sheetId="5" r:id="rId8"/>
    <sheet state="visible" name="Anyer RT 3 " sheetId="6" r:id="rId9"/>
    <sheet state="visible" name="Anyer Rt 2" sheetId="7" r:id="rId10"/>
    <sheet state="visible" name="Anyer Rt 1" sheetId="8" r:id="rId11"/>
  </sheets>
  <definedNames/>
  <calcPr/>
  <extLst>
    <ext uri="GoogleSheetsCustomDataVersion2">
      <go:sheetsCustomData xmlns:go="http://customooxmlschemas.google.com/" r:id="rId12" roundtripDataChecksum="P0sk7oHDpZgDTkzODLXHZuoDobYAu7MTGXpLw0IDKBM="/>
    </ext>
  </extLst>
</workbook>
</file>

<file path=xl/sharedStrings.xml><?xml version="1.0" encoding="utf-8"?>
<sst xmlns="http://schemas.openxmlformats.org/spreadsheetml/2006/main" count="1117" uniqueCount="91">
  <si>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</si>
  <si>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</si>
  <si>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</si>
  <si>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</si>
  <si>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</si>
  <si>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</si>
  <si>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</si>
  <si>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</si>
  <si>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</si>
  <si>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</si>
  <si>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</si>
  <si>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</si>
  <si>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</si>
  <si>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</si>
  <si>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</si>
  <si>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</si>
  <si>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</si>
  <si>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</si>
  <si>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</si>
  <si>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</si>
  <si>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</si>
  <si>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</si>
  <si>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</si>
  <si>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</si>
  <si>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</si>
  <si>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</si>
  <si>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</si>
  <si>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</si>
  <si>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</si>
  <si>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</si>
  <si>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</si>
  <si>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</si>
  <si>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</si>
  <si>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</si>
  <si>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</si>
  <si>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</si>
  <si>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Plastik Kresek</t>
  </si>
  <si>
    <t>Update Harga JANUARI 2024</t>
  </si>
  <si>
    <t>DAFTAR HARGA</t>
  </si>
  <si>
    <t>Data Penimbangan Bulan  2024</t>
  </si>
  <si>
    <t>Rekap Barang</t>
  </si>
  <si>
    <t>JENIS SAMPAH</t>
  </si>
  <si>
    <t>HARGA</t>
  </si>
  <si>
    <t xml:space="preserve">Tanggal : 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</si>
  <si>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</si>
  <si>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</si>
  <si>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</si>
  <si>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</si>
  <si>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</si>
  <si>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</si>
  <si>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</si>
  <si>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</si>
  <si>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 xml:space="preserve">nafiatul </t>
  </si>
  <si>
    <t>Botol warna</t>
  </si>
  <si>
    <t>Emberan/Atum</t>
  </si>
  <si>
    <t>Plastik Keresek</t>
  </si>
  <si>
    <t>Lainnya</t>
  </si>
  <si>
    <t xml:space="preserve">Ratu ulfi Nurul Fitri </t>
  </si>
  <si>
    <t>JUMLAH</t>
  </si>
  <si>
    <t>Total Transaksi</t>
  </si>
  <si>
    <t>Ratu Nurul  Komariyah</t>
  </si>
  <si>
    <t>Samiyah</t>
  </si>
  <si>
    <t>Nita Hendriyani</t>
  </si>
  <si>
    <t xml:space="preserve">Salawati </t>
  </si>
  <si>
    <t xml:space="preserve">Sumiyati </t>
  </si>
  <si>
    <t>Maskanah</t>
  </si>
  <si>
    <t xml:space="preserve">Aulia Ulfa </t>
  </si>
  <si>
    <t>Sanati</t>
  </si>
  <si>
    <t>hamsatang</t>
  </si>
  <si>
    <t>Nuraeni</t>
  </si>
  <si>
    <t>Nia Aryanah</t>
  </si>
  <si>
    <t>Jarimah</t>
  </si>
  <si>
    <t xml:space="preserve">Tanggal : 06 Jan 24 </t>
  </si>
  <si>
    <t>Masunah</t>
  </si>
  <si>
    <t>Kodiyah</t>
  </si>
  <si>
    <t>Udhiyah</t>
  </si>
  <si>
    <t xml:space="preserve">Sali Salbiah </t>
  </si>
  <si>
    <t>Yanti</t>
  </si>
  <si>
    <t xml:space="preserve">Nunung </t>
  </si>
  <si>
    <t>Nurul musfiroh</t>
  </si>
  <si>
    <t xml:space="preserve">Ubaidillah </t>
  </si>
  <si>
    <t xml:space="preserve">Imam Hambali </t>
  </si>
  <si>
    <t>Masfuah</t>
  </si>
  <si>
    <t xml:space="preserve">Asmawati </t>
  </si>
  <si>
    <t>Juleha</t>
  </si>
  <si>
    <t>Siti Aminah</t>
  </si>
  <si>
    <t>Iin Sri Royanti</t>
  </si>
  <si>
    <t>Ayi Nurhayati</t>
  </si>
  <si>
    <t>Weti Susilawati</t>
  </si>
  <si>
    <t>Eny Nuraeni</t>
  </si>
  <si>
    <t>Dede Yustiana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</si>
</sst>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b/>
      <sz val="10.0"/>
      <color rgb="FF000000"/>
      <name val="Arial"/>
    </font>
    <font>
      <b/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vertical="bottom" wrapText="1"/>
    </xf>
    <xf borderId="6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7" fillId="0" fontId="3" numFmtId="0" xfId="0" applyBorder="1" applyFont="1"/>
    <xf borderId="6" fillId="0" fontId="1" numFmtId="0" xfId="0" applyAlignment="1" applyBorder="1" applyFont="1">
      <alignment vertical="bottom"/>
    </xf>
    <xf borderId="8" fillId="0" fontId="3" numFmtId="0" xfId="0" applyBorder="1" applyFont="1"/>
    <xf borderId="7" fillId="2" fontId="4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0" fontId="6" numFmtId="0" xfId="0" applyAlignment="1" applyBorder="1" applyFont="1">
      <alignment horizontal="center" readingOrder="0" vertical="bottom"/>
    </xf>
    <xf borderId="7" fillId="3" fontId="4" numFmtId="0" xfId="0" applyAlignment="1" applyBorder="1" applyFill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7" fillId="0" fontId="5" numFmtId="0" xfId="0" applyAlignment="1" applyBorder="1" applyFont="1">
      <alignment readingOrder="0" shrinkToFit="0" vertical="bottom" wrapText="1"/>
    </xf>
    <xf borderId="9" fillId="4" fontId="7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7" numFmtId="3" xfId="0" applyFont="1" applyNumberFormat="1"/>
    <xf borderId="9" fillId="5" fontId="9" numFmtId="0" xfId="0" applyAlignment="1" applyBorder="1" applyFill="1" applyFont="1">
      <alignment horizontal="center"/>
    </xf>
    <xf borderId="0" fillId="0" fontId="9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3" numFmtId="0" xfId="0" applyBorder="1" applyFont="1"/>
    <xf borderId="1" fillId="5" fontId="9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0" fillId="0" fontId="9" numFmtId="0" xfId="0" applyAlignment="1" applyFont="1">
      <alignment vertical="center"/>
    </xf>
    <xf borderId="0" fillId="0" fontId="7" numFmtId="3" xfId="0" applyAlignment="1" applyFont="1" applyNumberFormat="1">
      <alignment vertical="center"/>
    </xf>
    <xf borderId="12" fillId="0" fontId="3" numFmtId="0" xfId="0" applyBorder="1" applyFont="1"/>
    <xf borderId="1" fillId="6" fontId="11" numFmtId="0" xfId="0" applyBorder="1" applyFill="1" applyFont="1"/>
    <xf borderId="1" fillId="4" fontId="12" numFmtId="3" xfId="0" applyAlignment="1" applyBorder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13" fillId="0" fontId="14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1" fillId="0" fontId="14" numFmtId="0" xfId="0" applyAlignment="1" applyBorder="1" applyFont="1">
      <alignment horizontal="center"/>
    </xf>
    <xf borderId="13" fillId="0" fontId="15" numFmtId="3" xfId="0" applyAlignment="1" applyBorder="1" applyFont="1" applyNumberFormat="1">
      <alignment horizontal="center" vertical="center"/>
    </xf>
    <xf borderId="5" fillId="0" fontId="3" numFmtId="0" xfId="0" applyBorder="1" applyFont="1"/>
    <xf borderId="1" fillId="0" fontId="8" numFmtId="3" xfId="0" applyAlignment="1" applyBorder="1" applyFont="1" applyNumberFormat="1">
      <alignment horizontal="center"/>
    </xf>
    <xf borderId="1" fillId="4" fontId="16" numFmtId="3" xfId="0" applyAlignment="1" applyBorder="1" applyFont="1" applyNumberFormat="1">
      <alignment horizontal="center"/>
    </xf>
    <xf borderId="14" fillId="7" fontId="8" numFmtId="0" xfId="0" applyBorder="1" applyFill="1" applyFont="1"/>
    <xf borderId="14" fillId="7" fontId="8" numFmtId="0" xfId="0" applyAlignment="1" applyBorder="1" applyFont="1">
      <alignment horizontal="center"/>
    </xf>
    <xf borderId="9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  <xf borderId="0" fillId="0" fontId="7" numFmtId="0" xfId="0" applyFont="1"/>
    <xf borderId="13" fillId="3" fontId="8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3" fillId="0" fontId="1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2" max="2" width="6.0"/>
    <col customWidth="1" min="3" max="3" width="19.75"/>
    <col customWidth="1" min="4" max="4" width="11.75"/>
    <col customWidth="1" min="5" max="5" width="10.88"/>
    <col customWidth="1" min="8" max="8" width="10.63"/>
    <col customWidth="1" min="9" max="9" width="11.13"/>
    <col customWidth="1" min="10" max="10" width="12.13"/>
    <col customWidth="1" min="11" max="11" width="10.75"/>
    <col customWidth="1" min="13" max="13" width="10.38"/>
    <col customWidth="1" min="14" max="14" width="10.88"/>
    <col customWidth="1" min="15" max="15" width="10.25"/>
    <col customWidth="1" min="16" max="16" width="10.38"/>
    <col customWidth="1" min="18" max="18" width="11.63"/>
  </cols>
  <sheetData>
    <row r="2">
      <c r="B2" s="1"/>
      <c r="C2" s="2"/>
      <c r="D2" s="3" t="s">
        <v>0</v>
      </c>
      <c r="E2" s="4"/>
      <c r="F2" s="4"/>
      <c r="G2" s="4"/>
      <c r="H2" s="4"/>
      <c r="I2" s="4"/>
      <c r="J2" s="5"/>
      <c r="K2" s="2"/>
      <c r="L2" s="6"/>
      <c r="M2" s="7"/>
      <c r="N2" s="7"/>
      <c r="O2" s="7"/>
      <c r="P2" s="7"/>
      <c r="Q2" s="7"/>
      <c r="R2" s="7"/>
    </row>
    <row r="3">
      <c r="B3" s="8" t="s">
        <v>1</v>
      </c>
      <c r="C3" s="9" t="s">
        <v>2</v>
      </c>
      <c r="D3" s="10" t="s">
        <v>3</v>
      </c>
      <c r="E3" s="11"/>
      <c r="F3" s="11"/>
      <c r="G3" s="11"/>
      <c r="H3" s="11"/>
      <c r="I3" s="11"/>
      <c r="J3" s="12"/>
      <c r="K3" s="9" t="s">
        <v>4</v>
      </c>
      <c r="L3" s="13"/>
      <c r="M3" s="10" t="s">
        <v>5</v>
      </c>
      <c r="N3" s="11"/>
      <c r="O3" s="11"/>
      <c r="P3" s="11"/>
      <c r="Q3" s="11"/>
      <c r="R3" s="12"/>
    </row>
    <row r="4">
      <c r="B4" s="14"/>
      <c r="C4" s="12"/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2"/>
      <c r="L4" s="13"/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</row>
    <row r="5">
      <c r="B5" s="17">
        <v>1.0</v>
      </c>
      <c r="C5" s="18" t="s">
        <v>19</v>
      </c>
      <c r="D5" s="19">
        <v>18.5</v>
      </c>
      <c r="E5" s="20">
        <v>1.5</v>
      </c>
      <c r="F5" s="19">
        <v>0.0</v>
      </c>
      <c r="G5" s="19">
        <v>0.0</v>
      </c>
      <c r="H5" s="19">
        <v>4.0</v>
      </c>
      <c r="I5" s="19">
        <v>1.5</v>
      </c>
      <c r="J5" s="19">
        <v>1.5</v>
      </c>
      <c r="K5" s="21">
        <f t="shared" ref="K5:K26" si="1">sum(D5:J5)</f>
        <v>27</v>
      </c>
      <c r="L5" s="13"/>
      <c r="M5" s="22">
        <f>K5+K6+K7+K8+K9+K10+K22</f>
        <v>350</v>
      </c>
      <c r="N5" s="22">
        <f>K11+K12+K13+K14</f>
        <v>189</v>
      </c>
      <c r="O5" s="22">
        <f>K23</f>
        <v>53.5</v>
      </c>
      <c r="P5" s="22">
        <f>K17+K18+K19+K20+K24</f>
        <v>24</v>
      </c>
      <c r="Q5" s="22">
        <f>K25</f>
        <v>59.5</v>
      </c>
      <c r="R5" s="22">
        <f>K26</f>
        <v>124.5</v>
      </c>
    </row>
    <row r="6">
      <c r="B6" s="17">
        <v>2.0</v>
      </c>
      <c r="C6" s="18" t="s">
        <v>20</v>
      </c>
      <c r="D6" s="19">
        <v>22.0</v>
      </c>
      <c r="E6" s="20">
        <v>4.0</v>
      </c>
      <c r="F6" s="19">
        <v>7.5</v>
      </c>
      <c r="G6" s="19">
        <v>1.5</v>
      </c>
      <c r="H6" s="19">
        <v>15.0</v>
      </c>
      <c r="I6" s="19">
        <v>22.0</v>
      </c>
      <c r="J6" s="19">
        <v>3.0</v>
      </c>
      <c r="K6" s="21">
        <f t="shared" si="1"/>
        <v>75</v>
      </c>
      <c r="L6" s="6"/>
      <c r="M6" s="6"/>
      <c r="N6" s="6"/>
      <c r="O6" s="6"/>
      <c r="P6" s="6"/>
      <c r="Q6" s="6"/>
      <c r="R6" s="6"/>
    </row>
    <row r="7">
      <c r="B7" s="17">
        <v>3.0</v>
      </c>
      <c r="C7" s="18" t="s">
        <v>21</v>
      </c>
      <c r="D7" s="19">
        <v>46.0</v>
      </c>
      <c r="E7" s="20">
        <v>0.0</v>
      </c>
      <c r="F7" s="19">
        <v>0.0</v>
      </c>
      <c r="G7" s="19">
        <v>0.0</v>
      </c>
      <c r="H7" s="19">
        <v>0.0</v>
      </c>
      <c r="I7" s="19">
        <v>31.0</v>
      </c>
      <c r="J7" s="19">
        <v>0.0</v>
      </c>
      <c r="K7" s="21">
        <f t="shared" si="1"/>
        <v>77</v>
      </c>
      <c r="L7" s="6"/>
      <c r="M7" s="6"/>
      <c r="N7" s="6"/>
      <c r="O7" s="6"/>
      <c r="P7" s="6"/>
      <c r="Q7" s="6"/>
      <c r="R7" s="6"/>
    </row>
    <row r="8">
      <c r="B8" s="17">
        <v>4.0</v>
      </c>
      <c r="C8" s="18" t="s">
        <v>22</v>
      </c>
      <c r="D8" s="19">
        <v>5.5</v>
      </c>
      <c r="E8" s="20">
        <v>0.5</v>
      </c>
      <c r="F8" s="19">
        <v>1.0</v>
      </c>
      <c r="G8" s="19">
        <v>1.0</v>
      </c>
      <c r="H8" s="19">
        <v>1.0</v>
      </c>
      <c r="I8" s="19">
        <v>4.0</v>
      </c>
      <c r="J8" s="19">
        <v>0.0</v>
      </c>
      <c r="K8" s="21">
        <f t="shared" si="1"/>
        <v>13</v>
      </c>
      <c r="L8" s="6"/>
      <c r="M8" s="6"/>
      <c r="N8" s="6"/>
      <c r="O8" s="6"/>
      <c r="P8" s="6"/>
      <c r="Q8" s="6"/>
      <c r="R8" s="6"/>
    </row>
    <row r="9">
      <c r="B9" s="17">
        <v>5.0</v>
      </c>
      <c r="C9" s="18" t="s">
        <v>23</v>
      </c>
      <c r="D9" s="19">
        <v>2.0</v>
      </c>
      <c r="E9" s="20">
        <v>1.0</v>
      </c>
      <c r="F9" s="19">
        <v>0.0</v>
      </c>
      <c r="G9" s="19">
        <v>0.5</v>
      </c>
      <c r="H9" s="19">
        <v>2.5</v>
      </c>
      <c r="I9" s="19">
        <v>0.0</v>
      </c>
      <c r="J9" s="19">
        <v>0.0</v>
      </c>
      <c r="K9" s="21">
        <f t="shared" si="1"/>
        <v>6</v>
      </c>
      <c r="L9" s="6"/>
      <c r="M9" s="6"/>
      <c r="N9" s="6"/>
      <c r="O9" s="6"/>
      <c r="P9" s="6"/>
      <c r="Q9" s="6"/>
      <c r="R9" s="23"/>
    </row>
    <row r="10">
      <c r="B10" s="17">
        <v>6.0</v>
      </c>
      <c r="C10" s="18" t="s">
        <v>24</v>
      </c>
      <c r="D10" s="19">
        <v>53.0</v>
      </c>
      <c r="E10" s="20">
        <v>7.0</v>
      </c>
      <c r="F10" s="19">
        <v>8.5</v>
      </c>
      <c r="G10" s="19">
        <v>4.0</v>
      </c>
      <c r="H10" s="19">
        <v>35.5</v>
      </c>
      <c r="I10" s="19">
        <v>15.5</v>
      </c>
      <c r="J10" s="19">
        <v>1.5</v>
      </c>
      <c r="K10" s="21">
        <f t="shared" si="1"/>
        <v>125</v>
      </c>
      <c r="L10" s="6"/>
      <c r="M10" s="6"/>
      <c r="N10" s="6"/>
      <c r="O10" s="6"/>
      <c r="P10" s="6"/>
      <c r="Q10" s="6"/>
      <c r="R10" s="6"/>
    </row>
    <row r="11">
      <c r="B11" s="17">
        <v>7.0</v>
      </c>
      <c r="C11" s="18" t="s">
        <v>25</v>
      </c>
      <c r="D11" s="19">
        <v>28.0</v>
      </c>
      <c r="E11" s="20">
        <v>4.0</v>
      </c>
      <c r="F11" s="19">
        <v>0.0</v>
      </c>
      <c r="G11" s="19">
        <v>12.5</v>
      </c>
      <c r="H11" s="19">
        <v>61.5</v>
      </c>
      <c r="I11" s="19">
        <v>35.0</v>
      </c>
      <c r="J11" s="19">
        <v>0.0</v>
      </c>
      <c r="K11" s="21">
        <f t="shared" si="1"/>
        <v>141</v>
      </c>
      <c r="L11" s="6"/>
      <c r="M11" s="6"/>
      <c r="N11" s="6"/>
      <c r="O11" s="6"/>
      <c r="P11" s="6"/>
      <c r="Q11" s="6"/>
      <c r="R11" s="6"/>
    </row>
    <row r="12">
      <c r="B12" s="17">
        <v>8.0</v>
      </c>
      <c r="C12" s="18" t="s">
        <v>26</v>
      </c>
      <c r="D12" s="19">
        <v>0.0</v>
      </c>
      <c r="E12" s="20">
        <v>0.0</v>
      </c>
      <c r="F12" s="19">
        <v>0.0</v>
      </c>
      <c r="G12" s="19">
        <v>0.0</v>
      </c>
      <c r="H12" s="19">
        <v>0.0</v>
      </c>
      <c r="I12" s="19">
        <v>13.5</v>
      </c>
      <c r="J12" s="19">
        <v>0.0</v>
      </c>
      <c r="K12" s="21">
        <f t="shared" si="1"/>
        <v>13.5</v>
      </c>
      <c r="L12" s="6"/>
      <c r="M12" s="6"/>
      <c r="N12" s="6"/>
      <c r="O12" s="6"/>
      <c r="P12" s="6"/>
      <c r="Q12" s="6"/>
      <c r="R12" s="6"/>
    </row>
    <row r="13">
      <c r="B13" s="17">
        <v>9.0</v>
      </c>
      <c r="C13" s="18" t="s">
        <v>27</v>
      </c>
      <c r="D13" s="19">
        <v>0.0</v>
      </c>
      <c r="E13" s="20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21">
        <f t="shared" si="1"/>
        <v>0</v>
      </c>
      <c r="L13" s="6"/>
      <c r="M13" s="6"/>
      <c r="N13" s="6"/>
      <c r="O13" s="6"/>
      <c r="P13" s="6"/>
      <c r="Q13" s="6"/>
      <c r="R13" s="6"/>
    </row>
    <row r="14">
      <c r="B14" s="17">
        <v>10.0</v>
      </c>
      <c r="C14" s="18" t="s">
        <v>28</v>
      </c>
      <c r="D14" s="19">
        <v>11.5</v>
      </c>
      <c r="E14" s="20">
        <v>10.0</v>
      </c>
      <c r="F14" s="19">
        <v>0.0</v>
      </c>
      <c r="G14" s="19">
        <v>0.0</v>
      </c>
      <c r="H14" s="19">
        <v>9.0</v>
      </c>
      <c r="I14" s="19">
        <v>3.0</v>
      </c>
      <c r="J14" s="19">
        <v>1.0</v>
      </c>
      <c r="K14" s="21">
        <f t="shared" si="1"/>
        <v>34.5</v>
      </c>
      <c r="L14" s="6"/>
      <c r="M14" s="6"/>
      <c r="N14" s="6"/>
      <c r="O14" s="6"/>
      <c r="P14" s="6"/>
      <c r="Q14" s="6"/>
      <c r="R14" s="6"/>
    </row>
    <row r="15">
      <c r="B15" s="17">
        <v>11.0</v>
      </c>
      <c r="C15" s="18" t="s">
        <v>29</v>
      </c>
      <c r="D15" s="19">
        <v>0.0</v>
      </c>
      <c r="E15" s="20">
        <v>0.0</v>
      </c>
      <c r="F15" s="19">
        <v>6.0</v>
      </c>
      <c r="G15" s="19">
        <v>0.0</v>
      </c>
      <c r="H15" s="20">
        <v>0.0</v>
      </c>
      <c r="I15" s="19">
        <v>0.0</v>
      </c>
      <c r="J15" s="19">
        <v>0.0</v>
      </c>
      <c r="K15" s="21">
        <f t="shared" si="1"/>
        <v>6</v>
      </c>
      <c r="L15" s="6"/>
      <c r="M15" s="6"/>
      <c r="N15" s="6"/>
      <c r="O15" s="6"/>
      <c r="P15" s="6"/>
      <c r="Q15" s="6"/>
      <c r="R15" s="6"/>
    </row>
    <row r="16">
      <c r="B16" s="17">
        <v>12.0</v>
      </c>
      <c r="C16" s="18" t="s">
        <v>30</v>
      </c>
      <c r="D16" s="19">
        <v>0.0</v>
      </c>
      <c r="E16" s="20">
        <v>0.0</v>
      </c>
      <c r="F16" s="19">
        <v>0.0</v>
      </c>
      <c r="G16" s="19">
        <v>4.5</v>
      </c>
      <c r="H16" s="19">
        <v>10.0</v>
      </c>
      <c r="I16" s="19">
        <v>12.5</v>
      </c>
      <c r="J16" s="19">
        <v>0.0</v>
      </c>
      <c r="K16" s="21">
        <f t="shared" si="1"/>
        <v>27</v>
      </c>
      <c r="L16" s="6"/>
      <c r="M16" s="6"/>
      <c r="N16" s="6"/>
      <c r="O16" s="6"/>
      <c r="P16" s="6"/>
      <c r="Q16" s="6"/>
      <c r="R16" s="6"/>
    </row>
    <row r="17">
      <c r="B17" s="17">
        <v>13.0</v>
      </c>
      <c r="C17" s="18" t="s">
        <v>31</v>
      </c>
      <c r="D17" s="19">
        <v>14.5</v>
      </c>
      <c r="E17" s="20">
        <v>0.0</v>
      </c>
      <c r="F17" s="19">
        <v>0.0</v>
      </c>
      <c r="G17" s="19">
        <v>2.0</v>
      </c>
      <c r="H17" s="19">
        <v>0.0</v>
      </c>
      <c r="I17" s="19">
        <v>0.0</v>
      </c>
      <c r="J17" s="19">
        <v>0.0</v>
      </c>
      <c r="K17" s="21">
        <f t="shared" si="1"/>
        <v>16.5</v>
      </c>
      <c r="L17" s="6"/>
      <c r="M17" s="6"/>
      <c r="N17" s="6"/>
      <c r="O17" s="6"/>
      <c r="P17" s="6"/>
      <c r="Q17" s="6"/>
      <c r="R17" s="6"/>
    </row>
    <row r="18">
      <c r="B18" s="17">
        <v>14.0</v>
      </c>
      <c r="C18" s="18" t="s">
        <v>32</v>
      </c>
      <c r="D18" s="19">
        <v>2.5</v>
      </c>
      <c r="E18" s="20">
        <v>0.0</v>
      </c>
      <c r="F18" s="19">
        <v>0.0</v>
      </c>
      <c r="G18" s="19">
        <v>0.0</v>
      </c>
      <c r="H18" s="19">
        <v>0.0</v>
      </c>
      <c r="I18" s="19">
        <v>1.5</v>
      </c>
      <c r="J18" s="19">
        <v>0.0</v>
      </c>
      <c r="K18" s="21">
        <f t="shared" si="1"/>
        <v>4</v>
      </c>
      <c r="L18" s="6"/>
      <c r="M18" s="6"/>
      <c r="N18" s="6"/>
      <c r="O18" s="6"/>
      <c r="P18" s="6"/>
      <c r="Q18" s="6"/>
      <c r="R18" s="6"/>
    </row>
    <row r="19">
      <c r="B19" s="17">
        <v>15.0</v>
      </c>
      <c r="C19" s="18" t="s">
        <v>33</v>
      </c>
      <c r="D19" s="19">
        <v>0.0</v>
      </c>
      <c r="E19" s="20">
        <v>0.0</v>
      </c>
      <c r="F19" s="19">
        <v>0.0</v>
      </c>
      <c r="G19" s="19">
        <v>0.0</v>
      </c>
      <c r="H19" s="19">
        <v>0.0</v>
      </c>
      <c r="I19" s="19">
        <v>0.0</v>
      </c>
      <c r="J19" s="19">
        <v>0.0</v>
      </c>
      <c r="K19" s="21">
        <f t="shared" si="1"/>
        <v>0</v>
      </c>
      <c r="L19" s="6"/>
      <c r="M19" s="6"/>
      <c r="N19" s="6"/>
      <c r="O19" s="6"/>
      <c r="P19" s="6"/>
      <c r="Q19" s="6"/>
      <c r="R19" s="6"/>
    </row>
    <row r="20">
      <c r="B20" s="17">
        <v>16.0</v>
      </c>
      <c r="C20" s="18" t="s">
        <v>34</v>
      </c>
      <c r="D20" s="19">
        <v>0.0</v>
      </c>
      <c r="E20" s="20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21">
        <f t="shared" si="1"/>
        <v>0</v>
      </c>
      <c r="L20" s="6"/>
      <c r="M20" s="6"/>
      <c r="N20" s="6"/>
      <c r="O20" s="6"/>
      <c r="P20" s="6"/>
      <c r="Q20" s="6"/>
      <c r="R20" s="6"/>
    </row>
    <row r="21">
      <c r="B21" s="17">
        <v>17.0</v>
      </c>
      <c r="C21" s="18" t="s">
        <v>35</v>
      </c>
      <c r="D21" s="19">
        <v>0.0</v>
      </c>
      <c r="E21" s="20">
        <v>0.0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21">
        <f t="shared" si="1"/>
        <v>0</v>
      </c>
      <c r="L21" s="6"/>
      <c r="M21" s="6"/>
      <c r="N21" s="6"/>
      <c r="O21" s="6"/>
      <c r="P21" s="6"/>
      <c r="Q21" s="6"/>
      <c r="R21" s="6"/>
    </row>
    <row r="22">
      <c r="B22" s="17">
        <v>18.0</v>
      </c>
      <c r="C22" s="24" t="s">
        <v>36</v>
      </c>
      <c r="D22" s="19">
        <v>5.0</v>
      </c>
      <c r="E22" s="20">
        <v>0.0</v>
      </c>
      <c r="F22" s="19">
        <v>0.0</v>
      </c>
      <c r="G22" s="19">
        <v>1.5</v>
      </c>
      <c r="H22" s="19">
        <v>6.5</v>
      </c>
      <c r="I22" s="19">
        <v>13.0</v>
      </c>
      <c r="J22" s="19">
        <v>1.0</v>
      </c>
      <c r="K22" s="21">
        <f t="shared" si="1"/>
        <v>27</v>
      </c>
      <c r="L22" s="6"/>
      <c r="M22" s="6"/>
      <c r="N22" s="6"/>
      <c r="O22" s="6"/>
      <c r="P22" s="6"/>
      <c r="Q22" s="6"/>
      <c r="R22" s="6"/>
    </row>
    <row r="23">
      <c r="B23" s="17">
        <v>19.0</v>
      </c>
      <c r="C23" s="18" t="s">
        <v>15</v>
      </c>
      <c r="D23" s="19">
        <v>30.0</v>
      </c>
      <c r="E23" s="20">
        <v>8.0</v>
      </c>
      <c r="F23" s="19">
        <v>7.0</v>
      </c>
      <c r="G23" s="19">
        <v>3.5</v>
      </c>
      <c r="H23" s="19">
        <v>0.0</v>
      </c>
      <c r="I23" s="19">
        <v>0.0</v>
      </c>
      <c r="J23" s="19">
        <v>5.0</v>
      </c>
      <c r="K23" s="21">
        <f t="shared" si="1"/>
        <v>53.5</v>
      </c>
      <c r="L23" s="6"/>
      <c r="M23" s="6"/>
      <c r="N23" s="6"/>
      <c r="O23" s="6"/>
      <c r="P23" s="6"/>
      <c r="Q23" s="6"/>
      <c r="R23" s="6"/>
    </row>
    <row r="24">
      <c r="B24" s="17">
        <v>20.0</v>
      </c>
      <c r="C24" s="18" t="s">
        <v>11</v>
      </c>
      <c r="D24" s="19">
        <v>3.5</v>
      </c>
      <c r="E24" s="20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21">
        <f t="shared" si="1"/>
        <v>3.5</v>
      </c>
      <c r="L24" s="6"/>
      <c r="M24" s="6"/>
      <c r="N24" s="6"/>
      <c r="O24" s="6"/>
      <c r="P24" s="6"/>
      <c r="Q24" s="6"/>
      <c r="R24" s="6"/>
    </row>
    <row r="25">
      <c r="B25" s="17">
        <v>21.0</v>
      </c>
      <c r="C25" s="18" t="s">
        <v>17</v>
      </c>
      <c r="D25" s="19">
        <v>9.0</v>
      </c>
      <c r="E25" s="20">
        <v>3.5</v>
      </c>
      <c r="F25" s="19">
        <v>0.0</v>
      </c>
      <c r="G25" s="19">
        <v>1.5</v>
      </c>
      <c r="H25" s="19">
        <v>9.0</v>
      </c>
      <c r="I25" s="19">
        <v>32.5</v>
      </c>
      <c r="J25" s="19">
        <v>4.0</v>
      </c>
      <c r="K25" s="21">
        <f t="shared" si="1"/>
        <v>59.5</v>
      </c>
      <c r="L25" s="6"/>
      <c r="M25" s="6"/>
      <c r="N25" s="6"/>
      <c r="O25" s="6"/>
      <c r="P25" s="6"/>
      <c r="Q25" s="6"/>
      <c r="R25" s="6"/>
    </row>
    <row r="26">
      <c r="B26" s="17">
        <v>22.0</v>
      </c>
      <c r="C26" s="18" t="s">
        <v>18</v>
      </c>
      <c r="D26" s="19">
        <v>26.0</v>
      </c>
      <c r="E26" s="20">
        <v>2.0</v>
      </c>
      <c r="F26" s="19">
        <v>4.0</v>
      </c>
      <c r="G26" s="19">
        <v>11.0</v>
      </c>
      <c r="H26" s="19">
        <v>58.5</v>
      </c>
      <c r="I26" s="19">
        <v>17.5</v>
      </c>
      <c r="J26" s="19">
        <v>5.5</v>
      </c>
      <c r="K26" s="21">
        <f t="shared" si="1"/>
        <v>124.5</v>
      </c>
      <c r="L26" s="6"/>
      <c r="M26" s="6"/>
      <c r="N26" s="6"/>
      <c r="O26" s="6"/>
      <c r="P26" s="6"/>
      <c r="Q26" s="6"/>
      <c r="R26" s="6"/>
    </row>
  </sheetData>
  <mergeCells count="6">
    <mergeCell ref="B3:B4"/>
    <mergeCell ref="C3:C4"/>
    <mergeCell ref="K3:K4"/>
    <mergeCell ref="M3:R3"/>
    <mergeCell ref="D2:J2"/>
    <mergeCell ref="D3:J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5" t="s">
        <v>37</v>
      </c>
      <c r="B1" s="5"/>
      <c r="C1" s="26"/>
      <c r="D1" s="26"/>
      <c r="E1" s="26"/>
      <c r="F1" s="27"/>
      <c r="G1" s="27"/>
      <c r="H1" s="27"/>
      <c r="I1" s="27"/>
      <c r="J1" s="28"/>
      <c r="K1" s="27"/>
      <c r="L1" s="27"/>
      <c r="M1" s="27"/>
      <c r="N1" s="27"/>
    </row>
    <row r="2" ht="15.75" customHeight="1">
      <c r="A2" s="29" t="s">
        <v>38</v>
      </c>
      <c r="B2" s="5"/>
      <c r="C2" s="30"/>
      <c r="D2" s="30" t="s">
        <v>39</v>
      </c>
      <c r="K2" s="27"/>
      <c r="L2" s="31" t="s">
        <v>40</v>
      </c>
      <c r="M2" s="32"/>
      <c r="N2" s="27"/>
    </row>
    <row r="3" ht="36.75" customHeight="1">
      <c r="A3" s="33" t="s">
        <v>41</v>
      </c>
      <c r="B3" s="34" t="s">
        <v>42</v>
      </c>
      <c r="C3" s="26"/>
      <c r="D3" s="35" t="s">
        <v>43</v>
      </c>
      <c r="F3" s="27"/>
      <c r="G3" s="27"/>
      <c r="H3" s="27"/>
      <c r="I3" s="27"/>
      <c r="J3" s="36"/>
      <c r="K3" s="27"/>
      <c r="L3" s="37"/>
      <c r="M3" s="12"/>
      <c r="N3" s="27"/>
    </row>
    <row r="4" ht="15.75" customHeight="1">
      <c r="A4" s="38" t="s">
        <v>19</v>
      </c>
      <c r="B4" s="39">
        <v>3100.0</v>
      </c>
      <c r="C4" s="40"/>
      <c r="D4" s="41" t="s">
        <v>1</v>
      </c>
      <c r="E4" s="41" t="s">
        <v>44</v>
      </c>
      <c r="F4" s="42" t="s">
        <v>45</v>
      </c>
      <c r="G4" s="43" t="s">
        <v>46</v>
      </c>
      <c r="H4" s="43" t="s">
        <v>47</v>
      </c>
      <c r="I4" s="43" t="s">
        <v>48</v>
      </c>
      <c r="J4" s="44" t="s">
        <v>49</v>
      </c>
      <c r="K4" s="27"/>
      <c r="L4" s="45" t="s">
        <v>50</v>
      </c>
      <c r="M4" s="45" t="s">
        <v>46</v>
      </c>
      <c r="N4" s="27"/>
    </row>
    <row r="5" ht="15.75" customHeight="1">
      <c r="A5" s="38" t="s">
        <v>51</v>
      </c>
      <c r="B5" s="39">
        <v>3000.0</v>
      </c>
      <c r="C5" s="46"/>
      <c r="D5" s="47">
        <v>1.0</v>
      </c>
      <c r="E5" s="48" t="s">
        <v>52</v>
      </c>
      <c r="F5" s="38" t="s">
        <v>19</v>
      </c>
      <c r="G5" s="49"/>
      <c r="H5" s="50">
        <f>VLOOKUP(F5,$A$4:$B$4,2,TRUE)</f>
        <v>3100</v>
      </c>
      <c r="I5" s="51">
        <f t="shared" ref="I5:I44" si="1">G5*H5</f>
        <v>0</v>
      </c>
      <c r="J5" s="52">
        <f>SUM(I5:I24)</f>
        <v>43100</v>
      </c>
      <c r="K5" s="27"/>
      <c r="L5" s="38" t="s">
        <v>19</v>
      </c>
      <c r="M5" s="45">
        <f>SUMIF(F5:F44,"Gelas bersih",G5:G44)</f>
        <v>0</v>
      </c>
      <c r="N5" s="27"/>
    </row>
    <row r="6" ht="15.75" customHeight="1">
      <c r="A6" s="38" t="s">
        <v>53</v>
      </c>
      <c r="B6" s="39">
        <v>800.0</v>
      </c>
      <c r="C6" s="46"/>
      <c r="D6" s="53"/>
      <c r="E6" s="53"/>
      <c r="F6" s="38" t="s">
        <v>51</v>
      </c>
      <c r="G6" s="49">
        <v>1.5</v>
      </c>
      <c r="H6" s="54">
        <f>VLOOKUP(F6,$A$5:$B$5,2,TRUE)</f>
        <v>3000</v>
      </c>
      <c r="I6" s="51">
        <f t="shared" si="1"/>
        <v>4500</v>
      </c>
      <c r="J6" s="53"/>
      <c r="K6" s="27"/>
      <c r="L6" s="38" t="s">
        <v>51</v>
      </c>
      <c r="M6" s="45">
        <f>SUMIF(F6:F45,"Botol bersih",G6:G45)</f>
        <v>1.5</v>
      </c>
      <c r="N6" s="27"/>
    </row>
    <row r="7" ht="15.75" customHeight="1">
      <c r="A7" s="38" t="s">
        <v>22</v>
      </c>
      <c r="B7" s="39">
        <v>2000.0</v>
      </c>
      <c r="C7" s="46"/>
      <c r="D7" s="53"/>
      <c r="E7" s="53"/>
      <c r="F7" s="38" t="s">
        <v>53</v>
      </c>
      <c r="G7" s="49"/>
      <c r="H7" s="54">
        <f>VLOOKUP(F7,$A$6:$B$6,2,TRUE)</f>
        <v>800</v>
      </c>
      <c r="I7" s="51">
        <f t="shared" si="1"/>
        <v>0</v>
      </c>
      <c r="J7" s="53"/>
      <c r="K7" s="27"/>
      <c r="L7" s="38" t="s">
        <v>53</v>
      </c>
      <c r="M7" s="45">
        <f>SUMIF(F7:F45,"Botol Warna",G7:G45)</f>
        <v>0</v>
      </c>
      <c r="N7" s="27"/>
    </row>
    <row r="8" ht="15.75" customHeight="1">
      <c r="A8" s="38" t="s">
        <v>23</v>
      </c>
      <c r="B8" s="39">
        <v>2800.0</v>
      </c>
      <c r="C8" s="46"/>
      <c r="D8" s="53"/>
      <c r="E8" s="53"/>
      <c r="F8" s="38" t="s">
        <v>22</v>
      </c>
      <c r="G8" s="49">
        <v>1.0</v>
      </c>
      <c r="H8" s="54">
        <f>VLOOKUP(F8,$A$7:$B$7,2,TRUE)</f>
        <v>2000</v>
      </c>
      <c r="I8" s="51">
        <f t="shared" si="1"/>
        <v>2000</v>
      </c>
      <c r="J8" s="53"/>
      <c r="K8" s="27"/>
      <c r="L8" s="38" t="s">
        <v>22</v>
      </c>
      <c r="M8" s="45">
        <f>SUMIF(F8:F46,"Tutup botol",G8:G46)</f>
        <v>1</v>
      </c>
      <c r="N8" s="27"/>
    </row>
    <row r="9" ht="15.75" customHeight="1">
      <c r="A9" s="38" t="s">
        <v>54</v>
      </c>
      <c r="B9" s="39">
        <v>800.0</v>
      </c>
      <c r="C9" s="46"/>
      <c r="D9" s="53"/>
      <c r="E9" s="53"/>
      <c r="F9" s="38" t="s">
        <v>23</v>
      </c>
      <c r="G9" s="49">
        <v>0.5</v>
      </c>
      <c r="H9" s="54">
        <f>VLOOKUP(F9, $A$8:$B$8, 2, FALSE)</f>
        <v>2800</v>
      </c>
      <c r="I9" s="51">
        <f t="shared" si="1"/>
        <v>1400</v>
      </c>
      <c r="J9" s="53"/>
      <c r="K9" s="27"/>
      <c r="L9" s="38" t="s">
        <v>23</v>
      </c>
      <c r="M9" s="45">
        <f>SUMIF(F9:F47,"Tutup galon",G9:G47)</f>
        <v>0.5</v>
      </c>
      <c r="N9" s="27"/>
    </row>
    <row r="10" ht="15.75" customHeight="1">
      <c r="A10" s="38" t="s">
        <v>25</v>
      </c>
      <c r="B10" s="39">
        <v>1500.0</v>
      </c>
      <c r="C10" s="46"/>
      <c r="D10" s="53"/>
      <c r="E10" s="53"/>
      <c r="F10" s="38" t="s">
        <v>54</v>
      </c>
      <c r="G10" s="49">
        <v>4.0</v>
      </c>
      <c r="H10" s="54">
        <f>VLOOKUP(F10, $A$9:$B$9, 2, FALSE)</f>
        <v>800</v>
      </c>
      <c r="I10" s="51">
        <f t="shared" si="1"/>
        <v>3200</v>
      </c>
      <c r="J10" s="53"/>
      <c r="K10" s="27"/>
      <c r="L10" s="38" t="s">
        <v>54</v>
      </c>
      <c r="M10" s="45">
        <f>SUMIF(F10:F49,"Emberan/Atum",G10:G49)</f>
        <v>4</v>
      </c>
      <c r="N10" s="27"/>
    </row>
    <row r="11" ht="15.75" customHeight="1">
      <c r="A11" s="38" t="s">
        <v>26</v>
      </c>
      <c r="B11" s="39">
        <v>1200.0</v>
      </c>
      <c r="C11" s="46"/>
      <c r="D11" s="53"/>
      <c r="E11" s="53"/>
      <c r="F11" s="38" t="s">
        <v>25</v>
      </c>
      <c r="G11" s="49">
        <v>7.5</v>
      </c>
      <c r="H11" s="54">
        <f>VLOOKUP(F11,$A$10:$B$10,2,TRUE)</f>
        <v>1500</v>
      </c>
      <c r="I11" s="51">
        <f t="shared" si="1"/>
        <v>11250</v>
      </c>
      <c r="J11" s="53"/>
      <c r="K11" s="27"/>
      <c r="L11" s="38" t="s">
        <v>25</v>
      </c>
      <c r="M11" s="45">
        <f>SUMIF(F11:F50,"Kardus",G11:G50)</f>
        <v>12.5</v>
      </c>
      <c r="N11" s="27"/>
    </row>
    <row r="12" ht="15.75" customHeight="1">
      <c r="A12" s="38" t="s">
        <v>28</v>
      </c>
      <c r="B12" s="39">
        <v>500.0</v>
      </c>
      <c r="C12" s="46"/>
      <c r="D12" s="53"/>
      <c r="E12" s="53"/>
      <c r="F12" s="38" t="s">
        <v>26</v>
      </c>
      <c r="G12" s="49"/>
      <c r="H12" s="54">
        <f>VLOOKUP(F12,$A$11:$B$11,2,TRUE)</f>
        <v>1200</v>
      </c>
      <c r="I12" s="51">
        <f t="shared" si="1"/>
        <v>0</v>
      </c>
      <c r="J12" s="53"/>
      <c r="K12" s="27"/>
      <c r="L12" s="38" t="s">
        <v>26</v>
      </c>
      <c r="M12" s="45">
        <f>SUMIF(F12:F52,"Kertas Putihan/HVS",G12:G52)</f>
        <v>0</v>
      </c>
      <c r="N12" s="27"/>
    </row>
    <row r="13" ht="15.75" customHeight="1">
      <c r="A13" s="38" t="s">
        <v>29</v>
      </c>
      <c r="B13" s="39">
        <v>6500.0</v>
      </c>
      <c r="C13" s="46"/>
      <c r="D13" s="53"/>
      <c r="E13" s="53"/>
      <c r="F13" s="38" t="s">
        <v>28</v>
      </c>
      <c r="G13" s="49"/>
      <c r="H13" s="54">
        <f>VLOOKUP(F13,$A$12:$B$12,2,TRUE)</f>
        <v>500</v>
      </c>
      <c r="I13" s="51">
        <f t="shared" si="1"/>
        <v>0</v>
      </c>
      <c r="J13" s="53"/>
      <c r="K13" s="27"/>
      <c r="L13" s="38" t="s">
        <v>28</v>
      </c>
      <c r="M13" s="45">
        <f>SUMIF(F13:F53,"Duplex",G13:G53)</f>
        <v>0</v>
      </c>
      <c r="N13" s="27"/>
    </row>
    <row r="14" ht="15.75" customHeight="1">
      <c r="A14" s="38" t="s">
        <v>30</v>
      </c>
      <c r="B14" s="39">
        <v>2200.0</v>
      </c>
      <c r="C14" s="46"/>
      <c r="D14" s="53"/>
      <c r="E14" s="53"/>
      <c r="F14" s="38" t="s">
        <v>29</v>
      </c>
      <c r="G14" s="49"/>
      <c r="H14" s="54">
        <f>VLOOKUP(F14,$A$13:$B$13,2,TRUE)</f>
        <v>6500</v>
      </c>
      <c r="I14" s="51">
        <f t="shared" si="1"/>
        <v>0</v>
      </c>
      <c r="J14" s="53"/>
      <c r="K14" s="27"/>
      <c r="L14" s="38" t="s">
        <v>29</v>
      </c>
      <c r="M14" s="45">
        <f>SUMIF(F14:F54,"Alumunium",G14:G54)</f>
        <v>0</v>
      </c>
      <c r="N14" s="27"/>
    </row>
    <row r="15" ht="15.75" customHeight="1">
      <c r="A15" s="38" t="s">
        <v>31</v>
      </c>
      <c r="B15" s="39">
        <v>1300.0</v>
      </c>
      <c r="C15" s="46"/>
      <c r="D15" s="53"/>
      <c r="E15" s="53"/>
      <c r="F15" s="38" t="s">
        <v>30</v>
      </c>
      <c r="G15" s="49">
        <v>4.5</v>
      </c>
      <c r="H15" s="54">
        <f>VLOOKUP(F15,$A$14:$B$14,2,TRUE)</f>
        <v>2200</v>
      </c>
      <c r="I15" s="51">
        <f t="shared" si="1"/>
        <v>9900</v>
      </c>
      <c r="J15" s="53"/>
      <c r="K15" s="27"/>
      <c r="L15" s="38" t="s">
        <v>30</v>
      </c>
      <c r="M15" s="45">
        <f>SUMIF(F15:F55,"Besi",G15:G55)</f>
        <v>4.5</v>
      </c>
      <c r="N15" s="27"/>
    </row>
    <row r="16" ht="15.75" customHeight="1">
      <c r="A16" s="38" t="s">
        <v>32</v>
      </c>
      <c r="B16" s="39">
        <v>5000.0</v>
      </c>
      <c r="C16" s="46"/>
      <c r="D16" s="53"/>
      <c r="E16" s="53"/>
      <c r="F16" s="38" t="s">
        <v>31</v>
      </c>
      <c r="G16" s="49">
        <v>2.0</v>
      </c>
      <c r="H16" s="54">
        <f>VLOOKUP(F16,$A$15:$B$15,2,TRUE)</f>
        <v>1300</v>
      </c>
      <c r="I16" s="51">
        <f t="shared" si="1"/>
        <v>2600</v>
      </c>
      <c r="J16" s="53"/>
      <c r="K16" s="27"/>
      <c r="L16" s="38" t="s">
        <v>31</v>
      </c>
      <c r="M16" s="45">
        <f>SUMIF(F16:F56,"Kaleng kue/susu",G16:G56)</f>
        <v>2</v>
      </c>
      <c r="N16" s="27"/>
    </row>
    <row r="17" ht="15.75" customHeight="1">
      <c r="A17" s="38" t="s">
        <v>33</v>
      </c>
      <c r="B17" s="39">
        <v>2500.0</v>
      </c>
      <c r="C17" s="46"/>
      <c r="D17" s="53"/>
      <c r="E17" s="53"/>
      <c r="F17" s="38" t="s">
        <v>32</v>
      </c>
      <c r="G17" s="49"/>
      <c r="H17" s="54">
        <f>VLOOKUP(F17,$A$16:$B$16,2,TRUE)</f>
        <v>5000</v>
      </c>
      <c r="I17" s="51">
        <f t="shared" si="1"/>
        <v>0</v>
      </c>
      <c r="J17" s="53"/>
      <c r="K17" s="27"/>
      <c r="L17" s="38" t="s">
        <v>32</v>
      </c>
      <c r="M17" s="45">
        <f>SUMIF(F17:F57,"Kaleng Minuman",G17:G57)</f>
        <v>0</v>
      </c>
      <c r="N17" s="27"/>
    </row>
    <row r="18" ht="15.75" customHeight="1">
      <c r="A18" s="38" t="s">
        <v>35</v>
      </c>
      <c r="B18" s="39">
        <v>10000.0</v>
      </c>
      <c r="C18" s="46"/>
      <c r="D18" s="53"/>
      <c r="E18" s="53"/>
      <c r="F18" s="38" t="s">
        <v>33</v>
      </c>
      <c r="G18" s="49"/>
      <c r="H18" s="54">
        <f>VLOOKUP(F18, $A$17:$B$17, 2, FALSE)</f>
        <v>2500</v>
      </c>
      <c r="I18" s="51">
        <f t="shared" si="1"/>
        <v>0</v>
      </c>
      <c r="J18" s="53"/>
      <c r="K18" s="27"/>
      <c r="L18" s="38" t="s">
        <v>33</v>
      </c>
      <c r="M18" s="45">
        <f>SUMIF(F18:F59,"Stanless",G18:G59)</f>
        <v>0</v>
      </c>
      <c r="N18" s="27"/>
    </row>
    <row r="19" ht="15.75" customHeight="1">
      <c r="A19" s="38" t="s">
        <v>55</v>
      </c>
      <c r="B19" s="39">
        <v>300.0</v>
      </c>
      <c r="C19" s="46"/>
      <c r="D19" s="53"/>
      <c r="E19" s="53"/>
      <c r="F19" s="38" t="s">
        <v>35</v>
      </c>
      <c r="G19" s="49"/>
      <c r="H19" s="54">
        <f>VLOOKUP(F19, $A$18:$B$18, 2, FALSE)</f>
        <v>10000</v>
      </c>
      <c r="I19" s="51">
        <f t="shared" si="1"/>
        <v>0</v>
      </c>
      <c r="J19" s="53"/>
      <c r="K19" s="27"/>
      <c r="L19" s="38" t="s">
        <v>35</v>
      </c>
      <c r="M19" s="45">
        <f>SUMIF(F19:F61,"Aki Motor",G19:G61)</f>
        <v>0</v>
      </c>
      <c r="N19" s="27"/>
    </row>
    <row r="20" ht="15.75" customHeight="1">
      <c r="A20" s="38" t="s">
        <v>15</v>
      </c>
      <c r="B20" s="39">
        <v>300.0</v>
      </c>
      <c r="C20" s="46"/>
      <c r="D20" s="53"/>
      <c r="E20" s="53"/>
      <c r="F20" s="38" t="s">
        <v>55</v>
      </c>
      <c r="G20" s="49">
        <v>1.5</v>
      </c>
      <c r="H20" s="54">
        <f>VLOOKUP(F20,$A$19:$B$19,2,TRUE)</f>
        <v>300</v>
      </c>
      <c r="I20" s="51">
        <f t="shared" si="1"/>
        <v>450</v>
      </c>
      <c r="J20" s="53"/>
      <c r="K20" s="27"/>
      <c r="L20" s="38" t="s">
        <v>55</v>
      </c>
      <c r="M20" s="45">
        <f>SUMIF(F20:F64,"Plastik Keresek",G20:G64)</f>
        <v>1.5</v>
      </c>
      <c r="N20" s="27"/>
    </row>
    <row r="21" ht="15.75" customHeight="1">
      <c r="A21" s="38" t="s">
        <v>11</v>
      </c>
      <c r="B21" s="39">
        <v>1700.0</v>
      </c>
      <c r="C21" s="46"/>
      <c r="D21" s="53"/>
      <c r="E21" s="53"/>
      <c r="F21" s="38" t="s">
        <v>15</v>
      </c>
      <c r="G21" s="49">
        <v>3.5</v>
      </c>
      <c r="H21" s="54">
        <f>VLOOKUP(F21,$A$20:$B$20,2,TRUE)</f>
        <v>300</v>
      </c>
      <c r="I21" s="51">
        <f t="shared" si="1"/>
        <v>1050</v>
      </c>
      <c r="J21" s="53"/>
      <c r="K21" s="27"/>
      <c r="L21" s="38" t="s">
        <v>15</v>
      </c>
      <c r="M21" s="45">
        <f>SUMIF(F21:F66,"Beling",G21:G66)</f>
        <v>3.5</v>
      </c>
      <c r="N21" s="27"/>
    </row>
    <row r="22" ht="15.75" customHeight="1">
      <c r="A22" s="38" t="s">
        <v>17</v>
      </c>
      <c r="B22" s="55">
        <v>4500.0</v>
      </c>
      <c r="C22" s="46"/>
      <c r="D22" s="53"/>
      <c r="E22" s="53"/>
      <c r="F22" s="38" t="s">
        <v>11</v>
      </c>
      <c r="G22" s="49"/>
      <c r="H22" s="54">
        <f>VLOOKUP(F22,$A$21:$B$21,2,TRUE)</f>
        <v>1700</v>
      </c>
      <c r="I22" s="51">
        <f t="shared" si="1"/>
        <v>0</v>
      </c>
      <c r="J22" s="53"/>
      <c r="K22" s="27"/>
      <c r="L22" s="38" t="s">
        <v>11</v>
      </c>
      <c r="M22" s="45">
        <f>SUMIF(F22:F68,"Paku",G22:G68)</f>
        <v>0</v>
      </c>
      <c r="N22" s="27"/>
    </row>
    <row r="23" ht="15.75" customHeight="1">
      <c r="A23" s="38" t="s">
        <v>56</v>
      </c>
      <c r="B23" s="39">
        <v>500.0</v>
      </c>
      <c r="C23" s="46"/>
      <c r="D23" s="53"/>
      <c r="E23" s="53"/>
      <c r="F23" s="38" t="s">
        <v>17</v>
      </c>
      <c r="G23" s="49">
        <v>1.5</v>
      </c>
      <c r="H23" s="54">
        <f>VLOOKUP(F22,$A$22:$B$22,2,TRUE)</f>
        <v>4500</v>
      </c>
      <c r="I23" s="51">
        <f t="shared" si="1"/>
        <v>6750</v>
      </c>
      <c r="J23" s="53"/>
      <c r="K23" s="27"/>
      <c r="L23" s="38" t="s">
        <v>17</v>
      </c>
      <c r="M23" s="45">
        <f>SUMIF(F23:F69,"Minyak Jelantah",G23:G69)</f>
        <v>1.5</v>
      </c>
      <c r="N23" s="27"/>
    </row>
    <row r="24" ht="15.75" customHeight="1">
      <c r="A24" s="46"/>
      <c r="B24" s="46"/>
      <c r="C24" s="46"/>
      <c r="D24" s="14"/>
      <c r="E24" s="14"/>
      <c r="F24" s="38" t="s">
        <v>56</v>
      </c>
      <c r="G24" s="49">
        <f>8+3</f>
        <v>11</v>
      </c>
      <c r="H24" s="54">
        <v>0.0</v>
      </c>
      <c r="I24" s="51">
        <f t="shared" si="1"/>
        <v>0</v>
      </c>
      <c r="J24" s="14"/>
      <c r="K24" s="27"/>
      <c r="L24" s="38" t="s">
        <v>56</v>
      </c>
      <c r="M24" s="45">
        <f>SUMIF(F24:F70,"Lainnya",G24:G70)</f>
        <v>11</v>
      </c>
      <c r="N24" s="27"/>
    </row>
    <row r="25" ht="15.75" customHeight="1">
      <c r="A25" s="46"/>
      <c r="B25" s="46"/>
      <c r="C25" s="46"/>
      <c r="D25" s="47">
        <v>2.0</v>
      </c>
      <c r="E25" s="48" t="s">
        <v>57</v>
      </c>
      <c r="F25" s="38" t="s">
        <v>19</v>
      </c>
      <c r="G25" s="49"/>
      <c r="H25" s="50">
        <f>VLOOKUP(F25,$A$4:$B$4,2,TRUE)</f>
        <v>3100</v>
      </c>
      <c r="I25" s="51">
        <f t="shared" si="1"/>
        <v>0</v>
      </c>
      <c r="J25" s="52">
        <f>SUM(I25:I44)</f>
        <v>7500</v>
      </c>
      <c r="K25" s="27"/>
      <c r="L25" s="56" t="s">
        <v>58</v>
      </c>
      <c r="M25" s="57">
        <f>SUM(M5:M24)</f>
        <v>43.5</v>
      </c>
      <c r="N25" s="27"/>
    </row>
    <row r="26" ht="15.75" customHeight="1">
      <c r="A26" s="46"/>
      <c r="B26" s="46"/>
      <c r="C26" s="46"/>
      <c r="D26" s="53"/>
      <c r="E26" s="53"/>
      <c r="F26" s="38" t="s">
        <v>51</v>
      </c>
      <c r="G26" s="49"/>
      <c r="H26" s="54">
        <f>VLOOKUP(F26,$A$5:$B$5,2,TRUE)</f>
        <v>3000</v>
      </c>
      <c r="I26" s="51">
        <f t="shared" si="1"/>
        <v>0</v>
      </c>
      <c r="J26" s="53"/>
      <c r="K26" s="27"/>
      <c r="L26" s="27"/>
      <c r="M26" s="27"/>
      <c r="N26" s="27"/>
    </row>
    <row r="27" ht="15.75" customHeight="1">
      <c r="A27" s="46"/>
      <c r="B27" s="46"/>
      <c r="C27" s="46"/>
      <c r="D27" s="53"/>
      <c r="E27" s="53"/>
      <c r="F27" s="38" t="s">
        <v>53</v>
      </c>
      <c r="G27" s="49"/>
      <c r="H27" s="54">
        <f>VLOOKUP(F27,$A$6:$B$6,2,TRUE)</f>
        <v>800</v>
      </c>
      <c r="I27" s="51">
        <f t="shared" si="1"/>
        <v>0</v>
      </c>
      <c r="J27" s="53"/>
      <c r="K27" s="27"/>
      <c r="L27" s="27"/>
      <c r="M27" s="27"/>
      <c r="N27" s="27"/>
    </row>
    <row r="28" ht="15.75" customHeight="1">
      <c r="A28" s="46"/>
      <c r="B28" s="46"/>
      <c r="C28" s="46"/>
      <c r="D28" s="53"/>
      <c r="E28" s="53"/>
      <c r="F28" s="38" t="s">
        <v>22</v>
      </c>
      <c r="G28" s="49"/>
      <c r="H28" s="54">
        <f>VLOOKUP(F28,$A$7:$B$7,2,TRUE)</f>
        <v>2000</v>
      </c>
      <c r="I28" s="51">
        <f t="shared" si="1"/>
        <v>0</v>
      </c>
      <c r="J28" s="53"/>
      <c r="K28" s="27"/>
      <c r="L28" s="27"/>
      <c r="M28" s="27"/>
      <c r="N28" s="27"/>
    </row>
    <row r="29" ht="15.75" customHeight="1">
      <c r="A29" s="46"/>
      <c r="B29" s="46"/>
      <c r="C29" s="46"/>
      <c r="D29" s="53"/>
      <c r="E29" s="53"/>
      <c r="F29" s="38" t="s">
        <v>23</v>
      </c>
      <c r="G29" s="49"/>
      <c r="H29" s="54">
        <f>VLOOKUP(F29, $A$8:$B$8, 2, FALSE)</f>
        <v>2800</v>
      </c>
      <c r="I29" s="51">
        <f t="shared" si="1"/>
        <v>0</v>
      </c>
      <c r="J29" s="53"/>
      <c r="K29" s="27"/>
      <c r="L29" s="27"/>
      <c r="M29" s="27"/>
      <c r="N29" s="27"/>
    </row>
    <row r="30" ht="15.75" customHeight="1">
      <c r="A30" s="46"/>
      <c r="B30" s="46"/>
      <c r="C30" s="46"/>
      <c r="D30" s="53"/>
      <c r="E30" s="53"/>
      <c r="F30" s="38" t="s">
        <v>54</v>
      </c>
      <c r="G30" s="49"/>
      <c r="H30" s="54">
        <f>VLOOKUP(F30, $A$9:$B$9, 2, FALSE)</f>
        <v>800</v>
      </c>
      <c r="I30" s="51">
        <f t="shared" si="1"/>
        <v>0</v>
      </c>
      <c r="J30" s="53"/>
      <c r="K30" s="27"/>
      <c r="L30" s="27"/>
      <c r="M30" s="27"/>
      <c r="N30" s="27"/>
    </row>
    <row r="31" ht="15.75" customHeight="1">
      <c r="A31" s="46"/>
      <c r="B31" s="46"/>
      <c r="C31" s="46"/>
      <c r="D31" s="53"/>
      <c r="E31" s="53"/>
      <c r="F31" s="38" t="s">
        <v>25</v>
      </c>
      <c r="G31" s="49">
        <v>5.0</v>
      </c>
      <c r="H31" s="54">
        <f>VLOOKUP(F31,$A$10:$B$10,2,TRUE)</f>
        <v>1500</v>
      </c>
      <c r="I31" s="51">
        <f t="shared" si="1"/>
        <v>7500</v>
      </c>
      <c r="J31" s="53"/>
      <c r="K31" s="27"/>
      <c r="L31" s="27"/>
      <c r="M31" s="27"/>
      <c r="N31" s="27"/>
    </row>
    <row r="32" ht="15.75" customHeight="1">
      <c r="A32" s="46"/>
      <c r="B32" s="46"/>
      <c r="C32" s="46"/>
      <c r="D32" s="53"/>
      <c r="E32" s="53"/>
      <c r="F32" s="38" t="s">
        <v>26</v>
      </c>
      <c r="G32" s="49"/>
      <c r="H32" s="54">
        <f>VLOOKUP(F32,$A$11:$B$11,2,TRUE)</f>
        <v>1200</v>
      </c>
      <c r="I32" s="51">
        <f t="shared" si="1"/>
        <v>0</v>
      </c>
      <c r="J32" s="53"/>
      <c r="K32" s="27"/>
      <c r="L32" s="27"/>
      <c r="M32" s="27"/>
      <c r="N32" s="27"/>
    </row>
    <row r="33" ht="15.75" customHeight="1">
      <c r="A33" s="46"/>
      <c r="B33" s="46"/>
      <c r="C33" s="46"/>
      <c r="D33" s="53"/>
      <c r="E33" s="53"/>
      <c r="F33" s="38" t="s">
        <v>28</v>
      </c>
      <c r="G33" s="49"/>
      <c r="H33" s="54">
        <f>VLOOKUP(F33,$A$12:$B$12,2,TRUE)</f>
        <v>500</v>
      </c>
      <c r="I33" s="51">
        <f t="shared" si="1"/>
        <v>0</v>
      </c>
      <c r="J33" s="53"/>
      <c r="K33" s="27"/>
      <c r="L33" s="27"/>
      <c r="M33" s="27"/>
      <c r="N33" s="27"/>
    </row>
    <row r="34" ht="15.75" customHeight="1">
      <c r="A34" s="46"/>
      <c r="B34" s="46"/>
      <c r="C34" s="46"/>
      <c r="D34" s="53"/>
      <c r="E34" s="53"/>
      <c r="F34" s="38" t="s">
        <v>29</v>
      </c>
      <c r="G34" s="49"/>
      <c r="H34" s="54">
        <f>VLOOKUP(F34,$A$13:$B$13,2,TRUE)</f>
        <v>6500</v>
      </c>
      <c r="I34" s="51">
        <f t="shared" si="1"/>
        <v>0</v>
      </c>
      <c r="J34" s="53"/>
      <c r="K34" s="27"/>
      <c r="L34" s="27"/>
      <c r="M34" s="27"/>
      <c r="N34" s="27"/>
    </row>
    <row r="35" ht="15.75" customHeight="1">
      <c r="A35" s="46"/>
      <c r="B35" s="46"/>
      <c r="C35" s="46"/>
      <c r="D35" s="53"/>
      <c r="E35" s="53"/>
      <c r="F35" s="38" t="s">
        <v>30</v>
      </c>
      <c r="G35" s="49"/>
      <c r="H35" s="54">
        <f>VLOOKUP(F35,$A$14:$B$14,2,TRUE)</f>
        <v>2200</v>
      </c>
      <c r="I35" s="51">
        <f t="shared" si="1"/>
        <v>0</v>
      </c>
      <c r="J35" s="53"/>
      <c r="K35" s="27"/>
      <c r="L35" s="27"/>
      <c r="M35" s="27"/>
      <c r="N35" s="27"/>
    </row>
    <row r="36" ht="15.75" customHeight="1">
      <c r="A36" s="46"/>
      <c r="B36" s="46"/>
      <c r="C36" s="46"/>
      <c r="D36" s="53"/>
      <c r="E36" s="53"/>
      <c r="F36" s="38" t="s">
        <v>31</v>
      </c>
      <c r="G36" s="49"/>
      <c r="H36" s="54">
        <f>VLOOKUP(F36,$A$15:$B$15,2,TRUE)</f>
        <v>1300</v>
      </c>
      <c r="I36" s="51">
        <f t="shared" si="1"/>
        <v>0</v>
      </c>
      <c r="J36" s="53"/>
      <c r="K36" s="27"/>
      <c r="L36" s="27"/>
      <c r="M36" s="27"/>
      <c r="N36" s="27"/>
    </row>
    <row r="37" ht="15.75" customHeight="1">
      <c r="A37" s="46"/>
      <c r="B37" s="46"/>
      <c r="C37" s="46"/>
      <c r="D37" s="53"/>
      <c r="E37" s="53"/>
      <c r="F37" s="38" t="s">
        <v>32</v>
      </c>
      <c r="G37" s="49"/>
      <c r="H37" s="54">
        <f>VLOOKUP(F37,$A$16:$B$16,2,TRUE)</f>
        <v>5000</v>
      </c>
      <c r="I37" s="51">
        <f t="shared" si="1"/>
        <v>0</v>
      </c>
      <c r="J37" s="53"/>
      <c r="K37" s="27"/>
      <c r="L37" s="27"/>
      <c r="M37" s="27"/>
      <c r="N37" s="27"/>
    </row>
    <row r="38" ht="15.75" customHeight="1">
      <c r="A38" s="46"/>
      <c r="B38" s="46"/>
      <c r="C38" s="46"/>
      <c r="D38" s="53"/>
      <c r="E38" s="53"/>
      <c r="F38" s="38" t="s">
        <v>33</v>
      </c>
      <c r="G38" s="49"/>
      <c r="H38" s="54">
        <f>VLOOKUP(F38,$A$17:$B$17,2,TRUE)</f>
        <v>2500</v>
      </c>
      <c r="I38" s="51">
        <f t="shared" si="1"/>
        <v>0</v>
      </c>
      <c r="J38" s="53"/>
      <c r="K38" s="27"/>
      <c r="L38" s="27"/>
      <c r="M38" s="27"/>
      <c r="N38" s="27"/>
    </row>
    <row r="39" ht="15.75" customHeight="1">
      <c r="A39" s="46"/>
      <c r="B39" s="46"/>
      <c r="C39" s="46"/>
      <c r="D39" s="53"/>
      <c r="E39" s="53"/>
      <c r="F39" s="38" t="s">
        <v>35</v>
      </c>
      <c r="G39" s="49"/>
      <c r="H39" s="54">
        <f>VLOOKUP(F39,$A$18:$B$18,2,TRUE)</f>
        <v>10000</v>
      </c>
      <c r="I39" s="51">
        <f t="shared" si="1"/>
        <v>0</v>
      </c>
      <c r="J39" s="53"/>
      <c r="K39" s="27"/>
      <c r="L39" s="27"/>
      <c r="M39" s="27"/>
      <c r="N39" s="27"/>
    </row>
    <row r="40" ht="15.75" customHeight="1">
      <c r="A40" s="46"/>
      <c r="B40" s="46"/>
      <c r="C40" s="46"/>
      <c r="D40" s="53"/>
      <c r="E40" s="53"/>
      <c r="F40" s="38" t="s">
        <v>55</v>
      </c>
      <c r="G40" s="49"/>
      <c r="H40" s="54">
        <f>VLOOKUP(F40,$A$19:$B$19,2,TRUE)</f>
        <v>300</v>
      </c>
      <c r="I40" s="51">
        <f t="shared" si="1"/>
        <v>0</v>
      </c>
      <c r="J40" s="53"/>
      <c r="K40" s="27"/>
      <c r="L40" s="27"/>
      <c r="M40" s="27"/>
      <c r="N40" s="27"/>
    </row>
    <row r="41" ht="15.75" customHeight="1">
      <c r="A41" s="46"/>
      <c r="B41" s="46"/>
      <c r="C41" s="46"/>
      <c r="D41" s="53"/>
      <c r="E41" s="53"/>
      <c r="F41" s="38" t="s">
        <v>15</v>
      </c>
      <c r="G41" s="49"/>
      <c r="H41" s="54">
        <f>VLOOKUP(F41,$A$20:$B$20,2,TRUE)</f>
        <v>300</v>
      </c>
      <c r="I41" s="51">
        <f t="shared" si="1"/>
        <v>0</v>
      </c>
      <c r="J41" s="53"/>
      <c r="K41" s="27"/>
      <c r="L41" s="27"/>
      <c r="M41" s="27"/>
      <c r="N41" s="27"/>
    </row>
    <row r="42" ht="15.75" customHeight="1">
      <c r="A42" s="46"/>
      <c r="B42" s="46"/>
      <c r="C42" s="46"/>
      <c r="D42" s="53"/>
      <c r="E42" s="53"/>
      <c r="F42" s="38" t="s">
        <v>11</v>
      </c>
      <c r="G42" s="49"/>
      <c r="H42" s="54">
        <f>VLOOKUP(F42,$A$21:$B$21,2,TRUE)</f>
        <v>1700</v>
      </c>
      <c r="I42" s="51">
        <f t="shared" si="1"/>
        <v>0</v>
      </c>
      <c r="J42" s="53"/>
      <c r="K42" s="27"/>
      <c r="L42" s="27"/>
      <c r="M42" s="27"/>
      <c r="N42" s="27"/>
    </row>
    <row r="43" ht="15.75" customHeight="1">
      <c r="A43" s="46"/>
      <c r="B43" s="46"/>
      <c r="C43" s="46"/>
      <c r="D43" s="53"/>
      <c r="E43" s="53"/>
      <c r="F43" s="38" t="s">
        <v>17</v>
      </c>
      <c r="G43" s="49"/>
      <c r="H43" s="54">
        <f>VLOOKUP(F42,$A$22:$B$22,2,TRUE)</f>
        <v>4500</v>
      </c>
      <c r="I43" s="51">
        <f t="shared" si="1"/>
        <v>0</v>
      </c>
      <c r="J43" s="53"/>
      <c r="K43" s="27"/>
      <c r="L43" s="27"/>
      <c r="M43" s="27"/>
      <c r="N43" s="27"/>
    </row>
    <row r="44" ht="15.75" customHeight="1">
      <c r="A44" s="46"/>
      <c r="B44" s="46"/>
      <c r="C44" s="46"/>
      <c r="D44" s="14"/>
      <c r="E44" s="14"/>
      <c r="F44" s="38" t="s">
        <v>56</v>
      </c>
      <c r="G44" s="49"/>
      <c r="H44" s="54">
        <f>VLOOKUP(F43,$A$23:$B$23,2,TRUE)</f>
        <v>500</v>
      </c>
      <c r="I44" s="51">
        <f t="shared" si="1"/>
        <v>0</v>
      </c>
      <c r="J44" s="14"/>
      <c r="K44" s="27"/>
      <c r="L44" s="27"/>
      <c r="M44" s="27"/>
      <c r="N44" s="27"/>
    </row>
    <row r="45" ht="15.75" customHeight="1">
      <c r="A45" s="46"/>
      <c r="B45" s="46"/>
      <c r="C45" s="46"/>
      <c r="D45" s="58" t="s">
        <v>59</v>
      </c>
      <c r="E45" s="4"/>
      <c r="F45" s="4"/>
      <c r="G45" s="4"/>
      <c r="H45" s="4"/>
      <c r="I45" s="5"/>
      <c r="J45" s="59">
        <f>SUM(J5:J44)</f>
        <v>50600</v>
      </c>
      <c r="K45" s="27"/>
      <c r="L45" s="27"/>
      <c r="M45" s="27"/>
      <c r="N45" s="27"/>
    </row>
    <row r="46" ht="15.75" customHeight="1">
      <c r="A46" s="26"/>
      <c r="B46" s="26"/>
      <c r="C46" s="26"/>
      <c r="D46" s="26"/>
      <c r="E46" s="26"/>
      <c r="F46" s="27"/>
      <c r="G46" s="27"/>
      <c r="H46" s="27"/>
      <c r="I46" s="27"/>
      <c r="J46" s="28"/>
      <c r="K46" s="27"/>
      <c r="L46" s="27"/>
      <c r="M46" s="27"/>
      <c r="N46" s="27"/>
    </row>
    <row r="47" ht="15.75" customHeight="1">
      <c r="A47" s="26"/>
      <c r="B47" s="26"/>
      <c r="C47" s="26"/>
      <c r="D47" s="26"/>
      <c r="E47" s="26"/>
      <c r="F47" s="27"/>
      <c r="G47" s="27"/>
      <c r="H47" s="27"/>
      <c r="I47" s="27"/>
      <c r="J47" s="28"/>
      <c r="K47" s="27"/>
      <c r="L47" s="27"/>
      <c r="M47" s="27"/>
      <c r="N47" s="27"/>
    </row>
    <row r="48" ht="15.75" customHeight="1">
      <c r="A48" s="26"/>
      <c r="B48" s="26"/>
      <c r="C48" s="26"/>
      <c r="D48" s="26"/>
      <c r="E48" s="26"/>
      <c r="F48" s="27"/>
      <c r="G48" s="27"/>
      <c r="H48" s="27"/>
      <c r="I48" s="27"/>
      <c r="J48" s="28"/>
      <c r="K48" s="27"/>
      <c r="L48" s="27"/>
      <c r="M48" s="27"/>
      <c r="N48" s="27"/>
    </row>
    <row r="49" ht="15.75" customHeight="1">
      <c r="A49" s="26"/>
      <c r="B49" s="26"/>
      <c r="C49" s="26"/>
      <c r="D49" s="26"/>
      <c r="E49" s="26"/>
      <c r="F49" s="27"/>
      <c r="G49" s="27"/>
      <c r="H49" s="27"/>
      <c r="I49" s="27"/>
      <c r="J49" s="28"/>
      <c r="K49" s="27"/>
      <c r="L49" s="27"/>
      <c r="M49" s="27"/>
      <c r="N49" s="27"/>
    </row>
    <row r="50" ht="15.75" customHeight="1">
      <c r="A50" s="26"/>
      <c r="B50" s="26"/>
      <c r="C50" s="26"/>
      <c r="D50" s="26"/>
      <c r="E50" s="26"/>
      <c r="F50" s="27"/>
      <c r="G50" s="27"/>
      <c r="H50" s="27"/>
      <c r="I50" s="27"/>
      <c r="J50" s="28"/>
      <c r="K50" s="27"/>
      <c r="L50" s="27"/>
      <c r="M50" s="27"/>
      <c r="N50" s="27"/>
    </row>
    <row r="51" ht="15.75" customHeight="1">
      <c r="A51" s="26"/>
      <c r="B51" s="26"/>
      <c r="C51" s="26"/>
      <c r="D51" s="26"/>
      <c r="E51" s="26"/>
      <c r="F51" s="27"/>
      <c r="G51" s="27"/>
      <c r="H51" s="27"/>
      <c r="I51" s="27"/>
      <c r="J51" s="28"/>
      <c r="K51" s="27"/>
      <c r="L51" s="27"/>
      <c r="M51" s="27"/>
      <c r="N51" s="27"/>
    </row>
    <row r="52" ht="15.75" customHeight="1">
      <c r="A52" s="26"/>
      <c r="B52" s="26"/>
      <c r="C52" s="26"/>
      <c r="D52" s="26"/>
      <c r="E52" s="26"/>
      <c r="F52" s="27"/>
      <c r="G52" s="27"/>
      <c r="H52" s="27"/>
      <c r="I52" s="27"/>
      <c r="J52" s="28"/>
      <c r="K52" s="27"/>
      <c r="L52" s="27"/>
      <c r="M52" s="27"/>
      <c r="N52" s="27"/>
    </row>
    <row r="53" ht="15.75" customHeight="1">
      <c r="A53" s="26"/>
      <c r="B53" s="26"/>
      <c r="C53" s="26"/>
      <c r="D53" s="26"/>
      <c r="E53" s="26"/>
      <c r="F53" s="27"/>
      <c r="G53" s="27"/>
      <c r="H53" s="27"/>
      <c r="I53" s="27"/>
      <c r="J53" s="28"/>
      <c r="K53" s="27"/>
      <c r="L53" s="27"/>
      <c r="M53" s="27"/>
      <c r="N53" s="27"/>
    </row>
    <row r="54" ht="15.75" customHeight="1">
      <c r="A54" s="26"/>
      <c r="B54" s="26"/>
      <c r="C54" s="26"/>
      <c r="D54" s="26"/>
      <c r="E54" s="26"/>
      <c r="J54" s="28"/>
    </row>
    <row r="55" ht="15.75" customHeight="1">
      <c r="A55" s="26"/>
      <c r="B55" s="26"/>
      <c r="C55" s="26"/>
      <c r="D55" s="26"/>
      <c r="E55" s="26"/>
      <c r="J55" s="28"/>
    </row>
    <row r="56" ht="15.75" customHeight="1">
      <c r="A56" s="26"/>
      <c r="B56" s="26"/>
      <c r="C56" s="26"/>
      <c r="D56" s="26"/>
      <c r="E56" s="26"/>
      <c r="J56" s="28"/>
    </row>
    <row r="57" ht="15.75" customHeight="1">
      <c r="A57" s="26"/>
      <c r="B57" s="26"/>
      <c r="C57" s="26"/>
      <c r="D57" s="26"/>
      <c r="E57" s="26"/>
      <c r="J57" s="28"/>
    </row>
    <row r="58" ht="15.75" customHeight="1">
      <c r="A58" s="26"/>
      <c r="B58" s="26"/>
      <c r="C58" s="26"/>
      <c r="D58" s="26"/>
      <c r="E58" s="26"/>
      <c r="J58" s="28"/>
    </row>
    <row r="59" ht="15.75" customHeight="1">
      <c r="A59" s="26"/>
      <c r="B59" s="26"/>
      <c r="C59" s="26"/>
      <c r="D59" s="26"/>
      <c r="E59" s="26"/>
      <c r="J59" s="28"/>
    </row>
    <row r="60" ht="15.75" customHeight="1">
      <c r="A60" s="26"/>
      <c r="B60" s="26"/>
      <c r="C60" s="26"/>
      <c r="D60" s="26"/>
      <c r="E60" s="26"/>
      <c r="J60" s="28"/>
    </row>
    <row r="61" ht="15.75" customHeight="1">
      <c r="A61" s="26"/>
      <c r="B61" s="26"/>
      <c r="C61" s="26"/>
      <c r="D61" s="26"/>
      <c r="E61" s="26"/>
      <c r="J61" s="28"/>
    </row>
    <row r="62" ht="15.75" customHeight="1">
      <c r="A62" s="26"/>
      <c r="B62" s="26"/>
      <c r="C62" s="26"/>
      <c r="D62" s="26"/>
      <c r="E62" s="26"/>
      <c r="J62" s="28"/>
    </row>
    <row r="63" ht="15.75" customHeight="1">
      <c r="A63" s="26"/>
      <c r="B63" s="26"/>
      <c r="C63" s="26"/>
      <c r="D63" s="26"/>
      <c r="E63" s="26"/>
      <c r="J63" s="28"/>
    </row>
    <row r="64" ht="15.75" customHeight="1">
      <c r="A64" s="26"/>
      <c r="B64" s="26"/>
      <c r="C64" s="26"/>
      <c r="D64" s="26"/>
      <c r="E64" s="26"/>
      <c r="J64" s="28"/>
    </row>
    <row r="65" ht="15.75" customHeight="1">
      <c r="A65" s="26"/>
      <c r="B65" s="26"/>
      <c r="C65" s="26"/>
      <c r="D65" s="26"/>
      <c r="E65" s="26"/>
      <c r="J65" s="28"/>
    </row>
    <row r="66" ht="15.75" customHeight="1">
      <c r="A66" s="26"/>
      <c r="B66" s="26"/>
      <c r="C66" s="26"/>
      <c r="D66" s="26"/>
      <c r="E66" s="26"/>
      <c r="J66" s="28"/>
    </row>
    <row r="67" ht="15.75" customHeight="1">
      <c r="A67" s="26"/>
      <c r="B67" s="26"/>
      <c r="C67" s="26"/>
      <c r="D67" s="26"/>
      <c r="E67" s="26"/>
      <c r="J67" s="28"/>
    </row>
    <row r="68" ht="15.75" customHeight="1">
      <c r="A68" s="26"/>
      <c r="B68" s="26"/>
      <c r="C68" s="26"/>
      <c r="D68" s="26"/>
      <c r="E68" s="26"/>
      <c r="J68" s="28"/>
    </row>
    <row r="69" ht="15.75" customHeight="1">
      <c r="A69" s="26"/>
      <c r="B69" s="26"/>
      <c r="C69" s="26"/>
      <c r="D69" s="26"/>
      <c r="E69" s="26"/>
      <c r="J69" s="28"/>
    </row>
    <row r="70" ht="15.75" customHeight="1">
      <c r="A70" s="26"/>
      <c r="B70" s="26"/>
      <c r="C70" s="26"/>
      <c r="D70" s="26"/>
      <c r="E70" s="26"/>
      <c r="J70" s="28"/>
    </row>
    <row r="71" ht="15.75" customHeight="1">
      <c r="A71" s="26"/>
      <c r="B71" s="26"/>
      <c r="C71" s="26"/>
      <c r="D71" s="26"/>
      <c r="E71" s="26"/>
      <c r="J71" s="28"/>
    </row>
    <row r="72" ht="15.75" customHeight="1">
      <c r="A72" s="26"/>
      <c r="B72" s="26"/>
      <c r="C72" s="26"/>
      <c r="D72" s="26"/>
      <c r="E72" s="26"/>
      <c r="J72" s="28"/>
    </row>
    <row r="73" ht="15.75" customHeight="1">
      <c r="A73" s="26"/>
      <c r="B73" s="26"/>
      <c r="C73" s="26"/>
      <c r="D73" s="26"/>
      <c r="E73" s="26"/>
      <c r="J73" s="28"/>
    </row>
    <row r="74" ht="15.75" customHeight="1">
      <c r="A74" s="26"/>
      <c r="B74" s="26"/>
      <c r="C74" s="26"/>
      <c r="D74" s="26"/>
      <c r="E74" s="26"/>
      <c r="J74" s="28"/>
    </row>
    <row r="75" ht="15.75" customHeight="1">
      <c r="A75" s="26"/>
      <c r="B75" s="26"/>
      <c r="C75" s="26"/>
      <c r="D75" s="26"/>
      <c r="E75" s="26"/>
      <c r="J75" s="28"/>
    </row>
    <row r="76" ht="15.75" customHeight="1">
      <c r="A76" s="26"/>
      <c r="B76" s="26"/>
      <c r="C76" s="26"/>
      <c r="D76" s="26"/>
      <c r="E76" s="26"/>
      <c r="J76" s="28"/>
    </row>
    <row r="77" ht="15.75" customHeight="1">
      <c r="A77" s="26"/>
      <c r="B77" s="26"/>
      <c r="C77" s="26"/>
      <c r="D77" s="26"/>
      <c r="E77" s="26"/>
      <c r="J77" s="28"/>
    </row>
    <row r="78" ht="15.75" customHeight="1">
      <c r="A78" s="26"/>
      <c r="B78" s="26"/>
      <c r="C78" s="26"/>
      <c r="D78" s="26"/>
      <c r="E78" s="26"/>
      <c r="J78" s="28"/>
    </row>
    <row r="79" ht="15.75" customHeight="1">
      <c r="A79" s="26"/>
      <c r="B79" s="26"/>
      <c r="C79" s="26"/>
      <c r="D79" s="26"/>
      <c r="E79" s="26"/>
      <c r="J79" s="28"/>
    </row>
    <row r="80" ht="15.75" customHeight="1">
      <c r="A80" s="26"/>
      <c r="B80" s="26"/>
      <c r="C80" s="26"/>
      <c r="D80" s="26"/>
      <c r="E80" s="26"/>
      <c r="J80" s="28"/>
    </row>
    <row r="81" ht="15.75" customHeight="1">
      <c r="A81" s="26"/>
      <c r="B81" s="26"/>
      <c r="C81" s="26"/>
      <c r="D81" s="26"/>
      <c r="E81" s="26"/>
      <c r="J81" s="28"/>
    </row>
    <row r="82" ht="15.75" customHeight="1">
      <c r="A82" s="26"/>
      <c r="B82" s="26"/>
      <c r="C82" s="26"/>
      <c r="D82" s="26"/>
      <c r="E82" s="26"/>
      <c r="J82" s="28"/>
    </row>
    <row r="83" ht="15.75" customHeight="1">
      <c r="A83" s="26"/>
      <c r="B83" s="26"/>
      <c r="C83" s="26"/>
      <c r="D83" s="26"/>
      <c r="E83" s="26"/>
      <c r="J83" s="28"/>
    </row>
    <row r="84" ht="15.75" customHeight="1">
      <c r="A84" s="26"/>
      <c r="B84" s="26"/>
      <c r="C84" s="26"/>
      <c r="D84" s="26"/>
      <c r="E84" s="26"/>
      <c r="J84" s="28"/>
    </row>
    <row r="85" ht="15.75" customHeight="1">
      <c r="A85" s="26"/>
      <c r="B85" s="26"/>
      <c r="C85" s="26"/>
      <c r="D85" s="26"/>
      <c r="E85" s="26"/>
      <c r="J85" s="28"/>
    </row>
    <row r="86" ht="15.75" customHeight="1">
      <c r="A86" s="26"/>
      <c r="B86" s="26"/>
      <c r="C86" s="26"/>
      <c r="D86" s="26"/>
      <c r="E86" s="26"/>
      <c r="J86" s="28"/>
    </row>
    <row r="87" ht="15.75" customHeight="1">
      <c r="A87" s="26"/>
      <c r="B87" s="26"/>
      <c r="C87" s="26"/>
      <c r="D87" s="26"/>
      <c r="E87" s="26"/>
      <c r="J87" s="28"/>
    </row>
    <row r="88" ht="15.75" customHeight="1">
      <c r="A88" s="26"/>
      <c r="B88" s="26"/>
      <c r="C88" s="26"/>
      <c r="D88" s="26"/>
      <c r="E88" s="26"/>
      <c r="J88" s="28"/>
    </row>
    <row r="89" ht="15.75" customHeight="1">
      <c r="A89" s="26"/>
      <c r="B89" s="26"/>
      <c r="C89" s="26"/>
      <c r="D89" s="26"/>
      <c r="E89" s="26"/>
      <c r="J89" s="28"/>
    </row>
    <row r="90" ht="15.75" customHeight="1">
      <c r="A90" s="26"/>
      <c r="B90" s="26"/>
      <c r="C90" s="26"/>
      <c r="D90" s="26"/>
      <c r="E90" s="26"/>
      <c r="J90" s="28"/>
    </row>
    <row r="91" ht="15.75" customHeight="1">
      <c r="A91" s="26"/>
      <c r="B91" s="26"/>
      <c r="C91" s="26"/>
      <c r="D91" s="26"/>
      <c r="E91" s="26"/>
      <c r="J91" s="28"/>
    </row>
    <row r="92" ht="15.75" customHeight="1">
      <c r="A92" s="26"/>
      <c r="B92" s="26"/>
      <c r="C92" s="26"/>
      <c r="D92" s="26"/>
      <c r="E92" s="26"/>
      <c r="J92" s="28"/>
    </row>
    <row r="93" ht="15.75" customHeight="1">
      <c r="A93" s="26"/>
      <c r="B93" s="26"/>
      <c r="C93" s="26"/>
      <c r="D93" s="26"/>
      <c r="E93" s="26"/>
      <c r="J93" s="28"/>
    </row>
    <row r="94" ht="15.75" customHeight="1">
      <c r="A94" s="26"/>
      <c r="B94" s="26"/>
      <c r="C94" s="26"/>
      <c r="D94" s="26"/>
      <c r="E94" s="26"/>
      <c r="J94" s="28"/>
    </row>
    <row r="95" ht="15.75" customHeight="1">
      <c r="A95" s="26"/>
      <c r="B95" s="26"/>
      <c r="C95" s="26"/>
      <c r="D95" s="26"/>
      <c r="E95" s="26"/>
      <c r="J95" s="28"/>
    </row>
    <row r="96" ht="15.75" customHeight="1">
      <c r="A96" s="26"/>
      <c r="B96" s="26"/>
      <c r="C96" s="26"/>
      <c r="D96" s="26"/>
      <c r="E96" s="26"/>
      <c r="J96" s="28"/>
    </row>
    <row r="97" ht="15.75" customHeight="1">
      <c r="A97" s="26"/>
      <c r="B97" s="26"/>
      <c r="C97" s="26"/>
      <c r="D97" s="26"/>
      <c r="E97" s="26"/>
      <c r="J97" s="28"/>
    </row>
    <row r="98" ht="15.75" customHeight="1">
      <c r="A98" s="26"/>
      <c r="B98" s="26"/>
      <c r="C98" s="26"/>
      <c r="D98" s="26"/>
      <c r="E98" s="26"/>
      <c r="J98" s="28"/>
    </row>
    <row r="99" ht="15.75" customHeight="1">
      <c r="A99" s="26"/>
      <c r="B99" s="26"/>
      <c r="C99" s="26"/>
      <c r="D99" s="26"/>
      <c r="E99" s="26"/>
      <c r="J99" s="28"/>
    </row>
    <row r="100" ht="15.75" customHeight="1">
      <c r="A100" s="26"/>
      <c r="B100" s="26"/>
      <c r="C100" s="26"/>
      <c r="D100" s="26"/>
      <c r="E100" s="26"/>
      <c r="J100" s="28"/>
    </row>
    <row r="101" ht="15.75" customHeight="1">
      <c r="A101" s="26"/>
      <c r="B101" s="26"/>
      <c r="C101" s="26"/>
      <c r="D101" s="26"/>
      <c r="E101" s="26"/>
      <c r="J101" s="28"/>
    </row>
    <row r="102" ht="15.75" customHeight="1">
      <c r="A102" s="26"/>
      <c r="B102" s="26"/>
      <c r="C102" s="26"/>
      <c r="D102" s="26"/>
      <c r="E102" s="26"/>
      <c r="J102" s="28"/>
    </row>
    <row r="103" ht="15.75" customHeight="1">
      <c r="A103" s="26"/>
      <c r="B103" s="26"/>
      <c r="C103" s="26"/>
      <c r="D103" s="26"/>
      <c r="E103" s="26"/>
      <c r="J103" s="28"/>
    </row>
    <row r="104" ht="15.75" customHeight="1">
      <c r="A104" s="26"/>
      <c r="B104" s="26"/>
      <c r="C104" s="26"/>
      <c r="D104" s="26"/>
      <c r="E104" s="26"/>
      <c r="J104" s="28"/>
    </row>
    <row r="105" ht="15.75" customHeight="1">
      <c r="A105" s="26"/>
      <c r="B105" s="26"/>
      <c r="C105" s="26"/>
      <c r="D105" s="26"/>
      <c r="E105" s="26"/>
      <c r="J105" s="28"/>
    </row>
    <row r="106" ht="15.75" customHeight="1">
      <c r="A106" s="26"/>
      <c r="B106" s="26"/>
      <c r="C106" s="26"/>
      <c r="D106" s="26"/>
      <c r="E106" s="26"/>
      <c r="J106" s="28"/>
    </row>
    <row r="107" ht="15.75" customHeight="1">
      <c r="A107" s="26"/>
      <c r="B107" s="26"/>
      <c r="C107" s="26"/>
      <c r="D107" s="26"/>
      <c r="E107" s="26"/>
      <c r="J107" s="28"/>
    </row>
    <row r="108" ht="15.75" customHeight="1">
      <c r="A108" s="26"/>
      <c r="B108" s="26"/>
      <c r="C108" s="26"/>
      <c r="D108" s="26"/>
      <c r="E108" s="26"/>
      <c r="J108" s="28"/>
    </row>
    <row r="109" ht="15.75" customHeight="1">
      <c r="A109" s="26"/>
      <c r="B109" s="26"/>
      <c r="C109" s="26"/>
      <c r="D109" s="26"/>
      <c r="E109" s="26"/>
      <c r="J109" s="28"/>
    </row>
    <row r="110" ht="15.75" customHeight="1">
      <c r="A110" s="26"/>
      <c r="B110" s="26"/>
      <c r="C110" s="26"/>
      <c r="D110" s="26"/>
      <c r="E110" s="26"/>
      <c r="J110" s="28"/>
    </row>
    <row r="111" ht="15.75" customHeight="1">
      <c r="A111" s="26"/>
      <c r="B111" s="26"/>
      <c r="C111" s="26"/>
      <c r="D111" s="26"/>
      <c r="E111" s="26"/>
      <c r="J111" s="28"/>
    </row>
    <row r="112" ht="15.75" customHeight="1">
      <c r="A112" s="26"/>
      <c r="B112" s="26"/>
      <c r="C112" s="26"/>
      <c r="D112" s="26"/>
      <c r="E112" s="26"/>
      <c r="J112" s="28"/>
    </row>
    <row r="113" ht="15.75" customHeight="1">
      <c r="A113" s="26"/>
      <c r="B113" s="26"/>
      <c r="C113" s="26"/>
      <c r="D113" s="26"/>
      <c r="E113" s="26"/>
      <c r="J113" s="28"/>
    </row>
    <row r="114" ht="15.75" customHeight="1">
      <c r="A114" s="26"/>
      <c r="B114" s="26"/>
      <c r="C114" s="26"/>
      <c r="D114" s="26"/>
      <c r="E114" s="26"/>
      <c r="J114" s="28"/>
    </row>
    <row r="115" ht="15.75" customHeight="1">
      <c r="A115" s="26"/>
      <c r="B115" s="26"/>
      <c r="C115" s="26"/>
      <c r="D115" s="26"/>
      <c r="E115" s="26"/>
      <c r="J115" s="28"/>
    </row>
    <row r="116" ht="15.75" customHeight="1">
      <c r="A116" s="26"/>
      <c r="B116" s="26"/>
      <c r="C116" s="26"/>
      <c r="D116" s="26"/>
      <c r="E116" s="26"/>
      <c r="J116" s="28"/>
    </row>
    <row r="117" ht="15.75" customHeight="1">
      <c r="A117" s="26"/>
      <c r="B117" s="26"/>
      <c r="C117" s="26"/>
      <c r="D117" s="26"/>
      <c r="E117" s="26"/>
      <c r="J117" s="28"/>
    </row>
    <row r="118" ht="15.75" customHeight="1">
      <c r="A118" s="26"/>
      <c r="B118" s="26"/>
      <c r="C118" s="26"/>
      <c r="D118" s="26"/>
      <c r="E118" s="26"/>
      <c r="J118" s="28"/>
    </row>
    <row r="119" ht="15.75" customHeight="1">
      <c r="A119" s="26"/>
      <c r="B119" s="26"/>
      <c r="C119" s="26"/>
      <c r="D119" s="26"/>
      <c r="E119" s="26"/>
      <c r="J119" s="28"/>
    </row>
    <row r="120" ht="15.75" customHeight="1">
      <c r="A120" s="26"/>
      <c r="B120" s="26"/>
      <c r="C120" s="26"/>
      <c r="D120" s="26"/>
      <c r="E120" s="26"/>
      <c r="J120" s="28"/>
    </row>
    <row r="121" ht="15.75" customHeight="1">
      <c r="A121" s="26"/>
      <c r="B121" s="26"/>
      <c r="C121" s="26"/>
      <c r="D121" s="26"/>
      <c r="E121" s="26"/>
      <c r="J121" s="28"/>
    </row>
    <row r="122" ht="15.75" customHeight="1">
      <c r="A122" s="26"/>
      <c r="B122" s="26"/>
      <c r="C122" s="26"/>
      <c r="D122" s="26"/>
      <c r="E122" s="26"/>
      <c r="J122" s="28"/>
    </row>
    <row r="123" ht="15.75" customHeight="1">
      <c r="A123" s="26"/>
      <c r="B123" s="26"/>
      <c r="C123" s="26"/>
      <c r="D123" s="26"/>
      <c r="E123" s="26"/>
      <c r="J123" s="28"/>
    </row>
    <row r="124" ht="15.75" customHeight="1">
      <c r="A124" s="26"/>
      <c r="B124" s="26"/>
      <c r="C124" s="26"/>
      <c r="D124" s="26"/>
      <c r="E124" s="26"/>
      <c r="J124" s="28"/>
    </row>
    <row r="125" ht="15.75" customHeight="1">
      <c r="A125" s="26"/>
      <c r="B125" s="26"/>
      <c r="C125" s="26"/>
      <c r="D125" s="26"/>
      <c r="E125" s="26"/>
      <c r="J125" s="28"/>
    </row>
    <row r="126" ht="15.75" customHeight="1">
      <c r="A126" s="26"/>
      <c r="B126" s="26"/>
      <c r="C126" s="26"/>
      <c r="D126" s="26"/>
      <c r="E126" s="26"/>
      <c r="J126" s="28"/>
    </row>
    <row r="127" ht="15.75" customHeight="1">
      <c r="A127" s="26"/>
      <c r="B127" s="26"/>
      <c r="C127" s="26"/>
      <c r="D127" s="26"/>
      <c r="E127" s="26"/>
      <c r="J127" s="28"/>
    </row>
    <row r="128" ht="15.75" customHeight="1">
      <c r="A128" s="26"/>
      <c r="B128" s="26"/>
      <c r="C128" s="26"/>
      <c r="D128" s="26"/>
      <c r="E128" s="26"/>
      <c r="J128" s="28"/>
    </row>
    <row r="129" ht="15.75" customHeight="1">
      <c r="A129" s="26"/>
      <c r="B129" s="26"/>
      <c r="C129" s="26"/>
      <c r="D129" s="26"/>
      <c r="E129" s="26"/>
      <c r="J129" s="28"/>
    </row>
    <row r="130" ht="15.75" customHeight="1">
      <c r="A130" s="26"/>
      <c r="B130" s="26"/>
      <c r="C130" s="26"/>
      <c r="D130" s="26"/>
      <c r="E130" s="26"/>
      <c r="J130" s="28"/>
    </row>
    <row r="131" ht="15.75" customHeight="1">
      <c r="A131" s="26"/>
      <c r="B131" s="26"/>
      <c r="C131" s="26"/>
      <c r="D131" s="26"/>
      <c r="E131" s="26"/>
      <c r="J131" s="28"/>
    </row>
    <row r="132" ht="15.75" customHeight="1">
      <c r="A132" s="26"/>
      <c r="B132" s="26"/>
      <c r="C132" s="26"/>
      <c r="D132" s="26"/>
      <c r="E132" s="26"/>
      <c r="J132" s="28"/>
    </row>
    <row r="133" ht="15.75" customHeight="1">
      <c r="A133" s="26"/>
      <c r="B133" s="26"/>
      <c r="C133" s="26"/>
      <c r="D133" s="26"/>
      <c r="E133" s="26"/>
      <c r="J133" s="28"/>
    </row>
    <row r="134" ht="15.75" customHeight="1">
      <c r="A134" s="26"/>
      <c r="B134" s="26"/>
      <c r="C134" s="26"/>
      <c r="D134" s="26"/>
      <c r="E134" s="26"/>
      <c r="J134" s="28"/>
    </row>
    <row r="135" ht="15.75" customHeight="1">
      <c r="A135" s="26"/>
      <c r="B135" s="26"/>
      <c r="C135" s="26"/>
      <c r="D135" s="26"/>
      <c r="E135" s="26"/>
      <c r="J135" s="28"/>
    </row>
    <row r="136" ht="15.75" customHeight="1">
      <c r="A136" s="26"/>
      <c r="B136" s="26"/>
      <c r="C136" s="26"/>
      <c r="D136" s="26"/>
      <c r="E136" s="26"/>
      <c r="J136" s="28"/>
    </row>
    <row r="137" ht="15.75" customHeight="1">
      <c r="A137" s="26"/>
      <c r="B137" s="26"/>
      <c r="C137" s="26"/>
      <c r="D137" s="26"/>
      <c r="E137" s="26"/>
      <c r="J137" s="28"/>
    </row>
    <row r="138" ht="15.75" customHeight="1">
      <c r="A138" s="26"/>
      <c r="B138" s="26"/>
      <c r="C138" s="26"/>
      <c r="D138" s="26"/>
      <c r="E138" s="26"/>
      <c r="J138" s="28"/>
    </row>
    <row r="139" ht="15.75" customHeight="1">
      <c r="A139" s="26"/>
      <c r="B139" s="26"/>
      <c r="C139" s="26"/>
      <c r="D139" s="26"/>
      <c r="E139" s="26"/>
      <c r="J139" s="28"/>
    </row>
    <row r="140" ht="15.75" customHeight="1">
      <c r="A140" s="26"/>
      <c r="B140" s="26"/>
      <c r="C140" s="26"/>
      <c r="D140" s="26"/>
      <c r="E140" s="26"/>
      <c r="J140" s="28"/>
    </row>
    <row r="141" ht="15.75" customHeight="1">
      <c r="A141" s="26"/>
      <c r="B141" s="26"/>
      <c r="C141" s="26"/>
      <c r="D141" s="26"/>
      <c r="E141" s="26"/>
      <c r="J141" s="28"/>
    </row>
    <row r="142" ht="15.75" customHeight="1">
      <c r="A142" s="26"/>
      <c r="B142" s="26"/>
      <c r="C142" s="26"/>
      <c r="D142" s="26"/>
      <c r="E142" s="26"/>
      <c r="J142" s="28"/>
    </row>
    <row r="143" ht="15.75" customHeight="1">
      <c r="A143" s="26"/>
      <c r="B143" s="26"/>
      <c r="C143" s="26"/>
      <c r="D143" s="26"/>
      <c r="E143" s="26"/>
      <c r="J143" s="28"/>
    </row>
    <row r="144" ht="15.75" customHeight="1">
      <c r="A144" s="26"/>
      <c r="B144" s="26"/>
      <c r="C144" s="26"/>
      <c r="D144" s="26"/>
      <c r="E144" s="26"/>
      <c r="J144" s="28"/>
    </row>
    <row r="145" ht="15.75" customHeight="1">
      <c r="A145" s="26"/>
      <c r="B145" s="26"/>
      <c r="C145" s="26"/>
      <c r="D145" s="26"/>
      <c r="E145" s="26"/>
      <c r="J145" s="28"/>
    </row>
    <row r="146" ht="15.75" customHeight="1">
      <c r="A146" s="26"/>
      <c r="B146" s="26"/>
      <c r="C146" s="26"/>
      <c r="D146" s="26"/>
      <c r="E146" s="26"/>
      <c r="J146" s="28"/>
    </row>
    <row r="147" ht="15.75" customHeight="1">
      <c r="A147" s="26"/>
      <c r="B147" s="26"/>
      <c r="C147" s="26"/>
      <c r="D147" s="26"/>
      <c r="E147" s="26"/>
      <c r="J147" s="28"/>
    </row>
    <row r="148" ht="15.75" customHeight="1">
      <c r="A148" s="26"/>
      <c r="B148" s="26"/>
      <c r="C148" s="26"/>
      <c r="D148" s="26"/>
      <c r="E148" s="26"/>
      <c r="J148" s="28"/>
    </row>
    <row r="149" ht="15.75" customHeight="1">
      <c r="A149" s="26"/>
      <c r="B149" s="26"/>
      <c r="C149" s="26"/>
      <c r="D149" s="26"/>
      <c r="E149" s="26"/>
      <c r="J149" s="28"/>
    </row>
    <row r="150" ht="15.75" customHeight="1">
      <c r="A150" s="26"/>
      <c r="B150" s="26"/>
      <c r="C150" s="26"/>
      <c r="D150" s="26"/>
      <c r="E150" s="26"/>
      <c r="J150" s="28"/>
    </row>
    <row r="151" ht="15.75" customHeight="1">
      <c r="A151" s="26"/>
      <c r="B151" s="26"/>
      <c r="C151" s="26"/>
      <c r="D151" s="26"/>
      <c r="E151" s="26"/>
      <c r="J151" s="28"/>
    </row>
    <row r="152" ht="15.75" customHeight="1">
      <c r="A152" s="26"/>
      <c r="B152" s="26"/>
      <c r="C152" s="26"/>
      <c r="D152" s="26"/>
      <c r="E152" s="26"/>
      <c r="J152" s="28"/>
    </row>
    <row r="153" ht="15.75" customHeight="1">
      <c r="A153" s="26"/>
      <c r="B153" s="26"/>
      <c r="C153" s="26"/>
      <c r="D153" s="26"/>
      <c r="E153" s="26"/>
      <c r="J153" s="28"/>
    </row>
    <row r="154" ht="15.75" customHeight="1">
      <c r="A154" s="26"/>
      <c r="B154" s="26"/>
      <c r="C154" s="26"/>
      <c r="D154" s="26"/>
      <c r="E154" s="26"/>
      <c r="J154" s="28"/>
    </row>
    <row r="155" ht="15.75" customHeight="1">
      <c r="A155" s="26"/>
      <c r="B155" s="26"/>
      <c r="C155" s="26"/>
      <c r="D155" s="26"/>
      <c r="E155" s="26"/>
      <c r="J155" s="28"/>
    </row>
    <row r="156" ht="15.75" customHeight="1">
      <c r="A156" s="26"/>
      <c r="B156" s="26"/>
      <c r="C156" s="26"/>
      <c r="D156" s="26"/>
      <c r="E156" s="26"/>
      <c r="J156" s="28"/>
    </row>
    <row r="157" ht="15.75" customHeight="1">
      <c r="A157" s="26"/>
      <c r="B157" s="26"/>
      <c r="C157" s="26"/>
      <c r="D157" s="26"/>
      <c r="E157" s="26"/>
      <c r="J157" s="28"/>
    </row>
    <row r="158" ht="15.75" customHeight="1">
      <c r="A158" s="26"/>
      <c r="B158" s="26"/>
      <c r="C158" s="26"/>
      <c r="D158" s="26"/>
      <c r="E158" s="26"/>
      <c r="J158" s="28"/>
    </row>
    <row r="159" ht="15.75" customHeight="1">
      <c r="A159" s="26"/>
      <c r="B159" s="26"/>
      <c r="C159" s="26"/>
      <c r="D159" s="26"/>
      <c r="E159" s="26"/>
      <c r="J159" s="28"/>
    </row>
    <row r="160" ht="15.75" customHeight="1">
      <c r="A160" s="26"/>
      <c r="B160" s="26"/>
      <c r="C160" s="26"/>
      <c r="D160" s="26"/>
      <c r="E160" s="26"/>
      <c r="J160" s="28"/>
    </row>
    <row r="161" ht="15.75" customHeight="1">
      <c r="A161" s="26"/>
      <c r="B161" s="26"/>
      <c r="C161" s="26"/>
      <c r="D161" s="26"/>
      <c r="E161" s="26"/>
      <c r="J161" s="28"/>
    </row>
    <row r="162" ht="15.75" customHeight="1">
      <c r="A162" s="26"/>
      <c r="B162" s="26"/>
      <c r="C162" s="26"/>
      <c r="D162" s="26"/>
      <c r="E162" s="26"/>
      <c r="J162" s="28"/>
    </row>
    <row r="163" ht="15.75" customHeight="1">
      <c r="A163" s="26"/>
      <c r="B163" s="26"/>
      <c r="C163" s="26"/>
      <c r="D163" s="26"/>
      <c r="E163" s="26"/>
      <c r="J163" s="28"/>
    </row>
    <row r="164" ht="15.75" customHeight="1">
      <c r="A164" s="26"/>
      <c r="B164" s="26"/>
      <c r="C164" s="26"/>
      <c r="D164" s="26"/>
      <c r="E164" s="26"/>
      <c r="J164" s="28"/>
    </row>
    <row r="165" ht="15.75" customHeight="1">
      <c r="A165" s="26"/>
      <c r="B165" s="26"/>
      <c r="C165" s="26"/>
      <c r="D165" s="26"/>
      <c r="E165" s="26"/>
      <c r="J165" s="28"/>
    </row>
    <row r="166" ht="15.75" customHeight="1">
      <c r="A166" s="26"/>
      <c r="B166" s="26"/>
      <c r="C166" s="26"/>
      <c r="D166" s="26"/>
      <c r="E166" s="26"/>
      <c r="J166" s="28"/>
    </row>
    <row r="167" ht="15.75" customHeight="1">
      <c r="A167" s="26"/>
      <c r="B167" s="26"/>
      <c r="C167" s="26"/>
      <c r="D167" s="26"/>
      <c r="E167" s="26"/>
      <c r="J167" s="28"/>
    </row>
    <row r="168" ht="15.75" customHeight="1">
      <c r="A168" s="26"/>
      <c r="B168" s="26"/>
      <c r="C168" s="26"/>
      <c r="D168" s="26"/>
      <c r="E168" s="26"/>
      <c r="J168" s="28"/>
    </row>
    <row r="169" ht="15.75" customHeight="1">
      <c r="A169" s="26"/>
      <c r="B169" s="26"/>
      <c r="C169" s="26"/>
      <c r="D169" s="26"/>
      <c r="E169" s="26"/>
      <c r="J169" s="28"/>
    </row>
    <row r="170" ht="15.75" customHeight="1">
      <c r="A170" s="26"/>
      <c r="B170" s="26"/>
      <c r="C170" s="26"/>
      <c r="D170" s="26"/>
      <c r="E170" s="26"/>
      <c r="J170" s="28"/>
    </row>
    <row r="171" ht="15.75" customHeight="1">
      <c r="A171" s="26"/>
      <c r="B171" s="26"/>
      <c r="C171" s="26"/>
      <c r="D171" s="26"/>
      <c r="E171" s="26"/>
      <c r="J171" s="28"/>
    </row>
    <row r="172" ht="15.75" customHeight="1">
      <c r="A172" s="26"/>
      <c r="B172" s="26"/>
      <c r="C172" s="26"/>
      <c r="D172" s="26"/>
      <c r="E172" s="26"/>
      <c r="J172" s="28"/>
    </row>
    <row r="173" ht="15.75" customHeight="1">
      <c r="A173" s="26"/>
      <c r="B173" s="26"/>
      <c r="C173" s="26"/>
      <c r="D173" s="26"/>
      <c r="E173" s="26"/>
      <c r="J173" s="28"/>
    </row>
    <row r="174" ht="15.75" customHeight="1">
      <c r="A174" s="26"/>
      <c r="B174" s="26"/>
      <c r="C174" s="26"/>
      <c r="D174" s="26"/>
      <c r="E174" s="26"/>
      <c r="J174" s="28"/>
    </row>
    <row r="175" ht="15.75" customHeight="1">
      <c r="A175" s="26"/>
      <c r="B175" s="26"/>
      <c r="C175" s="26"/>
      <c r="D175" s="26"/>
      <c r="E175" s="26"/>
      <c r="J175" s="28"/>
    </row>
    <row r="176" ht="15.75" customHeight="1">
      <c r="A176" s="26"/>
      <c r="B176" s="26"/>
      <c r="C176" s="26"/>
      <c r="D176" s="26"/>
      <c r="E176" s="26"/>
      <c r="J176" s="28"/>
    </row>
    <row r="177" ht="15.75" customHeight="1">
      <c r="A177" s="26"/>
      <c r="B177" s="26"/>
      <c r="C177" s="26"/>
      <c r="D177" s="26"/>
      <c r="E177" s="26"/>
      <c r="J177" s="28"/>
    </row>
    <row r="178" ht="15.75" customHeight="1">
      <c r="A178" s="26"/>
      <c r="B178" s="26"/>
      <c r="C178" s="26"/>
      <c r="D178" s="26"/>
      <c r="E178" s="26"/>
      <c r="J178" s="28"/>
    </row>
    <row r="179" ht="15.75" customHeight="1">
      <c r="A179" s="26"/>
      <c r="B179" s="26"/>
      <c r="C179" s="26"/>
      <c r="D179" s="26"/>
      <c r="E179" s="26"/>
      <c r="J179" s="28"/>
    </row>
    <row r="180" ht="15.75" customHeight="1">
      <c r="A180" s="26"/>
      <c r="B180" s="26"/>
      <c r="C180" s="26"/>
      <c r="D180" s="26"/>
      <c r="E180" s="26"/>
      <c r="J180" s="28"/>
    </row>
    <row r="181" ht="15.75" customHeight="1">
      <c r="A181" s="26"/>
      <c r="B181" s="26"/>
      <c r="C181" s="26"/>
      <c r="D181" s="26"/>
      <c r="E181" s="26"/>
      <c r="J181" s="28"/>
    </row>
    <row r="182" ht="15.75" customHeight="1">
      <c r="A182" s="26"/>
      <c r="B182" s="26"/>
      <c r="C182" s="26"/>
      <c r="D182" s="26"/>
      <c r="E182" s="26"/>
      <c r="J182" s="28"/>
    </row>
    <row r="183" ht="15.75" customHeight="1">
      <c r="A183" s="26"/>
      <c r="B183" s="26"/>
      <c r="C183" s="26"/>
      <c r="D183" s="26"/>
      <c r="E183" s="26"/>
      <c r="J183" s="28"/>
    </row>
    <row r="184" ht="15.75" customHeight="1">
      <c r="A184" s="26"/>
      <c r="B184" s="26"/>
      <c r="C184" s="26"/>
      <c r="D184" s="26"/>
      <c r="E184" s="26"/>
      <c r="J184" s="28"/>
    </row>
    <row r="185" ht="15.75" customHeight="1">
      <c r="A185" s="26"/>
      <c r="B185" s="26"/>
      <c r="C185" s="26"/>
      <c r="D185" s="26"/>
      <c r="E185" s="26"/>
      <c r="J185" s="28"/>
    </row>
    <row r="186" ht="15.75" customHeight="1">
      <c r="A186" s="26"/>
      <c r="B186" s="26"/>
      <c r="C186" s="26"/>
      <c r="D186" s="26"/>
      <c r="E186" s="26"/>
      <c r="J186" s="28"/>
    </row>
    <row r="187" ht="15.75" customHeight="1">
      <c r="A187" s="26"/>
      <c r="B187" s="26"/>
      <c r="C187" s="26"/>
      <c r="D187" s="26"/>
      <c r="E187" s="26"/>
      <c r="J187" s="28"/>
    </row>
    <row r="188" ht="15.75" customHeight="1">
      <c r="A188" s="26"/>
      <c r="B188" s="26"/>
      <c r="C188" s="26"/>
      <c r="D188" s="26"/>
      <c r="E188" s="26"/>
      <c r="J188" s="28"/>
    </row>
    <row r="189" ht="15.75" customHeight="1">
      <c r="A189" s="26"/>
      <c r="B189" s="26"/>
      <c r="C189" s="26"/>
      <c r="D189" s="26"/>
      <c r="E189" s="26"/>
      <c r="J189" s="28"/>
    </row>
    <row r="190" ht="15.75" customHeight="1">
      <c r="A190" s="26"/>
      <c r="B190" s="26"/>
      <c r="C190" s="26"/>
      <c r="D190" s="26"/>
      <c r="E190" s="26"/>
      <c r="J190" s="28"/>
    </row>
    <row r="191" ht="15.75" customHeight="1">
      <c r="A191" s="26"/>
      <c r="B191" s="26"/>
      <c r="C191" s="26"/>
      <c r="D191" s="26"/>
      <c r="E191" s="26"/>
      <c r="J191" s="28"/>
    </row>
    <row r="192" ht="15.75" customHeight="1">
      <c r="A192" s="26"/>
      <c r="B192" s="26"/>
      <c r="C192" s="26"/>
      <c r="D192" s="26"/>
      <c r="E192" s="26"/>
      <c r="J192" s="28"/>
    </row>
    <row r="193" ht="15.75" customHeight="1">
      <c r="A193" s="26"/>
      <c r="B193" s="26"/>
      <c r="C193" s="26"/>
      <c r="D193" s="26"/>
      <c r="E193" s="26"/>
      <c r="J193" s="28"/>
    </row>
    <row r="194" ht="15.75" customHeight="1">
      <c r="A194" s="26"/>
      <c r="B194" s="26"/>
      <c r="C194" s="26"/>
      <c r="D194" s="26"/>
      <c r="E194" s="26"/>
      <c r="J194" s="28"/>
    </row>
    <row r="195" ht="15.75" customHeight="1">
      <c r="A195" s="26"/>
      <c r="B195" s="26"/>
      <c r="C195" s="26"/>
      <c r="D195" s="26"/>
      <c r="E195" s="26"/>
      <c r="J195" s="28"/>
    </row>
    <row r="196" ht="15.75" customHeight="1">
      <c r="A196" s="26"/>
      <c r="B196" s="26"/>
      <c r="C196" s="26"/>
      <c r="D196" s="26"/>
      <c r="E196" s="26"/>
      <c r="J196" s="28"/>
    </row>
    <row r="197" ht="15.75" customHeight="1">
      <c r="J197" s="28"/>
    </row>
    <row r="198" ht="15.75" customHeight="1">
      <c r="J198" s="28"/>
    </row>
    <row r="199" ht="15.75" customHeight="1">
      <c r="J199" s="28"/>
    </row>
    <row r="200" ht="15.75" customHeight="1">
      <c r="J200" s="60"/>
    </row>
    <row r="201" ht="15.75" customHeight="1">
      <c r="J201" s="60"/>
    </row>
    <row r="202" ht="15.75" customHeight="1">
      <c r="J202" s="60"/>
    </row>
    <row r="203" ht="15.75" customHeight="1">
      <c r="J203" s="60"/>
    </row>
    <row r="204" ht="15.75" customHeight="1">
      <c r="J204" s="60"/>
    </row>
    <row r="205" ht="15.75" customHeight="1">
      <c r="J205" s="60"/>
    </row>
    <row r="206" ht="15.75" customHeight="1">
      <c r="J206" s="60"/>
    </row>
    <row r="207" ht="15.75" customHeight="1">
      <c r="J207" s="60"/>
    </row>
    <row r="208" ht="15.75" customHeight="1">
      <c r="J208" s="60"/>
    </row>
    <row r="209" ht="15.75" customHeight="1">
      <c r="J209" s="60"/>
    </row>
    <row r="210" ht="15.75" customHeight="1">
      <c r="J210" s="60"/>
    </row>
    <row r="211" ht="15.75" customHeight="1">
      <c r="J211" s="60"/>
    </row>
    <row r="212" ht="15.75" customHeight="1">
      <c r="J212" s="60"/>
    </row>
    <row r="213" ht="15.75" customHeight="1">
      <c r="J213" s="60"/>
    </row>
    <row r="214" ht="15.75" customHeight="1">
      <c r="J214" s="60"/>
    </row>
    <row r="215" ht="15.75" customHeight="1">
      <c r="J215" s="60"/>
    </row>
    <row r="216" ht="15.75" customHeight="1">
      <c r="J216" s="60"/>
    </row>
    <row r="217" ht="15.75" customHeight="1">
      <c r="J217" s="60"/>
    </row>
    <row r="218" ht="15.75" customHeight="1">
      <c r="J218" s="60"/>
    </row>
    <row r="219" ht="15.75" customHeight="1">
      <c r="J219" s="60"/>
    </row>
    <row r="220" ht="15.75" customHeight="1">
      <c r="J220" s="60"/>
    </row>
    <row r="221" ht="15.75" customHeight="1">
      <c r="J221" s="60"/>
    </row>
    <row r="222" ht="15.75" customHeight="1">
      <c r="J222" s="60"/>
    </row>
    <row r="223" ht="15.75" customHeight="1">
      <c r="J223" s="60"/>
    </row>
    <row r="224" ht="15.75" customHeight="1">
      <c r="J224" s="60"/>
    </row>
    <row r="225" ht="15.75" customHeight="1">
      <c r="J225" s="60"/>
    </row>
    <row r="226" ht="15.75" customHeight="1">
      <c r="J226" s="60"/>
    </row>
    <row r="227" ht="15.75" customHeight="1">
      <c r="J227" s="60"/>
    </row>
    <row r="228" ht="15.75" customHeight="1">
      <c r="J228" s="60"/>
    </row>
    <row r="229" ht="15.75" customHeight="1">
      <c r="J229" s="60"/>
    </row>
  </sheetData>
  <mergeCells count="12">
    <mergeCell ref="D5:D24"/>
    <mergeCell ref="D25:D44"/>
    <mergeCell ref="E25:E44"/>
    <mergeCell ref="J25:J44"/>
    <mergeCell ref="D45:I45"/>
    <mergeCell ref="A1:B1"/>
    <mergeCell ref="A2:B2"/>
    <mergeCell ref="D2:J2"/>
    <mergeCell ref="L2:M3"/>
    <mergeCell ref="D3:E3"/>
    <mergeCell ref="E5:E24"/>
    <mergeCell ref="J5:J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5" t="s">
        <v>37</v>
      </c>
      <c r="B1" s="5"/>
      <c r="C1" s="26"/>
      <c r="D1" s="26"/>
      <c r="E1" s="26"/>
      <c r="F1" s="27"/>
      <c r="G1" s="27"/>
      <c r="H1" s="27"/>
      <c r="I1" s="27"/>
      <c r="J1" s="28"/>
      <c r="K1" s="27"/>
      <c r="L1" s="27"/>
      <c r="M1" s="27"/>
      <c r="N1" s="27"/>
    </row>
    <row r="2" ht="15.75" customHeight="1">
      <c r="A2" s="29" t="s">
        <v>38</v>
      </c>
      <c r="B2" s="5"/>
      <c r="C2" s="30"/>
      <c r="D2" s="30" t="s">
        <v>39</v>
      </c>
      <c r="K2" s="27"/>
      <c r="L2" s="31" t="s">
        <v>40</v>
      </c>
      <c r="M2" s="32"/>
      <c r="N2" s="27"/>
    </row>
    <row r="3" ht="36.75" customHeight="1">
      <c r="A3" s="33" t="s">
        <v>41</v>
      </c>
      <c r="B3" s="34" t="s">
        <v>42</v>
      </c>
      <c r="C3" s="26"/>
      <c r="D3" s="35" t="s">
        <v>43</v>
      </c>
      <c r="F3" s="27"/>
      <c r="G3" s="27"/>
      <c r="H3" s="27"/>
      <c r="I3" s="27"/>
      <c r="J3" s="36"/>
      <c r="K3" s="27"/>
      <c r="L3" s="37"/>
      <c r="M3" s="12"/>
      <c r="N3" s="27"/>
    </row>
    <row r="4" ht="15.75" customHeight="1">
      <c r="A4" s="38" t="s">
        <v>19</v>
      </c>
      <c r="B4" s="39">
        <v>3100.0</v>
      </c>
      <c r="C4" s="40"/>
      <c r="D4" s="41" t="s">
        <v>1</v>
      </c>
      <c r="E4" s="41" t="s">
        <v>44</v>
      </c>
      <c r="F4" s="42" t="s">
        <v>45</v>
      </c>
      <c r="G4" s="43" t="s">
        <v>46</v>
      </c>
      <c r="H4" s="43" t="s">
        <v>47</v>
      </c>
      <c r="I4" s="43" t="s">
        <v>48</v>
      </c>
      <c r="J4" s="44" t="s">
        <v>49</v>
      </c>
      <c r="K4" s="27"/>
      <c r="L4" s="45" t="s">
        <v>50</v>
      </c>
      <c r="M4" s="45" t="s">
        <v>46</v>
      </c>
      <c r="N4" s="27"/>
    </row>
    <row r="5" ht="15.75" customHeight="1">
      <c r="A5" s="38" t="s">
        <v>51</v>
      </c>
      <c r="B5" s="39">
        <v>3000.0</v>
      </c>
      <c r="C5" s="46"/>
      <c r="D5" s="47">
        <v>1.0</v>
      </c>
      <c r="E5" s="48" t="s">
        <v>60</v>
      </c>
      <c r="F5" s="38" t="s">
        <v>19</v>
      </c>
      <c r="G5" s="49"/>
      <c r="H5" s="50">
        <f>VLOOKUP(F5,$A$4:$B$4,2,TRUE)</f>
        <v>3100</v>
      </c>
      <c r="I5" s="51">
        <f t="shared" ref="I5:I64" si="1">G5*H5</f>
        <v>0</v>
      </c>
      <c r="J5" s="52">
        <f>SUM(I5:I24)</f>
        <v>14750</v>
      </c>
      <c r="K5" s="27"/>
      <c r="L5" s="38" t="s">
        <v>19</v>
      </c>
      <c r="M5" s="45">
        <f>SUMIF(F5:F64,"Gelas bersih",G5:G64)</f>
        <v>1.5</v>
      </c>
      <c r="N5" s="27"/>
    </row>
    <row r="6" ht="15.75" customHeight="1">
      <c r="A6" s="38" t="s">
        <v>53</v>
      </c>
      <c r="B6" s="39">
        <v>800.0</v>
      </c>
      <c r="C6" s="46"/>
      <c r="D6" s="53"/>
      <c r="E6" s="53"/>
      <c r="F6" s="38" t="s">
        <v>51</v>
      </c>
      <c r="G6" s="49">
        <v>2.0</v>
      </c>
      <c r="H6" s="54">
        <f>VLOOKUP(F6,$A$5:$B$5,2,TRUE)</f>
        <v>3000</v>
      </c>
      <c r="I6" s="51">
        <f t="shared" si="1"/>
        <v>6000</v>
      </c>
      <c r="J6" s="53"/>
      <c r="K6" s="27"/>
      <c r="L6" s="38" t="s">
        <v>51</v>
      </c>
      <c r="M6" s="45">
        <f>SUMIF(F6:F65,"Botol bersih",G6:G65)</f>
        <v>3</v>
      </c>
      <c r="N6" s="27"/>
    </row>
    <row r="7" ht="15.75" customHeight="1">
      <c r="A7" s="38" t="s">
        <v>22</v>
      </c>
      <c r="B7" s="39">
        <v>2000.0</v>
      </c>
      <c r="C7" s="46"/>
      <c r="D7" s="53"/>
      <c r="E7" s="53"/>
      <c r="F7" s="38" t="s">
        <v>53</v>
      </c>
      <c r="G7" s="49"/>
      <c r="H7" s="54">
        <f>VLOOKUP(F7,$A$6:$B$6,2,TRUE)</f>
        <v>800</v>
      </c>
      <c r="I7" s="51">
        <f t="shared" si="1"/>
        <v>0</v>
      </c>
      <c r="J7" s="53"/>
      <c r="K7" s="27"/>
      <c r="L7" s="38" t="s">
        <v>53</v>
      </c>
      <c r="M7" s="45">
        <f>SUMIF(F7:F65,"Botol Warna",G7:G65)</f>
        <v>0</v>
      </c>
      <c r="N7" s="27"/>
    </row>
    <row r="8" ht="15.75" customHeight="1">
      <c r="A8" s="38" t="s">
        <v>23</v>
      </c>
      <c r="B8" s="39">
        <v>2800.0</v>
      </c>
      <c r="C8" s="46"/>
      <c r="D8" s="53"/>
      <c r="E8" s="53"/>
      <c r="F8" s="38" t="s">
        <v>22</v>
      </c>
      <c r="G8" s="49"/>
      <c r="H8" s="54">
        <f>VLOOKUP(F8,$A$7:$B$7,2,TRUE)</f>
        <v>2000</v>
      </c>
      <c r="I8" s="51">
        <f t="shared" si="1"/>
        <v>0</v>
      </c>
      <c r="J8" s="53"/>
      <c r="K8" s="27"/>
      <c r="L8" s="38" t="s">
        <v>22</v>
      </c>
      <c r="M8" s="45">
        <f>SUMIF(F8:F66,"Tutup botol",G8:G66)</f>
        <v>0</v>
      </c>
      <c r="N8" s="27"/>
    </row>
    <row r="9" ht="15.75" customHeight="1">
      <c r="A9" s="38" t="s">
        <v>54</v>
      </c>
      <c r="B9" s="39">
        <v>800.0</v>
      </c>
      <c r="C9" s="46"/>
      <c r="D9" s="53"/>
      <c r="E9" s="53"/>
      <c r="F9" s="38" t="s">
        <v>23</v>
      </c>
      <c r="G9" s="49"/>
      <c r="H9" s="54">
        <f>VLOOKUP(F9, $A$8:$B$8, 2, FALSE)</f>
        <v>2800</v>
      </c>
      <c r="I9" s="51">
        <f t="shared" si="1"/>
        <v>0</v>
      </c>
      <c r="J9" s="53"/>
      <c r="K9" s="27"/>
      <c r="L9" s="38" t="s">
        <v>23</v>
      </c>
      <c r="M9" s="45">
        <f>SUMIF(F9:F67,"Tutup galon",G9:G67)</f>
        <v>0</v>
      </c>
      <c r="N9" s="27"/>
    </row>
    <row r="10" ht="15.75" customHeight="1">
      <c r="A10" s="38" t="s">
        <v>25</v>
      </c>
      <c r="B10" s="39">
        <v>1500.0</v>
      </c>
      <c r="C10" s="46"/>
      <c r="D10" s="53"/>
      <c r="E10" s="53"/>
      <c r="F10" s="38" t="s">
        <v>54</v>
      </c>
      <c r="G10" s="49"/>
      <c r="H10" s="54">
        <f>VLOOKUP(F10, $A$9:$B$9, 2, FALSE)</f>
        <v>800</v>
      </c>
      <c r="I10" s="51">
        <f t="shared" si="1"/>
        <v>0</v>
      </c>
      <c r="J10" s="53"/>
      <c r="K10" s="27"/>
      <c r="L10" s="38" t="s">
        <v>54</v>
      </c>
      <c r="M10" s="45">
        <f>SUMIF(F10:F69,"Emberan/Atum",G10:G69)</f>
        <v>1.5</v>
      </c>
      <c r="N10" s="27"/>
    </row>
    <row r="11" ht="15.75" customHeight="1">
      <c r="A11" s="38" t="s">
        <v>26</v>
      </c>
      <c r="B11" s="39">
        <v>1200.0</v>
      </c>
      <c r="C11" s="46"/>
      <c r="D11" s="53"/>
      <c r="E11" s="53"/>
      <c r="F11" s="38" t="s">
        <v>25</v>
      </c>
      <c r="G11" s="49"/>
      <c r="H11" s="54">
        <f>VLOOKUP(F11,$A$10:$B$10,2,TRUE)</f>
        <v>1500</v>
      </c>
      <c r="I11" s="51">
        <f t="shared" si="1"/>
        <v>0</v>
      </c>
      <c r="J11" s="53"/>
      <c r="K11" s="27"/>
      <c r="L11" s="38" t="s">
        <v>25</v>
      </c>
      <c r="M11" s="45">
        <f>SUMIF(F11:F70,"Kardus",G11:G70)</f>
        <v>0</v>
      </c>
      <c r="N11" s="27"/>
    </row>
    <row r="12" ht="15.75" customHeight="1">
      <c r="A12" s="38" t="s">
        <v>28</v>
      </c>
      <c r="B12" s="39">
        <v>500.0</v>
      </c>
      <c r="C12" s="46"/>
      <c r="D12" s="53"/>
      <c r="E12" s="53"/>
      <c r="F12" s="38" t="s">
        <v>26</v>
      </c>
      <c r="G12" s="49"/>
      <c r="H12" s="54">
        <f>VLOOKUP(F12,$A$11:$B$11,2,TRUE)</f>
        <v>1200</v>
      </c>
      <c r="I12" s="51">
        <f t="shared" si="1"/>
        <v>0</v>
      </c>
      <c r="J12" s="53"/>
      <c r="K12" s="27"/>
      <c r="L12" s="38" t="s">
        <v>26</v>
      </c>
      <c r="M12" s="45">
        <f>SUMIF(F12:F72,"Kertas Putihan/HVS",G12:G72)</f>
        <v>0</v>
      </c>
      <c r="N12" s="27"/>
    </row>
    <row r="13" ht="15.75" customHeight="1">
      <c r="A13" s="38" t="s">
        <v>29</v>
      </c>
      <c r="B13" s="39">
        <v>6500.0</v>
      </c>
      <c r="C13" s="46"/>
      <c r="D13" s="53"/>
      <c r="E13" s="53"/>
      <c r="F13" s="38" t="s">
        <v>28</v>
      </c>
      <c r="G13" s="49">
        <v>1.0</v>
      </c>
      <c r="H13" s="54">
        <f>VLOOKUP(F13,$A$12:$B$12,2,TRUE)</f>
        <v>500</v>
      </c>
      <c r="I13" s="51">
        <f t="shared" si="1"/>
        <v>500</v>
      </c>
      <c r="J13" s="53"/>
      <c r="K13" s="27"/>
      <c r="L13" s="38" t="s">
        <v>28</v>
      </c>
      <c r="M13" s="45">
        <f>SUMIF(F13:F73,"Duplex",G13:G73)</f>
        <v>1</v>
      </c>
      <c r="N13" s="27"/>
    </row>
    <row r="14" ht="15.75" customHeight="1">
      <c r="A14" s="38" t="s">
        <v>30</v>
      </c>
      <c r="B14" s="39">
        <v>2200.0</v>
      </c>
      <c r="C14" s="46"/>
      <c r="D14" s="53"/>
      <c r="E14" s="53"/>
      <c r="F14" s="38" t="s">
        <v>29</v>
      </c>
      <c r="G14" s="49"/>
      <c r="H14" s="54">
        <f>VLOOKUP(F14,$A$13:$B$13,2,TRUE)</f>
        <v>6500</v>
      </c>
      <c r="I14" s="51">
        <f t="shared" si="1"/>
        <v>0</v>
      </c>
      <c r="J14" s="53"/>
      <c r="K14" s="27"/>
      <c r="L14" s="38" t="s">
        <v>29</v>
      </c>
      <c r="M14" s="45">
        <f>SUMIF(F14:F74,"Alumunium",G14:G74)</f>
        <v>0</v>
      </c>
      <c r="N14" s="27"/>
    </row>
    <row r="15" ht="15.75" customHeight="1">
      <c r="A15" s="38" t="s">
        <v>31</v>
      </c>
      <c r="B15" s="39">
        <v>1300.0</v>
      </c>
      <c r="C15" s="46"/>
      <c r="D15" s="53"/>
      <c r="E15" s="53"/>
      <c r="F15" s="38" t="s">
        <v>30</v>
      </c>
      <c r="G15" s="49"/>
      <c r="H15" s="54">
        <f>VLOOKUP(F15,$A$14:$B$14,2,TRUE)</f>
        <v>2200</v>
      </c>
      <c r="I15" s="51">
        <f t="shared" si="1"/>
        <v>0</v>
      </c>
      <c r="J15" s="53"/>
      <c r="K15" s="27"/>
      <c r="L15" s="38" t="s">
        <v>30</v>
      </c>
      <c r="M15" s="45">
        <f>SUMIF(F15:F75,"Besi",G15:G75)</f>
        <v>0</v>
      </c>
      <c r="N15" s="27"/>
    </row>
    <row r="16" ht="15.75" customHeight="1">
      <c r="A16" s="38" t="s">
        <v>32</v>
      </c>
      <c r="B16" s="39">
        <v>5000.0</v>
      </c>
      <c r="C16" s="46"/>
      <c r="D16" s="53"/>
      <c r="E16" s="53"/>
      <c r="F16" s="38" t="s">
        <v>31</v>
      </c>
      <c r="G16" s="49"/>
      <c r="H16" s="54">
        <f>VLOOKUP(F16,$A$15:$B$15,2,TRUE)</f>
        <v>1300</v>
      </c>
      <c r="I16" s="51">
        <f t="shared" si="1"/>
        <v>0</v>
      </c>
      <c r="J16" s="53"/>
      <c r="K16" s="27"/>
      <c r="L16" s="38" t="s">
        <v>31</v>
      </c>
      <c r="M16" s="45">
        <f>SUMIF(F16:F76,"Kaleng kue/susu",G16:G76)</f>
        <v>0</v>
      </c>
      <c r="N16" s="27"/>
    </row>
    <row r="17" ht="15.75" customHeight="1">
      <c r="A17" s="38" t="s">
        <v>33</v>
      </c>
      <c r="B17" s="39">
        <v>2500.0</v>
      </c>
      <c r="C17" s="46"/>
      <c r="D17" s="53"/>
      <c r="E17" s="53"/>
      <c r="F17" s="38" t="s">
        <v>32</v>
      </c>
      <c r="G17" s="49"/>
      <c r="H17" s="54">
        <f>VLOOKUP(F17,$A$16:$B$16,2,TRUE)</f>
        <v>5000</v>
      </c>
      <c r="I17" s="51">
        <f t="shared" si="1"/>
        <v>0</v>
      </c>
      <c r="J17" s="53"/>
      <c r="K17" s="27"/>
      <c r="L17" s="38" t="s">
        <v>32</v>
      </c>
      <c r="M17" s="45">
        <f>SUMIF(F17:F77,"Kaleng Minuman",G17:G77)</f>
        <v>0</v>
      </c>
      <c r="N17" s="27"/>
    </row>
    <row r="18" ht="15.75" customHeight="1">
      <c r="A18" s="38" t="s">
        <v>35</v>
      </c>
      <c r="B18" s="39">
        <v>10000.0</v>
      </c>
      <c r="C18" s="46"/>
      <c r="D18" s="53"/>
      <c r="E18" s="53"/>
      <c r="F18" s="38" t="s">
        <v>33</v>
      </c>
      <c r="G18" s="49"/>
      <c r="H18" s="54">
        <f>VLOOKUP(F18, $A$17:$B$17, 2, FALSE)</f>
        <v>2500</v>
      </c>
      <c r="I18" s="51">
        <f t="shared" si="1"/>
        <v>0</v>
      </c>
      <c r="J18" s="53"/>
      <c r="K18" s="27"/>
      <c r="L18" s="38" t="s">
        <v>33</v>
      </c>
      <c r="M18" s="45">
        <f>SUMIF(F18:F79,"Stanless",G18:G79)</f>
        <v>0</v>
      </c>
      <c r="N18" s="27"/>
    </row>
    <row r="19" ht="15.75" customHeight="1">
      <c r="A19" s="38" t="s">
        <v>55</v>
      </c>
      <c r="B19" s="39">
        <v>300.0</v>
      </c>
      <c r="C19" s="46"/>
      <c r="D19" s="53"/>
      <c r="E19" s="53"/>
      <c r="F19" s="38" t="s">
        <v>35</v>
      </c>
      <c r="G19" s="49"/>
      <c r="H19" s="54">
        <f>VLOOKUP(F19, $A$18:$B$18, 2, FALSE)</f>
        <v>10000</v>
      </c>
      <c r="I19" s="51">
        <f t="shared" si="1"/>
        <v>0</v>
      </c>
      <c r="J19" s="53"/>
      <c r="K19" s="27"/>
      <c r="L19" s="38" t="s">
        <v>35</v>
      </c>
      <c r="M19" s="45">
        <f>SUMIF(F19:F81,"Aki Motor",G19:G81)</f>
        <v>0</v>
      </c>
      <c r="N19" s="27"/>
    </row>
    <row r="20" ht="15.75" customHeight="1">
      <c r="A20" s="38" t="s">
        <v>15</v>
      </c>
      <c r="B20" s="39">
        <v>300.0</v>
      </c>
      <c r="C20" s="46"/>
      <c r="D20" s="53"/>
      <c r="E20" s="53"/>
      <c r="F20" s="38" t="s">
        <v>55</v>
      </c>
      <c r="G20" s="49"/>
      <c r="H20" s="54">
        <f>VLOOKUP(F20,$A$19:$B$19,2,TRUE)</f>
        <v>300</v>
      </c>
      <c r="I20" s="51">
        <f t="shared" si="1"/>
        <v>0</v>
      </c>
      <c r="J20" s="53"/>
      <c r="K20" s="27"/>
      <c r="L20" s="38" t="s">
        <v>55</v>
      </c>
      <c r="M20" s="45">
        <f>SUMIF(F20:F84,"Plastik Keresek",G20:G84)</f>
        <v>1</v>
      </c>
      <c r="N20" s="27"/>
    </row>
    <row r="21" ht="15.75" customHeight="1">
      <c r="A21" s="38" t="s">
        <v>11</v>
      </c>
      <c r="B21" s="39">
        <v>1700.0</v>
      </c>
      <c r="C21" s="46"/>
      <c r="D21" s="53"/>
      <c r="E21" s="53"/>
      <c r="F21" s="38" t="s">
        <v>15</v>
      </c>
      <c r="G21" s="49">
        <v>5.0</v>
      </c>
      <c r="H21" s="54">
        <f>VLOOKUP(F21,$A$20:$B$20,2,TRUE)</f>
        <v>300</v>
      </c>
      <c r="I21" s="51">
        <f t="shared" si="1"/>
        <v>1500</v>
      </c>
      <c r="J21" s="53"/>
      <c r="K21" s="27"/>
      <c r="L21" s="38" t="s">
        <v>15</v>
      </c>
      <c r="M21" s="45">
        <f>SUMIF(F21:F86,"Beling",G21:G86)</f>
        <v>5</v>
      </c>
      <c r="N21" s="27"/>
    </row>
    <row r="22" ht="15.75" customHeight="1">
      <c r="A22" s="38" t="s">
        <v>17</v>
      </c>
      <c r="B22" s="55">
        <v>4500.0</v>
      </c>
      <c r="C22" s="46"/>
      <c r="D22" s="53"/>
      <c r="E22" s="53"/>
      <c r="F22" s="38" t="s">
        <v>11</v>
      </c>
      <c r="G22" s="49"/>
      <c r="H22" s="54">
        <f>VLOOKUP(F22,$A$21:$B$21,2,TRUE)</f>
        <v>1700</v>
      </c>
      <c r="I22" s="51">
        <f t="shared" si="1"/>
        <v>0</v>
      </c>
      <c r="J22" s="53"/>
      <c r="K22" s="27"/>
      <c r="L22" s="38" t="s">
        <v>11</v>
      </c>
      <c r="M22" s="45">
        <f>SUMIF(F22:F88,"Paku",G22:G88)</f>
        <v>0</v>
      </c>
      <c r="N22" s="27"/>
    </row>
    <row r="23" ht="15.75" customHeight="1">
      <c r="A23" s="38" t="s">
        <v>56</v>
      </c>
      <c r="B23" s="39">
        <v>500.0</v>
      </c>
      <c r="C23" s="46"/>
      <c r="D23" s="53"/>
      <c r="E23" s="53"/>
      <c r="F23" s="38" t="s">
        <v>17</v>
      </c>
      <c r="G23" s="49">
        <v>1.5</v>
      </c>
      <c r="H23" s="54">
        <f>VLOOKUP(F22,$A$22:$B$22,2,TRUE)</f>
        <v>4500</v>
      </c>
      <c r="I23" s="51">
        <f t="shared" si="1"/>
        <v>6750</v>
      </c>
      <c r="J23" s="53"/>
      <c r="K23" s="27"/>
      <c r="L23" s="38" t="s">
        <v>17</v>
      </c>
      <c r="M23" s="45">
        <f>SUMIF(F23:F89,"Minyak Jelantah",G23:G89)</f>
        <v>4</v>
      </c>
      <c r="N23" s="27"/>
    </row>
    <row r="24" ht="15.75" customHeight="1">
      <c r="A24" s="46"/>
      <c r="B24" s="46"/>
      <c r="C24" s="46"/>
      <c r="D24" s="14"/>
      <c r="E24" s="14"/>
      <c r="F24" s="38" t="s">
        <v>56</v>
      </c>
      <c r="G24" s="49">
        <v>1.5</v>
      </c>
      <c r="H24" s="54"/>
      <c r="I24" s="51">
        <f t="shared" si="1"/>
        <v>0</v>
      </c>
      <c r="J24" s="14"/>
      <c r="K24" s="27"/>
      <c r="L24" s="38" t="s">
        <v>56</v>
      </c>
      <c r="M24" s="45">
        <f>SUMIF(F24:F90,"Lainnya",G24:G90)</f>
        <v>5.5</v>
      </c>
      <c r="N24" s="27"/>
    </row>
    <row r="25" ht="15.75" customHeight="1">
      <c r="A25" s="46"/>
      <c r="B25" s="46"/>
      <c r="C25" s="46"/>
      <c r="D25" s="47">
        <v>2.0</v>
      </c>
      <c r="E25" s="48" t="s">
        <v>61</v>
      </c>
      <c r="F25" s="38" t="s">
        <v>19</v>
      </c>
      <c r="G25" s="49"/>
      <c r="H25" s="50">
        <f>VLOOKUP(F25,$A$4:$B$4,2,TRUE)</f>
        <v>3100</v>
      </c>
      <c r="I25" s="51">
        <f t="shared" si="1"/>
        <v>0</v>
      </c>
      <c r="J25" s="52">
        <f>SUM(I25:I44)</f>
        <v>6750</v>
      </c>
      <c r="K25" s="27"/>
      <c r="L25" s="56" t="s">
        <v>58</v>
      </c>
      <c r="M25" s="57">
        <f>SUM(M5:M24)</f>
        <v>22.5</v>
      </c>
      <c r="N25" s="27"/>
    </row>
    <row r="26" ht="15.75" customHeight="1">
      <c r="A26" s="46"/>
      <c r="B26" s="46"/>
      <c r="C26" s="46"/>
      <c r="D26" s="53"/>
      <c r="E26" s="53"/>
      <c r="F26" s="38" t="s">
        <v>51</v>
      </c>
      <c r="G26" s="49"/>
      <c r="H26" s="54">
        <f>VLOOKUP(F26,$A$5:$B$5,2,TRUE)</f>
        <v>3000</v>
      </c>
      <c r="I26" s="51">
        <f t="shared" si="1"/>
        <v>0</v>
      </c>
      <c r="J26" s="53"/>
      <c r="K26" s="27"/>
      <c r="L26" s="27"/>
      <c r="M26" s="27"/>
      <c r="N26" s="27"/>
    </row>
    <row r="27" ht="15.75" customHeight="1">
      <c r="A27" s="46"/>
      <c r="B27" s="46"/>
      <c r="C27" s="46"/>
      <c r="D27" s="53"/>
      <c r="E27" s="53"/>
      <c r="F27" s="38" t="s">
        <v>53</v>
      </c>
      <c r="G27" s="49"/>
      <c r="H27" s="54">
        <f>VLOOKUP(F27,$A$6:$B$6,2,TRUE)</f>
        <v>800</v>
      </c>
      <c r="I27" s="51">
        <f t="shared" si="1"/>
        <v>0</v>
      </c>
      <c r="J27" s="53"/>
      <c r="K27" s="27"/>
      <c r="L27" s="27"/>
      <c r="M27" s="27"/>
      <c r="N27" s="27"/>
    </row>
    <row r="28" ht="15.75" customHeight="1">
      <c r="A28" s="46"/>
      <c r="B28" s="46"/>
      <c r="C28" s="46"/>
      <c r="D28" s="53"/>
      <c r="E28" s="53"/>
      <c r="F28" s="38" t="s">
        <v>22</v>
      </c>
      <c r="G28" s="49"/>
      <c r="H28" s="54">
        <f>VLOOKUP(F28,$A$7:$B$7,2,TRUE)</f>
        <v>2000</v>
      </c>
      <c r="I28" s="51">
        <f t="shared" si="1"/>
        <v>0</v>
      </c>
      <c r="J28" s="53"/>
      <c r="K28" s="27"/>
      <c r="L28" s="27"/>
      <c r="M28" s="27"/>
      <c r="N28" s="27"/>
    </row>
    <row r="29" ht="15.75" customHeight="1">
      <c r="A29" s="46"/>
      <c r="B29" s="46"/>
      <c r="C29" s="46"/>
      <c r="D29" s="53"/>
      <c r="E29" s="53"/>
      <c r="F29" s="38" t="s">
        <v>23</v>
      </c>
      <c r="G29" s="49"/>
      <c r="H29" s="54">
        <f>VLOOKUP(F29, $A$8:$B$8, 2, FALSE)</f>
        <v>2800</v>
      </c>
      <c r="I29" s="51">
        <f t="shared" si="1"/>
        <v>0</v>
      </c>
      <c r="J29" s="53"/>
      <c r="K29" s="27"/>
      <c r="L29" s="27"/>
      <c r="M29" s="27"/>
      <c r="N29" s="27"/>
    </row>
    <row r="30" ht="15.75" customHeight="1">
      <c r="A30" s="46"/>
      <c r="B30" s="46"/>
      <c r="C30" s="46"/>
      <c r="D30" s="53"/>
      <c r="E30" s="53"/>
      <c r="F30" s="38" t="s">
        <v>54</v>
      </c>
      <c r="G30" s="49"/>
      <c r="H30" s="54">
        <f>VLOOKUP(F30, $A$9:$B$9, 2, FALSE)</f>
        <v>800</v>
      </c>
      <c r="I30" s="51">
        <f t="shared" si="1"/>
        <v>0</v>
      </c>
      <c r="J30" s="53"/>
      <c r="K30" s="27"/>
      <c r="L30" s="27"/>
      <c r="M30" s="27"/>
      <c r="N30" s="27"/>
    </row>
    <row r="31" ht="15.75" customHeight="1">
      <c r="A31" s="46"/>
      <c r="B31" s="46"/>
      <c r="C31" s="46"/>
      <c r="D31" s="53"/>
      <c r="E31" s="53"/>
      <c r="F31" s="38" t="s">
        <v>25</v>
      </c>
      <c r="G31" s="49"/>
      <c r="H31" s="54">
        <f>VLOOKUP(F31,$A$10:$B$10,2,TRUE)</f>
        <v>1500</v>
      </c>
      <c r="I31" s="51">
        <f t="shared" si="1"/>
        <v>0</v>
      </c>
      <c r="J31" s="53"/>
      <c r="K31" s="27"/>
      <c r="L31" s="27"/>
      <c r="M31" s="27"/>
      <c r="N31" s="27"/>
    </row>
    <row r="32" ht="15.75" customHeight="1">
      <c r="A32" s="46"/>
      <c r="B32" s="46"/>
      <c r="C32" s="46"/>
      <c r="D32" s="53"/>
      <c r="E32" s="53"/>
      <c r="F32" s="38" t="s">
        <v>26</v>
      </c>
      <c r="G32" s="49"/>
      <c r="H32" s="54">
        <f>VLOOKUP(F32,$A$11:$B$11,2,TRUE)</f>
        <v>1200</v>
      </c>
      <c r="I32" s="51">
        <f t="shared" si="1"/>
        <v>0</v>
      </c>
      <c r="J32" s="53"/>
      <c r="K32" s="27"/>
      <c r="L32" s="27"/>
      <c r="M32" s="27"/>
      <c r="N32" s="27"/>
    </row>
    <row r="33" ht="15.75" customHeight="1">
      <c r="A33" s="46"/>
      <c r="B33" s="46"/>
      <c r="C33" s="46"/>
      <c r="D33" s="53"/>
      <c r="E33" s="53"/>
      <c r="F33" s="38" t="s">
        <v>28</v>
      </c>
      <c r="G33" s="49"/>
      <c r="H33" s="54">
        <f>VLOOKUP(F33,$A$12:$B$12,2,TRUE)</f>
        <v>500</v>
      </c>
      <c r="I33" s="51">
        <f t="shared" si="1"/>
        <v>0</v>
      </c>
      <c r="J33" s="53"/>
      <c r="K33" s="27"/>
      <c r="L33" s="27"/>
      <c r="M33" s="27"/>
      <c r="N33" s="27"/>
    </row>
    <row r="34" ht="15.75" customHeight="1">
      <c r="A34" s="46"/>
      <c r="B34" s="46"/>
      <c r="C34" s="46"/>
      <c r="D34" s="53"/>
      <c r="E34" s="53"/>
      <c r="F34" s="38" t="s">
        <v>29</v>
      </c>
      <c r="G34" s="49"/>
      <c r="H34" s="54">
        <f>VLOOKUP(F34,$A$13:$B$13,2,TRUE)</f>
        <v>6500</v>
      </c>
      <c r="I34" s="51">
        <f t="shared" si="1"/>
        <v>0</v>
      </c>
      <c r="J34" s="53"/>
      <c r="K34" s="27"/>
      <c r="L34" s="27"/>
      <c r="M34" s="27"/>
      <c r="N34" s="27"/>
    </row>
    <row r="35" ht="15.75" customHeight="1">
      <c r="A35" s="46"/>
      <c r="B35" s="46"/>
      <c r="C35" s="46"/>
      <c r="D35" s="53"/>
      <c r="E35" s="53"/>
      <c r="F35" s="38" t="s">
        <v>30</v>
      </c>
      <c r="G35" s="49"/>
      <c r="H35" s="54">
        <f>VLOOKUP(F35,$A$14:$B$14,2,TRUE)</f>
        <v>2200</v>
      </c>
      <c r="I35" s="51">
        <f t="shared" si="1"/>
        <v>0</v>
      </c>
      <c r="J35" s="53"/>
      <c r="K35" s="27"/>
      <c r="L35" s="27"/>
      <c r="M35" s="27"/>
      <c r="N35" s="27"/>
    </row>
    <row r="36" ht="15.75" customHeight="1">
      <c r="A36" s="46"/>
      <c r="B36" s="46"/>
      <c r="C36" s="46"/>
      <c r="D36" s="53"/>
      <c r="E36" s="53"/>
      <c r="F36" s="38" t="s">
        <v>31</v>
      </c>
      <c r="G36" s="49"/>
      <c r="H36" s="54">
        <f>VLOOKUP(F36,$A$15:$B$15,2,TRUE)</f>
        <v>1300</v>
      </c>
      <c r="I36" s="51">
        <f t="shared" si="1"/>
        <v>0</v>
      </c>
      <c r="J36" s="53"/>
      <c r="K36" s="27"/>
      <c r="L36" s="27"/>
      <c r="M36" s="27"/>
      <c r="N36" s="27"/>
    </row>
    <row r="37" ht="15.75" customHeight="1">
      <c r="A37" s="46"/>
      <c r="B37" s="46"/>
      <c r="C37" s="46"/>
      <c r="D37" s="53"/>
      <c r="E37" s="53"/>
      <c r="F37" s="38" t="s">
        <v>32</v>
      </c>
      <c r="G37" s="49"/>
      <c r="H37" s="54">
        <f>VLOOKUP(F37,$A$16:$B$16,2,TRUE)</f>
        <v>5000</v>
      </c>
      <c r="I37" s="51">
        <f t="shared" si="1"/>
        <v>0</v>
      </c>
      <c r="J37" s="53"/>
      <c r="K37" s="27"/>
      <c r="L37" s="27"/>
      <c r="M37" s="27"/>
      <c r="N37" s="27"/>
    </row>
    <row r="38" ht="15.75" customHeight="1">
      <c r="A38" s="46"/>
      <c r="B38" s="46"/>
      <c r="C38" s="46"/>
      <c r="D38" s="53"/>
      <c r="E38" s="53"/>
      <c r="F38" s="38" t="s">
        <v>33</v>
      </c>
      <c r="G38" s="49"/>
      <c r="H38" s="54">
        <f>VLOOKUP(F38,$A$17:$B$17,2,TRUE)</f>
        <v>2500</v>
      </c>
      <c r="I38" s="51">
        <f t="shared" si="1"/>
        <v>0</v>
      </c>
      <c r="J38" s="53"/>
      <c r="K38" s="27"/>
      <c r="L38" s="27"/>
      <c r="M38" s="27"/>
      <c r="N38" s="27"/>
    </row>
    <row r="39" ht="15.75" customHeight="1">
      <c r="A39" s="46"/>
      <c r="B39" s="46"/>
      <c r="C39" s="46"/>
      <c r="D39" s="53"/>
      <c r="E39" s="53"/>
      <c r="F39" s="38" t="s">
        <v>35</v>
      </c>
      <c r="G39" s="49"/>
      <c r="H39" s="54">
        <f>VLOOKUP(F39,$A$18:$B$18,2,TRUE)</f>
        <v>10000</v>
      </c>
      <c r="I39" s="51">
        <f t="shared" si="1"/>
        <v>0</v>
      </c>
      <c r="J39" s="53"/>
      <c r="K39" s="27"/>
      <c r="L39" s="27"/>
      <c r="M39" s="27"/>
      <c r="N39" s="27"/>
    </row>
    <row r="40" ht="15.75" customHeight="1">
      <c r="A40" s="46"/>
      <c r="B40" s="46"/>
      <c r="C40" s="46"/>
      <c r="D40" s="53"/>
      <c r="E40" s="53"/>
      <c r="F40" s="38" t="s">
        <v>55</v>
      </c>
      <c r="G40" s="49"/>
      <c r="H40" s="54">
        <f>VLOOKUP(F40,$A$19:$B$19,2,TRUE)</f>
        <v>300</v>
      </c>
      <c r="I40" s="51">
        <f t="shared" si="1"/>
        <v>0</v>
      </c>
      <c r="J40" s="53"/>
      <c r="K40" s="27"/>
      <c r="L40" s="27"/>
      <c r="M40" s="27"/>
      <c r="N40" s="27"/>
    </row>
    <row r="41" ht="15.75" customHeight="1">
      <c r="A41" s="46"/>
      <c r="B41" s="46"/>
      <c r="C41" s="46"/>
      <c r="D41" s="53"/>
      <c r="E41" s="53"/>
      <c r="F41" s="38" t="s">
        <v>15</v>
      </c>
      <c r="G41" s="49"/>
      <c r="H41" s="54">
        <f>VLOOKUP(F41,$A$20:$B$20,2,TRUE)</f>
        <v>300</v>
      </c>
      <c r="I41" s="51">
        <f t="shared" si="1"/>
        <v>0</v>
      </c>
      <c r="J41" s="53"/>
      <c r="K41" s="27"/>
      <c r="L41" s="27"/>
      <c r="M41" s="27"/>
      <c r="N41" s="27"/>
    </row>
    <row r="42" ht="15.75" customHeight="1">
      <c r="A42" s="46"/>
      <c r="B42" s="46"/>
      <c r="C42" s="46"/>
      <c r="D42" s="53"/>
      <c r="E42" s="53"/>
      <c r="F42" s="38" t="s">
        <v>11</v>
      </c>
      <c r="G42" s="49"/>
      <c r="H42" s="54">
        <f>VLOOKUP(F42,$A$21:$B$21,2,TRUE)</f>
        <v>1700</v>
      </c>
      <c r="I42" s="51">
        <f t="shared" si="1"/>
        <v>0</v>
      </c>
      <c r="J42" s="53"/>
      <c r="K42" s="27"/>
      <c r="L42" s="27"/>
      <c r="M42" s="27"/>
      <c r="N42" s="27"/>
    </row>
    <row r="43" ht="15.75" customHeight="1">
      <c r="A43" s="46"/>
      <c r="B43" s="46"/>
      <c r="C43" s="46"/>
      <c r="D43" s="53"/>
      <c r="E43" s="53"/>
      <c r="F43" s="38" t="s">
        <v>17</v>
      </c>
      <c r="G43" s="49">
        <v>1.5</v>
      </c>
      <c r="H43" s="54">
        <f>VLOOKUP(F42,$A$22:$B$22,2,TRUE)</f>
        <v>4500</v>
      </c>
      <c r="I43" s="51">
        <f t="shared" si="1"/>
        <v>6750</v>
      </c>
      <c r="J43" s="53"/>
      <c r="K43" s="27"/>
      <c r="L43" s="27"/>
      <c r="M43" s="27"/>
      <c r="N43" s="27"/>
    </row>
    <row r="44" ht="15.75" customHeight="1">
      <c r="A44" s="46"/>
      <c r="B44" s="46"/>
      <c r="C44" s="46"/>
      <c r="D44" s="14"/>
      <c r="E44" s="14"/>
      <c r="F44" s="38" t="s">
        <v>56</v>
      </c>
      <c r="G44" s="49"/>
      <c r="H44" s="54">
        <f>VLOOKUP(F43,$A$23:$B$23,2,TRUE)</f>
        <v>500</v>
      </c>
      <c r="I44" s="51">
        <f t="shared" si="1"/>
        <v>0</v>
      </c>
      <c r="J44" s="14"/>
      <c r="K44" s="27"/>
      <c r="L44" s="27"/>
      <c r="M44" s="27"/>
      <c r="N44" s="27"/>
    </row>
    <row r="45" ht="15.75" customHeight="1">
      <c r="A45" s="46"/>
      <c r="B45" s="46"/>
      <c r="C45" s="46"/>
      <c r="D45" s="47">
        <v>3.0</v>
      </c>
      <c r="E45" s="61" t="s">
        <v>62</v>
      </c>
      <c r="F45" s="38" t="s">
        <v>19</v>
      </c>
      <c r="G45" s="49">
        <v>1.5</v>
      </c>
      <c r="H45" s="50">
        <f>VLOOKUP(F45,$A$4:$B$4,2,TRUE)</f>
        <v>3100</v>
      </c>
      <c r="I45" s="51">
        <f t="shared" si="1"/>
        <v>4650</v>
      </c>
      <c r="J45" s="52">
        <f>SUM(I45:I64)</f>
        <v>13650</v>
      </c>
      <c r="K45" s="27"/>
      <c r="L45" s="27"/>
      <c r="M45" s="27"/>
      <c r="N45" s="27"/>
    </row>
    <row r="46" ht="15.75" customHeight="1">
      <c r="A46" s="46"/>
      <c r="B46" s="46"/>
      <c r="C46" s="46"/>
      <c r="D46" s="53"/>
      <c r="E46" s="53"/>
      <c r="F46" s="38" t="s">
        <v>51</v>
      </c>
      <c r="G46" s="49">
        <v>1.0</v>
      </c>
      <c r="H46" s="54">
        <f>VLOOKUP(F46,$A$5:$B$5,2,TRUE)</f>
        <v>3000</v>
      </c>
      <c r="I46" s="51">
        <f t="shared" si="1"/>
        <v>3000</v>
      </c>
      <c r="J46" s="53"/>
      <c r="K46" s="27"/>
      <c r="L46" s="27"/>
      <c r="M46" s="27"/>
      <c r="N46" s="27"/>
    </row>
    <row r="47" ht="15.75" customHeight="1">
      <c r="A47" s="46"/>
      <c r="B47" s="46"/>
      <c r="C47" s="46"/>
      <c r="D47" s="53"/>
      <c r="E47" s="53"/>
      <c r="F47" s="38" t="s">
        <v>53</v>
      </c>
      <c r="G47" s="49"/>
      <c r="H47" s="54">
        <f>VLOOKUP(F47,$A$6:$B$6,2,TRUE)</f>
        <v>800</v>
      </c>
      <c r="I47" s="51">
        <f t="shared" si="1"/>
        <v>0</v>
      </c>
      <c r="J47" s="53"/>
      <c r="K47" s="27"/>
      <c r="L47" s="27"/>
      <c r="M47" s="27"/>
      <c r="N47" s="27"/>
    </row>
    <row r="48" ht="15.75" customHeight="1">
      <c r="A48" s="46"/>
      <c r="B48" s="46"/>
      <c r="C48" s="46"/>
      <c r="D48" s="53"/>
      <c r="E48" s="53"/>
      <c r="F48" s="38" t="s">
        <v>22</v>
      </c>
      <c r="G48" s="49"/>
      <c r="H48" s="54">
        <f>VLOOKUP(F48,$A$7:$B$7,2,TRUE)</f>
        <v>2000</v>
      </c>
      <c r="I48" s="51">
        <f t="shared" si="1"/>
        <v>0</v>
      </c>
      <c r="J48" s="53"/>
      <c r="K48" s="27"/>
      <c r="L48" s="27"/>
      <c r="M48" s="27"/>
      <c r="N48" s="27"/>
    </row>
    <row r="49" ht="15.75" customHeight="1">
      <c r="A49" s="46"/>
      <c r="B49" s="46"/>
      <c r="C49" s="46"/>
      <c r="D49" s="53"/>
      <c r="E49" s="53"/>
      <c r="F49" s="38" t="s">
        <v>23</v>
      </c>
      <c r="G49" s="49"/>
      <c r="H49" s="54">
        <f>VLOOKUP(F49, $A$8:$B$8, 2, FALSE)</f>
        <v>2800</v>
      </c>
      <c r="I49" s="51">
        <f t="shared" si="1"/>
        <v>0</v>
      </c>
      <c r="J49" s="53"/>
      <c r="K49" s="27"/>
      <c r="L49" s="27"/>
      <c r="M49" s="27"/>
      <c r="N49" s="27"/>
    </row>
    <row r="50" ht="15.75" customHeight="1">
      <c r="A50" s="46"/>
      <c r="B50" s="46"/>
      <c r="C50" s="46"/>
      <c r="D50" s="53"/>
      <c r="E50" s="53"/>
      <c r="F50" s="38" t="s">
        <v>54</v>
      </c>
      <c r="G50" s="49">
        <v>1.5</v>
      </c>
      <c r="H50" s="54">
        <f>VLOOKUP(F50, $A$9:$B$9, 2, FALSE)</f>
        <v>800</v>
      </c>
      <c r="I50" s="51">
        <f t="shared" si="1"/>
        <v>1200</v>
      </c>
      <c r="J50" s="53"/>
      <c r="K50" s="27"/>
      <c r="L50" s="27"/>
      <c r="M50" s="27"/>
      <c r="N50" s="27"/>
    </row>
    <row r="51" ht="15.75" customHeight="1">
      <c r="A51" s="46"/>
      <c r="B51" s="46"/>
      <c r="C51" s="46"/>
      <c r="D51" s="53"/>
      <c r="E51" s="53"/>
      <c r="F51" s="38" t="s">
        <v>25</v>
      </c>
      <c r="G51" s="49"/>
      <c r="H51" s="54">
        <f>VLOOKUP(F51,$A$10:$B$10,2,TRUE)</f>
        <v>1500</v>
      </c>
      <c r="I51" s="51">
        <f t="shared" si="1"/>
        <v>0</v>
      </c>
      <c r="J51" s="53"/>
      <c r="K51" s="27"/>
      <c r="L51" s="27"/>
      <c r="M51" s="27"/>
      <c r="N51" s="27"/>
    </row>
    <row r="52" ht="15.75" customHeight="1">
      <c r="A52" s="46"/>
      <c r="B52" s="46"/>
      <c r="C52" s="46"/>
      <c r="D52" s="53"/>
      <c r="E52" s="53"/>
      <c r="F52" s="38" t="s">
        <v>26</v>
      </c>
      <c r="G52" s="49"/>
      <c r="H52" s="54">
        <f>VLOOKUP(F52,$A$11:$B$11,2,TRUE)</f>
        <v>1200</v>
      </c>
      <c r="I52" s="51">
        <f t="shared" si="1"/>
        <v>0</v>
      </c>
      <c r="J52" s="53"/>
      <c r="K52" s="27"/>
      <c r="L52" s="27"/>
      <c r="M52" s="27"/>
      <c r="N52" s="27"/>
    </row>
    <row r="53" ht="15.75" customHeight="1">
      <c r="A53" s="46"/>
      <c r="B53" s="46"/>
      <c r="C53" s="46"/>
      <c r="D53" s="53"/>
      <c r="E53" s="53"/>
      <c r="F53" s="38" t="s">
        <v>28</v>
      </c>
      <c r="G53" s="49"/>
      <c r="H53" s="54">
        <f>VLOOKUP(F53,$A$12:$B$12,2,TRUE)</f>
        <v>500</v>
      </c>
      <c r="I53" s="51">
        <f t="shared" si="1"/>
        <v>0</v>
      </c>
      <c r="J53" s="53"/>
      <c r="K53" s="27"/>
      <c r="L53" s="27"/>
      <c r="M53" s="27"/>
      <c r="N53" s="27"/>
    </row>
    <row r="54" ht="15.75" customHeight="1">
      <c r="A54" s="46"/>
      <c r="B54" s="46"/>
      <c r="C54" s="46"/>
      <c r="D54" s="53"/>
      <c r="E54" s="53"/>
      <c r="F54" s="38" t="s">
        <v>29</v>
      </c>
      <c r="G54" s="49"/>
      <c r="H54" s="54">
        <f>VLOOKUP(F54,$A$13:$B$13,2,TRUE)</f>
        <v>6500</v>
      </c>
      <c r="I54" s="51">
        <f t="shared" si="1"/>
        <v>0</v>
      </c>
      <c r="J54" s="53"/>
      <c r="K54" s="27"/>
      <c r="L54" s="27"/>
      <c r="M54" s="27"/>
      <c r="N54" s="27"/>
    </row>
    <row r="55" ht="15.75" customHeight="1">
      <c r="A55" s="46"/>
      <c r="B55" s="46"/>
      <c r="C55" s="46"/>
      <c r="D55" s="53"/>
      <c r="E55" s="53"/>
      <c r="F55" s="38" t="s">
        <v>30</v>
      </c>
      <c r="G55" s="49"/>
      <c r="H55" s="54">
        <f>VLOOKUP(F55,$A$14:$B$14,2,TRUE)</f>
        <v>2200</v>
      </c>
      <c r="I55" s="51">
        <f t="shared" si="1"/>
        <v>0</v>
      </c>
      <c r="J55" s="53"/>
      <c r="K55" s="27"/>
      <c r="L55" s="27"/>
      <c r="M55" s="27"/>
      <c r="N55" s="27"/>
    </row>
    <row r="56" ht="15.75" customHeight="1">
      <c r="A56" s="46"/>
      <c r="B56" s="46"/>
      <c r="C56" s="46"/>
      <c r="D56" s="53"/>
      <c r="E56" s="53"/>
      <c r="F56" s="38" t="s">
        <v>31</v>
      </c>
      <c r="G56" s="49"/>
      <c r="H56" s="54">
        <f>VLOOKUP(F56,$A$15:$B$15,2,TRUE)</f>
        <v>1300</v>
      </c>
      <c r="I56" s="51">
        <f t="shared" si="1"/>
        <v>0</v>
      </c>
      <c r="J56" s="53"/>
      <c r="K56" s="27"/>
      <c r="L56" s="27"/>
      <c r="M56" s="27"/>
      <c r="N56" s="27"/>
    </row>
    <row r="57" ht="15.75" customHeight="1">
      <c r="A57" s="46"/>
      <c r="B57" s="46"/>
      <c r="C57" s="46"/>
      <c r="D57" s="53"/>
      <c r="E57" s="53"/>
      <c r="F57" s="38" t="s">
        <v>32</v>
      </c>
      <c r="G57" s="49"/>
      <c r="H57" s="54">
        <f>VLOOKUP(F57,$A$16:$B$16,2,TRUE)</f>
        <v>5000</v>
      </c>
      <c r="I57" s="51">
        <f t="shared" si="1"/>
        <v>0</v>
      </c>
      <c r="J57" s="53"/>
      <c r="K57" s="27"/>
      <c r="L57" s="27"/>
      <c r="M57" s="27"/>
      <c r="N57" s="27"/>
    </row>
    <row r="58" ht="15.75" customHeight="1">
      <c r="A58" s="46"/>
      <c r="B58" s="46"/>
      <c r="C58" s="46"/>
      <c r="D58" s="53"/>
      <c r="E58" s="53"/>
      <c r="F58" s="38" t="s">
        <v>33</v>
      </c>
      <c r="G58" s="49"/>
      <c r="H58" s="54">
        <f>VLOOKUP(F58,$A$17:$B$17,2,TRUE)</f>
        <v>2500</v>
      </c>
      <c r="I58" s="51">
        <f t="shared" si="1"/>
        <v>0</v>
      </c>
      <c r="J58" s="53"/>
      <c r="K58" s="27"/>
      <c r="L58" s="27"/>
      <c r="M58" s="27"/>
      <c r="N58" s="27"/>
    </row>
    <row r="59" ht="15.75" customHeight="1">
      <c r="A59" s="46"/>
      <c r="B59" s="46"/>
      <c r="C59" s="46"/>
      <c r="D59" s="53"/>
      <c r="E59" s="53"/>
      <c r="F59" s="38" t="s">
        <v>35</v>
      </c>
      <c r="G59" s="49"/>
      <c r="H59" s="54">
        <f>VLOOKUP(F59,$A$18:$B$18,2,TRUE)</f>
        <v>10000</v>
      </c>
      <c r="I59" s="51">
        <f t="shared" si="1"/>
        <v>0</v>
      </c>
      <c r="J59" s="53"/>
      <c r="K59" s="27"/>
      <c r="L59" s="27"/>
      <c r="M59" s="27"/>
      <c r="N59" s="27"/>
    </row>
    <row r="60" ht="15.75" customHeight="1">
      <c r="A60" s="46"/>
      <c r="B60" s="46"/>
      <c r="C60" s="46"/>
      <c r="D60" s="53"/>
      <c r="E60" s="53"/>
      <c r="F60" s="38" t="s">
        <v>55</v>
      </c>
      <c r="G60" s="49">
        <v>1.0</v>
      </c>
      <c r="H60" s="54">
        <f>VLOOKUP(F60,$A$19:$B$19,2,TRUE)</f>
        <v>300</v>
      </c>
      <c r="I60" s="51">
        <f t="shared" si="1"/>
        <v>300</v>
      </c>
      <c r="J60" s="53"/>
      <c r="K60" s="27"/>
      <c r="L60" s="27"/>
      <c r="M60" s="27"/>
      <c r="N60" s="27"/>
    </row>
    <row r="61" ht="15.75" customHeight="1">
      <c r="A61" s="46"/>
      <c r="B61" s="46"/>
      <c r="C61" s="46"/>
      <c r="D61" s="53"/>
      <c r="E61" s="53"/>
      <c r="F61" s="38" t="s">
        <v>15</v>
      </c>
      <c r="G61" s="49"/>
      <c r="H61" s="54">
        <f>VLOOKUP(F61,$A$20:$B$20,2,TRUE)</f>
        <v>300</v>
      </c>
      <c r="I61" s="51">
        <f t="shared" si="1"/>
        <v>0</v>
      </c>
      <c r="J61" s="53"/>
      <c r="K61" s="27"/>
      <c r="L61" s="27"/>
      <c r="M61" s="27"/>
      <c r="N61" s="27"/>
    </row>
    <row r="62" ht="15.75" customHeight="1">
      <c r="A62" s="46"/>
      <c r="B62" s="46"/>
      <c r="C62" s="46"/>
      <c r="D62" s="53"/>
      <c r="E62" s="53"/>
      <c r="F62" s="38" t="s">
        <v>11</v>
      </c>
      <c r="G62" s="49"/>
      <c r="H62" s="54">
        <f>VLOOKUP(F62,$A$21:$B$21,2,TRUE)</f>
        <v>1700</v>
      </c>
      <c r="I62" s="51">
        <f t="shared" si="1"/>
        <v>0</v>
      </c>
      <c r="J62" s="53"/>
      <c r="K62" s="27"/>
      <c r="L62" s="27"/>
      <c r="M62" s="27"/>
      <c r="N62" s="27"/>
    </row>
    <row r="63" ht="15.75" customHeight="1">
      <c r="A63" s="46"/>
      <c r="B63" s="46"/>
      <c r="C63" s="46"/>
      <c r="D63" s="53"/>
      <c r="E63" s="53"/>
      <c r="F63" s="38" t="s">
        <v>17</v>
      </c>
      <c r="G63" s="49">
        <v>1.0</v>
      </c>
      <c r="H63" s="54">
        <f>VLOOKUP(F62,$A$22:$B$22,2,TRUE)</f>
        <v>4500</v>
      </c>
      <c r="I63" s="51">
        <f t="shared" si="1"/>
        <v>4500</v>
      </c>
      <c r="J63" s="53"/>
      <c r="K63" s="27"/>
      <c r="L63" s="27"/>
      <c r="M63" s="27"/>
      <c r="N63" s="27"/>
    </row>
    <row r="64" ht="15.75" customHeight="1">
      <c r="A64" s="46"/>
      <c r="B64" s="46"/>
      <c r="C64" s="46"/>
      <c r="D64" s="14"/>
      <c r="E64" s="14"/>
      <c r="F64" s="38" t="s">
        <v>56</v>
      </c>
      <c r="G64" s="49">
        <v>4.0</v>
      </c>
      <c r="H64" s="54"/>
      <c r="I64" s="51">
        <f t="shared" si="1"/>
        <v>0</v>
      </c>
      <c r="J64" s="14"/>
      <c r="K64" s="27"/>
      <c r="L64" s="27"/>
      <c r="M64" s="27"/>
      <c r="N64" s="27"/>
    </row>
    <row r="65" ht="15.75" customHeight="1">
      <c r="A65" s="46"/>
      <c r="B65" s="46"/>
      <c r="C65" s="46"/>
      <c r="D65" s="58" t="s">
        <v>59</v>
      </c>
      <c r="E65" s="4"/>
      <c r="F65" s="4"/>
      <c r="G65" s="4"/>
      <c r="H65" s="4"/>
      <c r="I65" s="5"/>
      <c r="J65" s="59">
        <f>SUM(J5:J64)</f>
        <v>35150</v>
      </c>
      <c r="K65" s="27"/>
      <c r="L65" s="27"/>
      <c r="M65" s="27"/>
      <c r="N65" s="27"/>
    </row>
    <row r="66" ht="15.75" customHeight="1">
      <c r="A66" s="26"/>
      <c r="B66" s="26"/>
      <c r="C66" s="26"/>
      <c r="D66" s="26"/>
      <c r="E66" s="26"/>
      <c r="F66" s="27"/>
      <c r="G66" s="27"/>
      <c r="H66" s="27"/>
      <c r="I66" s="27"/>
      <c r="J66" s="28"/>
      <c r="K66" s="27"/>
      <c r="L66" s="27"/>
      <c r="M66" s="27"/>
      <c r="N66" s="27"/>
    </row>
    <row r="67" ht="15.75" customHeight="1">
      <c r="A67" s="26"/>
      <c r="B67" s="26"/>
      <c r="C67" s="26"/>
      <c r="D67" s="26"/>
      <c r="E67" s="26"/>
      <c r="F67" s="27"/>
      <c r="G67" s="27"/>
      <c r="H67" s="27"/>
      <c r="I67" s="27"/>
      <c r="J67" s="28"/>
      <c r="K67" s="27"/>
      <c r="L67" s="27"/>
      <c r="M67" s="27"/>
      <c r="N67" s="27"/>
    </row>
    <row r="68" ht="15.75" customHeight="1">
      <c r="A68" s="26"/>
      <c r="B68" s="26"/>
      <c r="C68" s="26"/>
      <c r="D68" s="26"/>
      <c r="E68" s="26"/>
      <c r="F68" s="27"/>
      <c r="G68" s="27"/>
      <c r="H68" s="27"/>
      <c r="I68" s="27"/>
      <c r="J68" s="28"/>
      <c r="K68" s="27"/>
      <c r="L68" s="27"/>
      <c r="M68" s="27"/>
      <c r="N68" s="27"/>
    </row>
    <row r="69" ht="15.75" customHeight="1">
      <c r="A69" s="26"/>
      <c r="B69" s="26"/>
      <c r="C69" s="26"/>
      <c r="D69" s="26"/>
      <c r="E69" s="26"/>
      <c r="F69" s="27"/>
      <c r="G69" s="27"/>
      <c r="H69" s="27"/>
      <c r="I69" s="27"/>
      <c r="J69" s="28"/>
      <c r="K69" s="27"/>
      <c r="L69" s="27"/>
      <c r="M69" s="27"/>
      <c r="N69" s="27"/>
    </row>
    <row r="70" ht="15.75" customHeight="1">
      <c r="A70" s="26"/>
      <c r="B70" s="26"/>
      <c r="C70" s="26"/>
      <c r="D70" s="26"/>
      <c r="E70" s="26"/>
      <c r="F70" s="27"/>
      <c r="G70" s="27"/>
      <c r="H70" s="27"/>
      <c r="I70" s="27"/>
      <c r="J70" s="28"/>
      <c r="K70" s="27"/>
      <c r="L70" s="27"/>
      <c r="M70" s="27"/>
      <c r="N70" s="27"/>
    </row>
    <row r="71" ht="15.75" customHeight="1">
      <c r="A71" s="26"/>
      <c r="B71" s="26"/>
      <c r="C71" s="26"/>
      <c r="D71" s="26"/>
      <c r="E71" s="26"/>
      <c r="F71" s="27"/>
      <c r="G71" s="27"/>
      <c r="H71" s="27"/>
      <c r="I71" s="27"/>
      <c r="J71" s="28"/>
      <c r="K71" s="27"/>
      <c r="L71" s="27"/>
      <c r="M71" s="27"/>
      <c r="N71" s="27"/>
    </row>
    <row r="72" ht="15.75" customHeight="1">
      <c r="A72" s="26"/>
      <c r="B72" s="26"/>
      <c r="C72" s="26"/>
      <c r="D72" s="26"/>
      <c r="E72" s="26"/>
      <c r="F72" s="27"/>
      <c r="G72" s="27"/>
      <c r="H72" s="27"/>
      <c r="I72" s="27"/>
      <c r="J72" s="28"/>
      <c r="K72" s="27"/>
      <c r="L72" s="27"/>
      <c r="M72" s="27"/>
      <c r="N72" s="27"/>
    </row>
    <row r="73" ht="15.75" customHeight="1">
      <c r="A73" s="26"/>
      <c r="B73" s="26"/>
      <c r="C73" s="26"/>
      <c r="D73" s="26"/>
      <c r="E73" s="26"/>
      <c r="F73" s="27"/>
      <c r="G73" s="27"/>
      <c r="H73" s="27"/>
      <c r="I73" s="27"/>
      <c r="J73" s="28"/>
      <c r="K73" s="27"/>
      <c r="L73" s="27"/>
      <c r="M73" s="27"/>
      <c r="N73" s="27"/>
    </row>
    <row r="74" ht="15.75" customHeight="1">
      <c r="A74" s="26"/>
      <c r="B74" s="26"/>
      <c r="C74" s="26"/>
      <c r="D74" s="26"/>
      <c r="E74" s="26"/>
      <c r="J74" s="28"/>
    </row>
    <row r="75" ht="15.75" customHeight="1">
      <c r="A75" s="26"/>
      <c r="B75" s="26"/>
      <c r="C75" s="26"/>
      <c r="D75" s="26"/>
      <c r="E75" s="26"/>
      <c r="J75" s="28"/>
    </row>
    <row r="76" ht="15.75" customHeight="1">
      <c r="A76" s="26"/>
      <c r="B76" s="26"/>
      <c r="C76" s="26"/>
      <c r="D76" s="26"/>
      <c r="E76" s="26"/>
      <c r="J76" s="28"/>
    </row>
    <row r="77" ht="15.75" customHeight="1">
      <c r="A77" s="26"/>
      <c r="B77" s="26"/>
      <c r="C77" s="26"/>
      <c r="D77" s="26"/>
      <c r="E77" s="26"/>
      <c r="J77" s="28"/>
    </row>
    <row r="78" ht="15.75" customHeight="1">
      <c r="A78" s="26"/>
      <c r="B78" s="26"/>
      <c r="C78" s="26"/>
      <c r="D78" s="26"/>
      <c r="E78" s="26"/>
      <c r="J78" s="28"/>
    </row>
    <row r="79" ht="15.75" customHeight="1">
      <c r="A79" s="26"/>
      <c r="B79" s="26"/>
      <c r="C79" s="26"/>
      <c r="D79" s="26"/>
      <c r="E79" s="26"/>
      <c r="J79" s="28"/>
    </row>
    <row r="80" ht="15.75" customHeight="1">
      <c r="A80" s="26"/>
      <c r="B80" s="26"/>
      <c r="C80" s="26"/>
      <c r="D80" s="26"/>
      <c r="E80" s="26"/>
      <c r="J80" s="28"/>
    </row>
    <row r="81" ht="15.75" customHeight="1">
      <c r="A81" s="26"/>
      <c r="B81" s="26"/>
      <c r="C81" s="26"/>
      <c r="D81" s="26"/>
      <c r="E81" s="26"/>
      <c r="J81" s="28"/>
    </row>
    <row r="82" ht="15.75" customHeight="1">
      <c r="A82" s="26"/>
      <c r="B82" s="26"/>
      <c r="C82" s="26"/>
      <c r="D82" s="26"/>
      <c r="E82" s="26"/>
      <c r="J82" s="28"/>
    </row>
    <row r="83" ht="15.75" customHeight="1">
      <c r="A83" s="26"/>
      <c r="B83" s="26"/>
      <c r="C83" s="26"/>
      <c r="D83" s="26"/>
      <c r="E83" s="26"/>
      <c r="J83" s="28"/>
    </row>
    <row r="84" ht="15.75" customHeight="1">
      <c r="A84" s="26"/>
      <c r="B84" s="26"/>
      <c r="C84" s="26"/>
      <c r="D84" s="26"/>
      <c r="E84" s="26"/>
      <c r="J84" s="28"/>
    </row>
    <row r="85" ht="15.75" customHeight="1">
      <c r="A85" s="26"/>
      <c r="B85" s="26"/>
      <c r="C85" s="26"/>
      <c r="D85" s="26"/>
      <c r="E85" s="26"/>
      <c r="J85" s="28"/>
    </row>
    <row r="86" ht="15.75" customHeight="1">
      <c r="A86" s="26"/>
      <c r="B86" s="26"/>
      <c r="C86" s="26"/>
      <c r="D86" s="26"/>
      <c r="E86" s="26"/>
      <c r="J86" s="28"/>
    </row>
    <row r="87" ht="15.75" customHeight="1">
      <c r="A87" s="26"/>
      <c r="B87" s="26"/>
      <c r="C87" s="26"/>
      <c r="D87" s="26"/>
      <c r="E87" s="26"/>
      <c r="J87" s="28"/>
    </row>
    <row r="88" ht="15.75" customHeight="1">
      <c r="A88" s="26"/>
      <c r="B88" s="26"/>
      <c r="C88" s="26"/>
      <c r="D88" s="26"/>
      <c r="E88" s="26"/>
      <c r="J88" s="28"/>
    </row>
    <row r="89" ht="15.75" customHeight="1">
      <c r="A89" s="26"/>
      <c r="B89" s="26"/>
      <c r="C89" s="26"/>
      <c r="D89" s="26"/>
      <c r="E89" s="26"/>
      <c r="J89" s="28"/>
    </row>
    <row r="90" ht="15.75" customHeight="1">
      <c r="A90" s="26"/>
      <c r="B90" s="26"/>
      <c r="C90" s="26"/>
      <c r="D90" s="26"/>
      <c r="E90" s="26"/>
      <c r="J90" s="28"/>
    </row>
    <row r="91" ht="15.75" customHeight="1">
      <c r="A91" s="26"/>
      <c r="B91" s="26"/>
      <c r="C91" s="26"/>
      <c r="D91" s="26"/>
      <c r="E91" s="26"/>
      <c r="J91" s="28"/>
    </row>
    <row r="92" ht="15.75" customHeight="1">
      <c r="A92" s="26"/>
      <c r="B92" s="26"/>
      <c r="C92" s="26"/>
      <c r="D92" s="26"/>
      <c r="E92" s="26"/>
      <c r="J92" s="28"/>
    </row>
    <row r="93" ht="15.75" customHeight="1">
      <c r="A93" s="26"/>
      <c r="B93" s="26"/>
      <c r="C93" s="26"/>
      <c r="D93" s="26"/>
      <c r="E93" s="26"/>
      <c r="J93" s="28"/>
    </row>
    <row r="94" ht="15.75" customHeight="1">
      <c r="A94" s="26"/>
      <c r="B94" s="26"/>
      <c r="C94" s="26"/>
      <c r="D94" s="26"/>
      <c r="E94" s="26"/>
      <c r="J94" s="28"/>
    </row>
    <row r="95" ht="15.75" customHeight="1">
      <c r="A95" s="26"/>
      <c r="B95" s="26"/>
      <c r="C95" s="26"/>
      <c r="D95" s="26"/>
      <c r="E95" s="26"/>
      <c r="J95" s="28"/>
    </row>
    <row r="96" ht="15.75" customHeight="1">
      <c r="A96" s="26"/>
      <c r="B96" s="26"/>
      <c r="C96" s="26"/>
      <c r="D96" s="26"/>
      <c r="E96" s="26"/>
      <c r="J96" s="28"/>
    </row>
    <row r="97" ht="15.75" customHeight="1">
      <c r="A97" s="26"/>
      <c r="B97" s="26"/>
      <c r="C97" s="26"/>
      <c r="D97" s="26"/>
      <c r="E97" s="26"/>
      <c r="J97" s="28"/>
    </row>
    <row r="98" ht="15.75" customHeight="1">
      <c r="A98" s="26"/>
      <c r="B98" s="26"/>
      <c r="C98" s="26"/>
      <c r="D98" s="26"/>
      <c r="E98" s="26"/>
      <c r="J98" s="28"/>
    </row>
    <row r="99" ht="15.75" customHeight="1">
      <c r="A99" s="26"/>
      <c r="B99" s="26"/>
      <c r="C99" s="26"/>
      <c r="D99" s="26"/>
      <c r="E99" s="26"/>
      <c r="J99" s="28"/>
    </row>
    <row r="100" ht="15.75" customHeight="1">
      <c r="A100" s="26"/>
      <c r="B100" s="26"/>
      <c r="C100" s="26"/>
      <c r="D100" s="26"/>
      <c r="E100" s="26"/>
      <c r="J100" s="28"/>
    </row>
    <row r="101" ht="15.75" customHeight="1">
      <c r="A101" s="26"/>
      <c r="B101" s="26"/>
      <c r="C101" s="26"/>
      <c r="D101" s="26"/>
      <c r="E101" s="26"/>
      <c r="J101" s="28"/>
    </row>
    <row r="102" ht="15.75" customHeight="1">
      <c r="A102" s="26"/>
      <c r="B102" s="26"/>
      <c r="C102" s="26"/>
      <c r="D102" s="26"/>
      <c r="E102" s="26"/>
      <c r="J102" s="28"/>
    </row>
    <row r="103" ht="15.75" customHeight="1">
      <c r="A103" s="26"/>
      <c r="B103" s="26"/>
      <c r="C103" s="26"/>
      <c r="D103" s="26"/>
      <c r="E103" s="26"/>
      <c r="J103" s="28"/>
    </row>
    <row r="104" ht="15.75" customHeight="1">
      <c r="A104" s="26"/>
      <c r="B104" s="26"/>
      <c r="C104" s="26"/>
      <c r="D104" s="26"/>
      <c r="E104" s="26"/>
      <c r="J104" s="28"/>
    </row>
    <row r="105" ht="15.75" customHeight="1">
      <c r="A105" s="26"/>
      <c r="B105" s="26"/>
      <c r="C105" s="26"/>
      <c r="D105" s="26"/>
      <c r="E105" s="26"/>
      <c r="J105" s="28"/>
    </row>
    <row r="106" ht="15.75" customHeight="1">
      <c r="A106" s="26"/>
      <c r="B106" s="26"/>
      <c r="C106" s="26"/>
      <c r="D106" s="26"/>
      <c r="E106" s="26"/>
      <c r="J106" s="28"/>
    </row>
    <row r="107" ht="15.75" customHeight="1">
      <c r="A107" s="26"/>
      <c r="B107" s="26"/>
      <c r="C107" s="26"/>
      <c r="D107" s="26"/>
      <c r="E107" s="26"/>
      <c r="J107" s="28"/>
    </row>
    <row r="108" ht="15.75" customHeight="1">
      <c r="A108" s="26"/>
      <c r="B108" s="26"/>
      <c r="C108" s="26"/>
      <c r="D108" s="26"/>
      <c r="E108" s="26"/>
      <c r="J108" s="28"/>
    </row>
    <row r="109" ht="15.75" customHeight="1">
      <c r="A109" s="26"/>
      <c r="B109" s="26"/>
      <c r="C109" s="26"/>
      <c r="D109" s="26"/>
      <c r="E109" s="26"/>
      <c r="J109" s="28"/>
    </row>
    <row r="110" ht="15.75" customHeight="1">
      <c r="A110" s="26"/>
      <c r="B110" s="26"/>
      <c r="C110" s="26"/>
      <c r="D110" s="26"/>
      <c r="E110" s="26"/>
      <c r="J110" s="28"/>
    </row>
    <row r="111" ht="15.75" customHeight="1">
      <c r="A111" s="26"/>
      <c r="B111" s="26"/>
      <c r="C111" s="26"/>
      <c r="D111" s="26"/>
      <c r="E111" s="26"/>
      <c r="J111" s="28"/>
    </row>
    <row r="112" ht="15.75" customHeight="1">
      <c r="A112" s="26"/>
      <c r="B112" s="26"/>
      <c r="C112" s="26"/>
      <c r="D112" s="26"/>
      <c r="E112" s="26"/>
      <c r="J112" s="28"/>
    </row>
    <row r="113" ht="15.75" customHeight="1">
      <c r="A113" s="26"/>
      <c r="B113" s="26"/>
      <c r="C113" s="26"/>
      <c r="D113" s="26"/>
      <c r="E113" s="26"/>
      <c r="J113" s="28"/>
    </row>
    <row r="114" ht="15.75" customHeight="1">
      <c r="A114" s="26"/>
      <c r="B114" s="26"/>
      <c r="C114" s="26"/>
      <c r="D114" s="26"/>
      <c r="E114" s="26"/>
      <c r="J114" s="28"/>
    </row>
    <row r="115" ht="15.75" customHeight="1">
      <c r="A115" s="26"/>
      <c r="B115" s="26"/>
      <c r="C115" s="26"/>
      <c r="D115" s="26"/>
      <c r="E115" s="26"/>
      <c r="J115" s="28"/>
    </row>
    <row r="116" ht="15.75" customHeight="1">
      <c r="A116" s="26"/>
      <c r="B116" s="26"/>
      <c r="C116" s="26"/>
      <c r="D116" s="26"/>
      <c r="E116" s="26"/>
      <c r="J116" s="28"/>
    </row>
    <row r="117" ht="15.75" customHeight="1">
      <c r="A117" s="26"/>
      <c r="B117" s="26"/>
      <c r="C117" s="26"/>
      <c r="D117" s="26"/>
      <c r="E117" s="26"/>
      <c r="J117" s="28"/>
    </row>
    <row r="118" ht="15.75" customHeight="1">
      <c r="A118" s="26"/>
      <c r="B118" s="26"/>
      <c r="C118" s="26"/>
      <c r="D118" s="26"/>
      <c r="E118" s="26"/>
      <c r="J118" s="28"/>
    </row>
    <row r="119" ht="15.75" customHeight="1">
      <c r="A119" s="26"/>
      <c r="B119" s="26"/>
      <c r="C119" s="26"/>
      <c r="D119" s="26"/>
      <c r="E119" s="26"/>
      <c r="J119" s="28"/>
    </row>
    <row r="120" ht="15.75" customHeight="1">
      <c r="A120" s="26"/>
      <c r="B120" s="26"/>
      <c r="C120" s="26"/>
      <c r="D120" s="26"/>
      <c r="E120" s="26"/>
      <c r="J120" s="28"/>
    </row>
    <row r="121" ht="15.75" customHeight="1">
      <c r="A121" s="26"/>
      <c r="B121" s="26"/>
      <c r="C121" s="26"/>
      <c r="D121" s="26"/>
      <c r="E121" s="26"/>
      <c r="J121" s="28"/>
    </row>
    <row r="122" ht="15.75" customHeight="1">
      <c r="A122" s="26"/>
      <c r="B122" s="26"/>
      <c r="C122" s="26"/>
      <c r="D122" s="26"/>
      <c r="E122" s="26"/>
      <c r="J122" s="28"/>
    </row>
    <row r="123" ht="15.75" customHeight="1">
      <c r="A123" s="26"/>
      <c r="B123" s="26"/>
      <c r="C123" s="26"/>
      <c r="D123" s="26"/>
      <c r="E123" s="26"/>
      <c r="J123" s="28"/>
    </row>
    <row r="124" ht="15.75" customHeight="1">
      <c r="A124" s="26"/>
      <c r="B124" s="26"/>
      <c r="C124" s="26"/>
      <c r="D124" s="26"/>
      <c r="E124" s="26"/>
      <c r="J124" s="28"/>
    </row>
    <row r="125" ht="15.75" customHeight="1">
      <c r="A125" s="26"/>
      <c r="B125" s="26"/>
      <c r="C125" s="26"/>
      <c r="D125" s="26"/>
      <c r="E125" s="26"/>
      <c r="J125" s="28"/>
    </row>
    <row r="126" ht="15.75" customHeight="1">
      <c r="A126" s="26"/>
      <c r="B126" s="26"/>
      <c r="C126" s="26"/>
      <c r="D126" s="26"/>
      <c r="E126" s="26"/>
      <c r="J126" s="28"/>
    </row>
    <row r="127" ht="15.75" customHeight="1">
      <c r="A127" s="26"/>
      <c r="B127" s="26"/>
      <c r="C127" s="26"/>
      <c r="D127" s="26"/>
      <c r="E127" s="26"/>
      <c r="J127" s="28"/>
    </row>
    <row r="128" ht="15.75" customHeight="1">
      <c r="A128" s="26"/>
      <c r="B128" s="26"/>
      <c r="C128" s="26"/>
      <c r="D128" s="26"/>
      <c r="E128" s="26"/>
      <c r="J128" s="28"/>
    </row>
    <row r="129" ht="15.75" customHeight="1">
      <c r="A129" s="26"/>
      <c r="B129" s="26"/>
      <c r="C129" s="26"/>
      <c r="D129" s="26"/>
      <c r="E129" s="26"/>
      <c r="J129" s="28"/>
    </row>
    <row r="130" ht="15.75" customHeight="1">
      <c r="A130" s="26"/>
      <c r="B130" s="26"/>
      <c r="C130" s="26"/>
      <c r="D130" s="26"/>
      <c r="E130" s="26"/>
      <c r="J130" s="28"/>
    </row>
    <row r="131" ht="15.75" customHeight="1">
      <c r="A131" s="26"/>
      <c r="B131" s="26"/>
      <c r="C131" s="26"/>
      <c r="D131" s="26"/>
      <c r="E131" s="26"/>
      <c r="J131" s="28"/>
    </row>
    <row r="132" ht="15.75" customHeight="1">
      <c r="A132" s="26"/>
      <c r="B132" s="26"/>
      <c r="C132" s="26"/>
      <c r="D132" s="26"/>
      <c r="E132" s="26"/>
      <c r="J132" s="28"/>
    </row>
    <row r="133" ht="15.75" customHeight="1">
      <c r="A133" s="26"/>
      <c r="B133" s="26"/>
      <c r="C133" s="26"/>
      <c r="D133" s="26"/>
      <c r="E133" s="26"/>
      <c r="J133" s="28"/>
    </row>
    <row r="134" ht="15.75" customHeight="1">
      <c r="A134" s="26"/>
      <c r="B134" s="26"/>
      <c r="C134" s="26"/>
      <c r="D134" s="26"/>
      <c r="E134" s="26"/>
      <c r="J134" s="28"/>
    </row>
    <row r="135" ht="15.75" customHeight="1">
      <c r="A135" s="26"/>
      <c r="B135" s="26"/>
      <c r="C135" s="26"/>
      <c r="D135" s="26"/>
      <c r="E135" s="26"/>
      <c r="J135" s="28"/>
    </row>
    <row r="136" ht="15.75" customHeight="1">
      <c r="A136" s="26"/>
      <c r="B136" s="26"/>
      <c r="C136" s="26"/>
      <c r="D136" s="26"/>
      <c r="E136" s="26"/>
      <c r="J136" s="28"/>
    </row>
    <row r="137" ht="15.75" customHeight="1">
      <c r="A137" s="26"/>
      <c r="B137" s="26"/>
      <c r="C137" s="26"/>
      <c r="D137" s="26"/>
      <c r="E137" s="26"/>
      <c r="J137" s="28"/>
    </row>
    <row r="138" ht="15.75" customHeight="1">
      <c r="A138" s="26"/>
      <c r="B138" s="26"/>
      <c r="C138" s="26"/>
      <c r="D138" s="26"/>
      <c r="E138" s="26"/>
      <c r="J138" s="28"/>
    </row>
    <row r="139" ht="15.75" customHeight="1">
      <c r="A139" s="26"/>
      <c r="B139" s="26"/>
      <c r="C139" s="26"/>
      <c r="D139" s="26"/>
      <c r="E139" s="26"/>
      <c r="J139" s="28"/>
    </row>
    <row r="140" ht="15.75" customHeight="1">
      <c r="A140" s="26"/>
      <c r="B140" s="26"/>
      <c r="C140" s="26"/>
      <c r="D140" s="26"/>
      <c r="E140" s="26"/>
      <c r="J140" s="28"/>
    </row>
    <row r="141" ht="15.75" customHeight="1">
      <c r="A141" s="26"/>
      <c r="B141" s="26"/>
      <c r="C141" s="26"/>
      <c r="D141" s="26"/>
      <c r="E141" s="26"/>
      <c r="J141" s="28"/>
    </row>
    <row r="142" ht="15.75" customHeight="1">
      <c r="A142" s="26"/>
      <c r="B142" s="26"/>
      <c r="C142" s="26"/>
      <c r="D142" s="26"/>
      <c r="E142" s="26"/>
      <c r="J142" s="28"/>
    </row>
    <row r="143" ht="15.75" customHeight="1">
      <c r="A143" s="26"/>
      <c r="B143" s="26"/>
      <c r="C143" s="26"/>
      <c r="D143" s="26"/>
      <c r="E143" s="26"/>
      <c r="J143" s="28"/>
    </row>
    <row r="144" ht="15.75" customHeight="1">
      <c r="A144" s="26"/>
      <c r="B144" s="26"/>
      <c r="C144" s="26"/>
      <c r="D144" s="26"/>
      <c r="E144" s="26"/>
      <c r="J144" s="28"/>
    </row>
    <row r="145" ht="15.75" customHeight="1">
      <c r="A145" s="26"/>
      <c r="B145" s="26"/>
      <c r="C145" s="26"/>
      <c r="D145" s="26"/>
      <c r="E145" s="26"/>
      <c r="J145" s="28"/>
    </row>
    <row r="146" ht="15.75" customHeight="1">
      <c r="A146" s="26"/>
      <c r="B146" s="26"/>
      <c r="C146" s="26"/>
      <c r="D146" s="26"/>
      <c r="E146" s="26"/>
      <c r="J146" s="28"/>
    </row>
    <row r="147" ht="15.75" customHeight="1">
      <c r="A147" s="26"/>
      <c r="B147" s="26"/>
      <c r="C147" s="26"/>
      <c r="D147" s="26"/>
      <c r="E147" s="26"/>
      <c r="J147" s="28"/>
    </row>
    <row r="148" ht="15.75" customHeight="1">
      <c r="A148" s="26"/>
      <c r="B148" s="26"/>
      <c r="C148" s="26"/>
      <c r="D148" s="26"/>
      <c r="E148" s="26"/>
      <c r="J148" s="28"/>
    </row>
    <row r="149" ht="15.75" customHeight="1">
      <c r="A149" s="26"/>
      <c r="B149" s="26"/>
      <c r="C149" s="26"/>
      <c r="D149" s="26"/>
      <c r="E149" s="26"/>
      <c r="J149" s="28"/>
    </row>
    <row r="150" ht="15.75" customHeight="1">
      <c r="A150" s="26"/>
      <c r="B150" s="26"/>
      <c r="C150" s="26"/>
      <c r="D150" s="26"/>
      <c r="E150" s="26"/>
      <c r="J150" s="28"/>
    </row>
    <row r="151" ht="15.75" customHeight="1">
      <c r="A151" s="26"/>
      <c r="B151" s="26"/>
      <c r="C151" s="26"/>
      <c r="D151" s="26"/>
      <c r="E151" s="26"/>
      <c r="J151" s="28"/>
    </row>
    <row r="152" ht="15.75" customHeight="1">
      <c r="A152" s="26"/>
      <c r="B152" s="26"/>
      <c r="C152" s="26"/>
      <c r="D152" s="26"/>
      <c r="E152" s="26"/>
      <c r="J152" s="28"/>
    </row>
    <row r="153" ht="15.75" customHeight="1">
      <c r="A153" s="26"/>
      <c r="B153" s="26"/>
      <c r="C153" s="26"/>
      <c r="D153" s="26"/>
      <c r="E153" s="26"/>
      <c r="J153" s="28"/>
    </row>
    <row r="154" ht="15.75" customHeight="1">
      <c r="A154" s="26"/>
      <c r="B154" s="26"/>
      <c r="C154" s="26"/>
      <c r="D154" s="26"/>
      <c r="E154" s="26"/>
      <c r="J154" s="28"/>
    </row>
    <row r="155" ht="15.75" customHeight="1">
      <c r="A155" s="26"/>
      <c r="B155" s="26"/>
      <c r="C155" s="26"/>
      <c r="D155" s="26"/>
      <c r="E155" s="26"/>
      <c r="J155" s="28"/>
    </row>
    <row r="156" ht="15.75" customHeight="1">
      <c r="A156" s="26"/>
      <c r="B156" s="26"/>
      <c r="C156" s="26"/>
      <c r="D156" s="26"/>
      <c r="E156" s="26"/>
      <c r="J156" s="28"/>
    </row>
    <row r="157" ht="15.75" customHeight="1">
      <c r="A157" s="26"/>
      <c r="B157" s="26"/>
      <c r="C157" s="26"/>
      <c r="D157" s="26"/>
      <c r="E157" s="26"/>
      <c r="J157" s="28"/>
    </row>
    <row r="158" ht="15.75" customHeight="1">
      <c r="A158" s="26"/>
      <c r="B158" s="26"/>
      <c r="C158" s="26"/>
      <c r="D158" s="26"/>
      <c r="E158" s="26"/>
      <c r="J158" s="28"/>
    </row>
    <row r="159" ht="15.75" customHeight="1">
      <c r="A159" s="26"/>
      <c r="B159" s="26"/>
      <c r="C159" s="26"/>
      <c r="D159" s="26"/>
      <c r="E159" s="26"/>
      <c r="J159" s="28"/>
    </row>
    <row r="160" ht="15.75" customHeight="1">
      <c r="A160" s="26"/>
      <c r="B160" s="26"/>
      <c r="C160" s="26"/>
      <c r="D160" s="26"/>
      <c r="E160" s="26"/>
      <c r="J160" s="28"/>
    </row>
    <row r="161" ht="15.75" customHeight="1">
      <c r="A161" s="26"/>
      <c r="B161" s="26"/>
      <c r="C161" s="26"/>
      <c r="D161" s="26"/>
      <c r="E161" s="26"/>
      <c r="J161" s="28"/>
    </row>
    <row r="162" ht="15.75" customHeight="1">
      <c r="A162" s="26"/>
      <c r="B162" s="26"/>
      <c r="C162" s="26"/>
      <c r="D162" s="26"/>
      <c r="E162" s="26"/>
      <c r="J162" s="28"/>
    </row>
    <row r="163" ht="15.75" customHeight="1">
      <c r="A163" s="26"/>
      <c r="B163" s="26"/>
      <c r="C163" s="26"/>
      <c r="D163" s="26"/>
      <c r="E163" s="26"/>
      <c r="J163" s="28"/>
    </row>
    <row r="164" ht="15.75" customHeight="1">
      <c r="A164" s="26"/>
      <c r="B164" s="26"/>
      <c r="C164" s="26"/>
      <c r="D164" s="26"/>
      <c r="E164" s="26"/>
      <c r="J164" s="28"/>
    </row>
    <row r="165" ht="15.75" customHeight="1">
      <c r="A165" s="26"/>
      <c r="B165" s="26"/>
      <c r="C165" s="26"/>
      <c r="D165" s="26"/>
      <c r="E165" s="26"/>
      <c r="J165" s="28"/>
    </row>
    <row r="166" ht="15.75" customHeight="1">
      <c r="A166" s="26"/>
      <c r="B166" s="26"/>
      <c r="C166" s="26"/>
      <c r="D166" s="26"/>
      <c r="E166" s="26"/>
      <c r="J166" s="28"/>
    </row>
    <row r="167" ht="15.75" customHeight="1">
      <c r="A167" s="26"/>
      <c r="B167" s="26"/>
      <c r="C167" s="26"/>
      <c r="D167" s="26"/>
      <c r="E167" s="26"/>
      <c r="J167" s="28"/>
    </row>
    <row r="168" ht="15.75" customHeight="1">
      <c r="A168" s="26"/>
      <c r="B168" s="26"/>
      <c r="C168" s="26"/>
      <c r="D168" s="26"/>
      <c r="E168" s="26"/>
      <c r="J168" s="28"/>
    </row>
    <row r="169" ht="15.75" customHeight="1">
      <c r="A169" s="26"/>
      <c r="B169" s="26"/>
      <c r="C169" s="26"/>
      <c r="D169" s="26"/>
      <c r="E169" s="26"/>
      <c r="J169" s="28"/>
    </row>
    <row r="170" ht="15.75" customHeight="1">
      <c r="A170" s="26"/>
      <c r="B170" s="26"/>
      <c r="C170" s="26"/>
      <c r="D170" s="26"/>
      <c r="E170" s="26"/>
      <c r="J170" s="28"/>
    </row>
    <row r="171" ht="15.75" customHeight="1">
      <c r="A171" s="26"/>
      <c r="B171" s="26"/>
      <c r="C171" s="26"/>
      <c r="D171" s="26"/>
      <c r="E171" s="26"/>
      <c r="J171" s="28"/>
    </row>
    <row r="172" ht="15.75" customHeight="1">
      <c r="A172" s="26"/>
      <c r="B172" s="26"/>
      <c r="C172" s="26"/>
      <c r="D172" s="26"/>
      <c r="E172" s="26"/>
      <c r="J172" s="28"/>
    </row>
    <row r="173" ht="15.75" customHeight="1">
      <c r="A173" s="26"/>
      <c r="B173" s="26"/>
      <c r="C173" s="26"/>
      <c r="D173" s="26"/>
      <c r="E173" s="26"/>
      <c r="J173" s="28"/>
    </row>
    <row r="174" ht="15.75" customHeight="1">
      <c r="A174" s="26"/>
      <c r="B174" s="26"/>
      <c r="C174" s="26"/>
      <c r="D174" s="26"/>
      <c r="E174" s="26"/>
      <c r="J174" s="28"/>
    </row>
    <row r="175" ht="15.75" customHeight="1">
      <c r="A175" s="26"/>
      <c r="B175" s="26"/>
      <c r="C175" s="26"/>
      <c r="D175" s="26"/>
      <c r="E175" s="26"/>
      <c r="J175" s="28"/>
    </row>
    <row r="176" ht="15.75" customHeight="1">
      <c r="A176" s="26"/>
      <c r="B176" s="26"/>
      <c r="C176" s="26"/>
      <c r="D176" s="26"/>
      <c r="E176" s="26"/>
      <c r="J176" s="28"/>
    </row>
    <row r="177" ht="15.75" customHeight="1">
      <c r="A177" s="26"/>
      <c r="B177" s="26"/>
      <c r="C177" s="26"/>
      <c r="D177" s="26"/>
      <c r="E177" s="26"/>
      <c r="J177" s="28"/>
    </row>
    <row r="178" ht="15.75" customHeight="1">
      <c r="A178" s="26"/>
      <c r="B178" s="26"/>
      <c r="C178" s="26"/>
      <c r="D178" s="26"/>
      <c r="E178" s="26"/>
      <c r="J178" s="28"/>
    </row>
    <row r="179" ht="15.75" customHeight="1">
      <c r="A179" s="26"/>
      <c r="B179" s="26"/>
      <c r="C179" s="26"/>
      <c r="D179" s="26"/>
      <c r="E179" s="26"/>
      <c r="J179" s="28"/>
    </row>
    <row r="180" ht="15.75" customHeight="1">
      <c r="A180" s="26"/>
      <c r="B180" s="26"/>
      <c r="C180" s="26"/>
      <c r="D180" s="26"/>
      <c r="E180" s="26"/>
      <c r="J180" s="28"/>
    </row>
    <row r="181" ht="15.75" customHeight="1">
      <c r="A181" s="26"/>
      <c r="B181" s="26"/>
      <c r="C181" s="26"/>
      <c r="D181" s="26"/>
      <c r="E181" s="26"/>
      <c r="J181" s="28"/>
    </row>
    <row r="182" ht="15.75" customHeight="1">
      <c r="A182" s="26"/>
      <c r="B182" s="26"/>
      <c r="C182" s="26"/>
      <c r="D182" s="26"/>
      <c r="E182" s="26"/>
      <c r="J182" s="28"/>
    </row>
    <row r="183" ht="15.75" customHeight="1">
      <c r="A183" s="26"/>
      <c r="B183" s="26"/>
      <c r="C183" s="26"/>
      <c r="D183" s="26"/>
      <c r="E183" s="26"/>
      <c r="J183" s="28"/>
    </row>
    <row r="184" ht="15.75" customHeight="1">
      <c r="A184" s="26"/>
      <c r="B184" s="26"/>
      <c r="C184" s="26"/>
      <c r="D184" s="26"/>
      <c r="E184" s="26"/>
      <c r="J184" s="28"/>
    </row>
    <row r="185" ht="15.75" customHeight="1">
      <c r="A185" s="26"/>
      <c r="B185" s="26"/>
      <c r="C185" s="26"/>
      <c r="D185" s="26"/>
      <c r="E185" s="26"/>
      <c r="J185" s="28"/>
    </row>
    <row r="186" ht="15.75" customHeight="1">
      <c r="A186" s="26"/>
      <c r="B186" s="26"/>
      <c r="C186" s="26"/>
      <c r="D186" s="26"/>
      <c r="E186" s="26"/>
      <c r="J186" s="28"/>
    </row>
    <row r="187" ht="15.75" customHeight="1">
      <c r="A187" s="26"/>
      <c r="B187" s="26"/>
      <c r="C187" s="26"/>
      <c r="D187" s="26"/>
      <c r="E187" s="26"/>
      <c r="J187" s="28"/>
    </row>
    <row r="188" ht="15.75" customHeight="1">
      <c r="A188" s="26"/>
      <c r="B188" s="26"/>
      <c r="C188" s="26"/>
      <c r="D188" s="26"/>
      <c r="E188" s="26"/>
      <c r="J188" s="28"/>
    </row>
    <row r="189" ht="15.75" customHeight="1">
      <c r="A189" s="26"/>
      <c r="B189" s="26"/>
      <c r="C189" s="26"/>
      <c r="D189" s="26"/>
      <c r="E189" s="26"/>
      <c r="J189" s="28"/>
    </row>
    <row r="190" ht="15.75" customHeight="1">
      <c r="A190" s="26"/>
      <c r="B190" s="26"/>
      <c r="C190" s="26"/>
      <c r="D190" s="26"/>
      <c r="E190" s="26"/>
      <c r="J190" s="28"/>
    </row>
    <row r="191" ht="15.75" customHeight="1">
      <c r="A191" s="26"/>
      <c r="B191" s="26"/>
      <c r="C191" s="26"/>
      <c r="D191" s="26"/>
      <c r="E191" s="26"/>
      <c r="J191" s="28"/>
    </row>
    <row r="192" ht="15.75" customHeight="1">
      <c r="A192" s="26"/>
      <c r="B192" s="26"/>
      <c r="C192" s="26"/>
      <c r="D192" s="26"/>
      <c r="E192" s="26"/>
      <c r="J192" s="28"/>
    </row>
    <row r="193" ht="15.75" customHeight="1">
      <c r="A193" s="26"/>
      <c r="B193" s="26"/>
      <c r="C193" s="26"/>
      <c r="D193" s="26"/>
      <c r="E193" s="26"/>
      <c r="J193" s="28"/>
    </row>
    <row r="194" ht="15.75" customHeight="1">
      <c r="A194" s="26"/>
      <c r="B194" s="26"/>
      <c r="C194" s="26"/>
      <c r="D194" s="26"/>
      <c r="E194" s="26"/>
      <c r="J194" s="28"/>
    </row>
    <row r="195" ht="15.75" customHeight="1">
      <c r="A195" s="26"/>
      <c r="B195" s="26"/>
      <c r="C195" s="26"/>
      <c r="D195" s="26"/>
      <c r="E195" s="26"/>
      <c r="J195" s="28"/>
    </row>
    <row r="196" ht="15.75" customHeight="1">
      <c r="A196" s="26"/>
      <c r="B196" s="26"/>
      <c r="C196" s="26"/>
      <c r="D196" s="26"/>
      <c r="E196" s="26"/>
      <c r="J196" s="28"/>
    </row>
    <row r="197" ht="15.75" customHeight="1">
      <c r="A197" s="26"/>
      <c r="B197" s="26"/>
      <c r="C197" s="26"/>
      <c r="D197" s="26"/>
      <c r="E197" s="26"/>
      <c r="J197" s="28"/>
    </row>
    <row r="198" ht="15.75" customHeight="1">
      <c r="A198" s="26"/>
      <c r="B198" s="26"/>
      <c r="C198" s="26"/>
      <c r="D198" s="26"/>
      <c r="E198" s="26"/>
      <c r="J198" s="28"/>
    </row>
    <row r="199" ht="15.75" customHeight="1">
      <c r="A199" s="26"/>
      <c r="B199" s="26"/>
      <c r="C199" s="26"/>
      <c r="D199" s="26"/>
      <c r="E199" s="26"/>
      <c r="J199" s="28"/>
    </row>
    <row r="200" ht="15.75" customHeight="1">
      <c r="A200" s="26"/>
      <c r="B200" s="26"/>
      <c r="C200" s="26"/>
      <c r="D200" s="26"/>
      <c r="E200" s="26"/>
      <c r="J200" s="28"/>
    </row>
    <row r="201" ht="15.75" customHeight="1">
      <c r="A201" s="26"/>
      <c r="B201" s="26"/>
      <c r="C201" s="26"/>
      <c r="D201" s="26"/>
      <c r="E201" s="26"/>
      <c r="J201" s="28"/>
    </row>
    <row r="202" ht="15.75" customHeight="1">
      <c r="A202" s="26"/>
      <c r="B202" s="26"/>
      <c r="C202" s="26"/>
      <c r="D202" s="26"/>
      <c r="E202" s="26"/>
      <c r="J202" s="28"/>
    </row>
    <row r="203" ht="15.75" customHeight="1">
      <c r="A203" s="26"/>
      <c r="B203" s="26"/>
      <c r="C203" s="26"/>
      <c r="D203" s="26"/>
      <c r="E203" s="26"/>
      <c r="J203" s="28"/>
    </row>
    <row r="204" ht="15.75" customHeight="1">
      <c r="A204" s="26"/>
      <c r="B204" s="26"/>
      <c r="C204" s="26"/>
      <c r="D204" s="26"/>
      <c r="E204" s="26"/>
      <c r="J204" s="28"/>
    </row>
    <row r="205" ht="15.75" customHeight="1">
      <c r="A205" s="26"/>
      <c r="B205" s="26"/>
      <c r="C205" s="26"/>
      <c r="D205" s="26"/>
      <c r="E205" s="26"/>
      <c r="J205" s="28"/>
    </row>
    <row r="206" ht="15.75" customHeight="1">
      <c r="A206" s="26"/>
      <c r="B206" s="26"/>
      <c r="C206" s="26"/>
      <c r="D206" s="26"/>
      <c r="E206" s="26"/>
      <c r="J206" s="28"/>
    </row>
    <row r="207" ht="15.75" customHeight="1">
      <c r="A207" s="26"/>
      <c r="B207" s="26"/>
      <c r="C207" s="26"/>
      <c r="D207" s="26"/>
      <c r="E207" s="26"/>
      <c r="J207" s="28"/>
    </row>
    <row r="208" ht="15.75" customHeight="1">
      <c r="A208" s="26"/>
      <c r="B208" s="26"/>
      <c r="C208" s="26"/>
      <c r="D208" s="26"/>
      <c r="E208" s="26"/>
      <c r="J208" s="28"/>
    </row>
    <row r="209" ht="15.75" customHeight="1">
      <c r="A209" s="26"/>
      <c r="B209" s="26"/>
      <c r="C209" s="26"/>
      <c r="D209" s="26"/>
      <c r="E209" s="26"/>
      <c r="J209" s="28"/>
    </row>
    <row r="210" ht="15.75" customHeight="1">
      <c r="A210" s="26"/>
      <c r="B210" s="26"/>
      <c r="C210" s="26"/>
      <c r="D210" s="26"/>
      <c r="E210" s="26"/>
      <c r="J210" s="28"/>
    </row>
    <row r="211" ht="15.75" customHeight="1">
      <c r="A211" s="26"/>
      <c r="B211" s="26"/>
      <c r="C211" s="26"/>
      <c r="D211" s="26"/>
      <c r="E211" s="26"/>
      <c r="J211" s="28"/>
    </row>
    <row r="212" ht="15.75" customHeight="1">
      <c r="A212" s="26"/>
      <c r="B212" s="26"/>
      <c r="C212" s="26"/>
      <c r="D212" s="26"/>
      <c r="E212" s="26"/>
      <c r="J212" s="28"/>
    </row>
    <row r="213" ht="15.75" customHeight="1">
      <c r="A213" s="26"/>
      <c r="B213" s="26"/>
      <c r="C213" s="26"/>
      <c r="D213" s="26"/>
      <c r="E213" s="26"/>
      <c r="J213" s="28"/>
    </row>
    <row r="214" ht="15.75" customHeight="1">
      <c r="A214" s="26"/>
      <c r="B214" s="26"/>
      <c r="C214" s="26"/>
      <c r="D214" s="26"/>
      <c r="E214" s="26"/>
      <c r="J214" s="28"/>
    </row>
    <row r="215" ht="15.75" customHeight="1">
      <c r="A215" s="26"/>
      <c r="B215" s="26"/>
      <c r="C215" s="26"/>
      <c r="D215" s="26"/>
      <c r="E215" s="26"/>
      <c r="J215" s="28"/>
    </row>
    <row r="216" ht="15.75" customHeight="1">
      <c r="A216" s="26"/>
      <c r="B216" s="26"/>
      <c r="C216" s="26"/>
      <c r="D216" s="26"/>
      <c r="E216" s="26"/>
      <c r="J216" s="28"/>
    </row>
    <row r="217" ht="15.75" customHeight="1">
      <c r="J217" s="28"/>
    </row>
    <row r="218" ht="15.75" customHeight="1">
      <c r="J218" s="28"/>
    </row>
    <row r="219" ht="15.75" customHeight="1">
      <c r="J219" s="28"/>
    </row>
    <row r="220" ht="15.75" customHeight="1">
      <c r="J220" s="60"/>
    </row>
    <row r="221" ht="15.75" customHeight="1">
      <c r="J221" s="60"/>
    </row>
    <row r="222" ht="15.75" customHeight="1">
      <c r="J222" s="60"/>
    </row>
    <row r="223" ht="15.75" customHeight="1">
      <c r="J223" s="60"/>
    </row>
    <row r="224" ht="15.75" customHeight="1">
      <c r="J224" s="60"/>
    </row>
    <row r="225" ht="15.75" customHeight="1">
      <c r="J225" s="60"/>
    </row>
    <row r="226" ht="15.75" customHeight="1">
      <c r="J226" s="60"/>
    </row>
    <row r="227" ht="15.75" customHeight="1">
      <c r="J227" s="60"/>
    </row>
    <row r="228" ht="15.75" customHeight="1">
      <c r="J228" s="60"/>
    </row>
    <row r="229" ht="15.75" customHeight="1">
      <c r="J229" s="60"/>
    </row>
    <row r="230" ht="15.75" customHeight="1">
      <c r="J230" s="60"/>
    </row>
    <row r="231" ht="15.75" customHeight="1">
      <c r="J231" s="60"/>
    </row>
    <row r="232" ht="15.75" customHeight="1">
      <c r="J232" s="60"/>
    </row>
    <row r="233" ht="15.75" customHeight="1">
      <c r="J233" s="60"/>
    </row>
    <row r="234" ht="15.75" customHeight="1">
      <c r="J234" s="60"/>
    </row>
    <row r="235" ht="15.75" customHeight="1">
      <c r="J235" s="60"/>
    </row>
    <row r="236" ht="15.75" customHeight="1">
      <c r="J236" s="60"/>
    </row>
    <row r="237" ht="15.75" customHeight="1">
      <c r="J237" s="60"/>
    </row>
    <row r="238" ht="15.75" customHeight="1">
      <c r="J238" s="60"/>
    </row>
    <row r="239" ht="15.75" customHeight="1">
      <c r="J239" s="60"/>
    </row>
    <row r="240" ht="15.75" customHeight="1">
      <c r="J240" s="60"/>
    </row>
    <row r="241" ht="15.75" customHeight="1">
      <c r="J241" s="60"/>
    </row>
    <row r="242" ht="15.75" customHeight="1">
      <c r="J242" s="60"/>
    </row>
    <row r="243" ht="15.75" customHeight="1">
      <c r="J243" s="60"/>
    </row>
    <row r="244" ht="15.75" customHeight="1">
      <c r="J244" s="60"/>
    </row>
    <row r="245" ht="15.75" customHeight="1">
      <c r="J245" s="60"/>
    </row>
    <row r="246" ht="15.75" customHeight="1">
      <c r="J246" s="60"/>
    </row>
    <row r="247" ht="15.75" customHeight="1">
      <c r="J247" s="60"/>
    </row>
    <row r="248" ht="15.75" customHeight="1">
      <c r="J248" s="60"/>
    </row>
    <row r="249" ht="15.75" customHeight="1">
      <c r="J249" s="60"/>
    </row>
  </sheetData>
  <mergeCells count="15">
    <mergeCell ref="D5:D24"/>
    <mergeCell ref="D25:D44"/>
    <mergeCell ref="E25:E44"/>
    <mergeCell ref="J25:J44"/>
    <mergeCell ref="D45:D64"/>
    <mergeCell ref="E45:E64"/>
    <mergeCell ref="J45:J64"/>
    <mergeCell ref="D65:I65"/>
    <mergeCell ref="A1:B1"/>
    <mergeCell ref="A2:B2"/>
    <mergeCell ref="D2:J2"/>
    <mergeCell ref="L2:M3"/>
    <mergeCell ref="D3:E3"/>
    <mergeCell ref="E5:E24"/>
    <mergeCell ref="J5:J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11.0"/>
    <col customWidth="1" min="9" max="9" width="16.75"/>
    <col customWidth="1" min="10" max="10" width="17.75"/>
    <col customWidth="1" min="11" max="11" width="6.38"/>
    <col customWidth="1" min="12" max="12" width="19.38"/>
  </cols>
  <sheetData>
    <row r="1" ht="15.75" customHeight="1">
      <c r="A1" s="25" t="s">
        <v>37</v>
      </c>
      <c r="B1" s="5"/>
      <c r="C1" s="26"/>
      <c r="D1" s="26"/>
      <c r="E1" s="26"/>
      <c r="F1" s="27"/>
      <c r="G1" s="27"/>
      <c r="H1" s="27"/>
      <c r="I1" s="27"/>
      <c r="J1" s="28"/>
      <c r="K1" s="27"/>
      <c r="L1" s="27"/>
      <c r="M1" s="27"/>
      <c r="N1" s="27"/>
    </row>
    <row r="2" ht="15.75" customHeight="1">
      <c r="A2" s="29" t="s">
        <v>38</v>
      </c>
      <c r="B2" s="5"/>
      <c r="C2" s="30"/>
      <c r="D2" s="30" t="s">
        <v>39</v>
      </c>
      <c r="K2" s="27"/>
      <c r="L2" s="31" t="s">
        <v>40</v>
      </c>
      <c r="M2" s="32"/>
      <c r="N2" s="27"/>
    </row>
    <row r="3" ht="36.75" customHeight="1">
      <c r="A3" s="33" t="s">
        <v>41</v>
      </c>
      <c r="B3" s="34" t="s">
        <v>42</v>
      </c>
      <c r="C3" s="26"/>
      <c r="D3" s="35" t="s">
        <v>43</v>
      </c>
      <c r="F3" s="27"/>
      <c r="G3" s="27"/>
      <c r="H3" s="27"/>
      <c r="I3" s="27"/>
      <c r="J3" s="36"/>
      <c r="K3" s="27"/>
      <c r="L3" s="37"/>
      <c r="M3" s="12"/>
      <c r="N3" s="27"/>
    </row>
    <row r="4" ht="15.75" customHeight="1">
      <c r="A4" s="38" t="s">
        <v>19</v>
      </c>
      <c r="B4" s="39">
        <v>3100.0</v>
      </c>
      <c r="C4" s="40"/>
      <c r="D4" s="41" t="s">
        <v>1</v>
      </c>
      <c r="E4" s="41" t="s">
        <v>44</v>
      </c>
      <c r="F4" s="42" t="s">
        <v>45</v>
      </c>
      <c r="G4" s="43" t="s">
        <v>46</v>
      </c>
      <c r="H4" s="43" t="s">
        <v>47</v>
      </c>
      <c r="I4" s="43" t="s">
        <v>48</v>
      </c>
      <c r="J4" s="44" t="s">
        <v>49</v>
      </c>
      <c r="K4" s="27"/>
      <c r="L4" s="45" t="s">
        <v>50</v>
      </c>
      <c r="M4" s="45" t="s">
        <v>46</v>
      </c>
      <c r="N4" s="27"/>
    </row>
    <row r="5" ht="15.75" customHeight="1">
      <c r="A5" s="38" t="s">
        <v>51</v>
      </c>
      <c r="B5" s="39">
        <v>3000.0</v>
      </c>
      <c r="C5" s="46"/>
      <c r="D5" s="47">
        <v>1.0</v>
      </c>
      <c r="E5" s="48" t="s">
        <v>63</v>
      </c>
      <c r="F5" s="38" t="s">
        <v>19</v>
      </c>
      <c r="G5" s="49">
        <v>1.0</v>
      </c>
      <c r="H5" s="50">
        <f>VLOOKUP(F5,$A$4:$B$4,2,TRUE)</f>
        <v>3100</v>
      </c>
      <c r="I5" s="51">
        <f t="shared" ref="I5:I184" si="1">G5*H5</f>
        <v>3100</v>
      </c>
      <c r="J5" s="52">
        <f>SUM(I5:I24)</f>
        <v>9100</v>
      </c>
      <c r="K5" s="27"/>
      <c r="L5" s="38" t="s">
        <v>19</v>
      </c>
      <c r="M5" s="45">
        <f>SUMIF(F5:F184,"Gelas bersih",G5:G184)</f>
        <v>1.5</v>
      </c>
      <c r="N5" s="27"/>
    </row>
    <row r="6" ht="15.75" customHeight="1">
      <c r="A6" s="38" t="s">
        <v>53</v>
      </c>
      <c r="B6" s="39">
        <v>800.0</v>
      </c>
      <c r="C6" s="46"/>
      <c r="D6" s="53"/>
      <c r="E6" s="53"/>
      <c r="F6" s="38" t="s">
        <v>51</v>
      </c>
      <c r="G6" s="49">
        <v>2.0</v>
      </c>
      <c r="H6" s="54">
        <f>VLOOKUP(F6,$A$5:$B$5,2,TRUE)</f>
        <v>3000</v>
      </c>
      <c r="I6" s="51">
        <f t="shared" si="1"/>
        <v>6000</v>
      </c>
      <c r="J6" s="53"/>
      <c r="K6" s="27"/>
      <c r="L6" s="38" t="s">
        <v>51</v>
      </c>
      <c r="M6" s="45">
        <f>SUMIF(F6:F185,"Botol bersih",G6:G185)</f>
        <v>22</v>
      </c>
      <c r="N6" s="27"/>
    </row>
    <row r="7" ht="15.75" customHeight="1">
      <c r="A7" s="38" t="s">
        <v>22</v>
      </c>
      <c r="B7" s="39">
        <v>2000.0</v>
      </c>
      <c r="C7" s="46"/>
      <c r="D7" s="53"/>
      <c r="E7" s="53"/>
      <c r="F7" s="38" t="s">
        <v>53</v>
      </c>
      <c r="G7" s="49"/>
      <c r="H7" s="54">
        <f>VLOOKUP(F7,$A$6:$B$6,2,TRUE)</f>
        <v>800</v>
      </c>
      <c r="I7" s="51">
        <f t="shared" si="1"/>
        <v>0</v>
      </c>
      <c r="J7" s="53"/>
      <c r="K7" s="27"/>
      <c r="L7" s="38" t="s">
        <v>53</v>
      </c>
      <c r="M7" s="45">
        <f>SUMIF(F7:F185,"Botol Warna",G7:G185)</f>
        <v>31</v>
      </c>
      <c r="N7" s="27"/>
    </row>
    <row r="8" ht="15.75" customHeight="1">
      <c r="A8" s="38" t="s">
        <v>23</v>
      </c>
      <c r="B8" s="39">
        <v>2800.0</v>
      </c>
      <c r="C8" s="46"/>
      <c r="D8" s="53"/>
      <c r="E8" s="53"/>
      <c r="F8" s="38" t="s">
        <v>22</v>
      </c>
      <c r="G8" s="49"/>
      <c r="H8" s="54">
        <f>VLOOKUP(F8,$A$7:$B$7,2,TRUE)</f>
        <v>2000</v>
      </c>
      <c r="I8" s="51">
        <f t="shared" si="1"/>
        <v>0</v>
      </c>
      <c r="J8" s="53"/>
      <c r="K8" s="27"/>
      <c r="L8" s="38" t="s">
        <v>22</v>
      </c>
      <c r="M8" s="45">
        <f>SUMIF(F8:F186,"Tutup botol",G8:G186)</f>
        <v>4</v>
      </c>
      <c r="N8" s="27"/>
    </row>
    <row r="9" ht="15.75" customHeight="1">
      <c r="A9" s="38" t="s">
        <v>54</v>
      </c>
      <c r="B9" s="39">
        <v>800.0</v>
      </c>
      <c r="C9" s="46"/>
      <c r="D9" s="53"/>
      <c r="E9" s="53"/>
      <c r="F9" s="38" t="s">
        <v>23</v>
      </c>
      <c r="G9" s="49"/>
      <c r="H9" s="54">
        <f>VLOOKUP(F9, $A$8:$B$8, 2, FALSE)</f>
        <v>2800</v>
      </c>
      <c r="I9" s="51">
        <f t="shared" si="1"/>
        <v>0</v>
      </c>
      <c r="J9" s="53"/>
      <c r="K9" s="27"/>
      <c r="L9" s="38" t="s">
        <v>23</v>
      </c>
      <c r="M9" s="45">
        <f>SUMIF(F9:F187,"Tutup galon",G9:G187)</f>
        <v>0</v>
      </c>
      <c r="N9" s="27"/>
    </row>
    <row r="10" ht="15.75" customHeight="1">
      <c r="A10" s="38" t="s">
        <v>25</v>
      </c>
      <c r="B10" s="39">
        <v>1500.0</v>
      </c>
      <c r="C10" s="46"/>
      <c r="D10" s="53"/>
      <c r="E10" s="53"/>
      <c r="F10" s="38" t="s">
        <v>54</v>
      </c>
      <c r="G10" s="49"/>
      <c r="H10" s="54">
        <f>VLOOKUP(F10, $A$9:$B$9, 2, FALSE)</f>
        <v>800</v>
      </c>
      <c r="I10" s="51">
        <f t="shared" si="1"/>
        <v>0</v>
      </c>
      <c r="J10" s="53"/>
      <c r="K10" s="27"/>
      <c r="L10" s="38" t="s">
        <v>54</v>
      </c>
      <c r="M10" s="45">
        <f>SUMIF(F10:F189,"Emberan/Atum",G10:G189)</f>
        <v>15.5</v>
      </c>
      <c r="N10" s="27"/>
    </row>
    <row r="11" ht="15.75" customHeight="1">
      <c r="A11" s="38" t="s">
        <v>26</v>
      </c>
      <c r="B11" s="39">
        <v>1200.0</v>
      </c>
      <c r="C11" s="46"/>
      <c r="D11" s="53"/>
      <c r="E11" s="53"/>
      <c r="F11" s="38" t="s">
        <v>25</v>
      </c>
      <c r="G11" s="49"/>
      <c r="H11" s="54">
        <f>VLOOKUP(F11,$A$10:$B$10,2,TRUE)</f>
        <v>1500</v>
      </c>
      <c r="I11" s="51">
        <f t="shared" si="1"/>
        <v>0</v>
      </c>
      <c r="J11" s="53"/>
      <c r="K11" s="27"/>
      <c r="L11" s="38" t="s">
        <v>25</v>
      </c>
      <c r="M11" s="45">
        <f>SUMIF(F11:F190,"Kardus",G11:G190)</f>
        <v>35</v>
      </c>
      <c r="N11" s="27"/>
    </row>
    <row r="12" ht="15.75" customHeight="1">
      <c r="A12" s="38" t="s">
        <v>28</v>
      </c>
      <c r="B12" s="39">
        <v>500.0</v>
      </c>
      <c r="C12" s="46"/>
      <c r="D12" s="53"/>
      <c r="E12" s="53"/>
      <c r="F12" s="38" t="s">
        <v>26</v>
      </c>
      <c r="G12" s="49"/>
      <c r="H12" s="54">
        <f>VLOOKUP(F12,$A$11:$B$11,2,TRUE)</f>
        <v>1200</v>
      </c>
      <c r="I12" s="51">
        <f t="shared" si="1"/>
        <v>0</v>
      </c>
      <c r="J12" s="53"/>
      <c r="K12" s="27"/>
      <c r="L12" s="38" t="s">
        <v>26</v>
      </c>
      <c r="M12" s="45">
        <v>13.5</v>
      </c>
      <c r="N12" s="27"/>
    </row>
    <row r="13" ht="15.75" customHeight="1">
      <c r="A13" s="38" t="s">
        <v>29</v>
      </c>
      <c r="B13" s="39">
        <v>6500.0</v>
      </c>
      <c r="C13" s="46"/>
      <c r="D13" s="53"/>
      <c r="E13" s="53"/>
      <c r="F13" s="38" t="s">
        <v>28</v>
      </c>
      <c r="G13" s="49"/>
      <c r="H13" s="54">
        <f>VLOOKUP(F13,$A$12:$B$12,2,TRUE)</f>
        <v>500</v>
      </c>
      <c r="I13" s="51">
        <f t="shared" si="1"/>
        <v>0</v>
      </c>
      <c r="J13" s="53"/>
      <c r="K13" s="27"/>
      <c r="L13" s="38" t="s">
        <v>28</v>
      </c>
      <c r="M13" s="45">
        <f>SUMIF(F13:F193,"Duplex",G13:G193)</f>
        <v>3</v>
      </c>
      <c r="N13" s="27"/>
    </row>
    <row r="14" ht="15.75" customHeight="1">
      <c r="A14" s="38" t="s">
        <v>30</v>
      </c>
      <c r="B14" s="39">
        <v>2200.0</v>
      </c>
      <c r="C14" s="46"/>
      <c r="D14" s="53"/>
      <c r="E14" s="53"/>
      <c r="F14" s="38" t="s">
        <v>29</v>
      </c>
      <c r="G14" s="49"/>
      <c r="H14" s="54">
        <f>VLOOKUP(F14,$A$13:$B$13,2,TRUE)</f>
        <v>6500</v>
      </c>
      <c r="I14" s="51">
        <f t="shared" si="1"/>
        <v>0</v>
      </c>
      <c r="J14" s="53"/>
      <c r="K14" s="27"/>
      <c r="L14" s="38" t="s">
        <v>29</v>
      </c>
      <c r="M14" s="45">
        <f>SUMIF(F14:F194,"Alumunium",G14:G194)</f>
        <v>0</v>
      </c>
      <c r="N14" s="27"/>
    </row>
    <row r="15" ht="15.75" customHeight="1">
      <c r="A15" s="38" t="s">
        <v>31</v>
      </c>
      <c r="B15" s="39">
        <v>1300.0</v>
      </c>
      <c r="C15" s="46"/>
      <c r="D15" s="53"/>
      <c r="E15" s="53"/>
      <c r="F15" s="38" t="s">
        <v>30</v>
      </c>
      <c r="G15" s="49"/>
      <c r="H15" s="54">
        <f>VLOOKUP(F15,$A$14:$B$14,2,TRUE)</f>
        <v>2200</v>
      </c>
      <c r="I15" s="51">
        <f t="shared" si="1"/>
        <v>0</v>
      </c>
      <c r="J15" s="53"/>
      <c r="K15" s="27"/>
      <c r="L15" s="38" t="s">
        <v>30</v>
      </c>
      <c r="M15" s="45">
        <f>SUMIF(F15:F195,"Besi",G15:G195)</f>
        <v>12.5</v>
      </c>
      <c r="N15" s="27"/>
    </row>
    <row r="16" ht="15.75" customHeight="1">
      <c r="A16" s="38" t="s">
        <v>32</v>
      </c>
      <c r="B16" s="39">
        <v>5000.0</v>
      </c>
      <c r="C16" s="46"/>
      <c r="D16" s="53"/>
      <c r="E16" s="53"/>
      <c r="F16" s="38" t="s">
        <v>31</v>
      </c>
      <c r="G16" s="49"/>
      <c r="H16" s="54">
        <f>VLOOKUP(F16,$A$15:$B$15,2,TRUE)</f>
        <v>1300</v>
      </c>
      <c r="I16" s="51">
        <f t="shared" si="1"/>
        <v>0</v>
      </c>
      <c r="J16" s="53"/>
      <c r="K16" s="27"/>
      <c r="L16" s="38" t="s">
        <v>31</v>
      </c>
      <c r="M16" s="45">
        <f>SUMIF(F16:F196,"Kaleng kue/susu",G16:G196)</f>
        <v>0</v>
      </c>
      <c r="N16" s="27"/>
    </row>
    <row r="17" ht="15.75" customHeight="1">
      <c r="A17" s="38" t="s">
        <v>33</v>
      </c>
      <c r="B17" s="39">
        <v>2500.0</v>
      </c>
      <c r="C17" s="46"/>
      <c r="D17" s="53"/>
      <c r="E17" s="53"/>
      <c r="F17" s="38" t="s">
        <v>32</v>
      </c>
      <c r="G17" s="49"/>
      <c r="H17" s="54">
        <f>VLOOKUP(F17,$A$16:$B$16,2,TRUE)</f>
        <v>5000</v>
      </c>
      <c r="I17" s="51">
        <f t="shared" si="1"/>
        <v>0</v>
      </c>
      <c r="J17" s="53"/>
      <c r="K17" s="27"/>
      <c r="L17" s="38" t="s">
        <v>32</v>
      </c>
      <c r="M17" s="45">
        <f>SUMIF(F17:F197,"Kaleng Minuman",G17:G197)</f>
        <v>1.5</v>
      </c>
      <c r="N17" s="27"/>
    </row>
    <row r="18" ht="15.75" customHeight="1">
      <c r="A18" s="38" t="s">
        <v>35</v>
      </c>
      <c r="B18" s="39">
        <v>10000.0</v>
      </c>
      <c r="C18" s="46"/>
      <c r="D18" s="53"/>
      <c r="E18" s="53"/>
      <c r="F18" s="38" t="s">
        <v>33</v>
      </c>
      <c r="G18" s="49"/>
      <c r="H18" s="54">
        <f>VLOOKUP(F18, $A$17:$B$17, 2, FALSE)</f>
        <v>2500</v>
      </c>
      <c r="I18" s="51">
        <f t="shared" si="1"/>
        <v>0</v>
      </c>
      <c r="J18" s="53"/>
      <c r="K18" s="27"/>
      <c r="L18" s="38" t="s">
        <v>33</v>
      </c>
      <c r="M18" s="45">
        <f>SUMIF(F18:F199,"Stanless",G18:G199)</f>
        <v>0</v>
      </c>
      <c r="N18" s="27"/>
    </row>
    <row r="19" ht="15.75" customHeight="1">
      <c r="A19" s="38" t="s">
        <v>55</v>
      </c>
      <c r="B19" s="39">
        <v>300.0</v>
      </c>
      <c r="C19" s="46"/>
      <c r="D19" s="53"/>
      <c r="E19" s="53"/>
      <c r="F19" s="38" t="s">
        <v>35</v>
      </c>
      <c r="G19" s="49"/>
      <c r="H19" s="54">
        <f>VLOOKUP(F19, $A$18:$B$18, 2, FALSE)</f>
        <v>10000</v>
      </c>
      <c r="I19" s="51">
        <f t="shared" si="1"/>
        <v>0</v>
      </c>
      <c r="J19" s="53"/>
      <c r="K19" s="27"/>
      <c r="L19" s="38" t="s">
        <v>35</v>
      </c>
      <c r="M19" s="45">
        <f>SUMIF(F19:F201,"Aki Motor",G19:G201)</f>
        <v>0</v>
      </c>
      <c r="N19" s="27"/>
    </row>
    <row r="20" ht="15.75" customHeight="1">
      <c r="A20" s="38" t="s">
        <v>15</v>
      </c>
      <c r="B20" s="39">
        <v>300.0</v>
      </c>
      <c r="C20" s="46"/>
      <c r="D20" s="53"/>
      <c r="E20" s="53"/>
      <c r="F20" s="38" t="s">
        <v>55</v>
      </c>
      <c r="G20" s="49"/>
      <c r="H20" s="54">
        <f>VLOOKUP(F20,$A$19:$B$19,2,TRUE)</f>
        <v>300</v>
      </c>
      <c r="I20" s="51">
        <f t="shared" si="1"/>
        <v>0</v>
      </c>
      <c r="J20" s="53"/>
      <c r="K20" s="27"/>
      <c r="L20" s="38" t="s">
        <v>55</v>
      </c>
      <c r="M20" s="45">
        <f>SUMIF(F20:F204,"Plastik Keresek",G20:G204)</f>
        <v>1.5</v>
      </c>
      <c r="N20" s="27"/>
    </row>
    <row r="21" ht="15.75" customHeight="1">
      <c r="A21" s="38" t="s">
        <v>11</v>
      </c>
      <c r="B21" s="39">
        <v>1700.0</v>
      </c>
      <c r="C21" s="46"/>
      <c r="D21" s="53"/>
      <c r="E21" s="53"/>
      <c r="F21" s="38" t="s">
        <v>15</v>
      </c>
      <c r="G21" s="49"/>
      <c r="H21" s="54">
        <f>VLOOKUP(F21,$A$20:$B$20,2,TRUE)</f>
        <v>300</v>
      </c>
      <c r="I21" s="51">
        <f t="shared" si="1"/>
        <v>0</v>
      </c>
      <c r="J21" s="53"/>
      <c r="K21" s="27"/>
      <c r="L21" s="38" t="s">
        <v>15</v>
      </c>
      <c r="M21" s="45">
        <f>SUMIF(F21:F206,"Beling",G21:G206)</f>
        <v>13</v>
      </c>
      <c r="N21" s="27"/>
    </row>
    <row r="22" ht="15.75" customHeight="1">
      <c r="A22" s="38" t="s">
        <v>17</v>
      </c>
      <c r="B22" s="55">
        <v>4500.0</v>
      </c>
      <c r="C22" s="46"/>
      <c r="D22" s="53"/>
      <c r="E22" s="53"/>
      <c r="F22" s="38" t="s">
        <v>11</v>
      </c>
      <c r="G22" s="49"/>
      <c r="H22" s="54">
        <f>VLOOKUP(F22,$A$21:$B$21,2,TRUE)</f>
        <v>1700</v>
      </c>
      <c r="I22" s="51">
        <f t="shared" si="1"/>
        <v>0</v>
      </c>
      <c r="J22" s="53"/>
      <c r="K22" s="27"/>
      <c r="L22" s="38" t="s">
        <v>11</v>
      </c>
      <c r="M22" s="45">
        <f>SUMIF(F22:F208,"Paku",G22:G208)</f>
        <v>0</v>
      </c>
      <c r="N22" s="27"/>
    </row>
    <row r="23" ht="15.75" customHeight="1">
      <c r="A23" s="38" t="s">
        <v>56</v>
      </c>
      <c r="B23" s="39">
        <v>500.0</v>
      </c>
      <c r="C23" s="46"/>
      <c r="D23" s="53"/>
      <c r="E23" s="53"/>
      <c r="F23" s="38" t="s">
        <v>17</v>
      </c>
      <c r="G23" s="49"/>
      <c r="H23" s="54">
        <f>VLOOKUP(F22,$A$22:$B$22,2,TRUE)</f>
        <v>4500</v>
      </c>
      <c r="I23" s="51">
        <f t="shared" si="1"/>
        <v>0</v>
      </c>
      <c r="J23" s="53"/>
      <c r="K23" s="27"/>
      <c r="L23" s="38" t="s">
        <v>17</v>
      </c>
      <c r="M23" s="45">
        <f>SUMIF(F23:F209,"Minyak Jelantah",G23:G209)</f>
        <v>32.5</v>
      </c>
      <c r="N23" s="27"/>
    </row>
    <row r="24" ht="15.75" customHeight="1">
      <c r="A24" s="46"/>
      <c r="B24" s="46"/>
      <c r="C24" s="46"/>
      <c r="D24" s="14"/>
      <c r="E24" s="14"/>
      <c r="F24" s="38" t="s">
        <v>56</v>
      </c>
      <c r="G24" s="49">
        <v>3.0</v>
      </c>
      <c r="H24" s="54"/>
      <c r="I24" s="51">
        <f t="shared" si="1"/>
        <v>0</v>
      </c>
      <c r="J24" s="14"/>
      <c r="K24" s="27"/>
      <c r="L24" s="38" t="s">
        <v>56</v>
      </c>
      <c r="M24" s="45">
        <f>SUMIF(F24:F210,"Lainnya",G24:G210)</f>
        <v>17.5</v>
      </c>
      <c r="N24" s="27"/>
    </row>
    <row r="25" ht="15.75" customHeight="1">
      <c r="A25" s="46"/>
      <c r="B25" s="46"/>
      <c r="C25" s="46"/>
      <c r="D25" s="47">
        <v>2.0</v>
      </c>
      <c r="E25" s="48" t="s">
        <v>64</v>
      </c>
      <c r="F25" s="38" t="s">
        <v>19</v>
      </c>
      <c r="G25" s="49"/>
      <c r="H25" s="50">
        <f>VLOOKUP(F25,$A$4:$B$4,2,TRUE)</f>
        <v>3100</v>
      </c>
      <c r="I25" s="51">
        <f t="shared" si="1"/>
        <v>0</v>
      </c>
      <c r="J25" s="52">
        <f>SUM(I25:I44)</f>
        <v>63700</v>
      </c>
      <c r="K25" s="27"/>
      <c r="L25" s="56" t="s">
        <v>58</v>
      </c>
      <c r="M25" s="57">
        <f>SUM(M5:M24)</f>
        <v>204</v>
      </c>
      <c r="N25" s="27"/>
    </row>
    <row r="26" ht="15.75" customHeight="1">
      <c r="A26" s="46"/>
      <c r="B26" s="46"/>
      <c r="C26" s="46"/>
      <c r="D26" s="53"/>
      <c r="E26" s="53"/>
      <c r="F26" s="38" t="s">
        <v>51</v>
      </c>
      <c r="G26" s="49">
        <v>9.5</v>
      </c>
      <c r="H26" s="54">
        <f>VLOOKUP(F26,$A$5:$B$5,2,TRUE)</f>
        <v>3000</v>
      </c>
      <c r="I26" s="51">
        <f t="shared" si="1"/>
        <v>28500</v>
      </c>
      <c r="J26" s="53"/>
      <c r="K26" s="27"/>
      <c r="L26" s="27"/>
      <c r="M26" s="27"/>
      <c r="N26" s="27"/>
    </row>
    <row r="27" ht="15.75" customHeight="1">
      <c r="A27" s="46"/>
      <c r="B27" s="46"/>
      <c r="C27" s="46"/>
      <c r="D27" s="53"/>
      <c r="E27" s="53"/>
      <c r="F27" s="38" t="s">
        <v>53</v>
      </c>
      <c r="G27" s="49">
        <v>14.0</v>
      </c>
      <c r="H27" s="54">
        <f>VLOOKUP(F27,$A$6:$B$6,2,TRUE)</f>
        <v>800</v>
      </c>
      <c r="I27" s="51">
        <f t="shared" si="1"/>
        <v>11200</v>
      </c>
      <c r="J27" s="53"/>
      <c r="K27" s="27"/>
      <c r="L27" s="27"/>
      <c r="M27" s="27"/>
      <c r="N27" s="27"/>
    </row>
    <row r="28" ht="15.75" customHeight="1">
      <c r="A28" s="46"/>
      <c r="B28" s="46"/>
      <c r="C28" s="46"/>
      <c r="D28" s="53"/>
      <c r="E28" s="53"/>
      <c r="F28" s="38" t="s">
        <v>22</v>
      </c>
      <c r="G28" s="49"/>
      <c r="H28" s="54">
        <f>VLOOKUP(F28,$A$7:$B$7,2,TRUE)</f>
        <v>2000</v>
      </c>
      <c r="I28" s="51">
        <f t="shared" si="1"/>
        <v>0</v>
      </c>
      <c r="J28" s="53"/>
      <c r="K28" s="27"/>
      <c r="L28" s="27"/>
      <c r="M28" s="27"/>
      <c r="N28" s="27"/>
    </row>
    <row r="29" ht="15.75" customHeight="1">
      <c r="A29" s="46"/>
      <c r="B29" s="46"/>
      <c r="C29" s="46"/>
      <c r="D29" s="53"/>
      <c r="E29" s="53"/>
      <c r="F29" s="38" t="s">
        <v>23</v>
      </c>
      <c r="G29" s="49"/>
      <c r="H29" s="54">
        <f>VLOOKUP(F29, $A$8:$B$8, 2, FALSE)</f>
        <v>2800</v>
      </c>
      <c r="I29" s="51">
        <f t="shared" si="1"/>
        <v>0</v>
      </c>
      <c r="J29" s="53"/>
      <c r="K29" s="27"/>
      <c r="L29" s="27"/>
      <c r="M29" s="27"/>
      <c r="N29" s="27"/>
    </row>
    <row r="30" ht="15.75" customHeight="1">
      <c r="A30" s="46"/>
      <c r="B30" s="46"/>
      <c r="C30" s="46"/>
      <c r="D30" s="53"/>
      <c r="E30" s="53"/>
      <c r="F30" s="38" t="s">
        <v>54</v>
      </c>
      <c r="G30" s="49"/>
      <c r="H30" s="54">
        <f>VLOOKUP(F30, $A$9:$B$9, 2, FALSE)</f>
        <v>800</v>
      </c>
      <c r="I30" s="51">
        <f t="shared" si="1"/>
        <v>0</v>
      </c>
      <c r="J30" s="53"/>
      <c r="K30" s="27"/>
      <c r="L30" s="27"/>
      <c r="M30" s="27"/>
      <c r="N30" s="27"/>
    </row>
    <row r="31" ht="15.75" customHeight="1">
      <c r="A31" s="46"/>
      <c r="B31" s="46"/>
      <c r="C31" s="46"/>
      <c r="D31" s="53"/>
      <c r="E31" s="53"/>
      <c r="F31" s="38" t="s">
        <v>25</v>
      </c>
      <c r="G31" s="49">
        <f>11+5</f>
        <v>16</v>
      </c>
      <c r="H31" s="54">
        <f>VLOOKUP(F31,$A$10:$B$10,2,TRUE)</f>
        <v>1500</v>
      </c>
      <c r="I31" s="51">
        <f t="shared" si="1"/>
        <v>24000</v>
      </c>
      <c r="J31" s="53"/>
      <c r="K31" s="27"/>
      <c r="L31" s="27"/>
      <c r="M31" s="27"/>
      <c r="N31" s="27"/>
    </row>
    <row r="32" ht="15.75" customHeight="1">
      <c r="A32" s="46"/>
      <c r="B32" s="46"/>
      <c r="C32" s="46"/>
      <c r="D32" s="53"/>
      <c r="E32" s="53"/>
      <c r="F32" s="38" t="s">
        <v>26</v>
      </c>
      <c r="G32" s="49"/>
      <c r="H32" s="54">
        <f>VLOOKUP(F32,$A$11:$B$11,2,TRUE)</f>
        <v>1200</v>
      </c>
      <c r="I32" s="51">
        <f t="shared" si="1"/>
        <v>0</v>
      </c>
      <c r="J32" s="53"/>
      <c r="K32" s="27"/>
      <c r="L32" s="27"/>
      <c r="M32" s="27"/>
      <c r="N32" s="27"/>
    </row>
    <row r="33" ht="15.75" customHeight="1">
      <c r="A33" s="46"/>
      <c r="B33" s="46"/>
      <c r="C33" s="46"/>
      <c r="D33" s="53"/>
      <c r="E33" s="53"/>
      <c r="F33" s="38" t="s">
        <v>28</v>
      </c>
      <c r="G33" s="49"/>
      <c r="H33" s="54">
        <f>VLOOKUP(F33,$A$12:$B$12,2,TRUE)</f>
        <v>500</v>
      </c>
      <c r="I33" s="51">
        <f t="shared" si="1"/>
        <v>0</v>
      </c>
      <c r="J33" s="53"/>
      <c r="K33" s="27"/>
      <c r="L33" s="27"/>
      <c r="M33" s="27"/>
      <c r="N33" s="27"/>
    </row>
    <row r="34" ht="15.75" customHeight="1">
      <c r="A34" s="46"/>
      <c r="B34" s="46"/>
      <c r="C34" s="46"/>
      <c r="D34" s="53"/>
      <c r="E34" s="53"/>
      <c r="F34" s="38" t="s">
        <v>29</v>
      </c>
      <c r="G34" s="49"/>
      <c r="H34" s="54">
        <f>VLOOKUP(F34,$A$13:$B$13,2,TRUE)</f>
        <v>6500</v>
      </c>
      <c r="I34" s="51">
        <f t="shared" si="1"/>
        <v>0</v>
      </c>
      <c r="J34" s="53"/>
      <c r="K34" s="27"/>
      <c r="L34" s="27"/>
      <c r="M34" s="27"/>
      <c r="N34" s="27"/>
    </row>
    <row r="35" ht="15.75" customHeight="1">
      <c r="A35" s="46"/>
      <c r="B35" s="46"/>
      <c r="C35" s="46"/>
      <c r="D35" s="53"/>
      <c r="E35" s="53"/>
      <c r="F35" s="38" t="s">
        <v>30</v>
      </c>
      <c r="G35" s="49"/>
      <c r="H35" s="54">
        <f>VLOOKUP(F35,$A$14:$B$14,2,TRUE)</f>
        <v>2200</v>
      </c>
      <c r="I35" s="51">
        <f t="shared" si="1"/>
        <v>0</v>
      </c>
      <c r="J35" s="53"/>
      <c r="K35" s="27"/>
      <c r="L35" s="27"/>
      <c r="M35" s="27"/>
      <c r="N35" s="27"/>
    </row>
    <row r="36" ht="15.75" customHeight="1">
      <c r="A36" s="46"/>
      <c r="B36" s="46"/>
      <c r="C36" s="46"/>
      <c r="D36" s="53"/>
      <c r="E36" s="53"/>
      <c r="F36" s="38" t="s">
        <v>31</v>
      </c>
      <c r="G36" s="49"/>
      <c r="H36" s="54">
        <f>VLOOKUP(F36,$A$15:$B$15,2,TRUE)</f>
        <v>1300</v>
      </c>
      <c r="I36" s="51">
        <f t="shared" si="1"/>
        <v>0</v>
      </c>
      <c r="J36" s="53"/>
      <c r="K36" s="27"/>
      <c r="L36" s="27"/>
      <c r="M36" s="27"/>
      <c r="N36" s="27"/>
    </row>
    <row r="37" ht="15.75" customHeight="1">
      <c r="A37" s="46"/>
      <c r="B37" s="46"/>
      <c r="C37" s="46"/>
      <c r="D37" s="53"/>
      <c r="E37" s="53"/>
      <c r="F37" s="38" t="s">
        <v>32</v>
      </c>
      <c r="G37" s="49"/>
      <c r="H37" s="54">
        <f>VLOOKUP(F37,$A$16:$B$16,2,TRUE)</f>
        <v>5000</v>
      </c>
      <c r="I37" s="51">
        <f t="shared" si="1"/>
        <v>0</v>
      </c>
      <c r="J37" s="53"/>
      <c r="K37" s="27"/>
      <c r="L37" s="27"/>
      <c r="M37" s="27"/>
      <c r="N37" s="27"/>
    </row>
    <row r="38" ht="15.75" customHeight="1">
      <c r="A38" s="46"/>
      <c r="B38" s="46"/>
      <c r="C38" s="46"/>
      <c r="D38" s="53"/>
      <c r="E38" s="53"/>
      <c r="F38" s="38" t="s">
        <v>33</v>
      </c>
      <c r="G38" s="49"/>
      <c r="H38" s="54">
        <f>VLOOKUP(F38,$A$17:$B$17,2,TRUE)</f>
        <v>2500</v>
      </c>
      <c r="I38" s="51">
        <f t="shared" si="1"/>
        <v>0</v>
      </c>
      <c r="J38" s="53"/>
      <c r="K38" s="27"/>
      <c r="L38" s="27"/>
      <c r="M38" s="27"/>
      <c r="N38" s="27"/>
    </row>
    <row r="39" ht="15.75" customHeight="1">
      <c r="A39" s="46"/>
      <c r="B39" s="46"/>
      <c r="C39" s="46"/>
      <c r="D39" s="53"/>
      <c r="E39" s="53"/>
      <c r="F39" s="38" t="s">
        <v>35</v>
      </c>
      <c r="G39" s="49"/>
      <c r="H39" s="54">
        <f>VLOOKUP(F39,$A$18:$B$18,2,TRUE)</f>
        <v>10000</v>
      </c>
      <c r="I39" s="51">
        <f t="shared" si="1"/>
        <v>0</v>
      </c>
      <c r="J39" s="53"/>
      <c r="K39" s="27"/>
      <c r="L39" s="27"/>
      <c r="M39" s="27"/>
      <c r="N39" s="27"/>
    </row>
    <row r="40" ht="15.75" customHeight="1">
      <c r="A40" s="46"/>
      <c r="B40" s="46"/>
      <c r="C40" s="46"/>
      <c r="D40" s="53"/>
      <c r="E40" s="53"/>
      <c r="F40" s="38" t="s">
        <v>55</v>
      </c>
      <c r="G40" s="49"/>
      <c r="H40" s="54">
        <f>VLOOKUP(F40,$A$19:$B$19,2,TRUE)</f>
        <v>300</v>
      </c>
      <c r="I40" s="51">
        <f t="shared" si="1"/>
        <v>0</v>
      </c>
      <c r="J40" s="53"/>
      <c r="K40" s="27"/>
      <c r="L40" s="27"/>
      <c r="M40" s="27"/>
      <c r="N40" s="27"/>
    </row>
    <row r="41" ht="15.75" customHeight="1">
      <c r="A41" s="46"/>
      <c r="B41" s="46"/>
      <c r="C41" s="46"/>
      <c r="D41" s="53"/>
      <c r="E41" s="53"/>
      <c r="F41" s="38" t="s">
        <v>15</v>
      </c>
      <c r="G41" s="49"/>
      <c r="H41" s="54">
        <f>VLOOKUP(F41,$A$20:$B$20,2,TRUE)</f>
        <v>300</v>
      </c>
      <c r="I41" s="51">
        <f t="shared" si="1"/>
        <v>0</v>
      </c>
      <c r="J41" s="53"/>
      <c r="K41" s="27"/>
      <c r="L41" s="27"/>
      <c r="M41" s="27"/>
      <c r="N41" s="27"/>
    </row>
    <row r="42" ht="15.75" customHeight="1">
      <c r="A42" s="46"/>
      <c r="B42" s="46"/>
      <c r="C42" s="46"/>
      <c r="D42" s="53"/>
      <c r="E42" s="53"/>
      <c r="F42" s="38" t="s">
        <v>11</v>
      </c>
      <c r="G42" s="49"/>
      <c r="H42" s="54">
        <f>VLOOKUP(F42,$A$21:$B$21,2,TRUE)</f>
        <v>1700</v>
      </c>
      <c r="I42" s="51">
        <f t="shared" si="1"/>
        <v>0</v>
      </c>
      <c r="J42" s="53"/>
      <c r="K42" s="27"/>
      <c r="L42" s="27"/>
      <c r="M42" s="27"/>
      <c r="N42" s="27"/>
    </row>
    <row r="43" ht="15.75" customHeight="1">
      <c r="A43" s="46"/>
      <c r="B43" s="46"/>
      <c r="C43" s="46"/>
      <c r="D43" s="53"/>
      <c r="E43" s="53"/>
      <c r="F43" s="38" t="s">
        <v>17</v>
      </c>
      <c r="G43" s="49"/>
      <c r="H43" s="54">
        <f>VLOOKUP(F42,$A$22:$B$22,2,TRUE)</f>
        <v>4500</v>
      </c>
      <c r="I43" s="51">
        <f t="shared" si="1"/>
        <v>0</v>
      </c>
      <c r="J43" s="53"/>
      <c r="K43" s="27"/>
      <c r="L43" s="27"/>
      <c r="M43" s="27"/>
      <c r="N43" s="27"/>
    </row>
    <row r="44" ht="15.75" customHeight="1">
      <c r="A44" s="46"/>
      <c r="B44" s="46"/>
      <c r="C44" s="46"/>
      <c r="D44" s="14"/>
      <c r="E44" s="14"/>
      <c r="F44" s="38" t="s">
        <v>56</v>
      </c>
      <c r="G44" s="49"/>
      <c r="H44" s="54">
        <f>VLOOKUP(F43,$A$23:$B$23,2,TRUE)</f>
        <v>500</v>
      </c>
      <c r="I44" s="51">
        <f t="shared" si="1"/>
        <v>0</v>
      </c>
      <c r="J44" s="14"/>
      <c r="K44" s="27"/>
      <c r="L44" s="27"/>
      <c r="M44" s="27"/>
      <c r="N44" s="27"/>
    </row>
    <row r="45" ht="15.75" customHeight="1">
      <c r="A45" s="46"/>
      <c r="B45" s="46"/>
      <c r="C45" s="46"/>
      <c r="D45" s="47">
        <v>3.0</v>
      </c>
      <c r="E45" s="61" t="s">
        <v>65</v>
      </c>
      <c r="F45" s="38" t="s">
        <v>19</v>
      </c>
      <c r="G45" s="49"/>
      <c r="H45" s="50">
        <f>VLOOKUP(F45,$A$4:$B$4,2,TRUE)</f>
        <v>3100</v>
      </c>
      <c r="I45" s="51">
        <f t="shared" si="1"/>
        <v>0</v>
      </c>
      <c r="J45" s="52">
        <f>SUM(I45:I64)</f>
        <v>67500</v>
      </c>
      <c r="K45" s="27"/>
      <c r="L45" s="27"/>
      <c r="M45" s="27"/>
      <c r="N45" s="27"/>
    </row>
    <row r="46" ht="15.75" customHeight="1">
      <c r="A46" s="46"/>
      <c r="B46" s="46"/>
      <c r="C46" s="46"/>
      <c r="D46" s="53"/>
      <c r="E46" s="53"/>
      <c r="F46" s="38" t="s">
        <v>51</v>
      </c>
      <c r="G46" s="49"/>
      <c r="H46" s="54">
        <f>VLOOKUP(F46,$A$5:$B$5,2,TRUE)</f>
        <v>3000</v>
      </c>
      <c r="I46" s="51">
        <f t="shared" si="1"/>
        <v>0</v>
      </c>
      <c r="J46" s="53"/>
      <c r="K46" s="27"/>
      <c r="L46" s="27"/>
      <c r="M46" s="27"/>
      <c r="N46" s="27"/>
    </row>
    <row r="47" ht="15.75" customHeight="1">
      <c r="A47" s="46"/>
      <c r="B47" s="46"/>
      <c r="C47" s="46"/>
      <c r="D47" s="53"/>
      <c r="E47" s="53"/>
      <c r="F47" s="38" t="s">
        <v>53</v>
      </c>
      <c r="G47" s="49"/>
      <c r="H47" s="54">
        <f>VLOOKUP(F47,$A$6:$B$6,2,TRUE)</f>
        <v>800</v>
      </c>
      <c r="I47" s="51">
        <f t="shared" si="1"/>
        <v>0</v>
      </c>
      <c r="J47" s="53"/>
      <c r="K47" s="27"/>
      <c r="L47" s="27"/>
      <c r="M47" s="27"/>
      <c r="N47" s="27"/>
    </row>
    <row r="48" ht="15.75" customHeight="1">
      <c r="A48" s="46"/>
      <c r="B48" s="46"/>
      <c r="C48" s="46"/>
      <c r="D48" s="53"/>
      <c r="E48" s="53"/>
      <c r="F48" s="38" t="s">
        <v>22</v>
      </c>
      <c r="G48" s="49"/>
      <c r="H48" s="54">
        <f>VLOOKUP(F48,$A$7:$B$7,2,TRUE)</f>
        <v>2000</v>
      </c>
      <c r="I48" s="51">
        <f t="shared" si="1"/>
        <v>0</v>
      </c>
      <c r="J48" s="53"/>
      <c r="K48" s="27"/>
      <c r="L48" s="27"/>
      <c r="M48" s="27"/>
      <c r="N48" s="27"/>
    </row>
    <row r="49" ht="15.75" customHeight="1">
      <c r="A49" s="46"/>
      <c r="B49" s="46"/>
      <c r="C49" s="46"/>
      <c r="D49" s="53"/>
      <c r="E49" s="53"/>
      <c r="F49" s="38" t="s">
        <v>23</v>
      </c>
      <c r="G49" s="49"/>
      <c r="H49" s="54">
        <f>VLOOKUP(F49, $A$8:$B$8, 2, FALSE)</f>
        <v>2800</v>
      </c>
      <c r="I49" s="51">
        <f t="shared" si="1"/>
        <v>0</v>
      </c>
      <c r="J49" s="53"/>
      <c r="K49" s="27"/>
      <c r="L49" s="27"/>
      <c r="M49" s="27"/>
      <c r="N49" s="27"/>
    </row>
    <row r="50" ht="15.75" customHeight="1">
      <c r="A50" s="46"/>
      <c r="B50" s="46"/>
      <c r="C50" s="46"/>
      <c r="D50" s="53"/>
      <c r="E50" s="53"/>
      <c r="F50" s="38" t="s">
        <v>54</v>
      </c>
      <c r="G50" s="49"/>
      <c r="H50" s="54">
        <f>VLOOKUP(F50, $A$9:$B$9, 2, FALSE)</f>
        <v>800</v>
      </c>
      <c r="I50" s="51">
        <f t="shared" si="1"/>
        <v>0</v>
      </c>
      <c r="J50" s="53"/>
      <c r="K50" s="27"/>
      <c r="L50" s="27"/>
      <c r="M50" s="27"/>
      <c r="N50" s="27"/>
    </row>
    <row r="51" ht="15.75" customHeight="1">
      <c r="A51" s="46"/>
      <c r="B51" s="46"/>
      <c r="C51" s="46"/>
      <c r="D51" s="53"/>
      <c r="E51" s="53"/>
      <c r="F51" s="38" t="s">
        <v>25</v>
      </c>
      <c r="G51" s="49"/>
      <c r="H51" s="54">
        <f>VLOOKUP(F51,$A$10:$B$10,2,TRUE)</f>
        <v>1500</v>
      </c>
      <c r="I51" s="51">
        <f t="shared" si="1"/>
        <v>0</v>
      </c>
      <c r="J51" s="53"/>
      <c r="K51" s="27"/>
      <c r="L51" s="27"/>
      <c r="M51" s="27"/>
      <c r="N51" s="27"/>
    </row>
    <row r="52" ht="15.75" customHeight="1">
      <c r="A52" s="46"/>
      <c r="B52" s="46"/>
      <c r="C52" s="46"/>
      <c r="D52" s="53"/>
      <c r="E52" s="53"/>
      <c r="F52" s="38" t="s">
        <v>26</v>
      </c>
      <c r="G52" s="49"/>
      <c r="H52" s="54">
        <f>VLOOKUP(F52,$A$11:$B$11,2,TRUE)</f>
        <v>1200</v>
      </c>
      <c r="I52" s="51">
        <f t="shared" si="1"/>
        <v>0</v>
      </c>
      <c r="J52" s="53"/>
      <c r="K52" s="27"/>
      <c r="L52" s="27"/>
      <c r="M52" s="27"/>
      <c r="N52" s="27"/>
    </row>
    <row r="53" ht="15.75" customHeight="1">
      <c r="A53" s="46"/>
      <c r="B53" s="46"/>
      <c r="C53" s="46"/>
      <c r="D53" s="53"/>
      <c r="E53" s="53"/>
      <c r="F53" s="38" t="s">
        <v>28</v>
      </c>
      <c r="G53" s="49"/>
      <c r="H53" s="54">
        <f>VLOOKUP(F53,$A$12:$B$12,2,TRUE)</f>
        <v>500</v>
      </c>
      <c r="I53" s="51">
        <f t="shared" si="1"/>
        <v>0</v>
      </c>
      <c r="J53" s="53"/>
      <c r="K53" s="27"/>
      <c r="L53" s="27"/>
      <c r="M53" s="27"/>
      <c r="N53" s="27"/>
    </row>
    <row r="54" ht="15.75" customHeight="1">
      <c r="A54" s="46"/>
      <c r="B54" s="46"/>
      <c r="C54" s="46"/>
      <c r="D54" s="53"/>
      <c r="E54" s="53"/>
      <c r="F54" s="38" t="s">
        <v>29</v>
      </c>
      <c r="G54" s="49"/>
      <c r="H54" s="54">
        <f>VLOOKUP(F54,$A$13:$B$13,2,TRUE)</f>
        <v>6500</v>
      </c>
      <c r="I54" s="51">
        <f t="shared" si="1"/>
        <v>0</v>
      </c>
      <c r="J54" s="53"/>
      <c r="K54" s="27"/>
      <c r="L54" s="27"/>
      <c r="M54" s="27"/>
      <c r="N54" s="27"/>
    </row>
    <row r="55" ht="15.75" customHeight="1">
      <c r="A55" s="46"/>
      <c r="B55" s="46"/>
      <c r="C55" s="46"/>
      <c r="D55" s="53"/>
      <c r="E55" s="53"/>
      <c r="F55" s="38" t="s">
        <v>30</v>
      </c>
      <c r="G55" s="49"/>
      <c r="H55" s="54">
        <f>VLOOKUP(F55,$A$14:$B$14,2,TRUE)</f>
        <v>2200</v>
      </c>
      <c r="I55" s="51">
        <f t="shared" si="1"/>
        <v>0</v>
      </c>
      <c r="J55" s="53"/>
      <c r="K55" s="27"/>
      <c r="L55" s="27"/>
      <c r="M55" s="27"/>
      <c r="N55" s="27"/>
    </row>
    <row r="56" ht="15.75" customHeight="1">
      <c r="A56" s="46"/>
      <c r="B56" s="46"/>
      <c r="C56" s="46"/>
      <c r="D56" s="53"/>
      <c r="E56" s="53"/>
      <c r="F56" s="38" t="s">
        <v>31</v>
      </c>
      <c r="G56" s="49"/>
      <c r="H56" s="54">
        <f>VLOOKUP(F56,$A$15:$B$15,2,TRUE)</f>
        <v>1300</v>
      </c>
      <c r="I56" s="51">
        <f t="shared" si="1"/>
        <v>0</v>
      </c>
      <c r="J56" s="53"/>
      <c r="K56" s="27"/>
      <c r="L56" s="27"/>
      <c r="M56" s="27"/>
      <c r="N56" s="27"/>
    </row>
    <row r="57" ht="15.75" customHeight="1">
      <c r="A57" s="46"/>
      <c r="B57" s="46"/>
      <c r="C57" s="46"/>
      <c r="D57" s="53"/>
      <c r="E57" s="53"/>
      <c r="F57" s="38" t="s">
        <v>32</v>
      </c>
      <c r="G57" s="49"/>
      <c r="H57" s="54">
        <f>VLOOKUP(F57,$A$16:$B$16,2,TRUE)</f>
        <v>5000</v>
      </c>
      <c r="I57" s="51">
        <f t="shared" si="1"/>
        <v>0</v>
      </c>
      <c r="J57" s="53"/>
      <c r="K57" s="27"/>
      <c r="L57" s="27"/>
      <c r="M57" s="27"/>
      <c r="N57" s="27"/>
    </row>
    <row r="58" ht="15.75" customHeight="1">
      <c r="A58" s="46"/>
      <c r="B58" s="46"/>
      <c r="C58" s="46"/>
      <c r="D58" s="53"/>
      <c r="E58" s="53"/>
      <c r="F58" s="38" t="s">
        <v>33</v>
      </c>
      <c r="G58" s="49"/>
      <c r="H58" s="54">
        <f>VLOOKUP(F58,$A$17:$B$17,2,TRUE)</f>
        <v>2500</v>
      </c>
      <c r="I58" s="51">
        <f t="shared" si="1"/>
        <v>0</v>
      </c>
      <c r="J58" s="53"/>
      <c r="K58" s="27"/>
      <c r="L58" s="27"/>
      <c r="M58" s="27"/>
      <c r="N58" s="27"/>
    </row>
    <row r="59" ht="15.75" customHeight="1">
      <c r="A59" s="46"/>
      <c r="B59" s="46"/>
      <c r="C59" s="46"/>
      <c r="D59" s="53"/>
      <c r="E59" s="53"/>
      <c r="F59" s="38" t="s">
        <v>35</v>
      </c>
      <c r="G59" s="49"/>
      <c r="H59" s="54">
        <f>VLOOKUP(F59,$A$18:$B$18,2,TRUE)</f>
        <v>10000</v>
      </c>
      <c r="I59" s="51">
        <f t="shared" si="1"/>
        <v>0</v>
      </c>
      <c r="J59" s="53"/>
      <c r="K59" s="27"/>
      <c r="L59" s="27"/>
      <c r="M59" s="27"/>
      <c r="N59" s="27"/>
    </row>
    <row r="60" ht="15.75" customHeight="1">
      <c r="A60" s="46"/>
      <c r="B60" s="46"/>
      <c r="C60" s="46"/>
      <c r="D60" s="53"/>
      <c r="E60" s="53"/>
      <c r="F60" s="38" t="s">
        <v>55</v>
      </c>
      <c r="G60" s="49"/>
      <c r="H60" s="54">
        <f>VLOOKUP(F60,$A$19:$B$19,2,TRUE)</f>
        <v>300</v>
      </c>
      <c r="I60" s="51">
        <f t="shared" si="1"/>
        <v>0</v>
      </c>
      <c r="J60" s="53"/>
      <c r="K60" s="27"/>
      <c r="L60" s="27"/>
      <c r="M60" s="27"/>
      <c r="N60" s="27"/>
    </row>
    <row r="61" ht="15.75" customHeight="1">
      <c r="A61" s="46"/>
      <c r="B61" s="46"/>
      <c r="C61" s="46"/>
      <c r="D61" s="53"/>
      <c r="E61" s="53"/>
      <c r="F61" s="38" t="s">
        <v>15</v>
      </c>
      <c r="G61" s="49"/>
      <c r="H61" s="54">
        <f>VLOOKUP(F61,$A$20:$B$20,2,TRUE)</f>
        <v>300</v>
      </c>
      <c r="I61" s="51">
        <f t="shared" si="1"/>
        <v>0</v>
      </c>
      <c r="J61" s="53"/>
      <c r="K61" s="27"/>
      <c r="L61" s="27"/>
      <c r="M61" s="27"/>
      <c r="N61" s="27"/>
    </row>
    <row r="62" ht="15.75" customHeight="1">
      <c r="A62" s="46"/>
      <c r="B62" s="46"/>
      <c r="C62" s="46"/>
      <c r="D62" s="53"/>
      <c r="E62" s="53"/>
      <c r="F62" s="38" t="s">
        <v>11</v>
      </c>
      <c r="G62" s="49"/>
      <c r="H62" s="54">
        <f>VLOOKUP(F62,$A$21:$B$21,2,TRUE)</f>
        <v>1700</v>
      </c>
      <c r="I62" s="51">
        <f t="shared" si="1"/>
        <v>0</v>
      </c>
      <c r="J62" s="53"/>
      <c r="K62" s="27"/>
      <c r="L62" s="27"/>
      <c r="M62" s="27"/>
      <c r="N62" s="27"/>
    </row>
    <row r="63" ht="15.75" customHeight="1">
      <c r="A63" s="46"/>
      <c r="B63" s="46"/>
      <c r="C63" s="46"/>
      <c r="D63" s="53"/>
      <c r="E63" s="53"/>
      <c r="F63" s="38" t="s">
        <v>17</v>
      </c>
      <c r="G63" s="49">
        <v>15.0</v>
      </c>
      <c r="H63" s="54">
        <f>VLOOKUP(F62,$A$22:$B$22,2,TRUE)</f>
        <v>4500</v>
      </c>
      <c r="I63" s="51">
        <f t="shared" si="1"/>
        <v>67500</v>
      </c>
      <c r="J63" s="53"/>
      <c r="K63" s="27"/>
      <c r="L63" s="27"/>
      <c r="M63" s="27"/>
      <c r="N63" s="27"/>
    </row>
    <row r="64" ht="15.75" customHeight="1">
      <c r="A64" s="46"/>
      <c r="B64" s="46"/>
      <c r="C64" s="46"/>
      <c r="D64" s="14"/>
      <c r="E64" s="14"/>
      <c r="F64" s="38" t="s">
        <v>56</v>
      </c>
      <c r="G64" s="49"/>
      <c r="H64" s="54">
        <f>VLOOKUP(F63,$A$23:$B$23,2,TRUE)</f>
        <v>500</v>
      </c>
      <c r="I64" s="51">
        <f t="shared" si="1"/>
        <v>0</v>
      </c>
      <c r="J64" s="14"/>
      <c r="K64" s="27"/>
      <c r="L64" s="27"/>
      <c r="M64" s="27"/>
      <c r="N64" s="27"/>
    </row>
    <row r="65" ht="15.75" customHeight="1">
      <c r="A65" s="46"/>
      <c r="B65" s="46"/>
      <c r="C65" s="46"/>
      <c r="D65" s="47">
        <v>4.0</v>
      </c>
      <c r="E65" s="48" t="s">
        <v>66</v>
      </c>
      <c r="F65" s="38" t="s">
        <v>19</v>
      </c>
      <c r="G65" s="49"/>
      <c r="H65" s="50">
        <f>VLOOKUP(F65,$A$4:$B$4,2,TRUE)</f>
        <v>3100</v>
      </c>
      <c r="I65" s="51">
        <f t="shared" si="1"/>
        <v>0</v>
      </c>
      <c r="J65" s="52">
        <f>SUM(I65:I84)</f>
        <v>12450</v>
      </c>
      <c r="K65" s="27"/>
      <c r="L65" s="27"/>
      <c r="M65" s="27"/>
      <c r="N65" s="27"/>
    </row>
    <row r="66" ht="15.75" customHeight="1">
      <c r="A66" s="46"/>
      <c r="B66" s="46"/>
      <c r="C66" s="46"/>
      <c r="D66" s="53"/>
      <c r="E66" s="53"/>
      <c r="F66" s="38" t="s">
        <v>51</v>
      </c>
      <c r="G66" s="49">
        <v>4.0</v>
      </c>
      <c r="H66" s="54">
        <f>VLOOKUP(F66,$A$5:$B$5,2,TRUE)</f>
        <v>3000</v>
      </c>
      <c r="I66" s="51">
        <f t="shared" si="1"/>
        <v>12000</v>
      </c>
      <c r="J66" s="53"/>
      <c r="K66" s="27"/>
      <c r="L66" s="27"/>
      <c r="M66" s="27"/>
      <c r="N66" s="27"/>
    </row>
    <row r="67" ht="15.75" customHeight="1">
      <c r="A67" s="46"/>
      <c r="B67" s="46"/>
      <c r="C67" s="46"/>
      <c r="D67" s="53"/>
      <c r="E67" s="53"/>
      <c r="F67" s="38" t="s">
        <v>53</v>
      </c>
      <c r="G67" s="49"/>
      <c r="H67" s="54">
        <f>VLOOKUP(F67,$A$6:$B$6,2,TRUE)</f>
        <v>800</v>
      </c>
      <c r="I67" s="51">
        <f t="shared" si="1"/>
        <v>0</v>
      </c>
      <c r="J67" s="53"/>
      <c r="K67" s="27"/>
      <c r="L67" s="27"/>
      <c r="M67" s="27"/>
      <c r="N67" s="27"/>
    </row>
    <row r="68" ht="15.75" customHeight="1">
      <c r="A68" s="46"/>
      <c r="B68" s="46"/>
      <c r="C68" s="46"/>
      <c r="D68" s="53"/>
      <c r="E68" s="53"/>
      <c r="F68" s="38" t="s">
        <v>22</v>
      </c>
      <c r="G68" s="49"/>
      <c r="H68" s="54">
        <f>VLOOKUP(F68,$A$7:$B$7,2,TRUE)</f>
        <v>2000</v>
      </c>
      <c r="I68" s="51">
        <f t="shared" si="1"/>
        <v>0</v>
      </c>
      <c r="J68" s="53"/>
      <c r="K68" s="27"/>
      <c r="L68" s="27"/>
      <c r="M68" s="27"/>
      <c r="N68" s="27"/>
    </row>
    <row r="69" ht="15.75" customHeight="1">
      <c r="A69" s="46"/>
      <c r="B69" s="46"/>
      <c r="C69" s="46"/>
      <c r="D69" s="53"/>
      <c r="E69" s="53"/>
      <c r="F69" s="38" t="s">
        <v>23</v>
      </c>
      <c r="G69" s="49"/>
      <c r="H69" s="54">
        <f>VLOOKUP(F69, $A$8:$B$8, 2, FALSE)</f>
        <v>2800</v>
      </c>
      <c r="I69" s="51">
        <f t="shared" si="1"/>
        <v>0</v>
      </c>
      <c r="J69" s="53"/>
      <c r="K69" s="27"/>
      <c r="L69" s="27"/>
      <c r="M69" s="27"/>
      <c r="N69" s="27"/>
    </row>
    <row r="70" ht="15.75" customHeight="1">
      <c r="A70" s="46"/>
      <c r="B70" s="46"/>
      <c r="C70" s="46"/>
      <c r="D70" s="53"/>
      <c r="E70" s="53"/>
      <c r="F70" s="38" t="s">
        <v>54</v>
      </c>
      <c r="G70" s="49"/>
      <c r="H70" s="54">
        <f>VLOOKUP(F70, $A$9:$B$9, 2, FALSE)</f>
        <v>800</v>
      </c>
      <c r="I70" s="51">
        <f t="shared" si="1"/>
        <v>0</v>
      </c>
      <c r="J70" s="53"/>
      <c r="K70" s="27"/>
      <c r="L70" s="27"/>
      <c r="M70" s="27"/>
      <c r="N70" s="27"/>
    </row>
    <row r="71" ht="15.75" customHeight="1">
      <c r="A71" s="46"/>
      <c r="B71" s="46"/>
      <c r="C71" s="46"/>
      <c r="D71" s="53"/>
      <c r="E71" s="53"/>
      <c r="F71" s="38" t="s">
        <v>25</v>
      </c>
      <c r="G71" s="49"/>
      <c r="H71" s="54">
        <f>VLOOKUP(F71,$A$10:$B$10,2,TRUE)</f>
        <v>1500</v>
      </c>
      <c r="I71" s="51">
        <f t="shared" si="1"/>
        <v>0</v>
      </c>
      <c r="J71" s="53"/>
      <c r="K71" s="27"/>
      <c r="L71" s="27"/>
      <c r="M71" s="27"/>
      <c r="N71" s="27"/>
    </row>
    <row r="72" ht="15.75" customHeight="1">
      <c r="A72" s="46"/>
      <c r="B72" s="46"/>
      <c r="C72" s="46"/>
      <c r="D72" s="53"/>
      <c r="E72" s="53"/>
      <c r="F72" s="38" t="s">
        <v>26</v>
      </c>
      <c r="G72" s="49"/>
      <c r="H72" s="54">
        <f>VLOOKUP(F72,$A$11:$B$11,2,TRUE)</f>
        <v>1200</v>
      </c>
      <c r="I72" s="51">
        <f t="shared" si="1"/>
        <v>0</v>
      </c>
      <c r="J72" s="53"/>
      <c r="K72" s="27"/>
      <c r="L72" s="27"/>
      <c r="M72" s="27"/>
      <c r="N72" s="27"/>
    </row>
    <row r="73" ht="15.75" customHeight="1">
      <c r="A73" s="46"/>
      <c r="B73" s="46"/>
      <c r="C73" s="46"/>
      <c r="D73" s="53"/>
      <c r="E73" s="53"/>
      <c r="F73" s="38" t="s">
        <v>28</v>
      </c>
      <c r="G73" s="49"/>
      <c r="H73" s="54">
        <f>VLOOKUP(F73,$A$12:$B$12,2,TRUE)</f>
        <v>500</v>
      </c>
      <c r="I73" s="51">
        <f t="shared" si="1"/>
        <v>0</v>
      </c>
      <c r="J73" s="53"/>
      <c r="K73" s="27"/>
      <c r="L73" s="27"/>
      <c r="M73" s="27"/>
      <c r="N73" s="27"/>
    </row>
    <row r="74" ht="15.75" customHeight="1">
      <c r="A74" s="46"/>
      <c r="B74" s="46"/>
      <c r="C74" s="46"/>
      <c r="D74" s="53"/>
      <c r="E74" s="53"/>
      <c r="F74" s="38" t="s">
        <v>29</v>
      </c>
      <c r="G74" s="49"/>
      <c r="H74" s="54">
        <f>VLOOKUP(F74,$A$13:$B$13,2,TRUE)</f>
        <v>6500</v>
      </c>
      <c r="I74" s="51">
        <f t="shared" si="1"/>
        <v>0</v>
      </c>
      <c r="J74" s="53"/>
      <c r="K74" s="27"/>
      <c r="L74" s="27"/>
      <c r="M74" s="27"/>
      <c r="N74" s="27"/>
    </row>
    <row r="75" ht="15.75" customHeight="1">
      <c r="A75" s="46"/>
      <c r="B75" s="46"/>
      <c r="C75" s="46"/>
      <c r="D75" s="53"/>
      <c r="E75" s="53"/>
      <c r="F75" s="38" t="s">
        <v>30</v>
      </c>
      <c r="G75" s="49"/>
      <c r="H75" s="54">
        <f>VLOOKUP(F75,$A$14:$B$14,2,TRUE)</f>
        <v>2200</v>
      </c>
      <c r="I75" s="51">
        <f t="shared" si="1"/>
        <v>0</v>
      </c>
      <c r="J75" s="53"/>
      <c r="K75" s="27"/>
      <c r="L75" s="27"/>
      <c r="M75" s="27"/>
      <c r="N75" s="27"/>
    </row>
    <row r="76" ht="15.75" customHeight="1">
      <c r="A76" s="46"/>
      <c r="B76" s="46"/>
      <c r="C76" s="46"/>
      <c r="D76" s="53"/>
      <c r="E76" s="53"/>
      <c r="F76" s="38" t="s">
        <v>31</v>
      </c>
      <c r="G76" s="49"/>
      <c r="H76" s="54">
        <f>VLOOKUP(F76,$A$15:$B$15,2,TRUE)</f>
        <v>1300</v>
      </c>
      <c r="I76" s="51">
        <f t="shared" si="1"/>
        <v>0</v>
      </c>
      <c r="J76" s="53"/>
      <c r="K76" s="27"/>
      <c r="L76" s="27"/>
      <c r="M76" s="27"/>
      <c r="N76" s="27"/>
    </row>
    <row r="77" ht="15.75" customHeight="1">
      <c r="A77" s="46"/>
      <c r="B77" s="46"/>
      <c r="C77" s="46"/>
      <c r="D77" s="53"/>
      <c r="E77" s="53"/>
      <c r="F77" s="38" t="s">
        <v>32</v>
      </c>
      <c r="G77" s="49"/>
      <c r="H77" s="54">
        <f>VLOOKUP(F77,$A$16:$B$16,2,TRUE)</f>
        <v>5000</v>
      </c>
      <c r="I77" s="51">
        <f t="shared" si="1"/>
        <v>0</v>
      </c>
      <c r="J77" s="53"/>
      <c r="K77" s="27"/>
      <c r="L77" s="27"/>
      <c r="M77" s="27"/>
      <c r="N77" s="27"/>
    </row>
    <row r="78" ht="15.75" customHeight="1">
      <c r="A78" s="46"/>
      <c r="B78" s="46"/>
      <c r="C78" s="46"/>
      <c r="D78" s="53"/>
      <c r="E78" s="53"/>
      <c r="F78" s="38" t="s">
        <v>33</v>
      </c>
      <c r="G78" s="49"/>
      <c r="H78" s="54">
        <f>VLOOKUP(F78,$A$17:$B$17,2,TRUE)</f>
        <v>2500</v>
      </c>
      <c r="I78" s="51">
        <f t="shared" si="1"/>
        <v>0</v>
      </c>
      <c r="J78" s="53"/>
      <c r="K78" s="27"/>
      <c r="L78" s="27"/>
      <c r="M78" s="27"/>
      <c r="N78" s="27"/>
    </row>
    <row r="79" ht="15.75" customHeight="1">
      <c r="A79" s="46"/>
      <c r="B79" s="46"/>
      <c r="C79" s="46"/>
      <c r="D79" s="53"/>
      <c r="E79" s="53"/>
      <c r="F79" s="38" t="s">
        <v>35</v>
      </c>
      <c r="G79" s="49"/>
      <c r="H79" s="54">
        <f>VLOOKUP(F79,$A$18:$B$18,2,TRUE)</f>
        <v>10000</v>
      </c>
      <c r="I79" s="51">
        <f t="shared" si="1"/>
        <v>0</v>
      </c>
      <c r="J79" s="53"/>
      <c r="K79" s="27"/>
      <c r="L79" s="27"/>
      <c r="M79" s="27"/>
      <c r="N79" s="27"/>
    </row>
    <row r="80" ht="15.75" customHeight="1">
      <c r="A80" s="46"/>
      <c r="B80" s="46"/>
      <c r="C80" s="46"/>
      <c r="D80" s="53"/>
      <c r="E80" s="53"/>
      <c r="F80" s="38" t="s">
        <v>55</v>
      </c>
      <c r="G80" s="49">
        <v>1.5</v>
      </c>
      <c r="H80" s="54">
        <f>VLOOKUP(F80,$A$19:$B$19,2,TRUE)</f>
        <v>300</v>
      </c>
      <c r="I80" s="51">
        <f t="shared" si="1"/>
        <v>450</v>
      </c>
      <c r="J80" s="53"/>
      <c r="K80" s="27"/>
      <c r="L80" s="27"/>
      <c r="M80" s="27"/>
      <c r="N80" s="27"/>
    </row>
    <row r="81" ht="15.75" customHeight="1">
      <c r="A81" s="46"/>
      <c r="B81" s="46"/>
      <c r="C81" s="46"/>
      <c r="D81" s="53"/>
      <c r="E81" s="53"/>
      <c r="F81" s="38" t="s">
        <v>15</v>
      </c>
      <c r="G81" s="49"/>
      <c r="H81" s="54">
        <f>VLOOKUP(F81,$A$20:$B$20,2,TRUE)</f>
        <v>300</v>
      </c>
      <c r="I81" s="51">
        <f t="shared" si="1"/>
        <v>0</v>
      </c>
      <c r="J81" s="53"/>
      <c r="K81" s="27"/>
      <c r="L81" s="27"/>
      <c r="M81" s="27"/>
      <c r="N81" s="27"/>
    </row>
    <row r="82" ht="15.75" customHeight="1">
      <c r="A82" s="46"/>
      <c r="B82" s="46"/>
      <c r="C82" s="46"/>
      <c r="D82" s="53"/>
      <c r="E82" s="53"/>
      <c r="F82" s="38" t="s">
        <v>11</v>
      </c>
      <c r="G82" s="49"/>
      <c r="H82" s="54">
        <f>VLOOKUP(F82,$A$21:$B$21,2,TRUE)</f>
        <v>1700</v>
      </c>
      <c r="I82" s="51">
        <f t="shared" si="1"/>
        <v>0</v>
      </c>
      <c r="J82" s="53"/>
      <c r="K82" s="27"/>
      <c r="L82" s="27"/>
      <c r="M82" s="27"/>
      <c r="N82" s="27"/>
    </row>
    <row r="83" ht="15.75" customHeight="1">
      <c r="A83" s="46"/>
      <c r="B83" s="46"/>
      <c r="C83" s="46"/>
      <c r="D83" s="53"/>
      <c r="E83" s="53"/>
      <c r="F83" s="38" t="s">
        <v>17</v>
      </c>
      <c r="G83" s="49"/>
      <c r="H83" s="54">
        <f>VLOOKUP(F82,$A$22:$B$22,2,TRUE)</f>
        <v>4500</v>
      </c>
      <c r="I83" s="51">
        <f t="shared" si="1"/>
        <v>0</v>
      </c>
      <c r="J83" s="53"/>
      <c r="K83" s="27"/>
      <c r="L83" s="27"/>
      <c r="M83" s="27"/>
      <c r="N83" s="27"/>
    </row>
    <row r="84" ht="15.75" customHeight="1">
      <c r="A84" s="46"/>
      <c r="B84" s="46"/>
      <c r="C84" s="46"/>
      <c r="D84" s="14"/>
      <c r="E84" s="14"/>
      <c r="F84" s="38" t="s">
        <v>56</v>
      </c>
      <c r="G84" s="49"/>
      <c r="H84" s="54">
        <f>VLOOKUP(F83,$A$23:$B$23,2,TRUE)</f>
        <v>500</v>
      </c>
      <c r="I84" s="51">
        <f t="shared" si="1"/>
        <v>0</v>
      </c>
      <c r="J84" s="14"/>
      <c r="K84" s="27"/>
      <c r="L84" s="27"/>
      <c r="M84" s="27"/>
      <c r="N84" s="27"/>
    </row>
    <row r="85" ht="15.75" customHeight="1">
      <c r="A85" s="46"/>
      <c r="B85" s="46"/>
      <c r="C85" s="46"/>
      <c r="D85" s="47">
        <v>5.0</v>
      </c>
      <c r="E85" s="48" t="s">
        <v>67</v>
      </c>
      <c r="F85" s="38" t="s">
        <v>19</v>
      </c>
      <c r="G85" s="49">
        <v>0.5</v>
      </c>
      <c r="H85" s="50">
        <f>VLOOKUP(F85,$A$4:$B$4,2,TRUE)</f>
        <v>3100</v>
      </c>
      <c r="I85" s="51">
        <f t="shared" si="1"/>
        <v>1550</v>
      </c>
      <c r="J85" s="52">
        <f>SUM(I85:I104)</f>
        <v>53150</v>
      </c>
      <c r="K85" s="27"/>
      <c r="L85" s="27"/>
      <c r="M85" s="27"/>
      <c r="N85" s="27"/>
    </row>
    <row r="86" ht="15.75" customHeight="1">
      <c r="A86" s="46"/>
      <c r="B86" s="46"/>
      <c r="C86" s="46"/>
      <c r="D86" s="53"/>
      <c r="E86" s="53"/>
      <c r="F86" s="38" t="s">
        <v>51</v>
      </c>
      <c r="G86" s="49">
        <v>1.5</v>
      </c>
      <c r="H86" s="54">
        <f>VLOOKUP(F86,$A$5:$B$5,2,TRUE)</f>
        <v>3000</v>
      </c>
      <c r="I86" s="51">
        <f t="shared" si="1"/>
        <v>4500</v>
      </c>
      <c r="J86" s="53"/>
      <c r="K86" s="27"/>
      <c r="L86" s="27"/>
      <c r="M86" s="27"/>
      <c r="N86" s="27"/>
    </row>
    <row r="87" ht="15.75" customHeight="1">
      <c r="A87" s="46"/>
      <c r="B87" s="46"/>
      <c r="C87" s="46"/>
      <c r="D87" s="53"/>
      <c r="E87" s="53"/>
      <c r="F87" s="38" t="s">
        <v>53</v>
      </c>
      <c r="G87" s="49"/>
      <c r="H87" s="54">
        <f>VLOOKUP(F87,$A$6:$B$6,2,TRUE)</f>
        <v>800</v>
      </c>
      <c r="I87" s="51">
        <f t="shared" si="1"/>
        <v>0</v>
      </c>
      <c r="J87" s="53"/>
      <c r="K87" s="27"/>
      <c r="L87" s="27"/>
      <c r="M87" s="27"/>
      <c r="N87" s="27"/>
    </row>
    <row r="88" ht="15.75" customHeight="1">
      <c r="A88" s="46"/>
      <c r="B88" s="46"/>
      <c r="C88" s="46"/>
      <c r="D88" s="53"/>
      <c r="E88" s="53"/>
      <c r="F88" s="38" t="s">
        <v>22</v>
      </c>
      <c r="G88" s="49">
        <v>1.0</v>
      </c>
      <c r="H88" s="54">
        <f>VLOOKUP(F88,$A$7:$B$7,2,TRUE)</f>
        <v>2000</v>
      </c>
      <c r="I88" s="51">
        <f t="shared" si="1"/>
        <v>2000</v>
      </c>
      <c r="J88" s="53"/>
      <c r="K88" s="27"/>
      <c r="L88" s="27"/>
      <c r="M88" s="27"/>
      <c r="N88" s="27"/>
    </row>
    <row r="89" ht="15.75" customHeight="1">
      <c r="A89" s="46"/>
      <c r="B89" s="46"/>
      <c r="C89" s="46"/>
      <c r="D89" s="53"/>
      <c r="E89" s="53"/>
      <c r="F89" s="38" t="s">
        <v>23</v>
      </c>
      <c r="G89" s="49"/>
      <c r="H89" s="54">
        <f>VLOOKUP(F89, $A$8:$B$8, 2, FALSE)</f>
        <v>2800</v>
      </c>
      <c r="I89" s="51">
        <f t="shared" si="1"/>
        <v>0</v>
      </c>
      <c r="J89" s="53"/>
      <c r="K89" s="27"/>
      <c r="L89" s="27"/>
      <c r="M89" s="27"/>
      <c r="N89" s="27"/>
    </row>
    <row r="90" ht="15.75" customHeight="1">
      <c r="A90" s="46"/>
      <c r="B90" s="46"/>
      <c r="C90" s="46"/>
      <c r="D90" s="53"/>
      <c r="E90" s="53"/>
      <c r="F90" s="38" t="s">
        <v>54</v>
      </c>
      <c r="G90" s="49">
        <f>5.5+2</f>
        <v>7.5</v>
      </c>
      <c r="H90" s="54">
        <f>VLOOKUP(F90, $A$9:$B$9, 2, FALSE)</f>
        <v>800</v>
      </c>
      <c r="I90" s="51">
        <f t="shared" si="1"/>
        <v>6000</v>
      </c>
      <c r="J90" s="53"/>
      <c r="K90" s="27"/>
      <c r="L90" s="27"/>
      <c r="M90" s="27"/>
      <c r="N90" s="27"/>
    </row>
    <row r="91" ht="15.75" customHeight="1">
      <c r="A91" s="46"/>
      <c r="B91" s="46"/>
      <c r="C91" s="46"/>
      <c r="D91" s="53"/>
      <c r="E91" s="53"/>
      <c r="F91" s="38" t="s">
        <v>25</v>
      </c>
      <c r="G91" s="49">
        <v>15.0</v>
      </c>
      <c r="H91" s="54">
        <f>VLOOKUP(F91,$A$10:$B$10,2,TRUE)</f>
        <v>1500</v>
      </c>
      <c r="I91" s="51">
        <f t="shared" si="1"/>
        <v>22500</v>
      </c>
      <c r="J91" s="53"/>
      <c r="K91" s="27"/>
      <c r="L91" s="27"/>
      <c r="M91" s="27"/>
      <c r="N91" s="27"/>
    </row>
    <row r="92" ht="15.75" customHeight="1">
      <c r="A92" s="46"/>
      <c r="B92" s="46"/>
      <c r="C92" s="46"/>
      <c r="D92" s="53"/>
      <c r="E92" s="53"/>
      <c r="F92" s="38" t="s">
        <v>26</v>
      </c>
      <c r="G92" s="49"/>
      <c r="H92" s="54">
        <f>VLOOKUP(F92,$A$11:$B$11,2,TRUE)</f>
        <v>1200</v>
      </c>
      <c r="I92" s="51">
        <f t="shared" si="1"/>
        <v>0</v>
      </c>
      <c r="J92" s="53"/>
      <c r="K92" s="27"/>
      <c r="L92" s="27"/>
      <c r="M92" s="27"/>
      <c r="N92" s="27"/>
    </row>
    <row r="93" ht="15.75" customHeight="1">
      <c r="A93" s="46"/>
      <c r="B93" s="46"/>
      <c r="C93" s="46"/>
      <c r="D93" s="53"/>
      <c r="E93" s="53"/>
      <c r="F93" s="38" t="s">
        <v>28</v>
      </c>
      <c r="G93" s="49">
        <v>3.0</v>
      </c>
      <c r="H93" s="54">
        <f>VLOOKUP(F93,$A$12:$B$12,2,TRUE)</f>
        <v>500</v>
      </c>
      <c r="I93" s="51">
        <f t="shared" si="1"/>
        <v>1500</v>
      </c>
      <c r="J93" s="53"/>
      <c r="K93" s="27"/>
      <c r="L93" s="27"/>
      <c r="M93" s="27"/>
      <c r="N93" s="27"/>
    </row>
    <row r="94" ht="15.75" customHeight="1">
      <c r="A94" s="46"/>
      <c r="B94" s="46"/>
      <c r="C94" s="46"/>
      <c r="D94" s="53"/>
      <c r="E94" s="53"/>
      <c r="F94" s="38" t="s">
        <v>29</v>
      </c>
      <c r="G94" s="49"/>
      <c r="H94" s="54">
        <f>VLOOKUP(F94,$A$13:$B$13,2,TRUE)</f>
        <v>6500</v>
      </c>
      <c r="I94" s="51">
        <f t="shared" si="1"/>
        <v>0</v>
      </c>
      <c r="J94" s="53"/>
      <c r="K94" s="27"/>
      <c r="L94" s="27"/>
      <c r="M94" s="27"/>
      <c r="N94" s="27"/>
    </row>
    <row r="95" ht="15.75" customHeight="1">
      <c r="A95" s="46"/>
      <c r="B95" s="46"/>
      <c r="C95" s="46"/>
      <c r="D95" s="53"/>
      <c r="E95" s="53"/>
      <c r="F95" s="38" t="s">
        <v>30</v>
      </c>
      <c r="G95" s="49">
        <v>2.5</v>
      </c>
      <c r="H95" s="54">
        <f>VLOOKUP(F95,$A$14:$B$14,2,TRUE)</f>
        <v>2200</v>
      </c>
      <c r="I95" s="51">
        <f t="shared" si="1"/>
        <v>5500</v>
      </c>
      <c r="J95" s="53"/>
      <c r="K95" s="27"/>
      <c r="L95" s="27"/>
      <c r="M95" s="27"/>
      <c r="N95" s="27"/>
    </row>
    <row r="96" ht="15.75" customHeight="1">
      <c r="A96" s="46"/>
      <c r="B96" s="46"/>
      <c r="C96" s="46"/>
      <c r="D96" s="53"/>
      <c r="E96" s="53"/>
      <c r="F96" s="38" t="s">
        <v>31</v>
      </c>
      <c r="G96" s="49"/>
      <c r="H96" s="54">
        <f>VLOOKUP(F96,$A$15:$B$15,2,TRUE)</f>
        <v>1300</v>
      </c>
      <c r="I96" s="51">
        <f t="shared" si="1"/>
        <v>0</v>
      </c>
      <c r="J96" s="53"/>
      <c r="K96" s="27"/>
      <c r="L96" s="27"/>
      <c r="M96" s="27"/>
      <c r="N96" s="27"/>
    </row>
    <row r="97" ht="15.75" customHeight="1">
      <c r="A97" s="46"/>
      <c r="B97" s="46"/>
      <c r="C97" s="46"/>
      <c r="D97" s="53"/>
      <c r="E97" s="53"/>
      <c r="F97" s="38" t="s">
        <v>32</v>
      </c>
      <c r="G97" s="49">
        <v>1.5</v>
      </c>
      <c r="H97" s="54">
        <f>VLOOKUP(F97,$A$16:$B$16,2,TRUE)</f>
        <v>5000</v>
      </c>
      <c r="I97" s="51">
        <f t="shared" si="1"/>
        <v>7500</v>
      </c>
      <c r="J97" s="53"/>
      <c r="K97" s="27"/>
      <c r="L97" s="27"/>
      <c r="M97" s="27"/>
      <c r="N97" s="27"/>
    </row>
    <row r="98" ht="15.75" customHeight="1">
      <c r="A98" s="46"/>
      <c r="B98" s="46"/>
      <c r="C98" s="46"/>
      <c r="D98" s="53"/>
      <c r="E98" s="53"/>
      <c r="F98" s="38" t="s">
        <v>33</v>
      </c>
      <c r="G98" s="49"/>
      <c r="H98" s="54">
        <f>VLOOKUP(F98,$A$17:$B$17,2,TRUE)</f>
        <v>2500</v>
      </c>
      <c r="I98" s="51">
        <f t="shared" si="1"/>
        <v>0</v>
      </c>
      <c r="J98" s="53"/>
      <c r="K98" s="27"/>
      <c r="L98" s="27"/>
      <c r="M98" s="27"/>
      <c r="N98" s="27"/>
    </row>
    <row r="99" ht="15.75" customHeight="1">
      <c r="A99" s="46"/>
      <c r="B99" s="46"/>
      <c r="C99" s="46"/>
      <c r="D99" s="53"/>
      <c r="E99" s="53"/>
      <c r="F99" s="38" t="s">
        <v>35</v>
      </c>
      <c r="G99" s="49"/>
      <c r="H99" s="54">
        <f>VLOOKUP(F99,$A$18:$B$18,2,TRUE)</f>
        <v>10000</v>
      </c>
      <c r="I99" s="51">
        <f t="shared" si="1"/>
        <v>0</v>
      </c>
      <c r="J99" s="53"/>
      <c r="K99" s="27"/>
      <c r="L99" s="27"/>
      <c r="M99" s="27"/>
      <c r="N99" s="27"/>
    </row>
    <row r="100" ht="15.75" customHeight="1">
      <c r="A100" s="46"/>
      <c r="B100" s="46"/>
      <c r="C100" s="46"/>
      <c r="D100" s="53"/>
      <c r="E100" s="53"/>
      <c r="F100" s="38" t="s">
        <v>55</v>
      </c>
      <c r="G100" s="49"/>
      <c r="H100" s="54">
        <f>VLOOKUP(F100,$A$19:$B$19,2,TRUE)</f>
        <v>300</v>
      </c>
      <c r="I100" s="51">
        <f t="shared" si="1"/>
        <v>0</v>
      </c>
      <c r="J100" s="53"/>
      <c r="K100" s="27"/>
      <c r="L100" s="27"/>
      <c r="M100" s="27"/>
      <c r="N100" s="27"/>
    </row>
    <row r="101" ht="15.75" customHeight="1">
      <c r="A101" s="46"/>
      <c r="B101" s="46"/>
      <c r="C101" s="46"/>
      <c r="D101" s="53"/>
      <c r="E101" s="53"/>
      <c r="F101" s="38" t="s">
        <v>15</v>
      </c>
      <c r="G101" s="49">
        <v>7.0</v>
      </c>
      <c r="H101" s="54">
        <f>VLOOKUP(F101,$A$20:$B$20,2,TRUE)</f>
        <v>300</v>
      </c>
      <c r="I101" s="51">
        <f t="shared" si="1"/>
        <v>2100</v>
      </c>
      <c r="J101" s="53"/>
      <c r="K101" s="27"/>
      <c r="L101" s="27"/>
      <c r="M101" s="27"/>
      <c r="N101" s="27"/>
    </row>
    <row r="102" ht="15.75" customHeight="1">
      <c r="A102" s="46"/>
      <c r="B102" s="46"/>
      <c r="C102" s="46"/>
      <c r="D102" s="53"/>
      <c r="E102" s="53"/>
      <c r="F102" s="38" t="s">
        <v>11</v>
      </c>
      <c r="G102" s="49"/>
      <c r="H102" s="54">
        <f>VLOOKUP(F102,$A$21:$B$21,2,TRUE)</f>
        <v>1700</v>
      </c>
      <c r="I102" s="51">
        <f t="shared" si="1"/>
        <v>0</v>
      </c>
      <c r="J102" s="53"/>
      <c r="K102" s="27"/>
      <c r="L102" s="27"/>
      <c r="M102" s="27"/>
      <c r="N102" s="27"/>
    </row>
    <row r="103" ht="15.75" customHeight="1">
      <c r="A103" s="46"/>
      <c r="B103" s="46"/>
      <c r="C103" s="46"/>
      <c r="D103" s="53"/>
      <c r="E103" s="53"/>
      <c r="F103" s="38" t="s">
        <v>17</v>
      </c>
      <c r="G103" s="49"/>
      <c r="H103" s="54">
        <f>VLOOKUP(F102,$A$22:$B$22,2,TRUE)</f>
        <v>4500</v>
      </c>
      <c r="I103" s="51">
        <f t="shared" si="1"/>
        <v>0</v>
      </c>
      <c r="J103" s="53"/>
      <c r="K103" s="27"/>
      <c r="L103" s="27"/>
      <c r="M103" s="27"/>
      <c r="N103" s="27"/>
    </row>
    <row r="104" ht="15.75" customHeight="1">
      <c r="A104" s="46"/>
      <c r="B104" s="46"/>
      <c r="C104" s="46"/>
      <c r="D104" s="14"/>
      <c r="E104" s="14"/>
      <c r="F104" s="38" t="s">
        <v>56</v>
      </c>
      <c r="G104" s="49">
        <f>4+8</f>
        <v>12</v>
      </c>
      <c r="H104" s="54"/>
      <c r="I104" s="51">
        <f t="shared" si="1"/>
        <v>0</v>
      </c>
      <c r="J104" s="14"/>
      <c r="K104" s="27"/>
      <c r="L104" s="27"/>
      <c r="M104" s="27"/>
      <c r="N104" s="27"/>
    </row>
    <row r="105" ht="15.75" customHeight="1">
      <c r="A105" s="46"/>
      <c r="B105" s="46"/>
      <c r="C105" s="46"/>
      <c r="D105" s="47">
        <v>6.0</v>
      </c>
      <c r="E105" s="48" t="s">
        <v>68</v>
      </c>
      <c r="F105" s="38" t="s">
        <v>19</v>
      </c>
      <c r="G105" s="49"/>
      <c r="H105" s="50">
        <f>VLOOKUP(F105,$A$4:$B$4,2,TRUE)</f>
        <v>3100</v>
      </c>
      <c r="I105" s="51">
        <f t="shared" si="1"/>
        <v>0</v>
      </c>
      <c r="J105" s="52">
        <f>SUM(I105:I124)</f>
        <v>13050</v>
      </c>
      <c r="K105" s="27"/>
      <c r="L105" s="27"/>
      <c r="M105" s="27"/>
      <c r="N105" s="27"/>
    </row>
    <row r="106" ht="15.75" customHeight="1">
      <c r="A106" s="46"/>
      <c r="B106" s="46"/>
      <c r="C106" s="46"/>
      <c r="D106" s="53"/>
      <c r="E106" s="53"/>
      <c r="F106" s="38" t="s">
        <v>51</v>
      </c>
      <c r="G106" s="49"/>
      <c r="H106" s="54">
        <f>VLOOKUP(F106,$A$5:$B$5,2,TRUE)</f>
        <v>3000</v>
      </c>
      <c r="I106" s="51">
        <f t="shared" si="1"/>
        <v>0</v>
      </c>
      <c r="J106" s="53"/>
      <c r="K106" s="27"/>
      <c r="L106" s="27"/>
      <c r="M106" s="27"/>
      <c r="N106" s="27"/>
    </row>
    <row r="107" ht="15.75" customHeight="1">
      <c r="A107" s="46"/>
      <c r="B107" s="46"/>
      <c r="C107" s="46"/>
      <c r="D107" s="53"/>
      <c r="E107" s="53"/>
      <c r="F107" s="38" t="s">
        <v>53</v>
      </c>
      <c r="G107" s="49"/>
      <c r="H107" s="54">
        <f>VLOOKUP(F107,$A$6:$B$6,2,TRUE)</f>
        <v>800</v>
      </c>
      <c r="I107" s="51">
        <f t="shared" si="1"/>
        <v>0</v>
      </c>
      <c r="J107" s="53"/>
      <c r="K107" s="27"/>
      <c r="L107" s="27"/>
      <c r="M107" s="27"/>
      <c r="N107" s="27"/>
    </row>
    <row r="108" ht="15.75" customHeight="1">
      <c r="A108" s="46"/>
      <c r="B108" s="46"/>
      <c r="C108" s="46"/>
      <c r="D108" s="53"/>
      <c r="E108" s="53"/>
      <c r="F108" s="38" t="s">
        <v>22</v>
      </c>
      <c r="G108" s="49"/>
      <c r="H108" s="54">
        <f>VLOOKUP(F108,$A$7:$B$7,2,TRUE)</f>
        <v>2000</v>
      </c>
      <c r="I108" s="51">
        <f t="shared" si="1"/>
        <v>0</v>
      </c>
      <c r="J108" s="53"/>
      <c r="K108" s="27"/>
      <c r="L108" s="27"/>
      <c r="M108" s="27"/>
      <c r="N108" s="27"/>
    </row>
    <row r="109" ht="15.75" customHeight="1">
      <c r="A109" s="46"/>
      <c r="B109" s="46"/>
      <c r="C109" s="46"/>
      <c r="D109" s="53"/>
      <c r="E109" s="53"/>
      <c r="F109" s="38" t="s">
        <v>23</v>
      </c>
      <c r="G109" s="49"/>
      <c r="H109" s="54">
        <f>VLOOKUP(F109, $A$8:$B$8, 2, FALSE)</f>
        <v>2800</v>
      </c>
      <c r="I109" s="51">
        <f t="shared" si="1"/>
        <v>0</v>
      </c>
      <c r="J109" s="53"/>
      <c r="K109" s="27"/>
      <c r="L109" s="27"/>
      <c r="M109" s="27"/>
      <c r="N109" s="27"/>
    </row>
    <row r="110" ht="15.75" customHeight="1">
      <c r="A110" s="46"/>
      <c r="B110" s="46"/>
      <c r="C110" s="46"/>
      <c r="D110" s="53"/>
      <c r="E110" s="53"/>
      <c r="F110" s="38" t="s">
        <v>54</v>
      </c>
      <c r="G110" s="49"/>
      <c r="H110" s="54">
        <f>VLOOKUP(F110, $A$9:$B$9, 2, FALSE)</f>
        <v>800</v>
      </c>
      <c r="I110" s="51">
        <f t="shared" si="1"/>
        <v>0</v>
      </c>
      <c r="J110" s="53"/>
      <c r="K110" s="27"/>
      <c r="L110" s="27"/>
      <c r="M110" s="27"/>
      <c r="N110" s="27"/>
    </row>
    <row r="111" ht="15.75" customHeight="1">
      <c r="A111" s="46"/>
      <c r="B111" s="46"/>
      <c r="C111" s="46"/>
      <c r="D111" s="53"/>
      <c r="E111" s="53"/>
      <c r="F111" s="38" t="s">
        <v>25</v>
      </c>
      <c r="G111" s="49"/>
      <c r="H111" s="54">
        <f>VLOOKUP(F111,$A$10:$B$10,2,TRUE)</f>
        <v>1500</v>
      </c>
      <c r="I111" s="51">
        <f t="shared" si="1"/>
        <v>0</v>
      </c>
      <c r="J111" s="53"/>
      <c r="K111" s="27"/>
      <c r="L111" s="27"/>
      <c r="M111" s="27"/>
      <c r="N111" s="27"/>
    </row>
    <row r="112" ht="15.75" customHeight="1">
      <c r="A112" s="46"/>
      <c r="B112" s="46"/>
      <c r="C112" s="46"/>
      <c r="D112" s="53"/>
      <c r="E112" s="53"/>
      <c r="F112" s="38" t="s">
        <v>26</v>
      </c>
      <c r="G112" s="49"/>
      <c r="H112" s="54">
        <f>VLOOKUP(F112,$A$11:$B$11,2,TRUE)</f>
        <v>1200</v>
      </c>
      <c r="I112" s="51">
        <f t="shared" si="1"/>
        <v>0</v>
      </c>
      <c r="J112" s="53"/>
      <c r="K112" s="27"/>
      <c r="L112" s="27"/>
      <c r="M112" s="27"/>
      <c r="N112" s="27"/>
    </row>
    <row r="113" ht="15.75" customHeight="1">
      <c r="A113" s="46"/>
      <c r="B113" s="46"/>
      <c r="C113" s="46"/>
      <c r="D113" s="53"/>
      <c r="E113" s="53"/>
      <c r="F113" s="38" t="s">
        <v>28</v>
      </c>
      <c r="G113" s="49"/>
      <c r="H113" s="54">
        <f>VLOOKUP(F113,$A$12:$B$12,2,TRUE)</f>
        <v>500</v>
      </c>
      <c r="I113" s="51">
        <f t="shared" si="1"/>
        <v>0</v>
      </c>
      <c r="J113" s="53"/>
      <c r="K113" s="27"/>
      <c r="L113" s="27"/>
      <c r="M113" s="27"/>
      <c r="N113" s="27"/>
    </row>
    <row r="114" ht="15.75" customHeight="1">
      <c r="A114" s="46"/>
      <c r="B114" s="46"/>
      <c r="C114" s="46"/>
      <c r="D114" s="53"/>
      <c r="E114" s="53"/>
      <c r="F114" s="38" t="s">
        <v>29</v>
      </c>
      <c r="G114" s="49"/>
      <c r="H114" s="54">
        <f>VLOOKUP(F114,$A$13:$B$13,2,TRUE)</f>
        <v>6500</v>
      </c>
      <c r="I114" s="51">
        <f t="shared" si="1"/>
        <v>0</v>
      </c>
      <c r="J114" s="53"/>
      <c r="K114" s="27"/>
      <c r="L114" s="27"/>
      <c r="M114" s="27"/>
      <c r="N114" s="27"/>
    </row>
    <row r="115" ht="15.75" customHeight="1">
      <c r="A115" s="46"/>
      <c r="B115" s="46"/>
      <c r="C115" s="46"/>
      <c r="D115" s="53"/>
      <c r="E115" s="53"/>
      <c r="F115" s="38" t="s">
        <v>30</v>
      </c>
      <c r="G115" s="49"/>
      <c r="H115" s="54">
        <f>VLOOKUP(F115,$A$14:$B$14,2,TRUE)</f>
        <v>2200</v>
      </c>
      <c r="I115" s="51">
        <f t="shared" si="1"/>
        <v>0</v>
      </c>
      <c r="J115" s="53"/>
      <c r="K115" s="27"/>
      <c r="L115" s="27"/>
      <c r="M115" s="27"/>
      <c r="N115" s="27"/>
    </row>
    <row r="116" ht="15.75" customHeight="1">
      <c r="A116" s="46"/>
      <c r="B116" s="46"/>
      <c r="C116" s="46"/>
      <c r="D116" s="53"/>
      <c r="E116" s="53"/>
      <c r="F116" s="38" t="s">
        <v>31</v>
      </c>
      <c r="G116" s="49"/>
      <c r="H116" s="54">
        <f>VLOOKUP(F116,$A$15:$B$15,2,TRUE)</f>
        <v>1300</v>
      </c>
      <c r="I116" s="51">
        <f t="shared" si="1"/>
        <v>0</v>
      </c>
      <c r="J116" s="53"/>
      <c r="K116" s="27"/>
      <c r="L116" s="27"/>
      <c r="M116" s="27"/>
      <c r="N116" s="27"/>
    </row>
    <row r="117" ht="15.75" customHeight="1">
      <c r="A117" s="46"/>
      <c r="B117" s="46"/>
      <c r="C117" s="46"/>
      <c r="D117" s="53"/>
      <c r="E117" s="53"/>
      <c r="F117" s="38" t="s">
        <v>32</v>
      </c>
      <c r="G117" s="49"/>
      <c r="H117" s="54">
        <f>VLOOKUP(F117,$A$16:$B$16,2,TRUE)</f>
        <v>5000</v>
      </c>
      <c r="I117" s="51">
        <f t="shared" si="1"/>
        <v>0</v>
      </c>
      <c r="J117" s="53"/>
      <c r="K117" s="27"/>
      <c r="L117" s="27"/>
      <c r="M117" s="27"/>
      <c r="N117" s="27"/>
    </row>
    <row r="118" ht="15.75" customHeight="1">
      <c r="A118" s="46"/>
      <c r="B118" s="46"/>
      <c r="C118" s="46"/>
      <c r="D118" s="53"/>
      <c r="E118" s="53"/>
      <c r="F118" s="38" t="s">
        <v>33</v>
      </c>
      <c r="G118" s="49"/>
      <c r="H118" s="54">
        <f>VLOOKUP(F118,$A$17:$B$17,2,TRUE)</f>
        <v>2500</v>
      </c>
      <c r="I118" s="51">
        <f t="shared" si="1"/>
        <v>0</v>
      </c>
      <c r="J118" s="53"/>
      <c r="K118" s="27"/>
      <c r="L118" s="27"/>
      <c r="M118" s="27"/>
      <c r="N118" s="27"/>
    </row>
    <row r="119" ht="15.75" customHeight="1">
      <c r="A119" s="46"/>
      <c r="B119" s="46"/>
      <c r="C119" s="46"/>
      <c r="D119" s="53"/>
      <c r="E119" s="53"/>
      <c r="F119" s="38" t="s">
        <v>35</v>
      </c>
      <c r="G119" s="49"/>
      <c r="H119" s="54">
        <f>VLOOKUP(F119,$A$18:$B$18,2,TRUE)</f>
        <v>10000</v>
      </c>
      <c r="I119" s="51">
        <f t="shared" si="1"/>
        <v>0</v>
      </c>
      <c r="J119" s="53"/>
      <c r="K119" s="27"/>
      <c r="L119" s="27"/>
      <c r="M119" s="27"/>
      <c r="N119" s="27"/>
    </row>
    <row r="120" ht="15.75" customHeight="1">
      <c r="A120" s="46"/>
      <c r="B120" s="46"/>
      <c r="C120" s="46"/>
      <c r="D120" s="53"/>
      <c r="E120" s="53"/>
      <c r="F120" s="38" t="s">
        <v>55</v>
      </c>
      <c r="G120" s="49"/>
      <c r="H120" s="54">
        <f>VLOOKUP(F120,$A$19:$B$19,2,TRUE)</f>
        <v>300</v>
      </c>
      <c r="I120" s="51">
        <f t="shared" si="1"/>
        <v>0</v>
      </c>
      <c r="J120" s="53"/>
      <c r="K120" s="27"/>
      <c r="L120" s="27"/>
      <c r="M120" s="27"/>
      <c r="N120" s="27"/>
    </row>
    <row r="121" ht="15.75" customHeight="1">
      <c r="A121" s="46"/>
      <c r="B121" s="46"/>
      <c r="C121" s="46"/>
      <c r="D121" s="53"/>
      <c r="E121" s="53"/>
      <c r="F121" s="38" t="s">
        <v>15</v>
      </c>
      <c r="G121" s="49">
        <v>6.0</v>
      </c>
      <c r="H121" s="54">
        <f>VLOOKUP(F121,$A$20:$B$20,2,TRUE)</f>
        <v>300</v>
      </c>
      <c r="I121" s="51">
        <f t="shared" si="1"/>
        <v>1800</v>
      </c>
      <c r="J121" s="53"/>
      <c r="K121" s="27"/>
      <c r="L121" s="27"/>
      <c r="M121" s="27"/>
      <c r="N121" s="27"/>
    </row>
    <row r="122" ht="15.75" customHeight="1">
      <c r="A122" s="46"/>
      <c r="B122" s="46"/>
      <c r="C122" s="46"/>
      <c r="D122" s="53"/>
      <c r="E122" s="53"/>
      <c r="F122" s="38" t="s">
        <v>11</v>
      </c>
      <c r="G122" s="49"/>
      <c r="H122" s="54">
        <f>VLOOKUP(F122,$A$21:$B$21,2,TRUE)</f>
        <v>1700</v>
      </c>
      <c r="I122" s="51">
        <f t="shared" si="1"/>
        <v>0</v>
      </c>
      <c r="J122" s="53"/>
      <c r="K122" s="27"/>
      <c r="L122" s="27"/>
      <c r="M122" s="27"/>
      <c r="N122" s="27"/>
    </row>
    <row r="123" ht="15.75" customHeight="1">
      <c r="A123" s="46"/>
      <c r="B123" s="46"/>
      <c r="C123" s="46"/>
      <c r="D123" s="53"/>
      <c r="E123" s="53"/>
      <c r="F123" s="38" t="s">
        <v>17</v>
      </c>
      <c r="G123" s="49">
        <v>2.5</v>
      </c>
      <c r="H123" s="54">
        <f>VLOOKUP(F122,$A$22:$B$22,2,TRUE)</f>
        <v>4500</v>
      </c>
      <c r="I123" s="51">
        <f t="shared" si="1"/>
        <v>11250</v>
      </c>
      <c r="J123" s="53"/>
      <c r="K123" s="27"/>
      <c r="L123" s="27"/>
      <c r="M123" s="27"/>
      <c r="N123" s="27"/>
    </row>
    <row r="124" ht="15.75" customHeight="1">
      <c r="A124" s="46"/>
      <c r="B124" s="46"/>
      <c r="C124" s="46"/>
      <c r="D124" s="14"/>
      <c r="E124" s="14"/>
      <c r="F124" s="38" t="s">
        <v>56</v>
      </c>
      <c r="G124" s="49"/>
      <c r="H124" s="54">
        <f>VLOOKUP(F123,$A$23:$B$23,2,TRUE)</f>
        <v>500</v>
      </c>
      <c r="I124" s="51">
        <f t="shared" si="1"/>
        <v>0</v>
      </c>
      <c r="J124" s="14"/>
      <c r="K124" s="27"/>
      <c r="L124" s="27"/>
      <c r="M124" s="27"/>
      <c r="N124" s="27"/>
    </row>
    <row r="125" ht="15.75" customHeight="1">
      <c r="A125" s="46"/>
      <c r="B125" s="46"/>
      <c r="C125" s="46"/>
      <c r="D125" s="47">
        <v>7.0</v>
      </c>
      <c r="E125" s="48" t="s">
        <v>69</v>
      </c>
      <c r="F125" s="38" t="s">
        <v>19</v>
      </c>
      <c r="G125" s="49"/>
      <c r="H125" s="50">
        <f>VLOOKUP(F125,$A$4:$B$4,2,TRUE)</f>
        <v>3100</v>
      </c>
      <c r="I125" s="51">
        <f t="shared" si="1"/>
        <v>0</v>
      </c>
      <c r="J125" s="52">
        <f>SUM(I125:I144)</f>
        <v>39900</v>
      </c>
      <c r="K125" s="27"/>
      <c r="L125" s="27"/>
      <c r="M125" s="27"/>
      <c r="N125" s="27"/>
    </row>
    <row r="126" ht="15.75" customHeight="1">
      <c r="A126" s="46"/>
      <c r="B126" s="46"/>
      <c r="C126" s="46"/>
      <c r="D126" s="53"/>
      <c r="E126" s="53"/>
      <c r="F126" s="38" t="s">
        <v>51</v>
      </c>
      <c r="G126" s="49">
        <v>3.0</v>
      </c>
      <c r="H126" s="54">
        <f>VLOOKUP(F126,$A$5:$B$5,2,TRUE)</f>
        <v>3000</v>
      </c>
      <c r="I126" s="51">
        <f t="shared" si="1"/>
        <v>9000</v>
      </c>
      <c r="J126" s="53"/>
      <c r="K126" s="27"/>
      <c r="L126" s="27"/>
      <c r="M126" s="27"/>
      <c r="N126" s="27"/>
    </row>
    <row r="127" ht="15.75" customHeight="1">
      <c r="A127" s="46"/>
      <c r="B127" s="46"/>
      <c r="C127" s="46"/>
      <c r="D127" s="53"/>
      <c r="E127" s="53"/>
      <c r="F127" s="38" t="s">
        <v>53</v>
      </c>
      <c r="G127" s="49">
        <v>9.0</v>
      </c>
      <c r="H127" s="54">
        <f>VLOOKUP(F127,$A$6:$B$6,2,TRUE)</f>
        <v>800</v>
      </c>
      <c r="I127" s="51">
        <f t="shared" si="1"/>
        <v>7200</v>
      </c>
      <c r="J127" s="53"/>
      <c r="K127" s="27"/>
      <c r="L127" s="27"/>
      <c r="M127" s="27"/>
      <c r="N127" s="27"/>
    </row>
    <row r="128" ht="15.75" customHeight="1">
      <c r="A128" s="46"/>
      <c r="B128" s="46"/>
      <c r="C128" s="46"/>
      <c r="D128" s="53"/>
      <c r="E128" s="53"/>
      <c r="F128" s="38" t="s">
        <v>22</v>
      </c>
      <c r="G128" s="49"/>
      <c r="H128" s="54">
        <f>VLOOKUP(F128,$A$7:$B$7,2,TRUE)</f>
        <v>2000</v>
      </c>
      <c r="I128" s="51">
        <f t="shared" si="1"/>
        <v>0</v>
      </c>
      <c r="J128" s="53"/>
      <c r="K128" s="27"/>
      <c r="L128" s="27"/>
      <c r="M128" s="27"/>
      <c r="N128" s="27"/>
    </row>
    <row r="129" ht="15.75" customHeight="1">
      <c r="A129" s="46"/>
      <c r="B129" s="46"/>
      <c r="C129" s="46"/>
      <c r="D129" s="53"/>
      <c r="E129" s="53"/>
      <c r="F129" s="38" t="s">
        <v>23</v>
      </c>
      <c r="G129" s="49"/>
      <c r="H129" s="54">
        <f>VLOOKUP(F129, $A$8:$B$8, 2, FALSE)</f>
        <v>2800</v>
      </c>
      <c r="I129" s="51">
        <f t="shared" si="1"/>
        <v>0</v>
      </c>
      <c r="J129" s="53"/>
      <c r="K129" s="27"/>
      <c r="L129" s="27"/>
      <c r="M129" s="27"/>
      <c r="N129" s="27"/>
    </row>
    <row r="130" ht="15.75" customHeight="1">
      <c r="A130" s="46"/>
      <c r="B130" s="46"/>
      <c r="C130" s="46"/>
      <c r="D130" s="53"/>
      <c r="E130" s="53"/>
      <c r="F130" s="38" t="s">
        <v>54</v>
      </c>
      <c r="G130" s="49"/>
      <c r="H130" s="54">
        <f>VLOOKUP(F130, $A$9:$B$9, 2, FALSE)</f>
        <v>800</v>
      </c>
      <c r="I130" s="51">
        <f t="shared" si="1"/>
        <v>0</v>
      </c>
      <c r="J130" s="53"/>
      <c r="K130" s="27"/>
      <c r="L130" s="27"/>
      <c r="M130" s="27"/>
      <c r="N130" s="27"/>
    </row>
    <row r="131" ht="15.75" customHeight="1">
      <c r="A131" s="46"/>
      <c r="B131" s="46"/>
      <c r="C131" s="46"/>
      <c r="D131" s="53"/>
      <c r="E131" s="53"/>
      <c r="F131" s="38" t="s">
        <v>25</v>
      </c>
      <c r="G131" s="49"/>
      <c r="H131" s="54">
        <f>VLOOKUP(F131,$A$10:$B$10,2,TRUE)</f>
        <v>1500</v>
      </c>
      <c r="I131" s="51">
        <f t="shared" si="1"/>
        <v>0</v>
      </c>
      <c r="J131" s="53"/>
      <c r="K131" s="27"/>
      <c r="L131" s="27"/>
      <c r="M131" s="27"/>
      <c r="N131" s="27"/>
    </row>
    <row r="132" ht="15.75" customHeight="1">
      <c r="A132" s="46"/>
      <c r="B132" s="46"/>
      <c r="C132" s="46"/>
      <c r="D132" s="53"/>
      <c r="E132" s="53"/>
      <c r="F132" s="38" t="s">
        <v>26</v>
      </c>
      <c r="G132" s="49">
        <v>8.5</v>
      </c>
      <c r="H132" s="54">
        <f>VLOOKUP(F132,$A$11:$B$11,2,TRUE)</f>
        <v>1200</v>
      </c>
      <c r="I132" s="51">
        <f t="shared" si="1"/>
        <v>10200</v>
      </c>
      <c r="J132" s="53"/>
      <c r="K132" s="27"/>
      <c r="L132" s="27"/>
      <c r="M132" s="27"/>
      <c r="N132" s="27"/>
    </row>
    <row r="133" ht="15.75" customHeight="1">
      <c r="A133" s="46"/>
      <c r="B133" s="46"/>
      <c r="C133" s="46"/>
      <c r="D133" s="53"/>
      <c r="E133" s="53"/>
      <c r="F133" s="38" t="s">
        <v>28</v>
      </c>
      <c r="G133" s="49"/>
      <c r="H133" s="54">
        <f>VLOOKUP(F133,$A$12:$B$12,2,TRUE)</f>
        <v>500</v>
      </c>
      <c r="I133" s="51">
        <f t="shared" si="1"/>
        <v>0</v>
      </c>
      <c r="J133" s="53"/>
      <c r="K133" s="27"/>
      <c r="L133" s="27"/>
      <c r="M133" s="27"/>
      <c r="N133" s="27"/>
    </row>
    <row r="134" ht="15.75" customHeight="1">
      <c r="A134" s="46"/>
      <c r="B134" s="46"/>
      <c r="C134" s="46"/>
      <c r="D134" s="53"/>
      <c r="E134" s="53"/>
      <c r="F134" s="38" t="s">
        <v>29</v>
      </c>
      <c r="G134" s="49"/>
      <c r="H134" s="54">
        <f>VLOOKUP(F134,$A$13:$B$13,2,TRUE)</f>
        <v>6500</v>
      </c>
      <c r="I134" s="51">
        <f t="shared" si="1"/>
        <v>0</v>
      </c>
      <c r="J134" s="53"/>
      <c r="K134" s="27"/>
      <c r="L134" s="27"/>
      <c r="M134" s="27"/>
      <c r="N134" s="27"/>
    </row>
    <row r="135" ht="15.75" customHeight="1">
      <c r="A135" s="46"/>
      <c r="B135" s="46"/>
      <c r="C135" s="46"/>
      <c r="D135" s="53"/>
      <c r="E135" s="53"/>
      <c r="F135" s="38" t="s">
        <v>30</v>
      </c>
      <c r="G135" s="49"/>
      <c r="H135" s="54">
        <f>VLOOKUP(F135,$A$14:$B$14,2,TRUE)</f>
        <v>2200</v>
      </c>
      <c r="I135" s="51">
        <f t="shared" si="1"/>
        <v>0</v>
      </c>
      <c r="J135" s="53"/>
      <c r="K135" s="27"/>
      <c r="L135" s="27"/>
      <c r="M135" s="27"/>
      <c r="N135" s="27"/>
    </row>
    <row r="136" ht="15.75" customHeight="1">
      <c r="A136" s="46"/>
      <c r="B136" s="46"/>
      <c r="C136" s="46"/>
      <c r="D136" s="53"/>
      <c r="E136" s="53"/>
      <c r="F136" s="38" t="s">
        <v>31</v>
      </c>
      <c r="G136" s="49"/>
      <c r="H136" s="54">
        <f>VLOOKUP(F136,$A$15:$B$15,2,TRUE)</f>
        <v>1300</v>
      </c>
      <c r="I136" s="51">
        <f t="shared" si="1"/>
        <v>0</v>
      </c>
      <c r="J136" s="53"/>
      <c r="K136" s="27"/>
      <c r="L136" s="27"/>
      <c r="M136" s="27"/>
      <c r="N136" s="27"/>
    </row>
    <row r="137" ht="15.75" customHeight="1">
      <c r="A137" s="46"/>
      <c r="B137" s="46"/>
      <c r="C137" s="46"/>
      <c r="D137" s="53"/>
      <c r="E137" s="53"/>
      <c r="F137" s="38" t="s">
        <v>32</v>
      </c>
      <c r="G137" s="49"/>
      <c r="H137" s="54">
        <f>VLOOKUP(F137,$A$16:$B$16,2,TRUE)</f>
        <v>5000</v>
      </c>
      <c r="I137" s="51">
        <f t="shared" si="1"/>
        <v>0</v>
      </c>
      <c r="J137" s="53"/>
      <c r="K137" s="27"/>
      <c r="L137" s="27"/>
      <c r="M137" s="27"/>
      <c r="N137" s="27"/>
    </row>
    <row r="138" ht="15.75" customHeight="1">
      <c r="A138" s="46"/>
      <c r="B138" s="46"/>
      <c r="C138" s="46"/>
      <c r="D138" s="53"/>
      <c r="E138" s="53"/>
      <c r="F138" s="38" t="s">
        <v>33</v>
      </c>
      <c r="G138" s="49"/>
      <c r="H138" s="54">
        <f>VLOOKUP(F138,$A$17:$B$17,2,TRUE)</f>
        <v>2500</v>
      </c>
      <c r="I138" s="51">
        <f t="shared" si="1"/>
        <v>0</v>
      </c>
      <c r="J138" s="53"/>
      <c r="K138" s="27"/>
      <c r="L138" s="27"/>
      <c r="M138" s="27"/>
      <c r="N138" s="27"/>
    </row>
    <row r="139" ht="15.75" customHeight="1">
      <c r="A139" s="46"/>
      <c r="B139" s="46"/>
      <c r="C139" s="46"/>
      <c r="D139" s="53"/>
      <c r="E139" s="53"/>
      <c r="F139" s="38" t="s">
        <v>35</v>
      </c>
      <c r="G139" s="49"/>
      <c r="H139" s="54">
        <f>VLOOKUP(F139,$A$18:$B$18,2,TRUE)</f>
        <v>10000</v>
      </c>
      <c r="I139" s="51">
        <f t="shared" si="1"/>
        <v>0</v>
      </c>
      <c r="J139" s="53"/>
      <c r="K139" s="27"/>
      <c r="L139" s="27"/>
      <c r="M139" s="27"/>
      <c r="N139" s="27"/>
    </row>
    <row r="140" ht="15.75" customHeight="1">
      <c r="A140" s="46"/>
      <c r="B140" s="46"/>
      <c r="C140" s="46"/>
      <c r="D140" s="53"/>
      <c r="E140" s="53"/>
      <c r="F140" s="38" t="s">
        <v>55</v>
      </c>
      <c r="G140" s="49"/>
      <c r="H140" s="54">
        <f>VLOOKUP(F140,$A$19:$B$19,2,TRUE)</f>
        <v>300</v>
      </c>
      <c r="I140" s="51">
        <f t="shared" si="1"/>
        <v>0</v>
      </c>
      <c r="J140" s="53"/>
      <c r="K140" s="27"/>
      <c r="L140" s="27"/>
      <c r="M140" s="27"/>
      <c r="N140" s="27"/>
    </row>
    <row r="141" ht="15.75" customHeight="1">
      <c r="A141" s="46"/>
      <c r="B141" s="46"/>
      <c r="C141" s="46"/>
      <c r="D141" s="53"/>
      <c r="E141" s="53"/>
      <c r="F141" s="38" t="s">
        <v>15</v>
      </c>
      <c r="G141" s="49"/>
      <c r="H141" s="54">
        <f>VLOOKUP(F141,$A$20:$B$20,2,TRUE)</f>
        <v>300</v>
      </c>
      <c r="I141" s="51">
        <f t="shared" si="1"/>
        <v>0</v>
      </c>
      <c r="J141" s="53"/>
      <c r="K141" s="27"/>
      <c r="L141" s="27"/>
      <c r="M141" s="27"/>
      <c r="N141" s="27"/>
    </row>
    <row r="142" ht="15.75" customHeight="1">
      <c r="A142" s="46"/>
      <c r="B142" s="46"/>
      <c r="C142" s="46"/>
      <c r="D142" s="53"/>
      <c r="E142" s="53"/>
      <c r="F142" s="38" t="s">
        <v>11</v>
      </c>
      <c r="G142" s="49"/>
      <c r="H142" s="54">
        <f>VLOOKUP(F142,$A$21:$B$21,2,TRUE)</f>
        <v>1700</v>
      </c>
      <c r="I142" s="51">
        <f t="shared" si="1"/>
        <v>0</v>
      </c>
      <c r="J142" s="53"/>
      <c r="K142" s="27"/>
      <c r="L142" s="27"/>
      <c r="M142" s="27"/>
      <c r="N142" s="27"/>
    </row>
    <row r="143" ht="15.75" customHeight="1">
      <c r="A143" s="46"/>
      <c r="B143" s="46"/>
      <c r="C143" s="46"/>
      <c r="D143" s="53"/>
      <c r="E143" s="53"/>
      <c r="F143" s="38" t="s">
        <v>17</v>
      </c>
      <c r="G143" s="49">
        <v>3.0</v>
      </c>
      <c r="H143" s="54">
        <f>VLOOKUP(F142,$A$22:$B$22,2,TRUE)</f>
        <v>4500</v>
      </c>
      <c r="I143" s="51">
        <f t="shared" si="1"/>
        <v>13500</v>
      </c>
      <c r="J143" s="53"/>
      <c r="K143" s="27"/>
      <c r="L143" s="27"/>
      <c r="M143" s="27"/>
      <c r="N143" s="27"/>
    </row>
    <row r="144" ht="15.75" customHeight="1">
      <c r="A144" s="46"/>
      <c r="B144" s="46"/>
      <c r="C144" s="46"/>
      <c r="D144" s="14"/>
      <c r="E144" s="14"/>
      <c r="F144" s="38" t="s">
        <v>56</v>
      </c>
      <c r="G144" s="49">
        <v>2.5</v>
      </c>
      <c r="H144" s="54"/>
      <c r="I144" s="51">
        <f t="shared" si="1"/>
        <v>0</v>
      </c>
      <c r="J144" s="14"/>
      <c r="K144" s="27"/>
      <c r="L144" s="27"/>
      <c r="M144" s="27"/>
      <c r="N144" s="27"/>
    </row>
    <row r="145" ht="15.75" customHeight="1">
      <c r="A145" s="46"/>
      <c r="B145" s="46"/>
      <c r="C145" s="46"/>
      <c r="D145" s="47">
        <v>8.0</v>
      </c>
      <c r="E145" s="48" t="s">
        <v>70</v>
      </c>
      <c r="F145" s="38" t="s">
        <v>19</v>
      </c>
      <c r="G145" s="49"/>
      <c r="H145" s="50">
        <f>VLOOKUP(F145,$A$4:$B$4,2,TRUE)</f>
        <v>3100</v>
      </c>
      <c r="I145" s="51">
        <f t="shared" si="1"/>
        <v>0</v>
      </c>
      <c r="J145" s="52">
        <f>SUM(I145:I164)</f>
        <v>66400</v>
      </c>
      <c r="K145" s="27"/>
      <c r="L145" s="27"/>
      <c r="M145" s="27"/>
      <c r="N145" s="27"/>
    </row>
    <row r="146" ht="15.75" customHeight="1">
      <c r="A146" s="46"/>
      <c r="B146" s="46"/>
      <c r="C146" s="46"/>
      <c r="D146" s="53"/>
      <c r="E146" s="53"/>
      <c r="F146" s="38" t="s">
        <v>51</v>
      </c>
      <c r="G146" s="49"/>
      <c r="H146" s="54">
        <f>VLOOKUP(F146,$A$5:$B$5,2,TRUE)</f>
        <v>3000</v>
      </c>
      <c r="I146" s="51">
        <f t="shared" si="1"/>
        <v>0</v>
      </c>
      <c r="J146" s="53"/>
      <c r="K146" s="27"/>
      <c r="L146" s="27"/>
      <c r="M146" s="27"/>
      <c r="N146" s="27"/>
    </row>
    <row r="147" ht="15.75" customHeight="1">
      <c r="A147" s="46"/>
      <c r="B147" s="46"/>
      <c r="C147" s="46"/>
      <c r="D147" s="53"/>
      <c r="E147" s="53"/>
      <c r="F147" s="38" t="s">
        <v>53</v>
      </c>
      <c r="G147" s="49">
        <v>8.0</v>
      </c>
      <c r="H147" s="54">
        <f>VLOOKUP(F147,$A$6:$B$6,2,TRUE)</f>
        <v>800</v>
      </c>
      <c r="I147" s="51">
        <f t="shared" si="1"/>
        <v>6400</v>
      </c>
      <c r="J147" s="53"/>
      <c r="K147" s="27"/>
      <c r="L147" s="27"/>
      <c r="M147" s="27"/>
      <c r="N147" s="27"/>
    </row>
    <row r="148" ht="15.75" customHeight="1">
      <c r="A148" s="46"/>
      <c r="B148" s="46"/>
      <c r="C148" s="46"/>
      <c r="D148" s="53"/>
      <c r="E148" s="53"/>
      <c r="F148" s="38" t="s">
        <v>22</v>
      </c>
      <c r="G148" s="49"/>
      <c r="H148" s="54">
        <f>VLOOKUP(F148,$A$7:$B$7,2,TRUE)</f>
        <v>2000</v>
      </c>
      <c r="I148" s="51">
        <f t="shared" si="1"/>
        <v>0</v>
      </c>
      <c r="J148" s="53"/>
      <c r="K148" s="27"/>
      <c r="L148" s="27"/>
      <c r="M148" s="27"/>
      <c r="N148" s="27"/>
    </row>
    <row r="149" ht="15.75" customHeight="1">
      <c r="A149" s="46"/>
      <c r="B149" s="46"/>
      <c r="C149" s="46"/>
      <c r="D149" s="53"/>
      <c r="E149" s="53"/>
      <c r="F149" s="38" t="s">
        <v>23</v>
      </c>
      <c r="G149" s="49"/>
      <c r="H149" s="54">
        <f>VLOOKUP(F149, $A$8:$B$8, 2, FALSE)</f>
        <v>2800</v>
      </c>
      <c r="I149" s="51">
        <f t="shared" si="1"/>
        <v>0</v>
      </c>
      <c r="J149" s="53"/>
      <c r="K149" s="27"/>
      <c r="L149" s="27"/>
      <c r="M149" s="27"/>
      <c r="N149" s="27"/>
    </row>
    <row r="150" ht="15.75" customHeight="1">
      <c r="A150" s="46"/>
      <c r="B150" s="46"/>
      <c r="C150" s="46"/>
      <c r="D150" s="53"/>
      <c r="E150" s="53"/>
      <c r="F150" s="38" t="s">
        <v>54</v>
      </c>
      <c r="G150" s="49"/>
      <c r="H150" s="54">
        <f>VLOOKUP(F150, $A$9:$B$9, 2, FALSE)</f>
        <v>800</v>
      </c>
      <c r="I150" s="51">
        <f t="shared" si="1"/>
        <v>0</v>
      </c>
      <c r="J150" s="53"/>
      <c r="K150" s="27"/>
      <c r="L150" s="27"/>
      <c r="M150" s="27"/>
      <c r="N150" s="27"/>
    </row>
    <row r="151" ht="15.75" customHeight="1">
      <c r="A151" s="46"/>
      <c r="B151" s="46"/>
      <c r="C151" s="46"/>
      <c r="D151" s="53"/>
      <c r="E151" s="53"/>
      <c r="F151" s="38" t="s">
        <v>25</v>
      </c>
      <c r="G151" s="49">
        <f>4</f>
        <v>4</v>
      </c>
      <c r="H151" s="54">
        <f>VLOOKUP(F151,$A$10:$B$10,2,TRUE)</f>
        <v>1500</v>
      </c>
      <c r="I151" s="51">
        <f t="shared" si="1"/>
        <v>6000</v>
      </c>
      <c r="J151" s="53"/>
      <c r="K151" s="27"/>
      <c r="L151" s="27"/>
      <c r="M151" s="27"/>
      <c r="N151" s="27"/>
    </row>
    <row r="152" ht="15.75" customHeight="1">
      <c r="A152" s="46"/>
      <c r="B152" s="46"/>
      <c r="C152" s="46"/>
      <c r="D152" s="53"/>
      <c r="E152" s="53"/>
      <c r="F152" s="38" t="s">
        <v>26</v>
      </c>
      <c r="G152" s="49"/>
      <c r="H152" s="54">
        <f>VLOOKUP(F152,$A$11:$B$11,2,TRUE)</f>
        <v>1200</v>
      </c>
      <c r="I152" s="51">
        <f t="shared" si="1"/>
        <v>0</v>
      </c>
      <c r="J152" s="53"/>
      <c r="K152" s="27"/>
      <c r="L152" s="27"/>
      <c r="M152" s="27"/>
      <c r="N152" s="27"/>
    </row>
    <row r="153" ht="15.75" customHeight="1">
      <c r="A153" s="46"/>
      <c r="B153" s="46"/>
      <c r="C153" s="46"/>
      <c r="D153" s="53"/>
      <c r="E153" s="53"/>
      <c r="F153" s="38" t="s">
        <v>28</v>
      </c>
      <c r="G153" s="49"/>
      <c r="H153" s="54">
        <f>VLOOKUP(F153,$A$12:$B$12,2,TRUE)</f>
        <v>500</v>
      </c>
      <c r="I153" s="51">
        <f t="shared" si="1"/>
        <v>0</v>
      </c>
      <c r="J153" s="53"/>
      <c r="K153" s="27"/>
      <c r="L153" s="27"/>
      <c r="M153" s="27"/>
      <c r="N153" s="27"/>
    </row>
    <row r="154" ht="15.75" customHeight="1">
      <c r="A154" s="46"/>
      <c r="B154" s="46"/>
      <c r="C154" s="46"/>
      <c r="D154" s="53"/>
      <c r="E154" s="53"/>
      <c r="F154" s="38" t="s">
        <v>29</v>
      </c>
      <c r="G154" s="49"/>
      <c r="H154" s="54">
        <f>VLOOKUP(F154,$A$13:$B$13,2,TRUE)</f>
        <v>6500</v>
      </c>
      <c r="I154" s="51">
        <f t="shared" si="1"/>
        <v>0</v>
      </c>
      <c r="J154" s="53"/>
      <c r="K154" s="27"/>
      <c r="L154" s="27"/>
      <c r="M154" s="27"/>
      <c r="N154" s="27"/>
    </row>
    <row r="155" ht="15.75" customHeight="1">
      <c r="A155" s="46"/>
      <c r="B155" s="46"/>
      <c r="C155" s="46"/>
      <c r="D155" s="53"/>
      <c r="E155" s="53"/>
      <c r="F155" s="38" t="s">
        <v>30</v>
      </c>
      <c r="G155" s="49"/>
      <c r="H155" s="54">
        <f>VLOOKUP(F155,$A$14:$B$14,2,TRUE)</f>
        <v>2200</v>
      </c>
      <c r="I155" s="51">
        <f t="shared" si="1"/>
        <v>0</v>
      </c>
      <c r="J155" s="53"/>
      <c r="K155" s="27"/>
      <c r="L155" s="27"/>
      <c r="M155" s="27"/>
      <c r="N155" s="27"/>
    </row>
    <row r="156" ht="15.75" customHeight="1">
      <c r="A156" s="46"/>
      <c r="B156" s="46"/>
      <c r="C156" s="46"/>
      <c r="D156" s="53"/>
      <c r="E156" s="53"/>
      <c r="F156" s="38" t="s">
        <v>31</v>
      </c>
      <c r="G156" s="49"/>
      <c r="H156" s="54">
        <f>VLOOKUP(F156,$A$15:$B$15,2,TRUE)</f>
        <v>1300</v>
      </c>
      <c r="I156" s="51">
        <f t="shared" si="1"/>
        <v>0</v>
      </c>
      <c r="J156" s="53"/>
      <c r="K156" s="27"/>
      <c r="L156" s="27"/>
      <c r="M156" s="27"/>
      <c r="N156" s="27"/>
    </row>
    <row r="157" ht="15.75" customHeight="1">
      <c r="A157" s="46"/>
      <c r="B157" s="46"/>
      <c r="C157" s="46"/>
      <c r="D157" s="53"/>
      <c r="E157" s="53"/>
      <c r="F157" s="38" t="s">
        <v>32</v>
      </c>
      <c r="G157" s="49"/>
      <c r="H157" s="54">
        <f>VLOOKUP(F157,$A$16:$B$16,2,TRUE)</f>
        <v>5000</v>
      </c>
      <c r="I157" s="51">
        <f t="shared" si="1"/>
        <v>0</v>
      </c>
      <c r="J157" s="53"/>
      <c r="K157" s="27"/>
      <c r="L157" s="27"/>
      <c r="M157" s="27"/>
      <c r="N157" s="27"/>
    </row>
    <row r="158" ht="15.75" customHeight="1">
      <c r="A158" s="46"/>
      <c r="B158" s="46"/>
      <c r="C158" s="46"/>
      <c r="D158" s="53"/>
      <c r="E158" s="53"/>
      <c r="F158" s="38" t="s">
        <v>33</v>
      </c>
      <c r="G158" s="49"/>
      <c r="H158" s="54">
        <f>VLOOKUP(F158,$A$17:$B$17,2,TRUE)</f>
        <v>2500</v>
      </c>
      <c r="I158" s="51">
        <f t="shared" si="1"/>
        <v>0</v>
      </c>
      <c r="J158" s="53"/>
      <c r="K158" s="27"/>
      <c r="L158" s="27"/>
      <c r="M158" s="27"/>
      <c r="N158" s="27"/>
    </row>
    <row r="159" ht="15.75" customHeight="1">
      <c r="A159" s="46"/>
      <c r="B159" s="46"/>
      <c r="C159" s="46"/>
      <c r="D159" s="53"/>
      <c r="E159" s="53"/>
      <c r="F159" s="38" t="s">
        <v>35</v>
      </c>
      <c r="G159" s="49"/>
      <c r="H159" s="54">
        <f>VLOOKUP(F159,$A$18:$B$18,2,TRUE)</f>
        <v>10000</v>
      </c>
      <c r="I159" s="51">
        <f t="shared" si="1"/>
        <v>0</v>
      </c>
      <c r="J159" s="53"/>
      <c r="K159" s="27"/>
      <c r="L159" s="27"/>
      <c r="M159" s="27"/>
      <c r="N159" s="27"/>
    </row>
    <row r="160" ht="15.75" customHeight="1">
      <c r="A160" s="46"/>
      <c r="B160" s="46"/>
      <c r="C160" s="46"/>
      <c r="D160" s="53"/>
      <c r="E160" s="53"/>
      <c r="F160" s="38" t="s">
        <v>55</v>
      </c>
      <c r="G160" s="49"/>
      <c r="H160" s="54">
        <f>VLOOKUP(F160,$A$19:$B$19,2,TRUE)</f>
        <v>300</v>
      </c>
      <c r="I160" s="51">
        <f t="shared" si="1"/>
        <v>0</v>
      </c>
      <c r="J160" s="53"/>
      <c r="K160" s="27"/>
      <c r="L160" s="27"/>
      <c r="M160" s="27"/>
      <c r="N160" s="27"/>
    </row>
    <row r="161" ht="15.75" customHeight="1">
      <c r="A161" s="46"/>
      <c r="B161" s="46"/>
      <c r="C161" s="46"/>
      <c r="D161" s="53"/>
      <c r="E161" s="53"/>
      <c r="F161" s="38" t="s">
        <v>15</v>
      </c>
      <c r="G161" s="49"/>
      <c r="H161" s="54">
        <f>VLOOKUP(F161,$A$20:$B$20,2,TRUE)</f>
        <v>300</v>
      </c>
      <c r="I161" s="51">
        <f t="shared" si="1"/>
        <v>0</v>
      </c>
      <c r="J161" s="53"/>
      <c r="K161" s="27"/>
      <c r="L161" s="27"/>
      <c r="M161" s="27"/>
      <c r="N161" s="27"/>
    </row>
    <row r="162" ht="15.75" customHeight="1">
      <c r="A162" s="46"/>
      <c r="B162" s="46"/>
      <c r="C162" s="46"/>
      <c r="D162" s="53"/>
      <c r="E162" s="53"/>
      <c r="F162" s="38" t="s">
        <v>11</v>
      </c>
      <c r="G162" s="49"/>
      <c r="H162" s="54">
        <f>VLOOKUP(F162,$A$21:$B$21,2,TRUE)</f>
        <v>1700</v>
      </c>
      <c r="I162" s="51">
        <f t="shared" si="1"/>
        <v>0</v>
      </c>
      <c r="J162" s="53"/>
      <c r="K162" s="27"/>
      <c r="L162" s="27"/>
      <c r="M162" s="27"/>
      <c r="N162" s="27"/>
    </row>
    <row r="163" ht="15.75" customHeight="1">
      <c r="A163" s="46"/>
      <c r="B163" s="46"/>
      <c r="C163" s="46"/>
      <c r="D163" s="53"/>
      <c r="E163" s="53"/>
      <c r="F163" s="38" t="s">
        <v>17</v>
      </c>
      <c r="G163" s="49">
        <f>5.5+6.5</f>
        <v>12</v>
      </c>
      <c r="H163" s="54">
        <f>VLOOKUP(F162,$A$22:$B$22,2,TRUE)</f>
        <v>4500</v>
      </c>
      <c r="I163" s="51">
        <f t="shared" si="1"/>
        <v>54000</v>
      </c>
      <c r="J163" s="53"/>
      <c r="K163" s="27"/>
      <c r="L163" s="27"/>
      <c r="M163" s="27"/>
      <c r="N163" s="27"/>
    </row>
    <row r="164" ht="15.75" customHeight="1">
      <c r="A164" s="46"/>
      <c r="B164" s="46"/>
      <c r="C164" s="46"/>
      <c r="D164" s="14"/>
      <c r="E164" s="14"/>
      <c r="F164" s="38" t="s">
        <v>56</v>
      </c>
      <c r="G164" s="49"/>
      <c r="H164" s="54">
        <f>VLOOKUP(F163,$A$23:$B$23,2,TRUE)</f>
        <v>500</v>
      </c>
      <c r="I164" s="51">
        <f t="shared" si="1"/>
        <v>0</v>
      </c>
      <c r="J164" s="14"/>
      <c r="K164" s="27"/>
      <c r="L164" s="27"/>
      <c r="M164" s="27"/>
      <c r="N164" s="27"/>
    </row>
    <row r="165" ht="15.75" customHeight="1">
      <c r="A165" s="46"/>
      <c r="B165" s="46"/>
      <c r="C165" s="46"/>
      <c r="D165" s="47">
        <v>9.0</v>
      </c>
      <c r="E165" s="48" t="s">
        <v>71</v>
      </c>
      <c r="F165" s="38" t="s">
        <v>19</v>
      </c>
      <c r="G165" s="49"/>
      <c r="H165" s="50">
        <f>VLOOKUP(F165,$A$4:$B$4,2,TRUE)</f>
        <v>3100</v>
      </c>
      <c r="I165" s="51">
        <f t="shared" si="1"/>
        <v>0</v>
      </c>
      <c r="J165" s="52">
        <f>SUM(I165:I184)</f>
        <v>46400</v>
      </c>
      <c r="K165" s="27"/>
      <c r="L165" s="27"/>
      <c r="M165" s="27"/>
      <c r="N165" s="27"/>
    </row>
    <row r="166" ht="15.75" customHeight="1">
      <c r="A166" s="46"/>
      <c r="B166" s="46"/>
      <c r="C166" s="46"/>
      <c r="D166" s="53"/>
      <c r="E166" s="53"/>
      <c r="F166" s="38" t="s">
        <v>51</v>
      </c>
      <c r="G166" s="49">
        <v>2.0</v>
      </c>
      <c r="H166" s="54">
        <f>VLOOKUP(F166,$A$5:$B$5,2,TRUE)</f>
        <v>3000</v>
      </c>
      <c r="I166" s="51">
        <f t="shared" si="1"/>
        <v>6000</v>
      </c>
      <c r="J166" s="53"/>
      <c r="K166" s="27"/>
      <c r="L166" s="27"/>
      <c r="M166" s="27"/>
      <c r="N166" s="27"/>
    </row>
    <row r="167" ht="15.75" customHeight="1">
      <c r="A167" s="46"/>
      <c r="B167" s="46"/>
      <c r="C167" s="46"/>
      <c r="D167" s="53"/>
      <c r="E167" s="53"/>
      <c r="F167" s="38" t="s">
        <v>53</v>
      </c>
      <c r="G167" s="49"/>
      <c r="H167" s="54">
        <f>VLOOKUP(F167,$A$6:$B$6,2,TRUE)</f>
        <v>800</v>
      </c>
      <c r="I167" s="51">
        <f t="shared" si="1"/>
        <v>0</v>
      </c>
      <c r="J167" s="53"/>
      <c r="K167" s="27"/>
      <c r="L167" s="27"/>
      <c r="M167" s="27"/>
      <c r="N167" s="27"/>
    </row>
    <row r="168" ht="15.75" customHeight="1">
      <c r="A168" s="46"/>
      <c r="B168" s="46"/>
      <c r="C168" s="46"/>
      <c r="D168" s="53"/>
      <c r="E168" s="53"/>
      <c r="F168" s="38" t="s">
        <v>22</v>
      </c>
      <c r="G168" s="49">
        <v>3.0</v>
      </c>
      <c r="H168" s="54">
        <f>VLOOKUP(F168,$A$7:$B$7,2,TRUE)</f>
        <v>2000</v>
      </c>
      <c r="I168" s="51">
        <f t="shared" si="1"/>
        <v>6000</v>
      </c>
      <c r="J168" s="53"/>
      <c r="K168" s="27"/>
      <c r="L168" s="27"/>
      <c r="M168" s="27"/>
      <c r="N168" s="27"/>
    </row>
    <row r="169" ht="15.75" customHeight="1">
      <c r="A169" s="46"/>
      <c r="B169" s="46"/>
      <c r="C169" s="46"/>
      <c r="D169" s="53"/>
      <c r="E169" s="53"/>
      <c r="F169" s="38" t="s">
        <v>23</v>
      </c>
      <c r="G169" s="49"/>
      <c r="H169" s="54">
        <f>VLOOKUP(F169, $A$8:$B$8, 2, FALSE)</f>
        <v>2800</v>
      </c>
      <c r="I169" s="51">
        <f t="shared" si="1"/>
        <v>0</v>
      </c>
      <c r="J169" s="53"/>
      <c r="K169" s="27"/>
      <c r="L169" s="27"/>
      <c r="M169" s="27"/>
      <c r="N169" s="27"/>
    </row>
    <row r="170" ht="15.75" customHeight="1">
      <c r="A170" s="46"/>
      <c r="B170" s="46"/>
      <c r="C170" s="46"/>
      <c r="D170" s="53"/>
      <c r="E170" s="53"/>
      <c r="F170" s="38" t="s">
        <v>54</v>
      </c>
      <c r="G170" s="49">
        <v>8.0</v>
      </c>
      <c r="H170" s="54">
        <f>VLOOKUP(F170, $A$9:$B$9, 2, FALSE)</f>
        <v>800</v>
      </c>
      <c r="I170" s="51">
        <f t="shared" si="1"/>
        <v>6400</v>
      </c>
      <c r="J170" s="53"/>
      <c r="K170" s="27"/>
      <c r="L170" s="27"/>
      <c r="M170" s="27"/>
      <c r="N170" s="27"/>
    </row>
    <row r="171" ht="15.75" customHeight="1">
      <c r="A171" s="46"/>
      <c r="B171" s="46"/>
      <c r="C171" s="46"/>
      <c r="D171" s="53"/>
      <c r="E171" s="53"/>
      <c r="F171" s="38" t="s">
        <v>25</v>
      </c>
      <c r="G171" s="49"/>
      <c r="H171" s="54">
        <f>VLOOKUP(F171,$A$10:$B$10,2,TRUE)</f>
        <v>1500</v>
      </c>
      <c r="I171" s="51">
        <f t="shared" si="1"/>
        <v>0</v>
      </c>
      <c r="J171" s="53"/>
      <c r="K171" s="27"/>
      <c r="L171" s="27"/>
      <c r="M171" s="27"/>
      <c r="N171" s="27"/>
    </row>
    <row r="172" ht="15.75" customHeight="1">
      <c r="A172" s="46"/>
      <c r="B172" s="46"/>
      <c r="C172" s="46"/>
      <c r="D172" s="53"/>
      <c r="E172" s="53"/>
      <c r="F172" s="38" t="s">
        <v>26</v>
      </c>
      <c r="G172" s="49">
        <v>5.0</v>
      </c>
      <c r="H172" s="54">
        <f>VLOOKUP(F172,$A$11:$B$11,2,TRUE)</f>
        <v>1200</v>
      </c>
      <c r="I172" s="51">
        <f t="shared" si="1"/>
        <v>6000</v>
      </c>
      <c r="J172" s="53"/>
      <c r="K172" s="27"/>
      <c r="L172" s="27"/>
      <c r="M172" s="27"/>
      <c r="N172" s="27"/>
    </row>
    <row r="173" ht="15.75" customHeight="1">
      <c r="A173" s="46"/>
      <c r="B173" s="46"/>
      <c r="C173" s="46"/>
      <c r="D173" s="53"/>
      <c r="E173" s="53"/>
      <c r="F173" s="38" t="s">
        <v>28</v>
      </c>
      <c r="G173" s="49"/>
      <c r="H173" s="54">
        <f>VLOOKUP(F173,$A$12:$B$12,2,TRUE)</f>
        <v>500</v>
      </c>
      <c r="I173" s="51">
        <f t="shared" si="1"/>
        <v>0</v>
      </c>
      <c r="J173" s="53"/>
      <c r="K173" s="27"/>
      <c r="L173" s="27"/>
      <c r="M173" s="27"/>
      <c r="N173" s="27"/>
    </row>
    <row r="174" ht="15.75" customHeight="1">
      <c r="A174" s="46"/>
      <c r="B174" s="46"/>
      <c r="C174" s="46"/>
      <c r="D174" s="53"/>
      <c r="E174" s="53"/>
      <c r="F174" s="38" t="s">
        <v>29</v>
      </c>
      <c r="G174" s="49"/>
      <c r="H174" s="54">
        <f>VLOOKUP(F174,$A$13:$B$13,2,TRUE)</f>
        <v>6500</v>
      </c>
      <c r="I174" s="51">
        <f t="shared" si="1"/>
        <v>0</v>
      </c>
      <c r="J174" s="53"/>
      <c r="K174" s="27"/>
      <c r="L174" s="27"/>
      <c r="M174" s="27"/>
      <c r="N174" s="27"/>
    </row>
    <row r="175" ht="15.75" customHeight="1">
      <c r="A175" s="46"/>
      <c r="B175" s="46"/>
      <c r="C175" s="46"/>
      <c r="D175" s="53"/>
      <c r="E175" s="53"/>
      <c r="F175" s="38" t="s">
        <v>30</v>
      </c>
      <c r="G175" s="49">
        <v>10.0</v>
      </c>
      <c r="H175" s="54">
        <f>VLOOKUP(F175,$A$14:$B$14,2,TRUE)</f>
        <v>2200</v>
      </c>
      <c r="I175" s="51">
        <f t="shared" si="1"/>
        <v>22000</v>
      </c>
      <c r="J175" s="53"/>
      <c r="K175" s="27"/>
      <c r="L175" s="27"/>
      <c r="M175" s="27"/>
      <c r="N175" s="27"/>
    </row>
    <row r="176" ht="15.75" customHeight="1">
      <c r="A176" s="46"/>
      <c r="B176" s="46"/>
      <c r="C176" s="46"/>
      <c r="D176" s="53"/>
      <c r="E176" s="53"/>
      <c r="F176" s="38" t="s">
        <v>31</v>
      </c>
      <c r="G176" s="49"/>
      <c r="H176" s="54">
        <f>VLOOKUP(F176,$A$15:$B$15,2,TRUE)</f>
        <v>1300</v>
      </c>
      <c r="I176" s="51">
        <f t="shared" si="1"/>
        <v>0</v>
      </c>
      <c r="J176" s="53"/>
      <c r="K176" s="27"/>
      <c r="L176" s="27"/>
      <c r="M176" s="27"/>
      <c r="N176" s="27"/>
    </row>
    <row r="177" ht="15.75" customHeight="1">
      <c r="A177" s="46"/>
      <c r="B177" s="46"/>
      <c r="C177" s="46"/>
      <c r="D177" s="53"/>
      <c r="E177" s="53"/>
      <c r="F177" s="38" t="s">
        <v>32</v>
      </c>
      <c r="G177" s="49"/>
      <c r="H177" s="54">
        <f>VLOOKUP(F177,$A$16:$B$16,2,TRUE)</f>
        <v>5000</v>
      </c>
      <c r="I177" s="51">
        <f t="shared" si="1"/>
        <v>0</v>
      </c>
      <c r="J177" s="53"/>
      <c r="K177" s="27"/>
      <c r="L177" s="27"/>
      <c r="M177" s="27"/>
      <c r="N177" s="27"/>
    </row>
    <row r="178" ht="15.75" customHeight="1">
      <c r="A178" s="46"/>
      <c r="B178" s="46"/>
      <c r="C178" s="46"/>
      <c r="D178" s="53"/>
      <c r="E178" s="53"/>
      <c r="F178" s="38" t="s">
        <v>33</v>
      </c>
      <c r="G178" s="49"/>
      <c r="H178" s="54">
        <f>VLOOKUP(F178,$A$17:$B$17,2,TRUE)</f>
        <v>2500</v>
      </c>
      <c r="I178" s="51">
        <f t="shared" si="1"/>
        <v>0</v>
      </c>
      <c r="J178" s="53"/>
      <c r="K178" s="27"/>
      <c r="L178" s="27"/>
      <c r="M178" s="27"/>
      <c r="N178" s="27"/>
    </row>
    <row r="179" ht="15.75" customHeight="1">
      <c r="A179" s="46"/>
      <c r="B179" s="46"/>
      <c r="C179" s="46"/>
      <c r="D179" s="53"/>
      <c r="E179" s="53"/>
      <c r="F179" s="38" t="s">
        <v>35</v>
      </c>
      <c r="G179" s="49"/>
      <c r="H179" s="54">
        <f>VLOOKUP(F179,$A$18:$B$18,2,TRUE)</f>
        <v>10000</v>
      </c>
      <c r="I179" s="51">
        <f t="shared" si="1"/>
        <v>0</v>
      </c>
      <c r="J179" s="53"/>
      <c r="K179" s="27"/>
      <c r="L179" s="27"/>
      <c r="M179" s="27"/>
      <c r="N179" s="27"/>
    </row>
    <row r="180" ht="15.75" customHeight="1">
      <c r="A180" s="46"/>
      <c r="B180" s="46"/>
      <c r="C180" s="46"/>
      <c r="D180" s="53"/>
      <c r="E180" s="53"/>
      <c r="F180" s="38" t="s">
        <v>55</v>
      </c>
      <c r="G180" s="49"/>
      <c r="H180" s="54">
        <f>VLOOKUP(F180,$A$19:$B$19,2,TRUE)</f>
        <v>300</v>
      </c>
      <c r="I180" s="51">
        <f t="shared" si="1"/>
        <v>0</v>
      </c>
      <c r="J180" s="53"/>
      <c r="K180" s="27"/>
      <c r="L180" s="27"/>
      <c r="M180" s="27"/>
      <c r="N180" s="27"/>
    </row>
    <row r="181" ht="15.75" customHeight="1">
      <c r="A181" s="46"/>
      <c r="B181" s="46"/>
      <c r="C181" s="46"/>
      <c r="D181" s="53"/>
      <c r="E181" s="53"/>
      <c r="F181" s="38" t="s">
        <v>15</v>
      </c>
      <c r="G181" s="49"/>
      <c r="H181" s="54">
        <f>VLOOKUP(F181,$A$20:$B$20,2,TRUE)</f>
        <v>300</v>
      </c>
      <c r="I181" s="51">
        <f t="shared" si="1"/>
        <v>0</v>
      </c>
      <c r="J181" s="53"/>
      <c r="K181" s="27"/>
      <c r="L181" s="27"/>
      <c r="M181" s="27"/>
      <c r="N181" s="27"/>
    </row>
    <row r="182" ht="15.75" customHeight="1">
      <c r="A182" s="46"/>
      <c r="B182" s="46"/>
      <c r="C182" s="46"/>
      <c r="D182" s="53"/>
      <c r="E182" s="53"/>
      <c r="F182" s="38" t="s">
        <v>11</v>
      </c>
      <c r="G182" s="49"/>
      <c r="H182" s="54">
        <f>VLOOKUP(F182,$A$21:$B$21,2,TRUE)</f>
        <v>1700</v>
      </c>
      <c r="I182" s="51">
        <f t="shared" si="1"/>
        <v>0</v>
      </c>
      <c r="J182" s="53"/>
      <c r="K182" s="27"/>
      <c r="L182" s="27"/>
      <c r="M182" s="27"/>
      <c r="N182" s="27"/>
    </row>
    <row r="183" ht="15.75" customHeight="1">
      <c r="A183" s="46"/>
      <c r="B183" s="46"/>
      <c r="C183" s="46"/>
      <c r="D183" s="53"/>
      <c r="E183" s="53"/>
      <c r="F183" s="38" t="s">
        <v>17</v>
      </c>
      <c r="G183" s="49"/>
      <c r="H183" s="54">
        <f>VLOOKUP(F182,$A$22:$B$22,2,TRUE)</f>
        <v>4500</v>
      </c>
      <c r="I183" s="51">
        <f t="shared" si="1"/>
        <v>0</v>
      </c>
      <c r="J183" s="53"/>
      <c r="K183" s="27"/>
      <c r="L183" s="27"/>
      <c r="M183" s="27"/>
      <c r="N183" s="27"/>
    </row>
    <row r="184" ht="15.75" customHeight="1">
      <c r="A184" s="46"/>
      <c r="B184" s="46"/>
      <c r="C184" s="46"/>
      <c r="D184" s="14"/>
      <c r="E184" s="14"/>
      <c r="F184" s="38" t="s">
        <v>56</v>
      </c>
      <c r="G184" s="49"/>
      <c r="H184" s="54">
        <f>VLOOKUP(F183,$A$23:$B$23,2,TRUE)</f>
        <v>500</v>
      </c>
      <c r="I184" s="51">
        <f t="shared" si="1"/>
        <v>0</v>
      </c>
      <c r="J184" s="14"/>
      <c r="K184" s="27"/>
      <c r="L184" s="27"/>
      <c r="M184" s="27"/>
      <c r="N184" s="27"/>
    </row>
    <row r="185" ht="15.75" customHeight="1">
      <c r="A185" s="46"/>
      <c r="B185" s="46"/>
      <c r="C185" s="46"/>
      <c r="D185" s="58" t="s">
        <v>59</v>
      </c>
      <c r="E185" s="4"/>
      <c r="F185" s="4"/>
      <c r="G185" s="4"/>
      <c r="H185" s="4"/>
      <c r="I185" s="5"/>
      <c r="J185" s="59">
        <f>SUM(J5:J184)</f>
        <v>371650</v>
      </c>
      <c r="K185" s="27"/>
      <c r="L185" s="27"/>
      <c r="M185" s="27"/>
      <c r="N185" s="27"/>
    </row>
    <row r="186" ht="15.75" customHeight="1">
      <c r="A186" s="26"/>
      <c r="B186" s="26"/>
      <c r="C186" s="26"/>
      <c r="D186" s="26"/>
      <c r="E186" s="26"/>
      <c r="F186" s="27"/>
      <c r="G186" s="27"/>
      <c r="H186" s="27"/>
      <c r="I186" s="27"/>
      <c r="J186" s="28"/>
      <c r="K186" s="27"/>
      <c r="L186" s="27"/>
      <c r="M186" s="27"/>
      <c r="N186" s="27"/>
    </row>
    <row r="187" ht="15.75" customHeight="1">
      <c r="A187" s="26"/>
      <c r="B187" s="26"/>
      <c r="C187" s="26"/>
      <c r="D187" s="26"/>
      <c r="E187" s="26"/>
      <c r="F187" s="27"/>
      <c r="G187" s="27"/>
      <c r="H187" s="27"/>
      <c r="I187" s="27"/>
      <c r="J187" s="28"/>
      <c r="K187" s="27"/>
      <c r="L187" s="27"/>
      <c r="M187" s="27"/>
      <c r="N187" s="27"/>
    </row>
    <row r="188" ht="15.75" customHeight="1">
      <c r="A188" s="26"/>
      <c r="B188" s="26"/>
      <c r="C188" s="26"/>
      <c r="D188" s="26"/>
      <c r="E188" s="26"/>
      <c r="F188" s="27"/>
      <c r="G188" s="27"/>
      <c r="H188" s="27"/>
      <c r="I188" s="27"/>
      <c r="J188" s="28"/>
      <c r="K188" s="27"/>
      <c r="L188" s="27"/>
      <c r="M188" s="27"/>
      <c r="N188" s="27"/>
    </row>
    <row r="189" ht="15.75" customHeight="1">
      <c r="A189" s="26"/>
      <c r="B189" s="26"/>
      <c r="C189" s="26"/>
      <c r="D189" s="26"/>
      <c r="E189" s="26"/>
      <c r="F189" s="27"/>
      <c r="G189" s="27"/>
      <c r="H189" s="27"/>
      <c r="I189" s="27"/>
      <c r="J189" s="28"/>
      <c r="K189" s="27"/>
      <c r="L189" s="27"/>
      <c r="M189" s="27"/>
      <c r="N189" s="27"/>
    </row>
    <row r="190" ht="15.75" customHeight="1">
      <c r="A190" s="26"/>
      <c r="B190" s="26"/>
      <c r="C190" s="26"/>
      <c r="D190" s="26"/>
      <c r="E190" s="26"/>
      <c r="F190" s="27"/>
      <c r="G190" s="27"/>
      <c r="H190" s="27"/>
      <c r="I190" s="27"/>
      <c r="J190" s="28"/>
      <c r="K190" s="27"/>
      <c r="L190" s="27"/>
      <c r="M190" s="27"/>
      <c r="N190" s="27"/>
    </row>
    <row r="191" ht="15.75" customHeight="1">
      <c r="A191" s="26"/>
      <c r="B191" s="26"/>
      <c r="C191" s="26"/>
      <c r="D191" s="26"/>
      <c r="E191" s="26"/>
      <c r="F191" s="27"/>
      <c r="G191" s="27"/>
      <c r="H191" s="27"/>
      <c r="I191" s="27"/>
      <c r="J191" s="28"/>
      <c r="K191" s="27"/>
      <c r="L191" s="27"/>
      <c r="M191" s="27"/>
      <c r="N191" s="27"/>
    </row>
    <row r="192" ht="15.75" customHeight="1">
      <c r="A192" s="26"/>
      <c r="B192" s="26"/>
      <c r="C192" s="26"/>
      <c r="D192" s="26"/>
      <c r="E192" s="26"/>
      <c r="F192" s="27"/>
      <c r="G192" s="27"/>
      <c r="H192" s="27"/>
      <c r="I192" s="27"/>
      <c r="J192" s="28"/>
      <c r="K192" s="27"/>
      <c r="L192" s="27"/>
      <c r="M192" s="27"/>
      <c r="N192" s="27"/>
    </row>
    <row r="193" ht="15.75" customHeight="1">
      <c r="A193" s="26"/>
      <c r="B193" s="26"/>
      <c r="C193" s="26"/>
      <c r="D193" s="26"/>
      <c r="E193" s="26"/>
      <c r="F193" s="27"/>
      <c r="G193" s="27"/>
      <c r="H193" s="27"/>
      <c r="I193" s="27"/>
      <c r="J193" s="28"/>
      <c r="K193" s="27"/>
      <c r="L193" s="27"/>
      <c r="M193" s="27"/>
      <c r="N193" s="27"/>
    </row>
    <row r="194" ht="15.75" customHeight="1">
      <c r="A194" s="26"/>
      <c r="B194" s="26"/>
      <c r="C194" s="26"/>
      <c r="D194" s="26"/>
      <c r="E194" s="26"/>
      <c r="J194" s="28"/>
    </row>
    <row r="195" ht="15.75" customHeight="1">
      <c r="A195" s="26"/>
      <c r="B195" s="26"/>
      <c r="C195" s="26"/>
      <c r="D195" s="26"/>
      <c r="E195" s="26"/>
      <c r="J195" s="28"/>
    </row>
    <row r="196" ht="15.75" customHeight="1">
      <c r="A196" s="26"/>
      <c r="B196" s="26"/>
      <c r="C196" s="26"/>
      <c r="D196" s="26"/>
      <c r="E196" s="26"/>
      <c r="J196" s="28"/>
    </row>
    <row r="197" ht="15.75" customHeight="1">
      <c r="A197" s="26"/>
      <c r="B197" s="26"/>
      <c r="C197" s="26"/>
      <c r="D197" s="26"/>
      <c r="E197" s="26"/>
      <c r="J197" s="28"/>
    </row>
    <row r="198" ht="15.75" customHeight="1">
      <c r="A198" s="26"/>
      <c r="B198" s="26"/>
      <c r="C198" s="26"/>
      <c r="D198" s="26"/>
      <c r="E198" s="26"/>
      <c r="J198" s="28"/>
    </row>
    <row r="199" ht="15.75" customHeight="1">
      <c r="A199" s="26"/>
      <c r="B199" s="26"/>
      <c r="C199" s="26"/>
      <c r="D199" s="26"/>
      <c r="E199" s="26"/>
      <c r="J199" s="28"/>
    </row>
    <row r="200" ht="15.75" customHeight="1">
      <c r="A200" s="26"/>
      <c r="B200" s="26"/>
      <c r="C200" s="26"/>
      <c r="D200" s="26"/>
      <c r="E200" s="26"/>
      <c r="J200" s="28"/>
    </row>
    <row r="201" ht="15.75" customHeight="1">
      <c r="A201" s="26"/>
      <c r="B201" s="26"/>
      <c r="C201" s="26"/>
      <c r="D201" s="26"/>
      <c r="E201" s="26"/>
      <c r="J201" s="28"/>
    </row>
    <row r="202" ht="15.75" customHeight="1">
      <c r="A202" s="26"/>
      <c r="B202" s="26"/>
      <c r="C202" s="26"/>
      <c r="D202" s="26"/>
      <c r="E202" s="26"/>
      <c r="J202" s="28"/>
    </row>
    <row r="203" ht="15.75" customHeight="1">
      <c r="A203" s="26"/>
      <c r="B203" s="26"/>
      <c r="C203" s="26"/>
      <c r="D203" s="26"/>
      <c r="E203" s="26"/>
      <c r="J203" s="28"/>
    </row>
    <row r="204" ht="15.75" customHeight="1">
      <c r="A204" s="26"/>
      <c r="B204" s="26"/>
      <c r="C204" s="26"/>
      <c r="D204" s="26"/>
      <c r="E204" s="26"/>
      <c r="J204" s="28"/>
    </row>
    <row r="205" ht="15.75" customHeight="1">
      <c r="A205" s="26"/>
      <c r="B205" s="26"/>
      <c r="C205" s="26"/>
      <c r="D205" s="26"/>
      <c r="E205" s="26"/>
      <c r="J205" s="28"/>
    </row>
    <row r="206" ht="15.75" customHeight="1">
      <c r="A206" s="26"/>
      <c r="B206" s="26"/>
      <c r="C206" s="26"/>
      <c r="D206" s="26"/>
      <c r="E206" s="26"/>
      <c r="J206" s="28"/>
    </row>
    <row r="207" ht="15.75" customHeight="1">
      <c r="A207" s="26"/>
      <c r="B207" s="26"/>
      <c r="C207" s="26"/>
      <c r="D207" s="26"/>
      <c r="E207" s="26"/>
      <c r="J207" s="28"/>
    </row>
    <row r="208" ht="15.75" customHeight="1">
      <c r="A208" s="26"/>
      <c r="B208" s="26"/>
      <c r="C208" s="26"/>
      <c r="D208" s="26"/>
      <c r="E208" s="26"/>
      <c r="J208" s="28"/>
    </row>
    <row r="209" ht="15.75" customHeight="1">
      <c r="A209" s="26"/>
      <c r="B209" s="26"/>
      <c r="C209" s="26"/>
      <c r="D209" s="26"/>
      <c r="E209" s="26"/>
      <c r="J209" s="28"/>
    </row>
    <row r="210" ht="15.75" customHeight="1">
      <c r="A210" s="26"/>
      <c r="B210" s="26"/>
      <c r="C210" s="26"/>
      <c r="D210" s="26"/>
      <c r="E210" s="26"/>
      <c r="J210" s="28"/>
    </row>
    <row r="211" ht="15.75" customHeight="1">
      <c r="A211" s="26"/>
      <c r="B211" s="26"/>
      <c r="C211" s="26"/>
      <c r="D211" s="26"/>
      <c r="E211" s="26"/>
      <c r="J211" s="28"/>
    </row>
    <row r="212" ht="15.75" customHeight="1">
      <c r="A212" s="26"/>
      <c r="B212" s="26"/>
      <c r="C212" s="26"/>
      <c r="D212" s="26"/>
      <c r="E212" s="26"/>
      <c r="J212" s="28"/>
    </row>
    <row r="213" ht="15.75" customHeight="1">
      <c r="A213" s="26"/>
      <c r="B213" s="26"/>
      <c r="C213" s="26"/>
      <c r="D213" s="26"/>
      <c r="E213" s="26"/>
      <c r="J213" s="28"/>
    </row>
    <row r="214" ht="15.75" customHeight="1">
      <c r="A214" s="26"/>
      <c r="B214" s="26"/>
      <c r="C214" s="26"/>
      <c r="D214" s="26"/>
      <c r="E214" s="26"/>
      <c r="J214" s="28"/>
    </row>
    <row r="215" ht="15.75" customHeight="1">
      <c r="A215" s="26"/>
      <c r="B215" s="26"/>
      <c r="C215" s="26"/>
      <c r="D215" s="26"/>
      <c r="E215" s="26"/>
      <c r="J215" s="28"/>
    </row>
    <row r="216" ht="15.75" customHeight="1">
      <c r="A216" s="26"/>
      <c r="B216" s="26"/>
      <c r="C216" s="26"/>
      <c r="D216" s="26"/>
      <c r="E216" s="26"/>
      <c r="J216" s="28"/>
    </row>
    <row r="217" ht="15.75" customHeight="1">
      <c r="A217" s="26"/>
      <c r="B217" s="26"/>
      <c r="C217" s="26"/>
      <c r="D217" s="26"/>
      <c r="E217" s="26"/>
      <c r="J217" s="28"/>
    </row>
    <row r="218" ht="15.75" customHeight="1">
      <c r="A218" s="26"/>
      <c r="B218" s="26"/>
      <c r="C218" s="26"/>
      <c r="D218" s="26"/>
      <c r="E218" s="26"/>
      <c r="J218" s="28"/>
    </row>
    <row r="219" ht="15.75" customHeight="1">
      <c r="A219" s="26"/>
      <c r="B219" s="26"/>
      <c r="C219" s="26"/>
      <c r="D219" s="26"/>
      <c r="E219" s="26"/>
      <c r="J219" s="28"/>
    </row>
    <row r="220" ht="15.75" customHeight="1">
      <c r="A220" s="26"/>
      <c r="B220" s="26"/>
      <c r="C220" s="26"/>
      <c r="D220" s="26"/>
      <c r="E220" s="26"/>
      <c r="J220" s="28"/>
    </row>
    <row r="221" ht="15.75" customHeight="1">
      <c r="A221" s="26"/>
      <c r="B221" s="26"/>
      <c r="C221" s="26"/>
      <c r="D221" s="26"/>
      <c r="E221" s="26"/>
      <c r="J221" s="28"/>
    </row>
    <row r="222" ht="15.75" customHeight="1">
      <c r="A222" s="26"/>
      <c r="B222" s="26"/>
      <c r="C222" s="26"/>
      <c r="D222" s="26"/>
      <c r="E222" s="26"/>
      <c r="J222" s="28"/>
    </row>
    <row r="223" ht="15.75" customHeight="1">
      <c r="A223" s="26"/>
      <c r="B223" s="26"/>
      <c r="C223" s="26"/>
      <c r="D223" s="26"/>
      <c r="E223" s="26"/>
      <c r="J223" s="28"/>
    </row>
    <row r="224" ht="15.75" customHeight="1">
      <c r="A224" s="26"/>
      <c r="B224" s="26"/>
      <c r="C224" s="26"/>
      <c r="D224" s="26"/>
      <c r="E224" s="26"/>
      <c r="J224" s="28"/>
    </row>
    <row r="225" ht="15.75" customHeight="1">
      <c r="A225" s="26"/>
      <c r="B225" s="26"/>
      <c r="C225" s="26"/>
      <c r="D225" s="26"/>
      <c r="E225" s="26"/>
      <c r="J225" s="28"/>
    </row>
    <row r="226" ht="15.75" customHeight="1">
      <c r="A226" s="26"/>
      <c r="B226" s="26"/>
      <c r="C226" s="26"/>
      <c r="D226" s="26"/>
      <c r="E226" s="26"/>
      <c r="J226" s="28"/>
    </row>
    <row r="227" ht="15.75" customHeight="1">
      <c r="A227" s="26"/>
      <c r="B227" s="26"/>
      <c r="C227" s="26"/>
      <c r="D227" s="26"/>
      <c r="E227" s="26"/>
      <c r="J227" s="28"/>
    </row>
    <row r="228" ht="15.75" customHeight="1">
      <c r="A228" s="26"/>
      <c r="B228" s="26"/>
      <c r="C228" s="26"/>
      <c r="D228" s="26"/>
      <c r="E228" s="26"/>
      <c r="J228" s="28"/>
    </row>
    <row r="229" ht="15.75" customHeight="1">
      <c r="A229" s="26"/>
      <c r="B229" s="26"/>
      <c r="C229" s="26"/>
      <c r="D229" s="26"/>
      <c r="E229" s="26"/>
      <c r="J229" s="28"/>
    </row>
    <row r="230" ht="15.75" customHeight="1">
      <c r="A230" s="26"/>
      <c r="B230" s="26"/>
      <c r="C230" s="26"/>
      <c r="D230" s="26"/>
      <c r="E230" s="26"/>
      <c r="J230" s="28"/>
    </row>
    <row r="231" ht="15.75" customHeight="1">
      <c r="A231" s="26"/>
      <c r="B231" s="26"/>
      <c r="C231" s="26"/>
      <c r="D231" s="26"/>
      <c r="E231" s="26"/>
      <c r="J231" s="28"/>
    </row>
    <row r="232" ht="15.75" customHeight="1">
      <c r="A232" s="26"/>
      <c r="B232" s="26"/>
      <c r="C232" s="26"/>
      <c r="D232" s="26"/>
      <c r="E232" s="26"/>
      <c r="J232" s="28"/>
    </row>
    <row r="233" ht="15.75" customHeight="1">
      <c r="A233" s="26"/>
      <c r="B233" s="26"/>
      <c r="C233" s="26"/>
      <c r="D233" s="26"/>
      <c r="E233" s="26"/>
      <c r="J233" s="28"/>
    </row>
    <row r="234" ht="15.75" customHeight="1">
      <c r="A234" s="26"/>
      <c r="B234" s="26"/>
      <c r="C234" s="26"/>
      <c r="D234" s="26"/>
      <c r="E234" s="26"/>
      <c r="J234" s="28"/>
    </row>
    <row r="235" ht="15.75" customHeight="1">
      <c r="A235" s="26"/>
      <c r="B235" s="26"/>
      <c r="C235" s="26"/>
      <c r="D235" s="26"/>
      <c r="E235" s="26"/>
      <c r="J235" s="28"/>
    </row>
    <row r="236" ht="15.75" customHeight="1">
      <c r="A236" s="26"/>
      <c r="B236" s="26"/>
      <c r="C236" s="26"/>
      <c r="D236" s="26"/>
      <c r="E236" s="26"/>
      <c r="J236" s="28"/>
    </row>
    <row r="237" ht="15.75" customHeight="1">
      <c r="A237" s="26"/>
      <c r="B237" s="26"/>
      <c r="C237" s="26"/>
      <c r="D237" s="26"/>
      <c r="E237" s="26"/>
      <c r="J237" s="28"/>
    </row>
    <row r="238" ht="15.75" customHeight="1">
      <c r="A238" s="26"/>
      <c r="B238" s="26"/>
      <c r="C238" s="26"/>
      <c r="D238" s="26"/>
      <c r="E238" s="26"/>
      <c r="J238" s="28"/>
    </row>
    <row r="239" ht="15.75" customHeight="1">
      <c r="A239" s="26"/>
      <c r="B239" s="26"/>
      <c r="C239" s="26"/>
      <c r="D239" s="26"/>
      <c r="E239" s="26"/>
      <c r="J239" s="28"/>
    </row>
    <row r="240" ht="15.75" customHeight="1">
      <c r="A240" s="26"/>
      <c r="B240" s="26"/>
      <c r="C240" s="26"/>
      <c r="D240" s="26"/>
      <c r="E240" s="26"/>
      <c r="J240" s="28"/>
    </row>
    <row r="241" ht="15.75" customHeight="1">
      <c r="A241" s="26"/>
      <c r="B241" s="26"/>
      <c r="C241" s="26"/>
      <c r="D241" s="26"/>
      <c r="E241" s="26"/>
      <c r="J241" s="28"/>
    </row>
    <row r="242" ht="15.75" customHeight="1">
      <c r="A242" s="26"/>
      <c r="B242" s="26"/>
      <c r="C242" s="26"/>
      <c r="D242" s="26"/>
      <c r="E242" s="26"/>
      <c r="J242" s="28"/>
    </row>
    <row r="243" ht="15.75" customHeight="1">
      <c r="A243" s="26"/>
      <c r="B243" s="26"/>
      <c r="C243" s="26"/>
      <c r="D243" s="26"/>
      <c r="E243" s="26"/>
      <c r="J243" s="28"/>
    </row>
    <row r="244" ht="15.75" customHeight="1">
      <c r="A244" s="26"/>
      <c r="B244" s="26"/>
      <c r="C244" s="26"/>
      <c r="D244" s="26"/>
      <c r="E244" s="26"/>
      <c r="J244" s="28"/>
    </row>
    <row r="245" ht="15.75" customHeight="1">
      <c r="A245" s="26"/>
      <c r="B245" s="26"/>
      <c r="C245" s="26"/>
      <c r="D245" s="26"/>
      <c r="E245" s="26"/>
      <c r="J245" s="28"/>
    </row>
    <row r="246" ht="15.75" customHeight="1">
      <c r="A246" s="26"/>
      <c r="B246" s="26"/>
      <c r="C246" s="26"/>
      <c r="D246" s="26"/>
      <c r="E246" s="26"/>
      <c r="J246" s="28"/>
    </row>
    <row r="247" ht="15.75" customHeight="1">
      <c r="A247" s="26"/>
      <c r="B247" s="26"/>
      <c r="C247" s="26"/>
      <c r="D247" s="26"/>
      <c r="E247" s="26"/>
      <c r="J247" s="28"/>
    </row>
    <row r="248" ht="15.75" customHeight="1">
      <c r="A248" s="26"/>
      <c r="B248" s="26"/>
      <c r="C248" s="26"/>
      <c r="D248" s="26"/>
      <c r="E248" s="26"/>
      <c r="J248" s="28"/>
    </row>
    <row r="249" ht="15.75" customHeight="1">
      <c r="A249" s="26"/>
      <c r="B249" s="26"/>
      <c r="C249" s="26"/>
      <c r="D249" s="26"/>
      <c r="E249" s="26"/>
      <c r="J249" s="28"/>
    </row>
    <row r="250" ht="15.75" customHeight="1">
      <c r="A250" s="26"/>
      <c r="B250" s="26"/>
      <c r="C250" s="26"/>
      <c r="D250" s="26"/>
      <c r="E250" s="26"/>
      <c r="J250" s="28"/>
    </row>
    <row r="251" ht="15.75" customHeight="1">
      <c r="A251" s="26"/>
      <c r="B251" s="26"/>
      <c r="C251" s="26"/>
      <c r="D251" s="26"/>
      <c r="E251" s="26"/>
      <c r="J251" s="28"/>
    </row>
    <row r="252" ht="15.75" customHeight="1">
      <c r="A252" s="26"/>
      <c r="B252" s="26"/>
      <c r="C252" s="26"/>
      <c r="D252" s="26"/>
      <c r="E252" s="26"/>
      <c r="J252" s="28"/>
    </row>
    <row r="253" ht="15.75" customHeight="1">
      <c r="A253" s="26"/>
      <c r="B253" s="26"/>
      <c r="C253" s="26"/>
      <c r="D253" s="26"/>
      <c r="E253" s="26"/>
      <c r="J253" s="28"/>
    </row>
    <row r="254" ht="15.75" customHeight="1">
      <c r="A254" s="26"/>
      <c r="B254" s="26"/>
      <c r="C254" s="26"/>
      <c r="D254" s="26"/>
      <c r="E254" s="26"/>
      <c r="J254" s="28"/>
    </row>
    <row r="255" ht="15.75" customHeight="1">
      <c r="A255" s="26"/>
      <c r="B255" s="26"/>
      <c r="C255" s="26"/>
      <c r="D255" s="26"/>
      <c r="E255" s="26"/>
      <c r="J255" s="28"/>
    </row>
    <row r="256" ht="15.75" customHeight="1">
      <c r="A256" s="26"/>
      <c r="B256" s="26"/>
      <c r="C256" s="26"/>
      <c r="D256" s="26"/>
      <c r="E256" s="26"/>
      <c r="J256" s="28"/>
    </row>
    <row r="257" ht="15.75" customHeight="1">
      <c r="A257" s="26"/>
      <c r="B257" s="26"/>
      <c r="C257" s="26"/>
      <c r="D257" s="26"/>
      <c r="E257" s="26"/>
      <c r="J257" s="28"/>
    </row>
    <row r="258" ht="15.75" customHeight="1">
      <c r="A258" s="26"/>
      <c r="B258" s="26"/>
      <c r="C258" s="26"/>
      <c r="D258" s="26"/>
      <c r="E258" s="26"/>
      <c r="J258" s="28"/>
    </row>
    <row r="259" ht="15.75" customHeight="1">
      <c r="A259" s="26"/>
      <c r="B259" s="26"/>
      <c r="C259" s="26"/>
      <c r="D259" s="26"/>
      <c r="E259" s="26"/>
      <c r="J259" s="28"/>
    </row>
    <row r="260" ht="15.75" customHeight="1">
      <c r="A260" s="26"/>
      <c r="B260" s="26"/>
      <c r="C260" s="26"/>
      <c r="D260" s="26"/>
      <c r="E260" s="26"/>
      <c r="J260" s="28"/>
    </row>
    <row r="261" ht="15.75" customHeight="1">
      <c r="A261" s="26"/>
      <c r="B261" s="26"/>
      <c r="C261" s="26"/>
      <c r="D261" s="26"/>
      <c r="E261" s="26"/>
      <c r="J261" s="28"/>
    </row>
    <row r="262" ht="15.75" customHeight="1">
      <c r="A262" s="26"/>
      <c r="B262" s="26"/>
      <c r="C262" s="26"/>
      <c r="D262" s="26"/>
      <c r="E262" s="26"/>
      <c r="J262" s="28"/>
    </row>
    <row r="263" ht="15.75" customHeight="1">
      <c r="A263" s="26"/>
      <c r="B263" s="26"/>
      <c r="C263" s="26"/>
      <c r="D263" s="26"/>
      <c r="E263" s="26"/>
      <c r="J263" s="28"/>
    </row>
    <row r="264" ht="15.75" customHeight="1">
      <c r="A264" s="26"/>
      <c r="B264" s="26"/>
      <c r="C264" s="26"/>
      <c r="D264" s="26"/>
      <c r="E264" s="26"/>
      <c r="J264" s="28"/>
    </row>
    <row r="265" ht="15.75" customHeight="1">
      <c r="A265" s="26"/>
      <c r="B265" s="26"/>
      <c r="C265" s="26"/>
      <c r="D265" s="26"/>
      <c r="E265" s="26"/>
      <c r="J265" s="28"/>
    </row>
    <row r="266" ht="15.75" customHeight="1">
      <c r="A266" s="26"/>
      <c r="B266" s="26"/>
      <c r="C266" s="26"/>
      <c r="D266" s="26"/>
      <c r="E266" s="26"/>
      <c r="J266" s="28"/>
    </row>
    <row r="267" ht="15.75" customHeight="1">
      <c r="A267" s="26"/>
      <c r="B267" s="26"/>
      <c r="C267" s="26"/>
      <c r="D267" s="26"/>
      <c r="E267" s="26"/>
      <c r="J267" s="28"/>
    </row>
    <row r="268" ht="15.75" customHeight="1">
      <c r="A268" s="26"/>
      <c r="B268" s="26"/>
      <c r="C268" s="26"/>
      <c r="D268" s="26"/>
      <c r="E268" s="26"/>
      <c r="J268" s="28"/>
    </row>
    <row r="269" ht="15.75" customHeight="1">
      <c r="A269" s="26"/>
      <c r="B269" s="26"/>
      <c r="C269" s="26"/>
      <c r="D269" s="26"/>
      <c r="E269" s="26"/>
      <c r="J269" s="28"/>
    </row>
    <row r="270" ht="15.75" customHeight="1">
      <c r="A270" s="26"/>
      <c r="B270" s="26"/>
      <c r="C270" s="26"/>
      <c r="D270" s="26"/>
      <c r="E270" s="26"/>
      <c r="J270" s="28"/>
    </row>
    <row r="271" ht="15.75" customHeight="1">
      <c r="A271" s="26"/>
      <c r="B271" s="26"/>
      <c r="C271" s="26"/>
      <c r="D271" s="26"/>
      <c r="E271" s="26"/>
      <c r="J271" s="28"/>
    </row>
    <row r="272" ht="15.75" customHeight="1">
      <c r="A272" s="26"/>
      <c r="B272" s="26"/>
      <c r="C272" s="26"/>
      <c r="D272" s="26"/>
      <c r="E272" s="26"/>
      <c r="J272" s="28"/>
    </row>
    <row r="273" ht="15.75" customHeight="1">
      <c r="A273" s="26"/>
      <c r="B273" s="26"/>
      <c r="C273" s="26"/>
      <c r="D273" s="26"/>
      <c r="E273" s="26"/>
      <c r="J273" s="28"/>
    </row>
    <row r="274" ht="15.75" customHeight="1">
      <c r="A274" s="26"/>
      <c r="B274" s="26"/>
      <c r="C274" s="26"/>
      <c r="D274" s="26"/>
      <c r="E274" s="26"/>
      <c r="J274" s="28"/>
    </row>
    <row r="275" ht="15.75" customHeight="1">
      <c r="A275" s="26"/>
      <c r="B275" s="26"/>
      <c r="C275" s="26"/>
      <c r="D275" s="26"/>
      <c r="E275" s="26"/>
      <c r="J275" s="28"/>
    </row>
    <row r="276" ht="15.75" customHeight="1">
      <c r="A276" s="26"/>
      <c r="B276" s="26"/>
      <c r="C276" s="26"/>
      <c r="D276" s="26"/>
      <c r="E276" s="26"/>
      <c r="J276" s="28"/>
    </row>
    <row r="277" ht="15.75" customHeight="1">
      <c r="A277" s="26"/>
      <c r="B277" s="26"/>
      <c r="C277" s="26"/>
      <c r="D277" s="26"/>
      <c r="E277" s="26"/>
      <c r="J277" s="28"/>
    </row>
    <row r="278" ht="15.75" customHeight="1">
      <c r="A278" s="26"/>
      <c r="B278" s="26"/>
      <c r="C278" s="26"/>
      <c r="D278" s="26"/>
      <c r="E278" s="26"/>
      <c r="J278" s="28"/>
    </row>
    <row r="279" ht="15.75" customHeight="1">
      <c r="A279" s="26"/>
      <c r="B279" s="26"/>
      <c r="C279" s="26"/>
      <c r="D279" s="26"/>
      <c r="E279" s="26"/>
      <c r="J279" s="28"/>
    </row>
    <row r="280" ht="15.75" customHeight="1">
      <c r="A280" s="26"/>
      <c r="B280" s="26"/>
      <c r="C280" s="26"/>
      <c r="D280" s="26"/>
      <c r="E280" s="26"/>
      <c r="J280" s="28"/>
    </row>
    <row r="281" ht="15.75" customHeight="1">
      <c r="A281" s="26"/>
      <c r="B281" s="26"/>
      <c r="C281" s="26"/>
      <c r="D281" s="26"/>
      <c r="E281" s="26"/>
      <c r="J281" s="28"/>
    </row>
    <row r="282" ht="15.75" customHeight="1">
      <c r="A282" s="26"/>
      <c r="B282" s="26"/>
      <c r="C282" s="26"/>
      <c r="D282" s="26"/>
      <c r="E282" s="26"/>
      <c r="J282" s="28"/>
    </row>
    <row r="283" ht="15.75" customHeight="1">
      <c r="A283" s="26"/>
      <c r="B283" s="26"/>
      <c r="C283" s="26"/>
      <c r="D283" s="26"/>
      <c r="E283" s="26"/>
      <c r="J283" s="28"/>
    </row>
    <row r="284" ht="15.75" customHeight="1">
      <c r="A284" s="26"/>
      <c r="B284" s="26"/>
      <c r="C284" s="26"/>
      <c r="D284" s="26"/>
      <c r="E284" s="26"/>
      <c r="J284" s="28"/>
    </row>
    <row r="285" ht="15.75" customHeight="1">
      <c r="A285" s="26"/>
      <c r="B285" s="26"/>
      <c r="C285" s="26"/>
      <c r="D285" s="26"/>
      <c r="E285" s="26"/>
      <c r="J285" s="28"/>
    </row>
    <row r="286" ht="15.75" customHeight="1">
      <c r="A286" s="26"/>
      <c r="B286" s="26"/>
      <c r="C286" s="26"/>
      <c r="D286" s="26"/>
      <c r="E286" s="26"/>
      <c r="J286" s="28"/>
    </row>
    <row r="287" ht="15.75" customHeight="1">
      <c r="A287" s="26"/>
      <c r="B287" s="26"/>
      <c r="C287" s="26"/>
      <c r="D287" s="26"/>
      <c r="E287" s="26"/>
      <c r="J287" s="28"/>
    </row>
    <row r="288" ht="15.75" customHeight="1">
      <c r="A288" s="26"/>
      <c r="B288" s="26"/>
      <c r="C288" s="26"/>
      <c r="D288" s="26"/>
      <c r="E288" s="26"/>
      <c r="J288" s="28"/>
    </row>
    <row r="289" ht="15.75" customHeight="1">
      <c r="A289" s="26"/>
      <c r="B289" s="26"/>
      <c r="C289" s="26"/>
      <c r="D289" s="26"/>
      <c r="E289" s="26"/>
      <c r="J289" s="28"/>
    </row>
    <row r="290" ht="15.75" customHeight="1">
      <c r="A290" s="26"/>
      <c r="B290" s="26"/>
      <c r="C290" s="26"/>
      <c r="D290" s="26"/>
      <c r="E290" s="26"/>
      <c r="J290" s="28"/>
    </row>
    <row r="291" ht="15.75" customHeight="1">
      <c r="A291" s="26"/>
      <c r="B291" s="26"/>
      <c r="C291" s="26"/>
      <c r="D291" s="26"/>
      <c r="E291" s="26"/>
      <c r="J291" s="28"/>
    </row>
    <row r="292" ht="15.75" customHeight="1">
      <c r="A292" s="26"/>
      <c r="B292" s="26"/>
      <c r="C292" s="26"/>
      <c r="D292" s="26"/>
      <c r="E292" s="26"/>
      <c r="J292" s="28"/>
    </row>
    <row r="293" ht="15.75" customHeight="1">
      <c r="A293" s="26"/>
      <c r="B293" s="26"/>
      <c r="C293" s="26"/>
      <c r="D293" s="26"/>
      <c r="E293" s="26"/>
      <c r="J293" s="28"/>
    </row>
    <row r="294" ht="15.75" customHeight="1">
      <c r="A294" s="26"/>
      <c r="B294" s="26"/>
      <c r="C294" s="26"/>
      <c r="D294" s="26"/>
      <c r="E294" s="26"/>
      <c r="J294" s="28"/>
    </row>
    <row r="295" ht="15.75" customHeight="1">
      <c r="A295" s="26"/>
      <c r="B295" s="26"/>
      <c r="C295" s="26"/>
      <c r="D295" s="26"/>
      <c r="E295" s="26"/>
      <c r="J295" s="28"/>
    </row>
    <row r="296" ht="15.75" customHeight="1">
      <c r="A296" s="26"/>
      <c r="B296" s="26"/>
      <c r="C296" s="26"/>
      <c r="D296" s="26"/>
      <c r="E296" s="26"/>
      <c r="J296" s="28"/>
    </row>
    <row r="297" ht="15.75" customHeight="1">
      <c r="A297" s="26"/>
      <c r="B297" s="26"/>
      <c r="C297" s="26"/>
      <c r="D297" s="26"/>
      <c r="E297" s="26"/>
      <c r="J297" s="28"/>
    </row>
    <row r="298" ht="15.75" customHeight="1">
      <c r="A298" s="26"/>
      <c r="B298" s="26"/>
      <c r="C298" s="26"/>
      <c r="D298" s="26"/>
      <c r="E298" s="26"/>
      <c r="J298" s="28"/>
    </row>
    <row r="299" ht="15.75" customHeight="1">
      <c r="A299" s="26"/>
      <c r="B299" s="26"/>
      <c r="C299" s="26"/>
      <c r="D299" s="26"/>
      <c r="E299" s="26"/>
      <c r="J299" s="28"/>
    </row>
    <row r="300" ht="15.75" customHeight="1">
      <c r="A300" s="26"/>
      <c r="B300" s="26"/>
      <c r="C300" s="26"/>
      <c r="D300" s="26"/>
      <c r="E300" s="26"/>
      <c r="J300" s="28"/>
    </row>
    <row r="301" ht="15.75" customHeight="1">
      <c r="A301" s="26"/>
      <c r="B301" s="26"/>
      <c r="C301" s="26"/>
      <c r="D301" s="26"/>
      <c r="E301" s="26"/>
      <c r="J301" s="28"/>
    </row>
    <row r="302" ht="15.75" customHeight="1">
      <c r="A302" s="26"/>
      <c r="B302" s="26"/>
      <c r="C302" s="26"/>
      <c r="D302" s="26"/>
      <c r="E302" s="26"/>
      <c r="J302" s="28"/>
    </row>
    <row r="303" ht="15.75" customHeight="1">
      <c r="A303" s="26"/>
      <c r="B303" s="26"/>
      <c r="C303" s="26"/>
      <c r="D303" s="26"/>
      <c r="E303" s="26"/>
      <c r="J303" s="28"/>
    </row>
    <row r="304" ht="15.75" customHeight="1">
      <c r="A304" s="26"/>
      <c r="B304" s="26"/>
      <c r="C304" s="26"/>
      <c r="D304" s="26"/>
      <c r="E304" s="26"/>
      <c r="J304" s="28"/>
    </row>
    <row r="305" ht="15.75" customHeight="1">
      <c r="A305" s="26"/>
      <c r="B305" s="26"/>
      <c r="C305" s="26"/>
      <c r="D305" s="26"/>
      <c r="E305" s="26"/>
      <c r="J305" s="28"/>
    </row>
    <row r="306" ht="15.75" customHeight="1">
      <c r="A306" s="26"/>
      <c r="B306" s="26"/>
      <c r="C306" s="26"/>
      <c r="D306" s="26"/>
      <c r="E306" s="26"/>
      <c r="J306" s="28"/>
    </row>
    <row r="307" ht="15.75" customHeight="1">
      <c r="A307" s="26"/>
      <c r="B307" s="26"/>
      <c r="C307" s="26"/>
      <c r="D307" s="26"/>
      <c r="E307" s="26"/>
      <c r="J307" s="28"/>
    </row>
    <row r="308" ht="15.75" customHeight="1">
      <c r="A308" s="26"/>
      <c r="B308" s="26"/>
      <c r="C308" s="26"/>
      <c r="D308" s="26"/>
      <c r="E308" s="26"/>
      <c r="J308" s="28"/>
    </row>
    <row r="309" ht="15.75" customHeight="1">
      <c r="A309" s="26"/>
      <c r="B309" s="26"/>
      <c r="C309" s="26"/>
      <c r="D309" s="26"/>
      <c r="E309" s="26"/>
      <c r="J309" s="28"/>
    </row>
    <row r="310" ht="15.75" customHeight="1">
      <c r="A310" s="26"/>
      <c r="B310" s="26"/>
      <c r="C310" s="26"/>
      <c r="D310" s="26"/>
      <c r="E310" s="26"/>
      <c r="J310" s="28"/>
    </row>
    <row r="311" ht="15.75" customHeight="1">
      <c r="A311" s="26"/>
      <c r="B311" s="26"/>
      <c r="C311" s="26"/>
      <c r="D311" s="26"/>
      <c r="E311" s="26"/>
      <c r="J311" s="28"/>
    </row>
    <row r="312" ht="15.75" customHeight="1">
      <c r="A312" s="26"/>
      <c r="B312" s="26"/>
      <c r="C312" s="26"/>
      <c r="D312" s="26"/>
      <c r="E312" s="26"/>
      <c r="J312" s="28"/>
    </row>
    <row r="313" ht="15.75" customHeight="1">
      <c r="A313" s="26"/>
      <c r="B313" s="26"/>
      <c r="C313" s="26"/>
      <c r="D313" s="26"/>
      <c r="E313" s="26"/>
      <c r="J313" s="28"/>
    </row>
    <row r="314" ht="15.75" customHeight="1">
      <c r="A314" s="26"/>
      <c r="B314" s="26"/>
      <c r="C314" s="26"/>
      <c r="D314" s="26"/>
      <c r="E314" s="26"/>
      <c r="J314" s="28"/>
    </row>
    <row r="315" ht="15.75" customHeight="1">
      <c r="A315" s="26"/>
      <c r="B315" s="26"/>
      <c r="C315" s="26"/>
      <c r="D315" s="26"/>
      <c r="E315" s="26"/>
      <c r="J315" s="28"/>
    </row>
    <row r="316" ht="15.75" customHeight="1">
      <c r="A316" s="26"/>
      <c r="B316" s="26"/>
      <c r="C316" s="26"/>
      <c r="D316" s="26"/>
      <c r="E316" s="26"/>
      <c r="J316" s="28"/>
    </row>
    <row r="317" ht="15.75" customHeight="1">
      <c r="A317" s="26"/>
      <c r="B317" s="26"/>
      <c r="C317" s="26"/>
      <c r="D317" s="26"/>
      <c r="E317" s="26"/>
      <c r="J317" s="28"/>
    </row>
    <row r="318" ht="15.75" customHeight="1">
      <c r="A318" s="26"/>
      <c r="B318" s="26"/>
      <c r="C318" s="26"/>
      <c r="D318" s="26"/>
      <c r="E318" s="26"/>
      <c r="J318" s="28"/>
    </row>
    <row r="319" ht="15.75" customHeight="1">
      <c r="A319" s="26"/>
      <c r="B319" s="26"/>
      <c r="C319" s="26"/>
      <c r="D319" s="26"/>
      <c r="E319" s="26"/>
      <c r="J319" s="28"/>
    </row>
    <row r="320" ht="15.75" customHeight="1">
      <c r="A320" s="26"/>
      <c r="B320" s="26"/>
      <c r="C320" s="26"/>
      <c r="D320" s="26"/>
      <c r="E320" s="26"/>
      <c r="J320" s="28"/>
    </row>
    <row r="321" ht="15.75" customHeight="1">
      <c r="A321" s="26"/>
      <c r="B321" s="26"/>
      <c r="C321" s="26"/>
      <c r="D321" s="26"/>
      <c r="E321" s="26"/>
      <c r="J321" s="28"/>
    </row>
    <row r="322" ht="15.75" customHeight="1">
      <c r="A322" s="26"/>
      <c r="B322" s="26"/>
      <c r="C322" s="26"/>
      <c r="D322" s="26"/>
      <c r="E322" s="26"/>
      <c r="J322" s="28"/>
    </row>
    <row r="323" ht="15.75" customHeight="1">
      <c r="A323" s="26"/>
      <c r="B323" s="26"/>
      <c r="C323" s="26"/>
      <c r="D323" s="26"/>
      <c r="E323" s="26"/>
      <c r="J323" s="28"/>
    </row>
    <row r="324" ht="15.75" customHeight="1">
      <c r="A324" s="26"/>
      <c r="B324" s="26"/>
      <c r="C324" s="26"/>
      <c r="D324" s="26"/>
      <c r="E324" s="26"/>
      <c r="J324" s="28"/>
    </row>
    <row r="325" ht="15.75" customHeight="1">
      <c r="A325" s="26"/>
      <c r="B325" s="26"/>
      <c r="C325" s="26"/>
      <c r="D325" s="26"/>
      <c r="E325" s="26"/>
      <c r="J325" s="28"/>
    </row>
    <row r="326" ht="15.75" customHeight="1">
      <c r="A326" s="26"/>
      <c r="B326" s="26"/>
      <c r="C326" s="26"/>
      <c r="D326" s="26"/>
      <c r="E326" s="26"/>
      <c r="J326" s="28"/>
    </row>
    <row r="327" ht="15.75" customHeight="1">
      <c r="A327" s="26"/>
      <c r="B327" s="26"/>
      <c r="C327" s="26"/>
      <c r="D327" s="26"/>
      <c r="E327" s="26"/>
      <c r="J327" s="28"/>
    </row>
    <row r="328" ht="15.75" customHeight="1">
      <c r="A328" s="26"/>
      <c r="B328" s="26"/>
      <c r="C328" s="26"/>
      <c r="D328" s="26"/>
      <c r="E328" s="26"/>
      <c r="J328" s="28"/>
    </row>
    <row r="329" ht="15.75" customHeight="1">
      <c r="A329" s="26"/>
      <c r="B329" s="26"/>
      <c r="C329" s="26"/>
      <c r="D329" s="26"/>
      <c r="E329" s="26"/>
      <c r="J329" s="28"/>
    </row>
    <row r="330" ht="15.75" customHeight="1">
      <c r="A330" s="26"/>
      <c r="B330" s="26"/>
      <c r="C330" s="26"/>
      <c r="D330" s="26"/>
      <c r="E330" s="26"/>
      <c r="J330" s="28"/>
    </row>
    <row r="331" ht="15.75" customHeight="1">
      <c r="A331" s="26"/>
      <c r="B331" s="26"/>
      <c r="C331" s="26"/>
      <c r="D331" s="26"/>
      <c r="E331" s="26"/>
      <c r="J331" s="28"/>
    </row>
    <row r="332" ht="15.75" customHeight="1">
      <c r="A332" s="26"/>
      <c r="B332" s="26"/>
      <c r="C332" s="26"/>
      <c r="D332" s="26"/>
      <c r="E332" s="26"/>
      <c r="J332" s="28"/>
    </row>
    <row r="333" ht="15.75" customHeight="1">
      <c r="A333" s="26"/>
      <c r="B333" s="26"/>
      <c r="C333" s="26"/>
      <c r="D333" s="26"/>
      <c r="E333" s="26"/>
      <c r="J333" s="28"/>
    </row>
    <row r="334" ht="15.75" customHeight="1">
      <c r="A334" s="26"/>
      <c r="B334" s="26"/>
      <c r="C334" s="26"/>
      <c r="D334" s="26"/>
      <c r="E334" s="26"/>
      <c r="J334" s="28"/>
    </row>
    <row r="335" ht="15.75" customHeight="1">
      <c r="A335" s="26"/>
      <c r="B335" s="26"/>
      <c r="C335" s="26"/>
      <c r="D335" s="26"/>
      <c r="E335" s="26"/>
      <c r="J335" s="28"/>
    </row>
    <row r="336" ht="15.75" customHeight="1">
      <c r="A336" s="26"/>
      <c r="B336" s="26"/>
      <c r="C336" s="26"/>
      <c r="D336" s="26"/>
      <c r="E336" s="26"/>
      <c r="J336" s="28"/>
    </row>
    <row r="337" ht="15.75" customHeight="1">
      <c r="J337" s="28"/>
    </row>
    <row r="338" ht="15.75" customHeight="1">
      <c r="J338" s="28"/>
    </row>
    <row r="339" ht="15.75" customHeight="1">
      <c r="J339" s="28"/>
    </row>
    <row r="340" ht="15.75" customHeight="1">
      <c r="J340" s="60"/>
    </row>
    <row r="341" ht="15.75" customHeight="1">
      <c r="J341" s="60"/>
    </row>
    <row r="342" ht="15.75" customHeight="1">
      <c r="J342" s="60"/>
    </row>
    <row r="343" ht="15.75" customHeight="1">
      <c r="J343" s="60"/>
    </row>
    <row r="344" ht="15.75" customHeight="1">
      <c r="J344" s="60"/>
    </row>
    <row r="345" ht="15.75" customHeight="1">
      <c r="J345" s="60"/>
    </row>
    <row r="346" ht="15.75" customHeight="1">
      <c r="J346" s="60"/>
    </row>
    <row r="347" ht="15.75" customHeight="1">
      <c r="J347" s="60"/>
    </row>
    <row r="348" ht="15.75" customHeight="1">
      <c r="J348" s="60"/>
    </row>
    <row r="349" ht="15.75" customHeight="1">
      <c r="J349" s="60"/>
    </row>
    <row r="350" ht="15.75" customHeight="1">
      <c r="J350" s="60"/>
    </row>
    <row r="351" ht="15.75" customHeight="1">
      <c r="J351" s="60"/>
    </row>
    <row r="352" ht="15.75" customHeight="1">
      <c r="J352" s="60"/>
    </row>
    <row r="353" ht="15.75" customHeight="1">
      <c r="J353" s="60"/>
    </row>
    <row r="354" ht="15.75" customHeight="1">
      <c r="J354" s="60"/>
    </row>
    <row r="355" ht="15.75" customHeight="1">
      <c r="J355" s="60"/>
    </row>
    <row r="356" ht="15.75" customHeight="1">
      <c r="J356" s="60"/>
    </row>
    <row r="357" ht="15.75" customHeight="1">
      <c r="J357" s="60"/>
    </row>
    <row r="358" ht="15.75" customHeight="1">
      <c r="J358" s="60"/>
    </row>
    <row r="359" ht="15.75" customHeight="1">
      <c r="J359" s="60"/>
    </row>
    <row r="360" ht="15.75" customHeight="1">
      <c r="J360" s="60"/>
    </row>
    <row r="361" ht="15.75" customHeight="1">
      <c r="J361" s="60"/>
    </row>
    <row r="362" ht="15.75" customHeight="1">
      <c r="J362" s="60"/>
    </row>
    <row r="363" ht="15.75" customHeight="1">
      <c r="J363" s="60"/>
    </row>
    <row r="364" ht="15.75" customHeight="1">
      <c r="J364" s="60"/>
    </row>
    <row r="365" ht="15.75" customHeight="1">
      <c r="J365" s="60"/>
    </row>
    <row r="366" ht="15.75" customHeight="1">
      <c r="J366" s="60"/>
    </row>
    <row r="367" ht="15.75" customHeight="1">
      <c r="J367" s="60"/>
    </row>
    <row r="368" ht="15.75" customHeight="1">
      <c r="J368" s="60"/>
    </row>
    <row r="369" ht="15.75" customHeight="1">
      <c r="J369" s="60"/>
    </row>
  </sheetData>
  <mergeCells count="33">
    <mergeCell ref="A1:B1"/>
    <mergeCell ref="A2:B2"/>
    <mergeCell ref="D2:J2"/>
    <mergeCell ref="L2:M3"/>
    <mergeCell ref="D3:E3"/>
    <mergeCell ref="E5:E24"/>
    <mergeCell ref="J5:J24"/>
    <mergeCell ref="D5:D24"/>
    <mergeCell ref="D25:D44"/>
    <mergeCell ref="E25:E44"/>
    <mergeCell ref="J25:J44"/>
    <mergeCell ref="D45:D64"/>
    <mergeCell ref="E45:E64"/>
    <mergeCell ref="J45:J64"/>
    <mergeCell ref="J85:J104"/>
    <mergeCell ref="J105:J124"/>
    <mergeCell ref="J125:J144"/>
    <mergeCell ref="J145:J164"/>
    <mergeCell ref="J165:J184"/>
    <mergeCell ref="D125:D144"/>
    <mergeCell ref="E125:E144"/>
    <mergeCell ref="D145:D164"/>
    <mergeCell ref="E145:E164"/>
    <mergeCell ref="D165:D184"/>
    <mergeCell ref="E165:E184"/>
    <mergeCell ref="D185:I185"/>
    <mergeCell ref="D65:D84"/>
    <mergeCell ref="E65:E84"/>
    <mergeCell ref="J65:J84"/>
    <mergeCell ref="D85:D104"/>
    <mergeCell ref="E85:E104"/>
    <mergeCell ref="D105:D124"/>
    <mergeCell ref="E105:E1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7.25"/>
    <col customWidth="1" min="6" max="6" width="21.13"/>
    <col customWidth="1" min="7" max="7" width="9.38"/>
    <col customWidth="1" min="8" max="8" width="9.63"/>
    <col customWidth="1" min="9" max="9" width="16.13"/>
    <col customWidth="1" min="10" max="10" width="17.25"/>
    <col customWidth="1" min="11" max="11" width="6.38"/>
    <col customWidth="1" min="12" max="12" width="19.38"/>
  </cols>
  <sheetData>
    <row r="1" ht="15.75" customHeight="1">
      <c r="A1" s="25" t="s">
        <v>37</v>
      </c>
      <c r="B1" s="5"/>
      <c r="C1" s="26"/>
      <c r="D1" s="26"/>
      <c r="E1" s="26"/>
      <c r="F1" s="27"/>
      <c r="G1" s="27"/>
      <c r="H1" s="27"/>
      <c r="I1" s="27"/>
      <c r="J1" s="28"/>
      <c r="K1" s="27"/>
      <c r="L1" s="27"/>
      <c r="M1" s="27"/>
      <c r="N1" s="27"/>
    </row>
    <row r="2" ht="15.75" customHeight="1">
      <c r="A2" s="29" t="s">
        <v>38</v>
      </c>
      <c r="B2" s="5"/>
      <c r="C2" s="30"/>
      <c r="D2" s="30" t="s">
        <v>39</v>
      </c>
      <c r="K2" s="27"/>
      <c r="L2" s="31" t="s">
        <v>40</v>
      </c>
      <c r="M2" s="32"/>
      <c r="N2" s="27"/>
    </row>
    <row r="3" ht="36.75" customHeight="1">
      <c r="A3" s="33" t="s">
        <v>41</v>
      </c>
      <c r="B3" s="34" t="s">
        <v>42</v>
      </c>
      <c r="C3" s="26"/>
      <c r="D3" s="35" t="s">
        <v>72</v>
      </c>
      <c r="F3" s="27"/>
      <c r="G3" s="27"/>
      <c r="H3" s="27"/>
      <c r="I3" s="27"/>
      <c r="J3" s="36"/>
      <c r="K3" s="27"/>
      <c r="L3" s="37"/>
      <c r="M3" s="12"/>
      <c r="N3" s="27"/>
    </row>
    <row r="4" ht="15.75" customHeight="1">
      <c r="A4" s="38" t="s">
        <v>19</v>
      </c>
      <c r="B4" s="39">
        <v>3100.0</v>
      </c>
      <c r="C4" s="40"/>
      <c r="D4" s="41" t="s">
        <v>1</v>
      </c>
      <c r="E4" s="41" t="s">
        <v>44</v>
      </c>
      <c r="F4" s="42" t="s">
        <v>45</v>
      </c>
      <c r="G4" s="43" t="s">
        <v>46</v>
      </c>
      <c r="H4" s="43" t="s">
        <v>47</v>
      </c>
      <c r="I4" s="43" t="s">
        <v>48</v>
      </c>
      <c r="J4" s="44" t="s">
        <v>49</v>
      </c>
      <c r="K4" s="27"/>
      <c r="L4" s="45" t="s">
        <v>50</v>
      </c>
      <c r="M4" s="45" t="s">
        <v>46</v>
      </c>
      <c r="N4" s="27"/>
    </row>
    <row r="5" ht="15.75" customHeight="1">
      <c r="A5" s="38" t="s">
        <v>51</v>
      </c>
      <c r="B5" s="39">
        <v>3000.0</v>
      </c>
      <c r="C5" s="46"/>
      <c r="D5" s="47">
        <v>1.0</v>
      </c>
      <c r="E5" s="48" t="s">
        <v>73</v>
      </c>
      <c r="F5" s="38" t="s">
        <v>19</v>
      </c>
      <c r="G5" s="49"/>
      <c r="H5" s="50">
        <f>VLOOKUP(F5,$A$4:$B$4,2,TRUE)</f>
        <v>3100</v>
      </c>
      <c r="I5" s="51">
        <f t="shared" ref="I5:I164" si="1">G5*H5</f>
        <v>0</v>
      </c>
      <c r="J5" s="52">
        <f>SUM(I5:I24)</f>
        <v>35250</v>
      </c>
      <c r="K5" s="27"/>
      <c r="L5" s="38" t="s">
        <v>19</v>
      </c>
      <c r="M5" s="45">
        <f>SUMIF(F5:F164,"Gelas bersih",G5:G164)</f>
        <v>4</v>
      </c>
      <c r="N5" s="27"/>
    </row>
    <row r="6" ht="15.75" customHeight="1">
      <c r="A6" s="38" t="s">
        <v>53</v>
      </c>
      <c r="B6" s="39">
        <v>800.0</v>
      </c>
      <c r="C6" s="46"/>
      <c r="D6" s="53"/>
      <c r="E6" s="53"/>
      <c r="F6" s="38" t="s">
        <v>51</v>
      </c>
      <c r="G6" s="49">
        <v>2.5</v>
      </c>
      <c r="H6" s="54">
        <f>VLOOKUP(F6,$A$5:$B$5,2,TRUE)</f>
        <v>3000</v>
      </c>
      <c r="I6" s="51">
        <f t="shared" si="1"/>
        <v>7500</v>
      </c>
      <c r="J6" s="53"/>
      <c r="K6" s="27"/>
      <c r="L6" s="38" t="s">
        <v>51</v>
      </c>
      <c r="M6" s="45">
        <f>SUMIF(F6:F165,"Botol bersih",G6:G165)</f>
        <v>15</v>
      </c>
      <c r="N6" s="27"/>
    </row>
    <row r="7" ht="15.75" customHeight="1">
      <c r="A7" s="38" t="s">
        <v>22</v>
      </c>
      <c r="B7" s="39">
        <v>2000.0</v>
      </c>
      <c r="C7" s="46"/>
      <c r="D7" s="53"/>
      <c r="E7" s="53"/>
      <c r="F7" s="38" t="s">
        <v>53</v>
      </c>
      <c r="G7" s="49"/>
      <c r="H7" s="54">
        <f>VLOOKUP(F7,$A$6:$B$6,2,TRUE)</f>
        <v>800</v>
      </c>
      <c r="I7" s="51">
        <f t="shared" si="1"/>
        <v>0</v>
      </c>
      <c r="J7" s="53"/>
      <c r="K7" s="27"/>
      <c r="L7" s="38" t="s">
        <v>53</v>
      </c>
      <c r="M7" s="45">
        <f>SUMIF(F7:F165,"Botol Warna",G7:G165)</f>
        <v>0</v>
      </c>
      <c r="N7" s="27"/>
    </row>
    <row r="8" ht="15.75" customHeight="1">
      <c r="A8" s="38" t="s">
        <v>23</v>
      </c>
      <c r="B8" s="39">
        <v>2800.0</v>
      </c>
      <c r="C8" s="46"/>
      <c r="D8" s="53"/>
      <c r="E8" s="53"/>
      <c r="F8" s="38" t="s">
        <v>22</v>
      </c>
      <c r="G8" s="49"/>
      <c r="H8" s="54">
        <f>VLOOKUP(F8,$A$7:$B$7,2,TRUE)</f>
        <v>2000</v>
      </c>
      <c r="I8" s="51">
        <f t="shared" si="1"/>
        <v>0</v>
      </c>
      <c r="J8" s="53"/>
      <c r="K8" s="27"/>
      <c r="L8" s="38" t="s">
        <v>22</v>
      </c>
      <c r="M8" s="45">
        <f>SUMIF(F8:F166,"Tutup botol",G8:G166)</f>
        <v>1</v>
      </c>
      <c r="N8" s="27"/>
    </row>
    <row r="9" ht="15.75" customHeight="1">
      <c r="A9" s="38" t="s">
        <v>54</v>
      </c>
      <c r="B9" s="39">
        <v>800.0</v>
      </c>
      <c r="C9" s="46"/>
      <c r="D9" s="53"/>
      <c r="E9" s="53"/>
      <c r="F9" s="38" t="s">
        <v>23</v>
      </c>
      <c r="G9" s="49">
        <v>1.0</v>
      </c>
      <c r="H9" s="54">
        <f>VLOOKUP(F9, $A$8:$B$8, 2, FALSE)</f>
        <v>2800</v>
      </c>
      <c r="I9" s="51">
        <f t="shared" si="1"/>
        <v>2800</v>
      </c>
      <c r="J9" s="53"/>
      <c r="K9" s="27"/>
      <c r="L9" s="38" t="s">
        <v>23</v>
      </c>
      <c r="M9" s="45">
        <f>SUMIF(F9:F167,"Tutup galon",G9:G167)</f>
        <v>2.5</v>
      </c>
      <c r="N9" s="27"/>
    </row>
    <row r="10" ht="15.75" customHeight="1">
      <c r="A10" s="38" t="s">
        <v>25</v>
      </c>
      <c r="B10" s="39">
        <v>1500.0</v>
      </c>
      <c r="C10" s="46"/>
      <c r="D10" s="53"/>
      <c r="E10" s="53"/>
      <c r="F10" s="38" t="s">
        <v>54</v>
      </c>
      <c r="G10" s="49">
        <v>4.0</v>
      </c>
      <c r="H10" s="54">
        <f>VLOOKUP(F10, $A$9:$B$9, 2, FALSE)</f>
        <v>800</v>
      </c>
      <c r="I10" s="51">
        <f t="shared" si="1"/>
        <v>3200</v>
      </c>
      <c r="J10" s="53"/>
      <c r="K10" s="27"/>
      <c r="L10" s="38" t="s">
        <v>54</v>
      </c>
      <c r="M10" s="45">
        <f>SUMIF(F10:F169,"Emberan/Atum",G10:G169)</f>
        <v>35.5</v>
      </c>
      <c r="N10" s="27"/>
    </row>
    <row r="11" ht="15.75" customHeight="1">
      <c r="A11" s="38" t="s">
        <v>26</v>
      </c>
      <c r="B11" s="39">
        <v>1200.0</v>
      </c>
      <c r="C11" s="46"/>
      <c r="D11" s="53"/>
      <c r="E11" s="53"/>
      <c r="F11" s="38" t="s">
        <v>25</v>
      </c>
      <c r="G11" s="49">
        <v>13.0</v>
      </c>
      <c r="H11" s="54">
        <f>VLOOKUP(F11,$A$10:$B$10,2,TRUE)</f>
        <v>1500</v>
      </c>
      <c r="I11" s="51">
        <f t="shared" si="1"/>
        <v>19500</v>
      </c>
      <c r="J11" s="53"/>
      <c r="K11" s="27"/>
      <c r="L11" s="38" t="s">
        <v>25</v>
      </c>
      <c r="M11" s="45">
        <f>SUMIF(F11:F170,"Kardus",G11:G170)</f>
        <v>61.5</v>
      </c>
      <c r="N11" s="27"/>
    </row>
    <row r="12" ht="15.75" customHeight="1">
      <c r="A12" s="38" t="s">
        <v>28</v>
      </c>
      <c r="B12" s="39">
        <v>500.0</v>
      </c>
      <c r="C12" s="46"/>
      <c r="D12" s="53"/>
      <c r="E12" s="53"/>
      <c r="F12" s="38" t="s">
        <v>26</v>
      </c>
      <c r="G12" s="49"/>
      <c r="H12" s="54">
        <f>VLOOKUP(F12,$A$11:$B$11,2,TRUE)</f>
        <v>1200</v>
      </c>
      <c r="I12" s="51">
        <f t="shared" si="1"/>
        <v>0</v>
      </c>
      <c r="J12" s="53"/>
      <c r="K12" s="27"/>
      <c r="L12" s="38" t="s">
        <v>26</v>
      </c>
      <c r="M12" s="45">
        <f>SUMIF(F12:F172,"Kertas Putihan/HVS",G12:G172)</f>
        <v>0</v>
      </c>
      <c r="N12" s="27"/>
    </row>
    <row r="13" ht="15.75" customHeight="1">
      <c r="A13" s="38" t="s">
        <v>29</v>
      </c>
      <c r="B13" s="39">
        <v>6500.0</v>
      </c>
      <c r="C13" s="46"/>
      <c r="D13" s="53"/>
      <c r="E13" s="53"/>
      <c r="F13" s="38" t="s">
        <v>28</v>
      </c>
      <c r="G13" s="49">
        <v>3.0</v>
      </c>
      <c r="H13" s="54">
        <f>VLOOKUP(F13,$A$12:$B$12,2,TRUE)</f>
        <v>500</v>
      </c>
      <c r="I13" s="51">
        <f t="shared" si="1"/>
        <v>1500</v>
      </c>
      <c r="J13" s="53"/>
      <c r="K13" s="27"/>
      <c r="L13" s="38" t="s">
        <v>28</v>
      </c>
      <c r="M13" s="45">
        <f>SUMIF(F13:F173,"Duplex",G13:G173)</f>
        <v>9</v>
      </c>
      <c r="N13" s="27"/>
    </row>
    <row r="14" ht="15.75" customHeight="1">
      <c r="A14" s="38" t="s">
        <v>30</v>
      </c>
      <c r="B14" s="39">
        <v>2200.0</v>
      </c>
      <c r="C14" s="46"/>
      <c r="D14" s="53"/>
      <c r="E14" s="53"/>
      <c r="F14" s="38" t="s">
        <v>29</v>
      </c>
      <c r="G14" s="49"/>
      <c r="H14" s="54">
        <f>VLOOKUP(F14,$A$13:$B$13,2,TRUE)</f>
        <v>6500</v>
      </c>
      <c r="I14" s="51">
        <f t="shared" si="1"/>
        <v>0</v>
      </c>
      <c r="J14" s="53"/>
      <c r="K14" s="27"/>
      <c r="L14" s="38" t="s">
        <v>29</v>
      </c>
      <c r="M14" s="45">
        <f>SUMIF(F14:F174,"Alumunium",G14:G174)</f>
        <v>0</v>
      </c>
      <c r="N14" s="27"/>
    </row>
    <row r="15" ht="15.75" customHeight="1">
      <c r="A15" s="38" t="s">
        <v>31</v>
      </c>
      <c r="B15" s="39">
        <v>1300.0</v>
      </c>
      <c r="C15" s="46"/>
      <c r="D15" s="53"/>
      <c r="E15" s="53"/>
      <c r="F15" s="38" t="s">
        <v>30</v>
      </c>
      <c r="G15" s="49"/>
      <c r="H15" s="54">
        <f>VLOOKUP(F15,$A$14:$B$14,2,TRUE)</f>
        <v>2200</v>
      </c>
      <c r="I15" s="51">
        <f t="shared" si="1"/>
        <v>0</v>
      </c>
      <c r="J15" s="53"/>
      <c r="K15" s="27"/>
      <c r="L15" s="38" t="s">
        <v>30</v>
      </c>
      <c r="M15" s="45">
        <f>SUMIF(F15:F175,"Besi",G15:G175)</f>
        <v>10</v>
      </c>
      <c r="N15" s="27"/>
    </row>
    <row r="16" ht="15.75" customHeight="1">
      <c r="A16" s="38" t="s">
        <v>32</v>
      </c>
      <c r="B16" s="39">
        <v>5000.0</v>
      </c>
      <c r="C16" s="46"/>
      <c r="D16" s="53"/>
      <c r="E16" s="53"/>
      <c r="F16" s="38" t="s">
        <v>31</v>
      </c>
      <c r="G16" s="49"/>
      <c r="H16" s="54">
        <f>VLOOKUP(F16,$A$15:$B$15,2,TRUE)</f>
        <v>1300</v>
      </c>
      <c r="I16" s="51">
        <f t="shared" si="1"/>
        <v>0</v>
      </c>
      <c r="J16" s="53"/>
      <c r="K16" s="27"/>
      <c r="L16" s="38" t="s">
        <v>31</v>
      </c>
      <c r="M16" s="45">
        <f>SUMIF(F16:F176,"Kaleng kue/susu",G16:G176)</f>
        <v>0</v>
      </c>
      <c r="N16" s="27"/>
    </row>
    <row r="17" ht="15.75" customHeight="1">
      <c r="A17" s="38" t="s">
        <v>33</v>
      </c>
      <c r="B17" s="39">
        <v>2500.0</v>
      </c>
      <c r="C17" s="46"/>
      <c r="D17" s="53"/>
      <c r="E17" s="53"/>
      <c r="F17" s="38" t="s">
        <v>32</v>
      </c>
      <c r="G17" s="49"/>
      <c r="H17" s="54">
        <f>VLOOKUP(F17,$A$16:$B$16,2,TRUE)</f>
        <v>5000</v>
      </c>
      <c r="I17" s="51">
        <f t="shared" si="1"/>
        <v>0</v>
      </c>
      <c r="J17" s="53"/>
      <c r="K17" s="27"/>
      <c r="L17" s="38" t="s">
        <v>32</v>
      </c>
      <c r="M17" s="45">
        <f>SUMIF(F17:F177,"Kaleng Minuman",G17:G177)</f>
        <v>0</v>
      </c>
      <c r="N17" s="27"/>
    </row>
    <row r="18" ht="15.75" customHeight="1">
      <c r="A18" s="38" t="s">
        <v>35</v>
      </c>
      <c r="B18" s="39">
        <v>10000.0</v>
      </c>
      <c r="C18" s="46"/>
      <c r="D18" s="53"/>
      <c r="E18" s="53"/>
      <c r="F18" s="38" t="s">
        <v>33</v>
      </c>
      <c r="G18" s="49"/>
      <c r="H18" s="54">
        <f>VLOOKUP(F18, $A$17:$B$17, 2, FALSE)</f>
        <v>2500</v>
      </c>
      <c r="I18" s="51">
        <f t="shared" si="1"/>
        <v>0</v>
      </c>
      <c r="J18" s="53"/>
      <c r="K18" s="27"/>
      <c r="L18" s="38" t="s">
        <v>33</v>
      </c>
      <c r="M18" s="45">
        <f>SUMIF(F18:F179,"Stanless",G18:G179)</f>
        <v>0</v>
      </c>
      <c r="N18" s="27"/>
    </row>
    <row r="19" ht="15.75" customHeight="1">
      <c r="A19" s="38" t="s">
        <v>55</v>
      </c>
      <c r="B19" s="39">
        <v>300.0</v>
      </c>
      <c r="C19" s="46"/>
      <c r="D19" s="53"/>
      <c r="E19" s="53"/>
      <c r="F19" s="38" t="s">
        <v>35</v>
      </c>
      <c r="G19" s="49"/>
      <c r="H19" s="54">
        <f>VLOOKUP(F19, $A$18:$B$18, 2, FALSE)</f>
        <v>10000</v>
      </c>
      <c r="I19" s="51">
        <f t="shared" si="1"/>
        <v>0</v>
      </c>
      <c r="J19" s="53"/>
      <c r="K19" s="27"/>
      <c r="L19" s="38" t="s">
        <v>35</v>
      </c>
      <c r="M19" s="45">
        <f>SUMIF(F19:F181,"Aki Motor",G19:G181)</f>
        <v>0</v>
      </c>
      <c r="N19" s="27"/>
    </row>
    <row r="20" ht="15.75" customHeight="1">
      <c r="A20" s="38" t="s">
        <v>15</v>
      </c>
      <c r="B20" s="39">
        <v>300.0</v>
      </c>
      <c r="C20" s="46"/>
      <c r="D20" s="53"/>
      <c r="E20" s="53"/>
      <c r="F20" s="38" t="s">
        <v>55</v>
      </c>
      <c r="G20" s="49">
        <v>2.5</v>
      </c>
      <c r="H20" s="54">
        <f>VLOOKUP(F20,$A$19:$B$19,2,TRUE)</f>
        <v>300</v>
      </c>
      <c r="I20" s="51">
        <f t="shared" si="1"/>
        <v>750</v>
      </c>
      <c r="J20" s="53"/>
      <c r="K20" s="27"/>
      <c r="L20" s="38" t="s">
        <v>55</v>
      </c>
      <c r="M20" s="45">
        <f>SUMIF(F20:F184,"Plastik Keresek",G20:G184)</f>
        <v>6.5</v>
      </c>
      <c r="N20" s="27"/>
    </row>
    <row r="21" ht="15.75" customHeight="1">
      <c r="A21" s="38" t="s">
        <v>11</v>
      </c>
      <c r="B21" s="39">
        <v>1700.0</v>
      </c>
      <c r="C21" s="46"/>
      <c r="D21" s="53"/>
      <c r="E21" s="53"/>
      <c r="F21" s="38" t="s">
        <v>15</v>
      </c>
      <c r="G21" s="49"/>
      <c r="H21" s="54">
        <f>VLOOKUP(F21,$A$20:$B$20,2,TRUE)</f>
        <v>300</v>
      </c>
      <c r="I21" s="51">
        <f t="shared" si="1"/>
        <v>0</v>
      </c>
      <c r="J21" s="53"/>
      <c r="K21" s="27"/>
      <c r="L21" s="38" t="s">
        <v>15</v>
      </c>
      <c r="M21" s="45">
        <f>SUMIF(F21:F186,"Beling",G21:G186)</f>
        <v>0</v>
      </c>
      <c r="N21" s="27"/>
    </row>
    <row r="22" ht="15.75" customHeight="1">
      <c r="A22" s="38" t="s">
        <v>17</v>
      </c>
      <c r="B22" s="55">
        <v>4500.0</v>
      </c>
      <c r="C22" s="46"/>
      <c r="D22" s="53"/>
      <c r="E22" s="53"/>
      <c r="F22" s="38" t="s">
        <v>11</v>
      </c>
      <c r="G22" s="49"/>
      <c r="H22" s="54">
        <f>VLOOKUP(F22,$A$21:$B$21,2,TRUE)</f>
        <v>1700</v>
      </c>
      <c r="I22" s="51">
        <f t="shared" si="1"/>
        <v>0</v>
      </c>
      <c r="J22" s="53"/>
      <c r="K22" s="27"/>
      <c r="L22" s="38" t="s">
        <v>11</v>
      </c>
      <c r="M22" s="45">
        <f>SUMIF(F22:F188,"Paku",G22:G188)</f>
        <v>0</v>
      </c>
      <c r="N22" s="27"/>
    </row>
    <row r="23" ht="15.75" customHeight="1">
      <c r="A23" s="38" t="s">
        <v>56</v>
      </c>
      <c r="B23" s="39">
        <v>500.0</v>
      </c>
      <c r="C23" s="46"/>
      <c r="D23" s="53"/>
      <c r="E23" s="53"/>
      <c r="F23" s="38" t="s">
        <v>17</v>
      </c>
      <c r="G23" s="49"/>
      <c r="H23" s="54">
        <f>VLOOKUP(F22,$A$22:$B$22,2,TRUE)</f>
        <v>4500</v>
      </c>
      <c r="I23" s="51">
        <f t="shared" si="1"/>
        <v>0</v>
      </c>
      <c r="J23" s="53"/>
      <c r="K23" s="27"/>
      <c r="L23" s="38" t="s">
        <v>17</v>
      </c>
      <c r="M23" s="45">
        <f>SUMIF(F23:F189,"Minyak Jelantah",G23:G189)</f>
        <v>9</v>
      </c>
      <c r="N23" s="27"/>
    </row>
    <row r="24" ht="15.75" customHeight="1">
      <c r="A24" s="46"/>
      <c r="B24" s="46"/>
      <c r="C24" s="46"/>
      <c r="D24" s="14"/>
      <c r="E24" s="14"/>
      <c r="F24" s="38" t="s">
        <v>56</v>
      </c>
      <c r="G24" s="49">
        <v>3.0</v>
      </c>
      <c r="H24" s="54"/>
      <c r="I24" s="51">
        <f t="shared" si="1"/>
        <v>0</v>
      </c>
      <c r="J24" s="14"/>
      <c r="K24" s="27"/>
      <c r="L24" s="38" t="s">
        <v>56</v>
      </c>
      <c r="M24" s="45">
        <f>SUMIF(F24:F190,"Lainnya",G24:G190)</f>
        <v>58.5</v>
      </c>
      <c r="N24" s="27"/>
    </row>
    <row r="25" ht="15.75" customHeight="1">
      <c r="A25" s="46"/>
      <c r="B25" s="46"/>
      <c r="C25" s="46"/>
      <c r="D25" s="47">
        <v>2.0</v>
      </c>
      <c r="E25" s="48" t="s">
        <v>74</v>
      </c>
      <c r="F25" s="38" t="s">
        <v>19</v>
      </c>
      <c r="G25" s="49">
        <v>1.0</v>
      </c>
      <c r="H25" s="50">
        <f>VLOOKUP(F25,$A$4:$B$4,2,TRUE)</f>
        <v>3100</v>
      </c>
      <c r="I25" s="51">
        <f t="shared" si="1"/>
        <v>3100</v>
      </c>
      <c r="J25" s="52">
        <f>SUM(I25:I44)</f>
        <v>97500</v>
      </c>
      <c r="K25" s="27"/>
      <c r="L25" s="56" t="s">
        <v>58</v>
      </c>
      <c r="M25" s="57">
        <f>SUM(M5:M24)</f>
        <v>212.5</v>
      </c>
      <c r="N25" s="27"/>
    </row>
    <row r="26" ht="15.75" customHeight="1">
      <c r="A26" s="46"/>
      <c r="B26" s="46"/>
      <c r="C26" s="46"/>
      <c r="D26" s="53"/>
      <c r="E26" s="53"/>
      <c r="F26" s="38" t="s">
        <v>51</v>
      </c>
      <c r="G26" s="49">
        <v>2.5</v>
      </c>
      <c r="H26" s="54">
        <f>VLOOKUP(F26,$A$5:$B$5,2,TRUE)</f>
        <v>3000</v>
      </c>
      <c r="I26" s="51">
        <f t="shared" si="1"/>
        <v>7500</v>
      </c>
      <c r="J26" s="53"/>
      <c r="K26" s="27"/>
      <c r="L26" s="27"/>
      <c r="M26" s="27"/>
      <c r="N26" s="27"/>
    </row>
    <row r="27" ht="15.75" customHeight="1">
      <c r="A27" s="46"/>
      <c r="B27" s="46"/>
      <c r="C27" s="46"/>
      <c r="D27" s="53"/>
      <c r="E27" s="53"/>
      <c r="F27" s="38" t="s">
        <v>53</v>
      </c>
      <c r="G27" s="49"/>
      <c r="H27" s="54">
        <f>VLOOKUP(F27,$A$6:$B$6,2,TRUE)</f>
        <v>800</v>
      </c>
      <c r="I27" s="51">
        <f t="shared" si="1"/>
        <v>0</v>
      </c>
      <c r="J27" s="53"/>
      <c r="K27" s="27"/>
      <c r="L27" s="27"/>
      <c r="M27" s="27"/>
      <c r="N27" s="27"/>
    </row>
    <row r="28" ht="15.75" customHeight="1">
      <c r="A28" s="46"/>
      <c r="B28" s="46"/>
      <c r="C28" s="46"/>
      <c r="D28" s="53"/>
      <c r="E28" s="53"/>
      <c r="F28" s="38" t="s">
        <v>22</v>
      </c>
      <c r="G28" s="49"/>
      <c r="H28" s="54">
        <f>VLOOKUP(F28,$A$7:$B$7,2,TRUE)</f>
        <v>2000</v>
      </c>
      <c r="I28" s="51">
        <f t="shared" si="1"/>
        <v>0</v>
      </c>
      <c r="J28" s="53"/>
      <c r="K28" s="27"/>
      <c r="L28" s="27"/>
      <c r="M28" s="27"/>
      <c r="N28" s="27"/>
    </row>
    <row r="29" ht="15.75" customHeight="1">
      <c r="A29" s="46"/>
      <c r="B29" s="46"/>
      <c r="C29" s="46"/>
      <c r="D29" s="53"/>
      <c r="E29" s="53"/>
      <c r="F29" s="38" t="s">
        <v>23</v>
      </c>
      <c r="G29" s="49">
        <v>1.0</v>
      </c>
      <c r="H29" s="54">
        <f>VLOOKUP(F29, $A$8:$B$8, 2, FALSE)</f>
        <v>2800</v>
      </c>
      <c r="I29" s="51">
        <f t="shared" si="1"/>
        <v>2800</v>
      </c>
      <c r="J29" s="53"/>
      <c r="K29" s="27"/>
      <c r="L29" s="27"/>
      <c r="M29" s="27"/>
      <c r="N29" s="27"/>
    </row>
    <row r="30" ht="15.75" customHeight="1">
      <c r="A30" s="46"/>
      <c r="B30" s="46"/>
      <c r="C30" s="46"/>
      <c r="D30" s="53"/>
      <c r="E30" s="53"/>
      <c r="F30" s="38" t="s">
        <v>54</v>
      </c>
      <c r="G30" s="49">
        <f>10+3.5+4</f>
        <v>17.5</v>
      </c>
      <c r="H30" s="54">
        <f>VLOOKUP(F30, $A$9:$B$9, 2, FALSE)</f>
        <v>800</v>
      </c>
      <c r="I30" s="51">
        <f t="shared" si="1"/>
        <v>14000</v>
      </c>
      <c r="J30" s="53"/>
      <c r="K30" s="27"/>
      <c r="L30" s="27"/>
      <c r="M30" s="27"/>
      <c r="N30" s="27"/>
    </row>
    <row r="31" ht="15.75" customHeight="1">
      <c r="A31" s="46"/>
      <c r="B31" s="46"/>
      <c r="C31" s="46"/>
      <c r="D31" s="53"/>
      <c r="E31" s="53"/>
      <c r="F31" s="38" t="s">
        <v>25</v>
      </c>
      <c r="G31" s="49">
        <v>19.0</v>
      </c>
      <c r="H31" s="54">
        <f>VLOOKUP(F31,$A$10:$B$10,2,TRUE)</f>
        <v>1500</v>
      </c>
      <c r="I31" s="51">
        <f t="shared" si="1"/>
        <v>28500</v>
      </c>
      <c r="J31" s="53"/>
      <c r="K31" s="27"/>
      <c r="L31" s="27"/>
      <c r="M31" s="27"/>
      <c r="N31" s="27"/>
    </row>
    <row r="32" ht="15.75" customHeight="1">
      <c r="A32" s="46"/>
      <c r="B32" s="46"/>
      <c r="C32" s="46"/>
      <c r="D32" s="53"/>
      <c r="E32" s="53"/>
      <c r="F32" s="38" t="s">
        <v>26</v>
      </c>
      <c r="G32" s="49"/>
      <c r="H32" s="54">
        <f>VLOOKUP(F32,$A$11:$B$11,2,TRUE)</f>
        <v>1200</v>
      </c>
      <c r="I32" s="51">
        <f t="shared" si="1"/>
        <v>0</v>
      </c>
      <c r="J32" s="53"/>
      <c r="K32" s="27"/>
      <c r="L32" s="27"/>
      <c r="M32" s="27"/>
      <c r="N32" s="27"/>
    </row>
    <row r="33" ht="15.75" customHeight="1">
      <c r="A33" s="46"/>
      <c r="B33" s="46"/>
      <c r="C33" s="46"/>
      <c r="D33" s="53"/>
      <c r="E33" s="53"/>
      <c r="F33" s="38" t="s">
        <v>28</v>
      </c>
      <c r="G33" s="49">
        <v>2.5</v>
      </c>
      <c r="H33" s="54">
        <f>VLOOKUP(F33,$A$12:$B$12,2,TRUE)</f>
        <v>500</v>
      </c>
      <c r="I33" s="51">
        <f t="shared" si="1"/>
        <v>1250</v>
      </c>
      <c r="J33" s="53"/>
      <c r="K33" s="27"/>
      <c r="L33" s="27"/>
      <c r="M33" s="27"/>
      <c r="N33" s="27"/>
    </row>
    <row r="34" ht="15.75" customHeight="1">
      <c r="A34" s="46"/>
      <c r="B34" s="46"/>
      <c r="C34" s="46"/>
      <c r="D34" s="53"/>
      <c r="E34" s="53"/>
      <c r="F34" s="38" t="s">
        <v>29</v>
      </c>
      <c r="G34" s="49"/>
      <c r="H34" s="54">
        <f>VLOOKUP(F34,$A$13:$B$13,2,TRUE)</f>
        <v>6500</v>
      </c>
      <c r="I34" s="51">
        <f t="shared" si="1"/>
        <v>0</v>
      </c>
      <c r="J34" s="53"/>
      <c r="K34" s="27"/>
      <c r="L34" s="27"/>
      <c r="M34" s="27"/>
      <c r="N34" s="27"/>
    </row>
    <row r="35" ht="15.75" customHeight="1">
      <c r="A35" s="46"/>
      <c r="B35" s="46"/>
      <c r="C35" s="46"/>
      <c r="D35" s="53"/>
      <c r="E35" s="53"/>
      <c r="F35" s="38" t="s">
        <v>30</v>
      </c>
      <c r="G35" s="49">
        <v>6.0</v>
      </c>
      <c r="H35" s="54">
        <f>VLOOKUP(F35,$A$14:$B$14,2,TRUE)</f>
        <v>2200</v>
      </c>
      <c r="I35" s="51">
        <f t="shared" si="1"/>
        <v>13200</v>
      </c>
      <c r="J35" s="53"/>
      <c r="K35" s="27"/>
      <c r="L35" s="27"/>
      <c r="M35" s="27"/>
      <c r="N35" s="27"/>
    </row>
    <row r="36" ht="15.75" customHeight="1">
      <c r="A36" s="46"/>
      <c r="B36" s="46"/>
      <c r="C36" s="46"/>
      <c r="D36" s="53"/>
      <c r="E36" s="53"/>
      <c r="F36" s="38" t="s">
        <v>31</v>
      </c>
      <c r="G36" s="49"/>
      <c r="H36" s="54">
        <f>VLOOKUP(F36,$A$15:$B$15,2,TRUE)</f>
        <v>1300</v>
      </c>
      <c r="I36" s="51">
        <f t="shared" si="1"/>
        <v>0</v>
      </c>
      <c r="J36" s="53"/>
      <c r="K36" s="27"/>
      <c r="L36" s="27"/>
      <c r="M36" s="27"/>
      <c r="N36" s="27"/>
    </row>
    <row r="37" ht="15.75" customHeight="1">
      <c r="A37" s="46"/>
      <c r="B37" s="46"/>
      <c r="C37" s="46"/>
      <c r="D37" s="53"/>
      <c r="E37" s="53"/>
      <c r="F37" s="38" t="s">
        <v>32</v>
      </c>
      <c r="G37" s="49"/>
      <c r="H37" s="54">
        <f>VLOOKUP(F37,$A$16:$B$16,2,TRUE)</f>
        <v>5000</v>
      </c>
      <c r="I37" s="51">
        <f t="shared" si="1"/>
        <v>0</v>
      </c>
      <c r="J37" s="53"/>
      <c r="K37" s="27"/>
      <c r="L37" s="27"/>
      <c r="M37" s="27"/>
      <c r="N37" s="27"/>
    </row>
    <row r="38" ht="15.75" customHeight="1">
      <c r="A38" s="46"/>
      <c r="B38" s="46"/>
      <c r="C38" s="46"/>
      <c r="D38" s="53"/>
      <c r="E38" s="53"/>
      <c r="F38" s="38" t="s">
        <v>33</v>
      </c>
      <c r="G38" s="49"/>
      <c r="H38" s="54">
        <f>VLOOKUP(F38,$A$17:$B$17,2,TRUE)</f>
        <v>2500</v>
      </c>
      <c r="I38" s="51">
        <f t="shared" si="1"/>
        <v>0</v>
      </c>
      <c r="J38" s="53"/>
      <c r="K38" s="27"/>
      <c r="L38" s="27"/>
      <c r="M38" s="27"/>
      <c r="N38" s="27"/>
    </row>
    <row r="39" ht="15.75" customHeight="1">
      <c r="A39" s="46"/>
      <c r="B39" s="46"/>
      <c r="C39" s="46"/>
      <c r="D39" s="53"/>
      <c r="E39" s="53"/>
      <c r="F39" s="38" t="s">
        <v>35</v>
      </c>
      <c r="G39" s="49"/>
      <c r="H39" s="54">
        <f>VLOOKUP(F39,$A$18:$B$18,2,TRUE)</f>
        <v>10000</v>
      </c>
      <c r="I39" s="51">
        <f t="shared" si="1"/>
        <v>0</v>
      </c>
      <c r="J39" s="53"/>
      <c r="K39" s="27"/>
      <c r="L39" s="27"/>
      <c r="M39" s="27"/>
      <c r="N39" s="27"/>
    </row>
    <row r="40" ht="15.75" customHeight="1">
      <c r="A40" s="46"/>
      <c r="B40" s="46"/>
      <c r="C40" s="46"/>
      <c r="D40" s="53"/>
      <c r="E40" s="53"/>
      <c r="F40" s="38" t="s">
        <v>55</v>
      </c>
      <c r="G40" s="49">
        <v>0.5</v>
      </c>
      <c r="H40" s="54">
        <f>VLOOKUP(F40,$A$19:$B$19,2,TRUE)</f>
        <v>300</v>
      </c>
      <c r="I40" s="51">
        <f t="shared" si="1"/>
        <v>150</v>
      </c>
      <c r="J40" s="53"/>
      <c r="K40" s="27"/>
      <c r="L40" s="27"/>
      <c r="M40" s="27"/>
      <c r="N40" s="27"/>
    </row>
    <row r="41" ht="15.75" customHeight="1">
      <c r="A41" s="46"/>
      <c r="B41" s="46"/>
      <c r="C41" s="46"/>
      <c r="D41" s="53"/>
      <c r="E41" s="53"/>
      <c r="F41" s="38" t="s">
        <v>15</v>
      </c>
      <c r="G41" s="49"/>
      <c r="H41" s="54">
        <f>VLOOKUP(F41,$A$20:$B$20,2,TRUE)</f>
        <v>300</v>
      </c>
      <c r="I41" s="51">
        <f t="shared" si="1"/>
        <v>0</v>
      </c>
      <c r="J41" s="53"/>
      <c r="K41" s="27"/>
      <c r="L41" s="27"/>
      <c r="M41" s="27"/>
      <c r="N41" s="27"/>
    </row>
    <row r="42" ht="15.75" customHeight="1">
      <c r="A42" s="46"/>
      <c r="B42" s="46"/>
      <c r="C42" s="46"/>
      <c r="D42" s="53"/>
      <c r="E42" s="53"/>
      <c r="F42" s="38" t="s">
        <v>11</v>
      </c>
      <c r="G42" s="49"/>
      <c r="H42" s="54">
        <f>VLOOKUP(F42,$A$21:$B$21,2,TRUE)</f>
        <v>1700</v>
      </c>
      <c r="I42" s="51">
        <f t="shared" si="1"/>
        <v>0</v>
      </c>
      <c r="J42" s="53"/>
      <c r="K42" s="27"/>
      <c r="L42" s="27"/>
      <c r="M42" s="27"/>
      <c r="N42" s="27"/>
    </row>
    <row r="43" ht="15.75" customHeight="1">
      <c r="A43" s="46"/>
      <c r="B43" s="46"/>
      <c r="C43" s="46"/>
      <c r="D43" s="53"/>
      <c r="E43" s="53"/>
      <c r="F43" s="38" t="s">
        <v>17</v>
      </c>
      <c r="G43" s="49">
        <v>6.0</v>
      </c>
      <c r="H43" s="54">
        <f>VLOOKUP(F42,$A$22:$B$22,2,TRUE)</f>
        <v>4500</v>
      </c>
      <c r="I43" s="51">
        <f t="shared" si="1"/>
        <v>27000</v>
      </c>
      <c r="J43" s="53"/>
      <c r="K43" s="27"/>
      <c r="L43" s="27"/>
      <c r="M43" s="27"/>
      <c r="N43" s="27"/>
    </row>
    <row r="44" ht="15.75" customHeight="1">
      <c r="A44" s="46"/>
      <c r="B44" s="46"/>
      <c r="C44" s="46"/>
      <c r="D44" s="14"/>
      <c r="E44" s="14"/>
      <c r="F44" s="38" t="s">
        <v>56</v>
      </c>
      <c r="G44" s="49"/>
      <c r="H44" s="54">
        <f>VLOOKUP(F43,$A$23:$B$23,2,TRUE)</f>
        <v>500</v>
      </c>
      <c r="I44" s="51">
        <f t="shared" si="1"/>
        <v>0</v>
      </c>
      <c r="J44" s="14"/>
      <c r="K44" s="27"/>
      <c r="L44" s="27"/>
      <c r="M44" s="27"/>
      <c r="N44" s="27"/>
    </row>
    <row r="45" ht="15.75" customHeight="1">
      <c r="A45" s="46"/>
      <c r="B45" s="46"/>
      <c r="C45" s="46"/>
      <c r="D45" s="47">
        <v>3.0</v>
      </c>
      <c r="E45" s="61" t="s">
        <v>75</v>
      </c>
      <c r="F45" s="38" t="s">
        <v>19</v>
      </c>
      <c r="G45" s="49"/>
      <c r="H45" s="50">
        <f>VLOOKUP(F45,$A$4:$B$4,2,TRUE)</f>
        <v>3100</v>
      </c>
      <c r="I45" s="51">
        <f t="shared" si="1"/>
        <v>0</v>
      </c>
      <c r="J45" s="52">
        <f>SUM(I45:I64)</f>
        <v>9600</v>
      </c>
      <c r="K45" s="27"/>
      <c r="L45" s="27"/>
      <c r="M45" s="27"/>
      <c r="N45" s="27"/>
    </row>
    <row r="46" ht="15.75" customHeight="1">
      <c r="A46" s="46"/>
      <c r="B46" s="46"/>
      <c r="C46" s="46"/>
      <c r="D46" s="53"/>
      <c r="E46" s="53"/>
      <c r="F46" s="38" t="s">
        <v>51</v>
      </c>
      <c r="G46" s="49"/>
      <c r="H46" s="54">
        <f>VLOOKUP(F46,$A$5:$B$5,2,TRUE)</f>
        <v>3000</v>
      </c>
      <c r="I46" s="51">
        <f t="shared" si="1"/>
        <v>0</v>
      </c>
      <c r="J46" s="53"/>
      <c r="K46" s="27"/>
      <c r="L46" s="27"/>
      <c r="M46" s="27"/>
      <c r="N46" s="27"/>
    </row>
    <row r="47" ht="15.75" customHeight="1">
      <c r="A47" s="46"/>
      <c r="B47" s="46"/>
      <c r="C47" s="46"/>
      <c r="D47" s="53"/>
      <c r="E47" s="53"/>
      <c r="F47" s="38" t="s">
        <v>53</v>
      </c>
      <c r="G47" s="49"/>
      <c r="H47" s="54">
        <f>VLOOKUP(F47,$A$6:$B$6,2,TRUE)</f>
        <v>800</v>
      </c>
      <c r="I47" s="51">
        <f t="shared" si="1"/>
        <v>0</v>
      </c>
      <c r="J47" s="53"/>
      <c r="K47" s="27"/>
      <c r="L47" s="27"/>
      <c r="M47" s="27"/>
      <c r="N47" s="27"/>
    </row>
    <row r="48" ht="15.75" customHeight="1">
      <c r="A48" s="46"/>
      <c r="B48" s="46"/>
      <c r="C48" s="46"/>
      <c r="D48" s="53"/>
      <c r="E48" s="53"/>
      <c r="F48" s="38" t="s">
        <v>22</v>
      </c>
      <c r="G48" s="49"/>
      <c r="H48" s="54">
        <f>VLOOKUP(F48,$A$7:$B$7,2,TRUE)</f>
        <v>2000</v>
      </c>
      <c r="I48" s="51">
        <f t="shared" si="1"/>
        <v>0</v>
      </c>
      <c r="J48" s="53"/>
      <c r="K48" s="27"/>
      <c r="L48" s="27"/>
      <c r="M48" s="27"/>
      <c r="N48" s="27"/>
    </row>
    <row r="49" ht="15.75" customHeight="1">
      <c r="A49" s="46"/>
      <c r="B49" s="46"/>
      <c r="C49" s="46"/>
      <c r="D49" s="53"/>
      <c r="E49" s="53"/>
      <c r="F49" s="38" t="s">
        <v>23</v>
      </c>
      <c r="G49" s="49"/>
      <c r="H49" s="54">
        <f>VLOOKUP(F49, $A$8:$B$8, 2, FALSE)</f>
        <v>2800</v>
      </c>
      <c r="I49" s="51">
        <f t="shared" si="1"/>
        <v>0</v>
      </c>
      <c r="J49" s="53"/>
      <c r="K49" s="27"/>
      <c r="L49" s="27"/>
      <c r="M49" s="27"/>
      <c r="N49" s="27"/>
    </row>
    <row r="50" ht="15.75" customHeight="1">
      <c r="A50" s="46"/>
      <c r="B50" s="46"/>
      <c r="C50" s="46"/>
      <c r="D50" s="53"/>
      <c r="E50" s="53"/>
      <c r="F50" s="38" t="s">
        <v>54</v>
      </c>
      <c r="G50" s="49">
        <v>1.0</v>
      </c>
      <c r="H50" s="54">
        <f>VLOOKUP(F50, $A$9:$B$9, 2, FALSE)</f>
        <v>800</v>
      </c>
      <c r="I50" s="51">
        <f t="shared" si="1"/>
        <v>800</v>
      </c>
      <c r="J50" s="53"/>
      <c r="K50" s="27"/>
      <c r="L50" s="27"/>
      <c r="M50" s="27"/>
      <c r="N50" s="27"/>
    </row>
    <row r="51" ht="15.75" customHeight="1">
      <c r="A51" s="46"/>
      <c r="B51" s="46"/>
      <c r="C51" s="46"/>
      <c r="D51" s="53"/>
      <c r="E51" s="53"/>
      <c r="F51" s="38" t="s">
        <v>25</v>
      </c>
      <c r="G51" s="49"/>
      <c r="H51" s="54">
        <f>VLOOKUP(F51,$A$10:$B$10,2,TRUE)</f>
        <v>1500</v>
      </c>
      <c r="I51" s="51">
        <f t="shared" si="1"/>
        <v>0</v>
      </c>
      <c r="J51" s="53"/>
      <c r="K51" s="27"/>
      <c r="L51" s="27"/>
      <c r="M51" s="27"/>
      <c r="N51" s="27"/>
    </row>
    <row r="52" ht="15.75" customHeight="1">
      <c r="A52" s="46"/>
      <c r="B52" s="46"/>
      <c r="C52" s="46"/>
      <c r="D52" s="53"/>
      <c r="E52" s="53"/>
      <c r="F52" s="38" t="s">
        <v>26</v>
      </c>
      <c r="G52" s="49"/>
      <c r="H52" s="54">
        <f>VLOOKUP(F52,$A$11:$B$11,2,TRUE)</f>
        <v>1200</v>
      </c>
      <c r="I52" s="51">
        <f t="shared" si="1"/>
        <v>0</v>
      </c>
      <c r="J52" s="53"/>
      <c r="K52" s="27"/>
      <c r="L52" s="27"/>
      <c r="M52" s="27"/>
      <c r="N52" s="27"/>
    </row>
    <row r="53" ht="15.75" customHeight="1">
      <c r="A53" s="46"/>
      <c r="B53" s="46"/>
      <c r="C53" s="46"/>
      <c r="D53" s="53"/>
      <c r="E53" s="53"/>
      <c r="F53" s="38" t="s">
        <v>28</v>
      </c>
      <c r="G53" s="49"/>
      <c r="H53" s="54">
        <f>VLOOKUP(F53,$A$12:$B$12,2,TRUE)</f>
        <v>500</v>
      </c>
      <c r="I53" s="51">
        <f t="shared" si="1"/>
        <v>0</v>
      </c>
      <c r="J53" s="53"/>
      <c r="K53" s="27"/>
      <c r="L53" s="27"/>
      <c r="M53" s="27"/>
      <c r="N53" s="27"/>
    </row>
    <row r="54" ht="15.75" customHeight="1">
      <c r="A54" s="46"/>
      <c r="B54" s="46"/>
      <c r="C54" s="46"/>
      <c r="D54" s="53"/>
      <c r="E54" s="53"/>
      <c r="F54" s="38" t="s">
        <v>29</v>
      </c>
      <c r="G54" s="49"/>
      <c r="H54" s="54">
        <f>VLOOKUP(F54,$A$13:$B$13,2,TRUE)</f>
        <v>6500</v>
      </c>
      <c r="I54" s="51">
        <f t="shared" si="1"/>
        <v>0</v>
      </c>
      <c r="J54" s="53"/>
      <c r="K54" s="27"/>
      <c r="L54" s="27"/>
      <c r="M54" s="27"/>
      <c r="N54" s="27"/>
    </row>
    <row r="55" ht="15.75" customHeight="1">
      <c r="A55" s="46"/>
      <c r="B55" s="46"/>
      <c r="C55" s="46"/>
      <c r="D55" s="53"/>
      <c r="E55" s="53"/>
      <c r="F55" s="38" t="s">
        <v>30</v>
      </c>
      <c r="G55" s="49">
        <v>4.0</v>
      </c>
      <c r="H55" s="54">
        <f>VLOOKUP(F55,$A$14:$B$14,2,TRUE)</f>
        <v>2200</v>
      </c>
      <c r="I55" s="51">
        <f t="shared" si="1"/>
        <v>8800</v>
      </c>
      <c r="J55" s="53"/>
      <c r="K55" s="27"/>
      <c r="L55" s="27"/>
      <c r="M55" s="27"/>
      <c r="N55" s="27"/>
    </row>
    <row r="56" ht="15.75" customHeight="1">
      <c r="A56" s="46"/>
      <c r="B56" s="46"/>
      <c r="C56" s="46"/>
      <c r="D56" s="53"/>
      <c r="E56" s="53"/>
      <c r="F56" s="38" t="s">
        <v>31</v>
      </c>
      <c r="G56" s="49"/>
      <c r="H56" s="54">
        <f>VLOOKUP(F56,$A$15:$B$15,2,TRUE)</f>
        <v>1300</v>
      </c>
      <c r="I56" s="51">
        <f t="shared" si="1"/>
        <v>0</v>
      </c>
      <c r="J56" s="53"/>
      <c r="K56" s="27"/>
      <c r="L56" s="27"/>
      <c r="M56" s="27"/>
      <c r="N56" s="27"/>
    </row>
    <row r="57" ht="15.75" customHeight="1">
      <c r="A57" s="46"/>
      <c r="B57" s="46"/>
      <c r="C57" s="46"/>
      <c r="D57" s="53"/>
      <c r="E57" s="53"/>
      <c r="F57" s="38" t="s">
        <v>32</v>
      </c>
      <c r="G57" s="49"/>
      <c r="H57" s="54">
        <f>VLOOKUP(F57,$A$16:$B$16,2,TRUE)</f>
        <v>5000</v>
      </c>
      <c r="I57" s="51">
        <f t="shared" si="1"/>
        <v>0</v>
      </c>
      <c r="J57" s="53"/>
      <c r="K57" s="27"/>
      <c r="L57" s="27"/>
      <c r="M57" s="27"/>
      <c r="N57" s="27"/>
    </row>
    <row r="58" ht="15.75" customHeight="1">
      <c r="A58" s="46"/>
      <c r="B58" s="46"/>
      <c r="C58" s="46"/>
      <c r="D58" s="53"/>
      <c r="E58" s="53"/>
      <c r="F58" s="38" t="s">
        <v>33</v>
      </c>
      <c r="G58" s="49"/>
      <c r="H58" s="54">
        <f>VLOOKUP(F58,$A$17:$B$17,2,TRUE)</f>
        <v>2500</v>
      </c>
      <c r="I58" s="51">
        <f t="shared" si="1"/>
        <v>0</v>
      </c>
      <c r="J58" s="53"/>
      <c r="K58" s="27"/>
      <c r="L58" s="27"/>
      <c r="M58" s="27"/>
      <c r="N58" s="27"/>
    </row>
    <row r="59" ht="15.75" customHeight="1">
      <c r="A59" s="46"/>
      <c r="B59" s="46"/>
      <c r="C59" s="46"/>
      <c r="D59" s="53"/>
      <c r="E59" s="53"/>
      <c r="F59" s="38" t="s">
        <v>35</v>
      </c>
      <c r="G59" s="49"/>
      <c r="H59" s="54">
        <f>VLOOKUP(F59,$A$18:$B$18,2,TRUE)</f>
        <v>10000</v>
      </c>
      <c r="I59" s="51">
        <f t="shared" si="1"/>
        <v>0</v>
      </c>
      <c r="J59" s="53"/>
      <c r="K59" s="27"/>
      <c r="L59" s="27"/>
      <c r="M59" s="27"/>
      <c r="N59" s="27"/>
    </row>
    <row r="60" ht="15.75" customHeight="1">
      <c r="A60" s="46"/>
      <c r="B60" s="46"/>
      <c r="C60" s="46"/>
      <c r="D60" s="53"/>
      <c r="E60" s="53"/>
      <c r="F60" s="38" t="s">
        <v>55</v>
      </c>
      <c r="G60" s="49"/>
      <c r="H60" s="54">
        <f>VLOOKUP(F60,$A$19:$B$19,2,TRUE)</f>
        <v>300</v>
      </c>
      <c r="I60" s="51">
        <f t="shared" si="1"/>
        <v>0</v>
      </c>
      <c r="J60" s="53"/>
      <c r="K60" s="27"/>
      <c r="L60" s="27"/>
      <c r="M60" s="27"/>
      <c r="N60" s="27"/>
    </row>
    <row r="61" ht="15.75" customHeight="1">
      <c r="A61" s="46"/>
      <c r="B61" s="46"/>
      <c r="C61" s="46"/>
      <c r="D61" s="53"/>
      <c r="E61" s="53"/>
      <c r="F61" s="38" t="s">
        <v>15</v>
      </c>
      <c r="G61" s="49"/>
      <c r="H61" s="54">
        <f>VLOOKUP(F61,$A$20:$B$20,2,TRUE)</f>
        <v>300</v>
      </c>
      <c r="I61" s="51">
        <f t="shared" si="1"/>
        <v>0</v>
      </c>
      <c r="J61" s="53"/>
      <c r="K61" s="27"/>
      <c r="L61" s="27"/>
      <c r="M61" s="27"/>
      <c r="N61" s="27"/>
    </row>
    <row r="62" ht="15.75" customHeight="1">
      <c r="A62" s="46"/>
      <c r="B62" s="46"/>
      <c r="C62" s="46"/>
      <c r="D62" s="53"/>
      <c r="E62" s="53"/>
      <c r="F62" s="38" t="s">
        <v>11</v>
      </c>
      <c r="G62" s="49"/>
      <c r="H62" s="54">
        <f>VLOOKUP(F62,$A$21:$B$21,2,TRUE)</f>
        <v>1700</v>
      </c>
      <c r="I62" s="51">
        <f t="shared" si="1"/>
        <v>0</v>
      </c>
      <c r="J62" s="53"/>
      <c r="K62" s="27"/>
      <c r="L62" s="27"/>
      <c r="M62" s="27"/>
      <c r="N62" s="27"/>
    </row>
    <row r="63" ht="15.75" customHeight="1">
      <c r="A63" s="46"/>
      <c r="B63" s="46"/>
      <c r="C63" s="46"/>
      <c r="D63" s="53"/>
      <c r="E63" s="53"/>
      <c r="F63" s="38" t="s">
        <v>17</v>
      </c>
      <c r="G63" s="49"/>
      <c r="H63" s="54">
        <f>VLOOKUP(F62,$A$22:$B$22,2,TRUE)</f>
        <v>4500</v>
      </c>
      <c r="I63" s="51">
        <f t="shared" si="1"/>
        <v>0</v>
      </c>
      <c r="J63" s="53"/>
      <c r="K63" s="27"/>
      <c r="L63" s="27"/>
      <c r="M63" s="27"/>
      <c r="N63" s="27"/>
    </row>
    <row r="64" ht="15.75" customHeight="1">
      <c r="A64" s="46"/>
      <c r="B64" s="46"/>
      <c r="C64" s="46"/>
      <c r="D64" s="14"/>
      <c r="E64" s="14"/>
      <c r="F64" s="38" t="s">
        <v>56</v>
      </c>
      <c r="G64" s="49">
        <v>2.5</v>
      </c>
      <c r="H64" s="54"/>
      <c r="I64" s="51">
        <f t="shared" si="1"/>
        <v>0</v>
      </c>
      <c r="J64" s="14"/>
      <c r="K64" s="27"/>
      <c r="L64" s="27"/>
      <c r="M64" s="27"/>
      <c r="N64" s="27"/>
    </row>
    <row r="65" ht="15.75" customHeight="1">
      <c r="A65" s="46"/>
      <c r="B65" s="46"/>
      <c r="C65" s="46"/>
      <c r="D65" s="47">
        <v>4.0</v>
      </c>
      <c r="E65" s="48" t="s">
        <v>76</v>
      </c>
      <c r="F65" s="38" t="s">
        <v>19</v>
      </c>
      <c r="G65" s="49">
        <v>1.0</v>
      </c>
      <c r="H65" s="50">
        <f>VLOOKUP(F65,$A$4:$B$4,2,TRUE)</f>
        <v>3100</v>
      </c>
      <c r="I65" s="51">
        <f t="shared" si="1"/>
        <v>3100</v>
      </c>
      <c r="J65" s="52">
        <f>SUM(I65:I84)</f>
        <v>12200</v>
      </c>
      <c r="K65" s="27"/>
      <c r="L65" s="27"/>
      <c r="M65" s="27"/>
      <c r="N65" s="27"/>
    </row>
    <row r="66" ht="15.75" customHeight="1">
      <c r="A66" s="46"/>
      <c r="B66" s="46"/>
      <c r="C66" s="46"/>
      <c r="D66" s="53"/>
      <c r="E66" s="53"/>
      <c r="F66" s="38" t="s">
        <v>51</v>
      </c>
      <c r="G66" s="49"/>
      <c r="H66" s="54">
        <f>VLOOKUP(F66,$A$5:$B$5,2,TRUE)</f>
        <v>3000</v>
      </c>
      <c r="I66" s="51">
        <f t="shared" si="1"/>
        <v>0</v>
      </c>
      <c r="J66" s="53"/>
      <c r="K66" s="27"/>
      <c r="L66" s="27"/>
      <c r="M66" s="27"/>
      <c r="N66" s="27"/>
    </row>
    <row r="67" ht="15.75" customHeight="1">
      <c r="A67" s="46"/>
      <c r="B67" s="46"/>
      <c r="C67" s="46"/>
      <c r="D67" s="53"/>
      <c r="E67" s="53"/>
      <c r="F67" s="38" t="s">
        <v>53</v>
      </c>
      <c r="G67" s="49"/>
      <c r="H67" s="54">
        <f>VLOOKUP(F67,$A$6:$B$6,2,TRUE)</f>
        <v>800</v>
      </c>
      <c r="I67" s="51">
        <f t="shared" si="1"/>
        <v>0</v>
      </c>
      <c r="J67" s="53"/>
      <c r="K67" s="27"/>
      <c r="L67" s="27"/>
      <c r="M67" s="27"/>
      <c r="N67" s="27"/>
    </row>
    <row r="68" ht="15.75" customHeight="1">
      <c r="A68" s="46"/>
      <c r="B68" s="46"/>
      <c r="C68" s="46"/>
      <c r="D68" s="53"/>
      <c r="E68" s="53"/>
      <c r="F68" s="38" t="s">
        <v>22</v>
      </c>
      <c r="G68" s="49"/>
      <c r="H68" s="54">
        <f>VLOOKUP(F68,$A$7:$B$7,2,TRUE)</f>
        <v>2000</v>
      </c>
      <c r="I68" s="51">
        <f t="shared" si="1"/>
        <v>0</v>
      </c>
      <c r="J68" s="53"/>
      <c r="K68" s="27"/>
      <c r="L68" s="27"/>
      <c r="M68" s="27"/>
      <c r="N68" s="27"/>
    </row>
    <row r="69" ht="15.75" customHeight="1">
      <c r="A69" s="46"/>
      <c r="B69" s="46"/>
      <c r="C69" s="46"/>
      <c r="D69" s="53"/>
      <c r="E69" s="53"/>
      <c r="F69" s="38" t="s">
        <v>23</v>
      </c>
      <c r="G69" s="49">
        <v>0.5</v>
      </c>
      <c r="H69" s="54">
        <f>VLOOKUP(F69, $A$8:$B$8, 2, FALSE)</f>
        <v>2800</v>
      </c>
      <c r="I69" s="51">
        <f t="shared" si="1"/>
        <v>1400</v>
      </c>
      <c r="J69" s="53"/>
      <c r="K69" s="27"/>
      <c r="L69" s="27"/>
      <c r="M69" s="27"/>
      <c r="N69" s="27"/>
    </row>
    <row r="70" ht="15.75" customHeight="1">
      <c r="A70" s="46"/>
      <c r="B70" s="46"/>
      <c r="C70" s="46"/>
      <c r="D70" s="53"/>
      <c r="E70" s="53"/>
      <c r="F70" s="38" t="s">
        <v>54</v>
      </c>
      <c r="G70" s="49">
        <v>4.0</v>
      </c>
      <c r="H70" s="54">
        <f>VLOOKUP(F70, $A$9:$B$9, 2, FALSE)</f>
        <v>800</v>
      </c>
      <c r="I70" s="51">
        <f t="shared" si="1"/>
        <v>3200</v>
      </c>
      <c r="J70" s="53"/>
      <c r="K70" s="27"/>
      <c r="L70" s="27"/>
      <c r="M70" s="27"/>
      <c r="N70" s="27"/>
    </row>
    <row r="71" ht="15.75" customHeight="1">
      <c r="A71" s="46"/>
      <c r="B71" s="46"/>
      <c r="C71" s="46"/>
      <c r="D71" s="53"/>
      <c r="E71" s="53"/>
      <c r="F71" s="38" t="s">
        <v>25</v>
      </c>
      <c r="G71" s="49">
        <v>3.0</v>
      </c>
      <c r="H71" s="54">
        <f>VLOOKUP(F71,$A$10:$B$10,2,TRUE)</f>
        <v>1500</v>
      </c>
      <c r="I71" s="51">
        <f t="shared" si="1"/>
        <v>4500</v>
      </c>
      <c r="J71" s="53"/>
      <c r="K71" s="27"/>
      <c r="L71" s="27"/>
      <c r="M71" s="27"/>
      <c r="N71" s="27"/>
    </row>
    <row r="72" ht="15.75" customHeight="1">
      <c r="A72" s="46"/>
      <c r="B72" s="46"/>
      <c r="C72" s="46"/>
      <c r="D72" s="53"/>
      <c r="E72" s="53"/>
      <c r="F72" s="38" t="s">
        <v>26</v>
      </c>
      <c r="G72" s="49"/>
      <c r="H72" s="54">
        <f>VLOOKUP(F72,$A$11:$B$11,2,TRUE)</f>
        <v>1200</v>
      </c>
      <c r="I72" s="51">
        <f t="shared" si="1"/>
        <v>0</v>
      </c>
      <c r="J72" s="53"/>
      <c r="K72" s="27"/>
      <c r="L72" s="27"/>
      <c r="M72" s="27"/>
      <c r="N72" s="27"/>
    </row>
    <row r="73" ht="15.75" customHeight="1">
      <c r="A73" s="46"/>
      <c r="B73" s="46"/>
      <c r="C73" s="46"/>
      <c r="D73" s="53"/>
      <c r="E73" s="53"/>
      <c r="F73" s="38" t="s">
        <v>28</v>
      </c>
      <c r="G73" s="49"/>
      <c r="H73" s="54">
        <f>VLOOKUP(F73,$A$12:$B$12,2,TRUE)</f>
        <v>500</v>
      </c>
      <c r="I73" s="51">
        <f t="shared" si="1"/>
        <v>0</v>
      </c>
      <c r="J73" s="53"/>
      <c r="K73" s="27"/>
      <c r="L73" s="27"/>
      <c r="M73" s="27"/>
      <c r="N73" s="27"/>
    </row>
    <row r="74" ht="15.75" customHeight="1">
      <c r="A74" s="46"/>
      <c r="B74" s="46"/>
      <c r="C74" s="46"/>
      <c r="D74" s="53"/>
      <c r="E74" s="53"/>
      <c r="F74" s="38" t="s">
        <v>29</v>
      </c>
      <c r="G74" s="49"/>
      <c r="H74" s="54">
        <f>VLOOKUP(F74,$A$13:$B$13,2,TRUE)</f>
        <v>6500</v>
      </c>
      <c r="I74" s="51">
        <f t="shared" si="1"/>
        <v>0</v>
      </c>
      <c r="J74" s="53"/>
      <c r="K74" s="27"/>
      <c r="L74" s="27"/>
      <c r="M74" s="27"/>
      <c r="N74" s="27"/>
    </row>
    <row r="75" ht="15.75" customHeight="1">
      <c r="A75" s="46"/>
      <c r="B75" s="46"/>
      <c r="C75" s="46"/>
      <c r="D75" s="53"/>
      <c r="E75" s="53"/>
      <c r="F75" s="38" t="s">
        <v>30</v>
      </c>
      <c r="G75" s="49"/>
      <c r="H75" s="54">
        <f>VLOOKUP(F75,$A$14:$B$14,2,TRUE)</f>
        <v>2200</v>
      </c>
      <c r="I75" s="51">
        <f t="shared" si="1"/>
        <v>0</v>
      </c>
      <c r="J75" s="53"/>
      <c r="K75" s="27"/>
      <c r="L75" s="27"/>
      <c r="M75" s="27"/>
      <c r="N75" s="27"/>
    </row>
    <row r="76" ht="15.75" customHeight="1">
      <c r="A76" s="46"/>
      <c r="B76" s="46"/>
      <c r="C76" s="46"/>
      <c r="D76" s="53"/>
      <c r="E76" s="53"/>
      <c r="F76" s="38" t="s">
        <v>31</v>
      </c>
      <c r="G76" s="49"/>
      <c r="H76" s="54">
        <f>VLOOKUP(F76,$A$15:$B$15,2,TRUE)</f>
        <v>1300</v>
      </c>
      <c r="I76" s="51">
        <f t="shared" si="1"/>
        <v>0</v>
      </c>
      <c r="J76" s="53"/>
      <c r="K76" s="27"/>
      <c r="L76" s="27"/>
      <c r="M76" s="27"/>
      <c r="N76" s="27"/>
    </row>
    <row r="77" ht="15.75" customHeight="1">
      <c r="A77" s="46"/>
      <c r="B77" s="46"/>
      <c r="C77" s="46"/>
      <c r="D77" s="53"/>
      <c r="E77" s="53"/>
      <c r="F77" s="38" t="s">
        <v>32</v>
      </c>
      <c r="G77" s="49"/>
      <c r="H77" s="54">
        <f>VLOOKUP(F77,$A$16:$B$16,2,TRUE)</f>
        <v>5000</v>
      </c>
      <c r="I77" s="51">
        <f t="shared" si="1"/>
        <v>0</v>
      </c>
      <c r="J77" s="53"/>
      <c r="K77" s="27"/>
      <c r="L77" s="27"/>
      <c r="M77" s="27"/>
      <c r="N77" s="27"/>
    </row>
    <row r="78" ht="15.75" customHeight="1">
      <c r="A78" s="46"/>
      <c r="B78" s="46"/>
      <c r="C78" s="46"/>
      <c r="D78" s="53"/>
      <c r="E78" s="53"/>
      <c r="F78" s="38" t="s">
        <v>33</v>
      </c>
      <c r="G78" s="49"/>
      <c r="H78" s="54">
        <f>VLOOKUP(F78,$A$17:$B$17,2,TRUE)</f>
        <v>2500</v>
      </c>
      <c r="I78" s="51">
        <f t="shared" si="1"/>
        <v>0</v>
      </c>
      <c r="J78" s="53"/>
      <c r="K78" s="27"/>
      <c r="L78" s="27"/>
      <c r="M78" s="27"/>
      <c r="N78" s="27"/>
    </row>
    <row r="79" ht="15.75" customHeight="1">
      <c r="A79" s="46"/>
      <c r="B79" s="46"/>
      <c r="C79" s="46"/>
      <c r="D79" s="53"/>
      <c r="E79" s="53"/>
      <c r="F79" s="38" t="s">
        <v>35</v>
      </c>
      <c r="G79" s="49"/>
      <c r="H79" s="54">
        <f>VLOOKUP(F79,$A$18:$B$18,2,TRUE)</f>
        <v>10000</v>
      </c>
      <c r="I79" s="51">
        <f t="shared" si="1"/>
        <v>0</v>
      </c>
      <c r="J79" s="53"/>
      <c r="K79" s="27"/>
      <c r="L79" s="27"/>
      <c r="M79" s="27"/>
      <c r="N79" s="27"/>
    </row>
    <row r="80" ht="15.75" customHeight="1">
      <c r="A80" s="46"/>
      <c r="B80" s="46"/>
      <c r="C80" s="46"/>
      <c r="D80" s="53"/>
      <c r="E80" s="53"/>
      <c r="F80" s="38" t="s">
        <v>55</v>
      </c>
      <c r="G80" s="49"/>
      <c r="H80" s="54">
        <f>VLOOKUP(F80,$A$19:$B$19,2,TRUE)</f>
        <v>300</v>
      </c>
      <c r="I80" s="51">
        <f t="shared" si="1"/>
        <v>0</v>
      </c>
      <c r="J80" s="53"/>
      <c r="K80" s="27"/>
      <c r="L80" s="27"/>
      <c r="M80" s="27"/>
      <c r="N80" s="27"/>
    </row>
    <row r="81" ht="15.75" customHeight="1">
      <c r="A81" s="46"/>
      <c r="B81" s="46"/>
      <c r="C81" s="46"/>
      <c r="D81" s="53"/>
      <c r="E81" s="53"/>
      <c r="F81" s="38" t="s">
        <v>15</v>
      </c>
      <c r="G81" s="49"/>
      <c r="H81" s="54">
        <f>VLOOKUP(F81,$A$20:$B$20,2,TRUE)</f>
        <v>300</v>
      </c>
      <c r="I81" s="51">
        <f t="shared" si="1"/>
        <v>0</v>
      </c>
      <c r="J81" s="53"/>
      <c r="K81" s="27"/>
      <c r="L81" s="27"/>
      <c r="M81" s="27"/>
      <c r="N81" s="27"/>
    </row>
    <row r="82" ht="15.75" customHeight="1">
      <c r="A82" s="46"/>
      <c r="B82" s="46"/>
      <c r="C82" s="46"/>
      <c r="D82" s="53"/>
      <c r="E82" s="53"/>
      <c r="F82" s="38" t="s">
        <v>11</v>
      </c>
      <c r="G82" s="49"/>
      <c r="H82" s="54">
        <f>VLOOKUP(F82,$A$21:$B$21,2,TRUE)</f>
        <v>1700</v>
      </c>
      <c r="I82" s="51">
        <f t="shared" si="1"/>
        <v>0</v>
      </c>
      <c r="J82" s="53"/>
      <c r="K82" s="27"/>
      <c r="L82" s="27"/>
      <c r="M82" s="27"/>
      <c r="N82" s="27"/>
    </row>
    <row r="83" ht="15.75" customHeight="1">
      <c r="A83" s="46"/>
      <c r="B83" s="46"/>
      <c r="C83" s="46"/>
      <c r="D83" s="53"/>
      <c r="E83" s="53"/>
      <c r="F83" s="38" t="s">
        <v>17</v>
      </c>
      <c r="G83" s="49"/>
      <c r="H83" s="54">
        <f>VLOOKUP(F82,$A$22:$B$22,2,TRUE)</f>
        <v>4500</v>
      </c>
      <c r="I83" s="51">
        <f t="shared" si="1"/>
        <v>0</v>
      </c>
      <c r="J83" s="53"/>
      <c r="K83" s="27"/>
      <c r="L83" s="27"/>
      <c r="M83" s="27"/>
      <c r="N83" s="27"/>
    </row>
    <row r="84" ht="15.75" customHeight="1">
      <c r="A84" s="46"/>
      <c r="B84" s="46"/>
      <c r="C84" s="46"/>
      <c r="D84" s="14"/>
      <c r="E84" s="14"/>
      <c r="F84" s="38" t="s">
        <v>56</v>
      </c>
      <c r="G84" s="49"/>
      <c r="H84" s="54">
        <f>VLOOKUP(F83,$A$23:$B$23,2,TRUE)</f>
        <v>500</v>
      </c>
      <c r="I84" s="51">
        <f t="shared" si="1"/>
        <v>0</v>
      </c>
      <c r="J84" s="14"/>
      <c r="K84" s="27"/>
      <c r="L84" s="27"/>
      <c r="M84" s="27"/>
      <c r="N84" s="27"/>
    </row>
    <row r="85" ht="15.75" customHeight="1">
      <c r="A85" s="46"/>
      <c r="B85" s="46"/>
      <c r="C85" s="46"/>
      <c r="D85" s="47">
        <v>5.0</v>
      </c>
      <c r="E85" s="48" t="s">
        <v>77</v>
      </c>
      <c r="F85" s="38" t="s">
        <v>19</v>
      </c>
      <c r="G85" s="49">
        <v>2.0</v>
      </c>
      <c r="H85" s="50">
        <f>VLOOKUP(F85,$A$4:$B$4,2,TRUE)</f>
        <v>3100</v>
      </c>
      <c r="I85" s="51">
        <f t="shared" si="1"/>
        <v>6200</v>
      </c>
      <c r="J85" s="52">
        <f>SUM(I85:I104)</f>
        <v>93100</v>
      </c>
      <c r="K85" s="27"/>
      <c r="L85" s="27"/>
      <c r="M85" s="27"/>
      <c r="N85" s="27"/>
    </row>
    <row r="86" ht="15.75" customHeight="1">
      <c r="A86" s="46"/>
      <c r="B86" s="46"/>
      <c r="C86" s="46"/>
      <c r="D86" s="53"/>
      <c r="E86" s="53"/>
      <c r="F86" s="38" t="s">
        <v>51</v>
      </c>
      <c r="G86" s="49">
        <f>5+5</f>
        <v>10</v>
      </c>
      <c r="H86" s="54">
        <f>VLOOKUP(F86,$A$5:$B$5,2,TRUE)</f>
        <v>3000</v>
      </c>
      <c r="I86" s="51">
        <f t="shared" si="1"/>
        <v>30000</v>
      </c>
      <c r="J86" s="53"/>
      <c r="K86" s="27"/>
      <c r="L86" s="27"/>
      <c r="M86" s="27"/>
      <c r="N86" s="27"/>
    </row>
    <row r="87" ht="15.75" customHeight="1">
      <c r="A87" s="46"/>
      <c r="B87" s="46"/>
      <c r="C87" s="46"/>
      <c r="D87" s="53"/>
      <c r="E87" s="53"/>
      <c r="F87" s="38" t="s">
        <v>53</v>
      </c>
      <c r="G87" s="49"/>
      <c r="H87" s="54">
        <f>VLOOKUP(F87,$A$6:$B$6,2,TRUE)</f>
        <v>800</v>
      </c>
      <c r="I87" s="51">
        <f t="shared" si="1"/>
        <v>0</v>
      </c>
      <c r="J87" s="53"/>
      <c r="K87" s="27"/>
      <c r="L87" s="27"/>
      <c r="M87" s="27"/>
      <c r="N87" s="27"/>
    </row>
    <row r="88" ht="15.75" customHeight="1">
      <c r="A88" s="46"/>
      <c r="B88" s="46"/>
      <c r="C88" s="46"/>
      <c r="D88" s="53"/>
      <c r="E88" s="53"/>
      <c r="F88" s="38" t="s">
        <v>22</v>
      </c>
      <c r="G88" s="49">
        <v>1.0</v>
      </c>
      <c r="H88" s="54">
        <f>VLOOKUP(F88,$A$7:$B$7,2,TRUE)</f>
        <v>2000</v>
      </c>
      <c r="I88" s="51">
        <f t="shared" si="1"/>
        <v>2000</v>
      </c>
      <c r="J88" s="53"/>
      <c r="K88" s="27"/>
      <c r="L88" s="27"/>
      <c r="M88" s="27"/>
      <c r="N88" s="27"/>
    </row>
    <row r="89" ht="15.75" customHeight="1">
      <c r="A89" s="46"/>
      <c r="B89" s="46"/>
      <c r="C89" s="46"/>
      <c r="D89" s="53"/>
      <c r="E89" s="53"/>
      <c r="F89" s="38" t="s">
        <v>23</v>
      </c>
      <c r="G89" s="49"/>
      <c r="H89" s="54">
        <f>VLOOKUP(F89, $A$8:$B$8, 2, FALSE)</f>
        <v>2800</v>
      </c>
      <c r="I89" s="51">
        <f t="shared" si="1"/>
        <v>0</v>
      </c>
      <c r="J89" s="53"/>
      <c r="K89" s="27"/>
      <c r="L89" s="27"/>
      <c r="M89" s="27"/>
      <c r="N89" s="27"/>
    </row>
    <row r="90" ht="15.75" customHeight="1">
      <c r="A90" s="46"/>
      <c r="B90" s="46"/>
      <c r="C90" s="46"/>
      <c r="D90" s="53"/>
      <c r="E90" s="53"/>
      <c r="F90" s="38" t="s">
        <v>54</v>
      </c>
      <c r="G90" s="49">
        <v>4.0</v>
      </c>
      <c r="H90" s="54">
        <f>VLOOKUP(F90, $A$9:$B$9, 2, FALSE)</f>
        <v>800</v>
      </c>
      <c r="I90" s="51">
        <f t="shared" si="1"/>
        <v>3200</v>
      </c>
      <c r="J90" s="53"/>
      <c r="K90" s="27"/>
      <c r="L90" s="27"/>
      <c r="M90" s="27"/>
      <c r="N90" s="27"/>
    </row>
    <row r="91" ht="15.75" customHeight="1">
      <c r="A91" s="46"/>
      <c r="B91" s="46"/>
      <c r="C91" s="46"/>
      <c r="D91" s="53"/>
      <c r="E91" s="53"/>
      <c r="F91" s="38" t="s">
        <v>25</v>
      </c>
      <c r="G91" s="49">
        <f>9+15</f>
        <v>24</v>
      </c>
      <c r="H91" s="54">
        <f>VLOOKUP(F91,$A$10:$B$10,2,TRUE)</f>
        <v>1500</v>
      </c>
      <c r="I91" s="51">
        <f t="shared" si="1"/>
        <v>36000</v>
      </c>
      <c r="J91" s="53"/>
      <c r="K91" s="27"/>
      <c r="L91" s="27"/>
      <c r="M91" s="27"/>
      <c r="N91" s="27"/>
    </row>
    <row r="92" ht="15.75" customHeight="1">
      <c r="A92" s="46"/>
      <c r="B92" s="46"/>
      <c r="C92" s="46"/>
      <c r="D92" s="53"/>
      <c r="E92" s="53"/>
      <c r="F92" s="38" t="s">
        <v>26</v>
      </c>
      <c r="G92" s="49"/>
      <c r="H92" s="54">
        <f>VLOOKUP(F92,$A$11:$B$11,2,TRUE)</f>
        <v>1200</v>
      </c>
      <c r="I92" s="51">
        <f t="shared" si="1"/>
        <v>0</v>
      </c>
      <c r="J92" s="53"/>
      <c r="K92" s="27"/>
      <c r="L92" s="27"/>
      <c r="M92" s="27"/>
      <c r="N92" s="27"/>
    </row>
    <row r="93" ht="15.75" customHeight="1">
      <c r="A93" s="46"/>
      <c r="B93" s="46"/>
      <c r="C93" s="46"/>
      <c r="D93" s="53"/>
      <c r="E93" s="53"/>
      <c r="F93" s="38" t="s">
        <v>28</v>
      </c>
      <c r="G93" s="49">
        <v>3.5</v>
      </c>
      <c r="H93" s="54">
        <f>VLOOKUP(F93,$A$12:$B$12,2,TRUE)</f>
        <v>500</v>
      </c>
      <c r="I93" s="51">
        <f t="shared" si="1"/>
        <v>1750</v>
      </c>
      <c r="J93" s="53"/>
      <c r="K93" s="27"/>
      <c r="L93" s="27"/>
      <c r="M93" s="27"/>
      <c r="N93" s="27"/>
    </row>
    <row r="94" ht="15.75" customHeight="1">
      <c r="A94" s="46"/>
      <c r="B94" s="46"/>
      <c r="C94" s="46"/>
      <c r="D94" s="53"/>
      <c r="E94" s="53"/>
      <c r="F94" s="38" t="s">
        <v>29</v>
      </c>
      <c r="G94" s="49"/>
      <c r="H94" s="54">
        <f>VLOOKUP(F94,$A$13:$B$13,2,TRUE)</f>
        <v>6500</v>
      </c>
      <c r="I94" s="51">
        <f t="shared" si="1"/>
        <v>0</v>
      </c>
      <c r="J94" s="53"/>
      <c r="K94" s="27"/>
      <c r="L94" s="27"/>
      <c r="M94" s="27"/>
      <c r="N94" s="27"/>
    </row>
    <row r="95" ht="15.75" customHeight="1">
      <c r="A95" s="46"/>
      <c r="B95" s="46"/>
      <c r="C95" s="46"/>
      <c r="D95" s="53"/>
      <c r="E95" s="53"/>
      <c r="F95" s="38" t="s">
        <v>30</v>
      </c>
      <c r="G95" s="49"/>
      <c r="H95" s="54">
        <f>VLOOKUP(F95,$A$14:$B$14,2,TRUE)</f>
        <v>2200</v>
      </c>
      <c r="I95" s="51">
        <f t="shared" si="1"/>
        <v>0</v>
      </c>
      <c r="J95" s="53"/>
      <c r="K95" s="27"/>
      <c r="L95" s="27"/>
      <c r="M95" s="27"/>
      <c r="N95" s="27"/>
    </row>
    <row r="96" ht="15.75" customHeight="1">
      <c r="A96" s="46"/>
      <c r="B96" s="46"/>
      <c r="C96" s="46"/>
      <c r="D96" s="53"/>
      <c r="E96" s="53"/>
      <c r="F96" s="38" t="s">
        <v>31</v>
      </c>
      <c r="G96" s="49"/>
      <c r="H96" s="54">
        <f>VLOOKUP(F96,$A$15:$B$15,2,TRUE)</f>
        <v>1300</v>
      </c>
      <c r="I96" s="51">
        <f t="shared" si="1"/>
        <v>0</v>
      </c>
      <c r="J96" s="53"/>
      <c r="K96" s="27"/>
      <c r="L96" s="27"/>
      <c r="M96" s="27"/>
      <c r="N96" s="27"/>
    </row>
    <row r="97" ht="15.75" customHeight="1">
      <c r="A97" s="46"/>
      <c r="B97" s="46"/>
      <c r="C97" s="46"/>
      <c r="D97" s="53"/>
      <c r="E97" s="53"/>
      <c r="F97" s="38" t="s">
        <v>32</v>
      </c>
      <c r="G97" s="49"/>
      <c r="H97" s="54">
        <f>VLOOKUP(F97,$A$16:$B$16,2,TRUE)</f>
        <v>5000</v>
      </c>
      <c r="I97" s="51">
        <f t="shared" si="1"/>
        <v>0</v>
      </c>
      <c r="J97" s="53"/>
      <c r="K97" s="27"/>
      <c r="L97" s="27"/>
      <c r="M97" s="27"/>
      <c r="N97" s="27"/>
    </row>
    <row r="98" ht="15.75" customHeight="1">
      <c r="A98" s="46"/>
      <c r="B98" s="46"/>
      <c r="C98" s="46"/>
      <c r="D98" s="53"/>
      <c r="E98" s="53"/>
      <c r="F98" s="38" t="s">
        <v>33</v>
      </c>
      <c r="G98" s="49"/>
      <c r="H98" s="54">
        <f>VLOOKUP(F98,$A$17:$B$17,2,TRUE)</f>
        <v>2500</v>
      </c>
      <c r="I98" s="51">
        <f t="shared" si="1"/>
        <v>0</v>
      </c>
      <c r="J98" s="53"/>
      <c r="K98" s="27"/>
      <c r="L98" s="27"/>
      <c r="M98" s="27"/>
      <c r="N98" s="27"/>
    </row>
    <row r="99" ht="15.75" customHeight="1">
      <c r="A99" s="46"/>
      <c r="B99" s="46"/>
      <c r="C99" s="46"/>
      <c r="D99" s="53"/>
      <c r="E99" s="53"/>
      <c r="F99" s="38" t="s">
        <v>35</v>
      </c>
      <c r="G99" s="49"/>
      <c r="H99" s="54">
        <f>VLOOKUP(F99,$A$18:$B$18,2,TRUE)</f>
        <v>10000</v>
      </c>
      <c r="I99" s="51">
        <f t="shared" si="1"/>
        <v>0</v>
      </c>
      <c r="J99" s="53"/>
      <c r="K99" s="27"/>
      <c r="L99" s="27"/>
      <c r="M99" s="27"/>
      <c r="N99" s="27"/>
    </row>
    <row r="100" ht="15.75" customHeight="1">
      <c r="A100" s="46"/>
      <c r="B100" s="46"/>
      <c r="C100" s="46"/>
      <c r="D100" s="53"/>
      <c r="E100" s="53"/>
      <c r="F100" s="38" t="s">
        <v>55</v>
      </c>
      <c r="G100" s="49">
        <v>1.5</v>
      </c>
      <c r="H100" s="54">
        <f>VLOOKUP(F100,$A$19:$B$19,2,TRUE)</f>
        <v>300</v>
      </c>
      <c r="I100" s="51">
        <f t="shared" si="1"/>
        <v>450</v>
      </c>
      <c r="J100" s="53"/>
      <c r="K100" s="27"/>
      <c r="L100" s="27"/>
      <c r="M100" s="27"/>
      <c r="N100" s="27"/>
    </row>
    <row r="101" ht="15.75" customHeight="1">
      <c r="A101" s="46"/>
      <c r="B101" s="46"/>
      <c r="C101" s="46"/>
      <c r="D101" s="53"/>
      <c r="E101" s="53"/>
      <c r="F101" s="38" t="s">
        <v>15</v>
      </c>
      <c r="G101" s="49"/>
      <c r="H101" s="54">
        <f>VLOOKUP(F101,$A$20:$B$20,2,TRUE)</f>
        <v>300</v>
      </c>
      <c r="I101" s="51">
        <f t="shared" si="1"/>
        <v>0</v>
      </c>
      <c r="J101" s="53"/>
      <c r="K101" s="27"/>
      <c r="L101" s="27"/>
      <c r="M101" s="27"/>
      <c r="N101" s="27"/>
    </row>
    <row r="102" ht="15.75" customHeight="1">
      <c r="A102" s="46"/>
      <c r="B102" s="46"/>
      <c r="C102" s="46"/>
      <c r="D102" s="53"/>
      <c r="E102" s="53"/>
      <c r="F102" s="38" t="s">
        <v>11</v>
      </c>
      <c r="G102" s="49"/>
      <c r="H102" s="54">
        <f>VLOOKUP(F102,$A$21:$B$21,2,TRUE)</f>
        <v>1700</v>
      </c>
      <c r="I102" s="51">
        <f t="shared" si="1"/>
        <v>0</v>
      </c>
      <c r="J102" s="53"/>
      <c r="K102" s="27"/>
      <c r="L102" s="27"/>
      <c r="M102" s="27"/>
      <c r="N102" s="27"/>
    </row>
    <row r="103" ht="15.75" customHeight="1">
      <c r="A103" s="46"/>
      <c r="B103" s="46"/>
      <c r="C103" s="46"/>
      <c r="D103" s="53"/>
      <c r="E103" s="53"/>
      <c r="F103" s="38" t="s">
        <v>17</v>
      </c>
      <c r="G103" s="49">
        <v>3.0</v>
      </c>
      <c r="H103" s="54">
        <f>VLOOKUP(F102,$A$22:$B$22,2,TRUE)</f>
        <v>4500</v>
      </c>
      <c r="I103" s="51">
        <f t="shared" si="1"/>
        <v>13500</v>
      </c>
      <c r="J103" s="53"/>
      <c r="K103" s="27"/>
      <c r="L103" s="27"/>
      <c r="M103" s="27"/>
      <c r="N103" s="27"/>
    </row>
    <row r="104" ht="15.75" customHeight="1">
      <c r="A104" s="46"/>
      <c r="B104" s="46"/>
      <c r="C104" s="46"/>
      <c r="D104" s="14"/>
      <c r="E104" s="14"/>
      <c r="F104" s="38" t="s">
        <v>56</v>
      </c>
      <c r="G104" s="49"/>
      <c r="H104" s="54">
        <f>VLOOKUP(F103,$A$23:$B$23,2,TRUE)</f>
        <v>500</v>
      </c>
      <c r="I104" s="51">
        <f t="shared" si="1"/>
        <v>0</v>
      </c>
      <c r="J104" s="14"/>
      <c r="K104" s="27"/>
      <c r="L104" s="27"/>
      <c r="M104" s="27"/>
      <c r="N104" s="27"/>
    </row>
    <row r="105" ht="15.75" customHeight="1">
      <c r="A105" s="46"/>
      <c r="B105" s="46"/>
      <c r="C105" s="46"/>
      <c r="D105" s="47">
        <v>6.0</v>
      </c>
      <c r="E105" s="48" t="s">
        <v>78</v>
      </c>
      <c r="F105" s="38" t="s">
        <v>19</v>
      </c>
      <c r="G105" s="49"/>
      <c r="H105" s="50">
        <f>VLOOKUP(F105,$A$4:$B$4,2,TRUE)</f>
        <v>3100</v>
      </c>
      <c r="I105" s="51">
        <f t="shared" si="1"/>
        <v>0</v>
      </c>
      <c r="J105" s="52">
        <f>SUM(I105:I124)</f>
        <v>7750</v>
      </c>
      <c r="K105" s="27"/>
      <c r="L105" s="27"/>
      <c r="M105" s="27"/>
      <c r="N105" s="27"/>
    </row>
    <row r="106" ht="15.75" customHeight="1">
      <c r="A106" s="46"/>
      <c r="B106" s="46"/>
      <c r="C106" s="46"/>
      <c r="D106" s="53"/>
      <c r="E106" s="53"/>
      <c r="F106" s="38" t="s">
        <v>51</v>
      </c>
      <c r="G106" s="49"/>
      <c r="H106" s="54">
        <f>VLOOKUP(F106,$A$5:$B$5,2,TRUE)</f>
        <v>3000</v>
      </c>
      <c r="I106" s="51">
        <f t="shared" si="1"/>
        <v>0</v>
      </c>
      <c r="J106" s="53"/>
      <c r="K106" s="27"/>
      <c r="L106" s="27"/>
      <c r="M106" s="27"/>
      <c r="N106" s="27"/>
    </row>
    <row r="107" ht="15.75" customHeight="1">
      <c r="A107" s="46"/>
      <c r="B107" s="46"/>
      <c r="C107" s="46"/>
      <c r="D107" s="53"/>
      <c r="E107" s="53"/>
      <c r="F107" s="38" t="s">
        <v>53</v>
      </c>
      <c r="G107" s="49"/>
      <c r="H107" s="54">
        <f>VLOOKUP(F107,$A$6:$B$6,2,TRUE)</f>
        <v>800</v>
      </c>
      <c r="I107" s="51">
        <f t="shared" si="1"/>
        <v>0</v>
      </c>
      <c r="J107" s="53"/>
      <c r="K107" s="27"/>
      <c r="L107" s="27"/>
      <c r="M107" s="27"/>
      <c r="N107" s="27"/>
    </row>
    <row r="108" ht="15.75" customHeight="1">
      <c r="A108" s="46"/>
      <c r="B108" s="46"/>
      <c r="C108" s="46"/>
      <c r="D108" s="53"/>
      <c r="E108" s="53"/>
      <c r="F108" s="38" t="s">
        <v>22</v>
      </c>
      <c r="G108" s="49"/>
      <c r="H108" s="54">
        <f>VLOOKUP(F108,$A$7:$B$7,2,TRUE)</f>
        <v>2000</v>
      </c>
      <c r="I108" s="51">
        <f t="shared" si="1"/>
        <v>0</v>
      </c>
      <c r="J108" s="53"/>
      <c r="K108" s="27"/>
      <c r="L108" s="27"/>
      <c r="M108" s="27"/>
      <c r="N108" s="27"/>
    </row>
    <row r="109" ht="15.75" customHeight="1">
      <c r="A109" s="46"/>
      <c r="B109" s="46"/>
      <c r="C109" s="46"/>
      <c r="D109" s="53"/>
      <c r="E109" s="53"/>
      <c r="F109" s="38" t="s">
        <v>23</v>
      </c>
      <c r="G109" s="49"/>
      <c r="H109" s="54">
        <f>VLOOKUP(F109, $A$8:$B$8, 2, FALSE)</f>
        <v>2800</v>
      </c>
      <c r="I109" s="51">
        <f t="shared" si="1"/>
        <v>0</v>
      </c>
      <c r="J109" s="53"/>
      <c r="K109" s="27"/>
      <c r="L109" s="27"/>
      <c r="M109" s="27"/>
      <c r="N109" s="27"/>
    </row>
    <row r="110" ht="15.75" customHeight="1">
      <c r="A110" s="46"/>
      <c r="B110" s="46"/>
      <c r="C110" s="46"/>
      <c r="D110" s="53"/>
      <c r="E110" s="53"/>
      <c r="F110" s="38" t="s">
        <v>54</v>
      </c>
      <c r="G110" s="49">
        <v>5.0</v>
      </c>
      <c r="H110" s="54">
        <f>VLOOKUP(F110, $A$9:$B$9, 2, FALSE)</f>
        <v>800</v>
      </c>
      <c r="I110" s="51">
        <f t="shared" si="1"/>
        <v>4000</v>
      </c>
      <c r="J110" s="53"/>
      <c r="K110" s="27"/>
      <c r="L110" s="27"/>
      <c r="M110" s="27"/>
      <c r="N110" s="27"/>
    </row>
    <row r="111" ht="15.75" customHeight="1">
      <c r="A111" s="46"/>
      <c r="B111" s="46"/>
      <c r="C111" s="46"/>
      <c r="D111" s="53"/>
      <c r="E111" s="53"/>
      <c r="F111" s="38" t="s">
        <v>25</v>
      </c>
      <c r="G111" s="49">
        <v>2.5</v>
      </c>
      <c r="H111" s="54">
        <f>VLOOKUP(F111,$A$10:$B$10,2,TRUE)</f>
        <v>1500</v>
      </c>
      <c r="I111" s="51">
        <f t="shared" si="1"/>
        <v>3750</v>
      </c>
      <c r="J111" s="53"/>
      <c r="K111" s="27"/>
      <c r="L111" s="27"/>
      <c r="M111" s="27"/>
      <c r="N111" s="27"/>
    </row>
    <row r="112" ht="15.75" customHeight="1">
      <c r="A112" s="46"/>
      <c r="B112" s="46"/>
      <c r="C112" s="46"/>
      <c r="D112" s="53"/>
      <c r="E112" s="53"/>
      <c r="F112" s="38" t="s">
        <v>26</v>
      </c>
      <c r="G112" s="49"/>
      <c r="H112" s="54">
        <f>VLOOKUP(F112,$A$11:$B$11,2,TRUE)</f>
        <v>1200</v>
      </c>
      <c r="I112" s="51">
        <f t="shared" si="1"/>
        <v>0</v>
      </c>
      <c r="J112" s="53"/>
      <c r="K112" s="27"/>
      <c r="L112" s="27"/>
      <c r="M112" s="27"/>
      <c r="N112" s="27"/>
    </row>
    <row r="113" ht="15.75" customHeight="1">
      <c r="A113" s="46"/>
      <c r="B113" s="46"/>
      <c r="C113" s="46"/>
      <c r="D113" s="53"/>
      <c r="E113" s="53"/>
      <c r="F113" s="38" t="s">
        <v>28</v>
      </c>
      <c r="G113" s="49"/>
      <c r="H113" s="54">
        <f>VLOOKUP(F113,$A$12:$B$12,2,TRUE)</f>
        <v>500</v>
      </c>
      <c r="I113" s="51">
        <f t="shared" si="1"/>
        <v>0</v>
      </c>
      <c r="J113" s="53"/>
      <c r="K113" s="27"/>
      <c r="L113" s="27"/>
      <c r="M113" s="27"/>
      <c r="N113" s="27"/>
    </row>
    <row r="114" ht="15.75" customHeight="1">
      <c r="A114" s="46"/>
      <c r="B114" s="46"/>
      <c r="C114" s="46"/>
      <c r="D114" s="53"/>
      <c r="E114" s="53"/>
      <c r="F114" s="38" t="s">
        <v>29</v>
      </c>
      <c r="G114" s="49"/>
      <c r="H114" s="54">
        <f>VLOOKUP(F114,$A$13:$B$13,2,TRUE)</f>
        <v>6500</v>
      </c>
      <c r="I114" s="51">
        <f t="shared" si="1"/>
        <v>0</v>
      </c>
      <c r="J114" s="53"/>
      <c r="K114" s="27"/>
      <c r="L114" s="27"/>
      <c r="M114" s="27"/>
      <c r="N114" s="27"/>
    </row>
    <row r="115" ht="15.75" customHeight="1">
      <c r="A115" s="46"/>
      <c r="B115" s="46"/>
      <c r="C115" s="46"/>
      <c r="D115" s="53"/>
      <c r="E115" s="53"/>
      <c r="F115" s="38" t="s">
        <v>30</v>
      </c>
      <c r="G115" s="49"/>
      <c r="H115" s="54">
        <f>VLOOKUP(F115,$A$14:$B$14,2,TRUE)</f>
        <v>2200</v>
      </c>
      <c r="I115" s="51">
        <f t="shared" si="1"/>
        <v>0</v>
      </c>
      <c r="J115" s="53"/>
      <c r="K115" s="27"/>
      <c r="L115" s="27"/>
      <c r="M115" s="27"/>
      <c r="N115" s="27"/>
    </row>
    <row r="116" ht="15.75" customHeight="1">
      <c r="A116" s="46"/>
      <c r="B116" s="46"/>
      <c r="C116" s="46"/>
      <c r="D116" s="53"/>
      <c r="E116" s="53"/>
      <c r="F116" s="38" t="s">
        <v>31</v>
      </c>
      <c r="G116" s="49"/>
      <c r="H116" s="54">
        <f>VLOOKUP(F116,$A$15:$B$15,2,TRUE)</f>
        <v>1300</v>
      </c>
      <c r="I116" s="51">
        <f t="shared" si="1"/>
        <v>0</v>
      </c>
      <c r="J116" s="53"/>
      <c r="K116" s="27"/>
      <c r="L116" s="27"/>
      <c r="M116" s="27"/>
      <c r="N116" s="27"/>
    </row>
    <row r="117" ht="15.75" customHeight="1">
      <c r="A117" s="46"/>
      <c r="B117" s="46"/>
      <c r="C117" s="46"/>
      <c r="D117" s="53"/>
      <c r="E117" s="53"/>
      <c r="F117" s="38" t="s">
        <v>32</v>
      </c>
      <c r="G117" s="49"/>
      <c r="H117" s="54">
        <f>VLOOKUP(F117,$A$16:$B$16,2,TRUE)</f>
        <v>5000</v>
      </c>
      <c r="I117" s="51">
        <f t="shared" si="1"/>
        <v>0</v>
      </c>
      <c r="J117" s="53"/>
      <c r="K117" s="27"/>
      <c r="L117" s="27"/>
      <c r="M117" s="27"/>
      <c r="N117" s="27"/>
    </row>
    <row r="118" ht="15.75" customHeight="1">
      <c r="A118" s="46"/>
      <c r="B118" s="46"/>
      <c r="C118" s="46"/>
      <c r="D118" s="53"/>
      <c r="E118" s="53"/>
      <c r="F118" s="38" t="s">
        <v>33</v>
      </c>
      <c r="G118" s="49"/>
      <c r="H118" s="54">
        <f>VLOOKUP(F118,$A$17:$B$17,2,TRUE)</f>
        <v>2500</v>
      </c>
      <c r="I118" s="51">
        <f t="shared" si="1"/>
        <v>0</v>
      </c>
      <c r="J118" s="53"/>
      <c r="K118" s="27"/>
      <c r="L118" s="27"/>
      <c r="M118" s="27"/>
      <c r="N118" s="27"/>
    </row>
    <row r="119" ht="15.75" customHeight="1">
      <c r="A119" s="46"/>
      <c r="B119" s="46"/>
      <c r="C119" s="46"/>
      <c r="D119" s="53"/>
      <c r="E119" s="53"/>
      <c r="F119" s="38" t="s">
        <v>35</v>
      </c>
      <c r="G119" s="49"/>
      <c r="H119" s="54">
        <f>VLOOKUP(F119,$A$18:$B$18,2,TRUE)</f>
        <v>10000</v>
      </c>
      <c r="I119" s="51">
        <f t="shared" si="1"/>
        <v>0</v>
      </c>
      <c r="J119" s="53"/>
      <c r="K119" s="27"/>
      <c r="L119" s="27"/>
      <c r="M119" s="27"/>
      <c r="N119" s="27"/>
    </row>
    <row r="120" ht="15.75" customHeight="1">
      <c r="A120" s="46"/>
      <c r="B120" s="46"/>
      <c r="C120" s="46"/>
      <c r="D120" s="53"/>
      <c r="E120" s="53"/>
      <c r="F120" s="38" t="s">
        <v>55</v>
      </c>
      <c r="G120" s="49"/>
      <c r="H120" s="54">
        <f>VLOOKUP(F120,$A$19:$B$19,2,TRUE)</f>
        <v>300</v>
      </c>
      <c r="I120" s="51">
        <f t="shared" si="1"/>
        <v>0</v>
      </c>
      <c r="J120" s="53"/>
      <c r="K120" s="27"/>
      <c r="L120" s="27"/>
      <c r="M120" s="27"/>
      <c r="N120" s="27"/>
    </row>
    <row r="121" ht="15.75" customHeight="1">
      <c r="A121" s="46"/>
      <c r="B121" s="46"/>
      <c r="C121" s="46"/>
      <c r="D121" s="53"/>
      <c r="E121" s="53"/>
      <c r="F121" s="38" t="s">
        <v>15</v>
      </c>
      <c r="G121" s="49"/>
      <c r="H121" s="54">
        <f>VLOOKUP(F121,$A$20:$B$20,2,TRUE)</f>
        <v>300</v>
      </c>
      <c r="I121" s="51">
        <f t="shared" si="1"/>
        <v>0</v>
      </c>
      <c r="J121" s="53"/>
      <c r="K121" s="27"/>
      <c r="L121" s="27"/>
      <c r="M121" s="27"/>
      <c r="N121" s="27"/>
    </row>
    <row r="122" ht="15.75" customHeight="1">
      <c r="A122" s="46"/>
      <c r="B122" s="46"/>
      <c r="C122" s="46"/>
      <c r="D122" s="53"/>
      <c r="E122" s="53"/>
      <c r="F122" s="38" t="s">
        <v>11</v>
      </c>
      <c r="G122" s="49"/>
      <c r="H122" s="54">
        <f>VLOOKUP(F122,$A$21:$B$21,2,TRUE)</f>
        <v>1700</v>
      </c>
      <c r="I122" s="51">
        <f t="shared" si="1"/>
        <v>0</v>
      </c>
      <c r="J122" s="53"/>
      <c r="K122" s="27"/>
      <c r="L122" s="27"/>
      <c r="M122" s="27"/>
      <c r="N122" s="27"/>
    </row>
    <row r="123" ht="15.75" customHeight="1">
      <c r="A123" s="46"/>
      <c r="B123" s="46"/>
      <c r="C123" s="46"/>
      <c r="D123" s="53"/>
      <c r="E123" s="53"/>
      <c r="F123" s="38" t="s">
        <v>17</v>
      </c>
      <c r="G123" s="49"/>
      <c r="H123" s="54">
        <f>VLOOKUP(F122,$A$22:$B$22,2,TRUE)</f>
        <v>4500</v>
      </c>
      <c r="I123" s="51">
        <f t="shared" si="1"/>
        <v>0</v>
      </c>
      <c r="J123" s="53"/>
      <c r="K123" s="27"/>
      <c r="L123" s="27"/>
      <c r="M123" s="27"/>
      <c r="N123" s="27"/>
    </row>
    <row r="124" ht="15.75" customHeight="1">
      <c r="A124" s="46"/>
      <c r="B124" s="46"/>
      <c r="C124" s="46"/>
      <c r="D124" s="14"/>
      <c r="E124" s="14"/>
      <c r="F124" s="38" t="s">
        <v>56</v>
      </c>
      <c r="G124" s="49"/>
      <c r="H124" s="54">
        <f>VLOOKUP(F123,$A$23:$B$23,2,TRUE)</f>
        <v>500</v>
      </c>
      <c r="I124" s="51">
        <f t="shared" si="1"/>
        <v>0</v>
      </c>
      <c r="J124" s="14"/>
      <c r="K124" s="27"/>
      <c r="L124" s="27"/>
      <c r="M124" s="27"/>
      <c r="N124" s="27"/>
    </row>
    <row r="125" ht="15.75" customHeight="1">
      <c r="A125" s="46"/>
      <c r="B125" s="46"/>
      <c r="C125" s="46"/>
      <c r="D125" s="47">
        <v>7.0</v>
      </c>
      <c r="E125" s="48" t="s">
        <v>79</v>
      </c>
      <c r="F125" s="38" t="s">
        <v>19</v>
      </c>
      <c r="G125" s="49"/>
      <c r="H125" s="50">
        <f>VLOOKUP(F125,$A$4:$B$4,2,TRUE)</f>
        <v>3100</v>
      </c>
      <c r="I125" s="51">
        <f t="shared" si="1"/>
        <v>0</v>
      </c>
      <c r="J125" s="52">
        <f>SUM(I125:I144)</f>
        <v>600</v>
      </c>
      <c r="K125" s="27"/>
      <c r="L125" s="27"/>
      <c r="M125" s="27"/>
      <c r="N125" s="27"/>
    </row>
    <row r="126" ht="15.75" customHeight="1">
      <c r="A126" s="46"/>
      <c r="B126" s="46"/>
      <c r="C126" s="46"/>
      <c r="D126" s="53"/>
      <c r="E126" s="53"/>
      <c r="F126" s="38" t="s">
        <v>51</v>
      </c>
      <c r="G126" s="49"/>
      <c r="H126" s="54">
        <f>VLOOKUP(F126,$A$5:$B$5,2,TRUE)</f>
        <v>3000</v>
      </c>
      <c r="I126" s="51">
        <f t="shared" si="1"/>
        <v>0</v>
      </c>
      <c r="J126" s="53"/>
      <c r="K126" s="27"/>
      <c r="L126" s="27"/>
      <c r="M126" s="27"/>
      <c r="N126" s="27"/>
    </row>
    <row r="127" ht="15.75" customHeight="1">
      <c r="A127" s="46"/>
      <c r="B127" s="46"/>
      <c r="C127" s="46"/>
      <c r="D127" s="53"/>
      <c r="E127" s="53"/>
      <c r="F127" s="38" t="s">
        <v>53</v>
      </c>
      <c r="G127" s="49"/>
      <c r="H127" s="54">
        <f>VLOOKUP(F127,$A$6:$B$6,2,TRUE)</f>
        <v>800</v>
      </c>
      <c r="I127" s="51">
        <f t="shared" si="1"/>
        <v>0</v>
      </c>
      <c r="J127" s="53"/>
      <c r="K127" s="27"/>
      <c r="L127" s="27"/>
      <c r="M127" s="27"/>
      <c r="N127" s="27"/>
    </row>
    <row r="128" ht="15.75" customHeight="1">
      <c r="A128" s="46"/>
      <c r="B128" s="46"/>
      <c r="C128" s="46"/>
      <c r="D128" s="53"/>
      <c r="E128" s="53"/>
      <c r="F128" s="38" t="s">
        <v>22</v>
      </c>
      <c r="G128" s="49"/>
      <c r="H128" s="54">
        <f>VLOOKUP(F128,$A$7:$B$7,2,TRUE)</f>
        <v>2000</v>
      </c>
      <c r="I128" s="51">
        <f t="shared" si="1"/>
        <v>0</v>
      </c>
      <c r="J128" s="53"/>
      <c r="K128" s="27"/>
      <c r="L128" s="27"/>
      <c r="M128" s="27"/>
      <c r="N128" s="27"/>
    </row>
    <row r="129" ht="15.75" customHeight="1">
      <c r="A129" s="46"/>
      <c r="B129" s="46"/>
      <c r="C129" s="46"/>
      <c r="D129" s="53"/>
      <c r="E129" s="53"/>
      <c r="F129" s="38" t="s">
        <v>23</v>
      </c>
      <c r="G129" s="49"/>
      <c r="H129" s="54">
        <f>VLOOKUP(F129, $A$8:$B$8, 2, FALSE)</f>
        <v>2800</v>
      </c>
      <c r="I129" s="51">
        <f t="shared" si="1"/>
        <v>0</v>
      </c>
      <c r="J129" s="53"/>
      <c r="K129" s="27"/>
      <c r="L129" s="27"/>
      <c r="M129" s="27"/>
      <c r="N129" s="27"/>
    </row>
    <row r="130" ht="15.75" customHeight="1">
      <c r="A130" s="46"/>
      <c r="B130" s="46"/>
      <c r="C130" s="46"/>
      <c r="D130" s="53"/>
      <c r="E130" s="53"/>
      <c r="F130" s="38" t="s">
        <v>54</v>
      </c>
      <c r="G130" s="49"/>
      <c r="H130" s="54">
        <f>VLOOKUP(F130, $A$9:$B$9, 2, FALSE)</f>
        <v>800</v>
      </c>
      <c r="I130" s="51">
        <f t="shared" si="1"/>
        <v>0</v>
      </c>
      <c r="J130" s="53"/>
      <c r="K130" s="27"/>
      <c r="L130" s="27"/>
      <c r="M130" s="27"/>
      <c r="N130" s="27"/>
    </row>
    <row r="131" ht="15.75" customHeight="1">
      <c r="A131" s="46"/>
      <c r="B131" s="46"/>
      <c r="C131" s="46"/>
      <c r="D131" s="53"/>
      <c r="E131" s="53"/>
      <c r="F131" s="38" t="s">
        <v>25</v>
      </c>
      <c r="G131" s="49"/>
      <c r="H131" s="54">
        <f>VLOOKUP(F131,$A$10:$B$10,2,TRUE)</f>
        <v>1500</v>
      </c>
      <c r="I131" s="51">
        <f t="shared" si="1"/>
        <v>0</v>
      </c>
      <c r="J131" s="53"/>
      <c r="K131" s="27"/>
      <c r="L131" s="27"/>
      <c r="M131" s="27"/>
      <c r="N131" s="27"/>
    </row>
    <row r="132" ht="15.75" customHeight="1">
      <c r="A132" s="46"/>
      <c r="B132" s="46"/>
      <c r="C132" s="46"/>
      <c r="D132" s="53"/>
      <c r="E132" s="53"/>
      <c r="F132" s="38" t="s">
        <v>26</v>
      </c>
      <c r="G132" s="49"/>
      <c r="H132" s="54">
        <f>VLOOKUP(F132,$A$11:$B$11,2,TRUE)</f>
        <v>1200</v>
      </c>
      <c r="I132" s="51">
        <f t="shared" si="1"/>
        <v>0</v>
      </c>
      <c r="J132" s="53"/>
      <c r="K132" s="27"/>
      <c r="L132" s="27"/>
      <c r="M132" s="27"/>
      <c r="N132" s="27"/>
    </row>
    <row r="133" ht="15.75" customHeight="1">
      <c r="A133" s="46"/>
      <c r="B133" s="46"/>
      <c r="C133" s="46"/>
      <c r="D133" s="53"/>
      <c r="E133" s="53"/>
      <c r="F133" s="38" t="s">
        <v>28</v>
      </c>
      <c r="G133" s="49"/>
      <c r="H133" s="54">
        <f>VLOOKUP(F133,$A$12:$B$12,2,TRUE)</f>
        <v>500</v>
      </c>
      <c r="I133" s="51">
        <f t="shared" si="1"/>
        <v>0</v>
      </c>
      <c r="J133" s="53"/>
      <c r="K133" s="27"/>
      <c r="L133" s="27"/>
      <c r="M133" s="27"/>
      <c r="N133" s="27"/>
    </row>
    <row r="134" ht="15.75" customHeight="1">
      <c r="A134" s="46"/>
      <c r="B134" s="46"/>
      <c r="C134" s="46"/>
      <c r="D134" s="53"/>
      <c r="E134" s="53"/>
      <c r="F134" s="38" t="s">
        <v>29</v>
      </c>
      <c r="G134" s="49"/>
      <c r="H134" s="54">
        <f>VLOOKUP(F134,$A$13:$B$13,2,TRUE)</f>
        <v>6500</v>
      </c>
      <c r="I134" s="51">
        <f t="shared" si="1"/>
        <v>0</v>
      </c>
      <c r="J134" s="53"/>
      <c r="K134" s="27"/>
      <c r="L134" s="27"/>
      <c r="M134" s="27"/>
      <c r="N134" s="27"/>
    </row>
    <row r="135" ht="15.75" customHeight="1">
      <c r="A135" s="46"/>
      <c r="B135" s="46"/>
      <c r="C135" s="46"/>
      <c r="D135" s="53"/>
      <c r="E135" s="53"/>
      <c r="F135" s="38" t="s">
        <v>30</v>
      </c>
      <c r="G135" s="49"/>
      <c r="H135" s="54">
        <f>VLOOKUP(F135,$A$14:$B$14,2,TRUE)</f>
        <v>2200</v>
      </c>
      <c r="I135" s="51">
        <f t="shared" si="1"/>
        <v>0</v>
      </c>
      <c r="J135" s="53"/>
      <c r="K135" s="27"/>
      <c r="L135" s="27"/>
      <c r="M135" s="27"/>
      <c r="N135" s="27"/>
    </row>
    <row r="136" ht="15.75" customHeight="1">
      <c r="A136" s="46"/>
      <c r="B136" s="46"/>
      <c r="C136" s="46"/>
      <c r="D136" s="53"/>
      <c r="E136" s="53"/>
      <c r="F136" s="38" t="s">
        <v>31</v>
      </c>
      <c r="G136" s="49"/>
      <c r="H136" s="54">
        <f>VLOOKUP(F136,$A$15:$B$15,2,TRUE)</f>
        <v>1300</v>
      </c>
      <c r="I136" s="51">
        <f t="shared" si="1"/>
        <v>0</v>
      </c>
      <c r="J136" s="53"/>
      <c r="K136" s="27"/>
      <c r="L136" s="27"/>
      <c r="M136" s="27"/>
      <c r="N136" s="27"/>
    </row>
    <row r="137" ht="15.75" customHeight="1">
      <c r="A137" s="46"/>
      <c r="B137" s="46"/>
      <c r="C137" s="46"/>
      <c r="D137" s="53"/>
      <c r="E137" s="53"/>
      <c r="F137" s="38" t="s">
        <v>32</v>
      </c>
      <c r="G137" s="49"/>
      <c r="H137" s="54">
        <f>VLOOKUP(F137,$A$16:$B$16,2,TRUE)</f>
        <v>5000</v>
      </c>
      <c r="I137" s="51">
        <f t="shared" si="1"/>
        <v>0</v>
      </c>
      <c r="J137" s="53"/>
      <c r="K137" s="27"/>
      <c r="L137" s="27"/>
      <c r="M137" s="27"/>
      <c r="N137" s="27"/>
    </row>
    <row r="138" ht="15.75" customHeight="1">
      <c r="A138" s="46"/>
      <c r="B138" s="46"/>
      <c r="C138" s="46"/>
      <c r="D138" s="53"/>
      <c r="E138" s="53"/>
      <c r="F138" s="38" t="s">
        <v>33</v>
      </c>
      <c r="G138" s="49"/>
      <c r="H138" s="54">
        <f>VLOOKUP(F138,$A$17:$B$17,2,TRUE)</f>
        <v>2500</v>
      </c>
      <c r="I138" s="51">
        <f t="shared" si="1"/>
        <v>0</v>
      </c>
      <c r="J138" s="53"/>
      <c r="K138" s="27"/>
      <c r="L138" s="27"/>
      <c r="M138" s="27"/>
      <c r="N138" s="27"/>
    </row>
    <row r="139" ht="15.75" customHeight="1">
      <c r="A139" s="46"/>
      <c r="B139" s="46"/>
      <c r="C139" s="46"/>
      <c r="D139" s="53"/>
      <c r="E139" s="53"/>
      <c r="F139" s="38" t="s">
        <v>35</v>
      </c>
      <c r="G139" s="49"/>
      <c r="H139" s="54">
        <f>VLOOKUP(F139,$A$18:$B$18,2,TRUE)</f>
        <v>10000</v>
      </c>
      <c r="I139" s="51">
        <f t="shared" si="1"/>
        <v>0</v>
      </c>
      <c r="J139" s="53"/>
      <c r="K139" s="27"/>
      <c r="L139" s="27"/>
      <c r="M139" s="27"/>
      <c r="N139" s="27"/>
    </row>
    <row r="140" ht="15.75" customHeight="1">
      <c r="A140" s="46"/>
      <c r="B140" s="46"/>
      <c r="C140" s="46"/>
      <c r="D140" s="53"/>
      <c r="E140" s="53"/>
      <c r="F140" s="38" t="s">
        <v>55</v>
      </c>
      <c r="G140" s="49">
        <v>2.0</v>
      </c>
      <c r="H140" s="54">
        <f>VLOOKUP(F140,$A$19:$B$19,2,TRUE)</f>
        <v>300</v>
      </c>
      <c r="I140" s="51">
        <f t="shared" si="1"/>
        <v>600</v>
      </c>
      <c r="J140" s="53"/>
      <c r="K140" s="27"/>
      <c r="L140" s="27"/>
      <c r="M140" s="27"/>
      <c r="N140" s="27"/>
    </row>
    <row r="141" ht="15.75" customHeight="1">
      <c r="A141" s="46"/>
      <c r="B141" s="46"/>
      <c r="C141" s="46"/>
      <c r="D141" s="53"/>
      <c r="E141" s="53"/>
      <c r="F141" s="38" t="s">
        <v>15</v>
      </c>
      <c r="G141" s="49"/>
      <c r="H141" s="54">
        <f>VLOOKUP(F141,$A$20:$B$20,2,TRUE)</f>
        <v>300</v>
      </c>
      <c r="I141" s="51">
        <f t="shared" si="1"/>
        <v>0</v>
      </c>
      <c r="J141" s="53"/>
      <c r="K141" s="27"/>
      <c r="L141" s="27"/>
      <c r="M141" s="27"/>
      <c r="N141" s="27"/>
    </row>
    <row r="142" ht="15.75" customHeight="1">
      <c r="A142" s="46"/>
      <c r="B142" s="46"/>
      <c r="C142" s="46"/>
      <c r="D142" s="53"/>
      <c r="E142" s="53"/>
      <c r="F142" s="38" t="s">
        <v>11</v>
      </c>
      <c r="G142" s="49"/>
      <c r="H142" s="54">
        <f>VLOOKUP(F142,$A$21:$B$21,2,TRUE)</f>
        <v>1700</v>
      </c>
      <c r="I142" s="51">
        <f t="shared" si="1"/>
        <v>0</v>
      </c>
      <c r="J142" s="53"/>
      <c r="K142" s="27"/>
      <c r="L142" s="27"/>
      <c r="M142" s="27"/>
      <c r="N142" s="27"/>
    </row>
    <row r="143" ht="15.75" customHeight="1">
      <c r="A143" s="46"/>
      <c r="B143" s="46"/>
      <c r="C143" s="46"/>
      <c r="D143" s="53"/>
      <c r="E143" s="53"/>
      <c r="F143" s="38" t="s">
        <v>17</v>
      </c>
      <c r="G143" s="49"/>
      <c r="H143" s="54">
        <f>VLOOKUP(F142,$A$22:$B$22,2,TRUE)</f>
        <v>4500</v>
      </c>
      <c r="I143" s="51">
        <f t="shared" si="1"/>
        <v>0</v>
      </c>
      <c r="J143" s="53"/>
      <c r="K143" s="27"/>
      <c r="L143" s="27"/>
      <c r="M143" s="27"/>
      <c r="N143" s="27"/>
    </row>
    <row r="144" ht="15.75" customHeight="1">
      <c r="A144" s="46"/>
      <c r="B144" s="46"/>
      <c r="C144" s="46"/>
      <c r="D144" s="14"/>
      <c r="E144" s="14"/>
      <c r="F144" s="38" t="s">
        <v>56</v>
      </c>
      <c r="G144" s="49">
        <f>2.5+2+10.5</f>
        <v>15</v>
      </c>
      <c r="H144" s="54"/>
      <c r="I144" s="51">
        <f t="shared" si="1"/>
        <v>0</v>
      </c>
      <c r="J144" s="14"/>
      <c r="K144" s="27"/>
      <c r="L144" s="27"/>
      <c r="M144" s="27"/>
      <c r="N144" s="27"/>
    </row>
    <row r="145" ht="15.75" customHeight="1">
      <c r="A145" s="46"/>
      <c r="B145" s="46"/>
      <c r="C145" s="46"/>
      <c r="D145" s="47">
        <v>8.0</v>
      </c>
      <c r="E145" s="48" t="s">
        <v>80</v>
      </c>
      <c r="F145" s="38" t="s">
        <v>19</v>
      </c>
      <c r="G145" s="49"/>
      <c r="H145" s="50">
        <f>VLOOKUP(F145,$A$4:$B$4,2,TRUE)</f>
        <v>3100</v>
      </c>
      <c r="I145" s="51">
        <f t="shared" si="1"/>
        <v>0</v>
      </c>
      <c r="J145" s="52">
        <f>SUM(I145:I164)</f>
        <v>0</v>
      </c>
      <c r="K145" s="27"/>
      <c r="L145" s="27"/>
      <c r="M145" s="27"/>
      <c r="N145" s="27"/>
    </row>
    <row r="146" ht="15.75" customHeight="1">
      <c r="A146" s="46"/>
      <c r="B146" s="46"/>
      <c r="C146" s="46"/>
      <c r="D146" s="53"/>
      <c r="E146" s="53"/>
      <c r="F146" s="38" t="s">
        <v>51</v>
      </c>
      <c r="G146" s="49"/>
      <c r="H146" s="54">
        <f>VLOOKUP(F146,$A$5:$B$5,2,TRUE)</f>
        <v>3000</v>
      </c>
      <c r="I146" s="51">
        <f t="shared" si="1"/>
        <v>0</v>
      </c>
      <c r="J146" s="53"/>
      <c r="K146" s="27"/>
      <c r="L146" s="27"/>
      <c r="M146" s="27"/>
      <c r="N146" s="27"/>
    </row>
    <row r="147" ht="15.75" customHeight="1">
      <c r="A147" s="46"/>
      <c r="B147" s="46"/>
      <c r="C147" s="46"/>
      <c r="D147" s="53"/>
      <c r="E147" s="53"/>
      <c r="F147" s="38" t="s">
        <v>53</v>
      </c>
      <c r="G147" s="49"/>
      <c r="H147" s="54">
        <f>VLOOKUP(F147,$A$6:$B$6,2,TRUE)</f>
        <v>800</v>
      </c>
      <c r="I147" s="51">
        <f t="shared" si="1"/>
        <v>0</v>
      </c>
      <c r="J147" s="53"/>
      <c r="K147" s="27"/>
      <c r="L147" s="27"/>
      <c r="M147" s="27"/>
      <c r="N147" s="27"/>
    </row>
    <row r="148" ht="15.75" customHeight="1">
      <c r="A148" s="46"/>
      <c r="B148" s="46"/>
      <c r="C148" s="46"/>
      <c r="D148" s="53"/>
      <c r="E148" s="53"/>
      <c r="F148" s="38" t="s">
        <v>22</v>
      </c>
      <c r="G148" s="49"/>
      <c r="H148" s="54">
        <f>VLOOKUP(F148,$A$7:$B$7,2,TRUE)</f>
        <v>2000</v>
      </c>
      <c r="I148" s="51">
        <f t="shared" si="1"/>
        <v>0</v>
      </c>
      <c r="J148" s="53"/>
      <c r="K148" s="27"/>
      <c r="L148" s="27"/>
      <c r="M148" s="27"/>
      <c r="N148" s="27"/>
    </row>
    <row r="149" ht="15.75" customHeight="1">
      <c r="A149" s="46"/>
      <c r="B149" s="46"/>
      <c r="C149" s="46"/>
      <c r="D149" s="53"/>
      <c r="E149" s="53"/>
      <c r="F149" s="38" t="s">
        <v>23</v>
      </c>
      <c r="G149" s="49"/>
      <c r="H149" s="54">
        <f>VLOOKUP(F149, $A$8:$B$8, 2, FALSE)</f>
        <v>2800</v>
      </c>
      <c r="I149" s="51">
        <f t="shared" si="1"/>
        <v>0</v>
      </c>
      <c r="J149" s="53"/>
      <c r="K149" s="27"/>
      <c r="L149" s="27"/>
      <c r="M149" s="27"/>
      <c r="N149" s="27"/>
    </row>
    <row r="150" ht="15.75" customHeight="1">
      <c r="A150" s="46"/>
      <c r="B150" s="46"/>
      <c r="C150" s="46"/>
      <c r="D150" s="53"/>
      <c r="E150" s="53"/>
      <c r="F150" s="38" t="s">
        <v>54</v>
      </c>
      <c r="G150" s="49"/>
      <c r="H150" s="54">
        <f>VLOOKUP(F150, $A$9:$B$9, 2, FALSE)</f>
        <v>800</v>
      </c>
      <c r="I150" s="51">
        <f t="shared" si="1"/>
        <v>0</v>
      </c>
      <c r="J150" s="53"/>
      <c r="K150" s="27"/>
      <c r="L150" s="27"/>
      <c r="M150" s="27"/>
      <c r="N150" s="27"/>
    </row>
    <row r="151" ht="15.75" customHeight="1">
      <c r="A151" s="46"/>
      <c r="B151" s="46"/>
      <c r="C151" s="46"/>
      <c r="D151" s="53"/>
      <c r="E151" s="53"/>
      <c r="F151" s="38" t="s">
        <v>25</v>
      </c>
      <c r="G151" s="49"/>
      <c r="H151" s="54">
        <f>VLOOKUP(F151,$A$10:$B$10,2,TRUE)</f>
        <v>1500</v>
      </c>
      <c r="I151" s="51">
        <f t="shared" si="1"/>
        <v>0</v>
      </c>
      <c r="J151" s="53"/>
      <c r="K151" s="27"/>
      <c r="L151" s="27"/>
      <c r="M151" s="27"/>
      <c r="N151" s="27"/>
    </row>
    <row r="152" ht="15.75" customHeight="1">
      <c r="A152" s="46"/>
      <c r="B152" s="46"/>
      <c r="C152" s="46"/>
      <c r="D152" s="53"/>
      <c r="E152" s="53"/>
      <c r="F152" s="38" t="s">
        <v>26</v>
      </c>
      <c r="G152" s="49"/>
      <c r="H152" s="54">
        <f>VLOOKUP(F152,$A$11:$B$11,2,TRUE)</f>
        <v>1200</v>
      </c>
      <c r="I152" s="51">
        <f t="shared" si="1"/>
        <v>0</v>
      </c>
      <c r="J152" s="53"/>
      <c r="K152" s="27"/>
      <c r="L152" s="27"/>
      <c r="M152" s="27"/>
      <c r="N152" s="27"/>
    </row>
    <row r="153" ht="15.75" customHeight="1">
      <c r="A153" s="46"/>
      <c r="B153" s="46"/>
      <c r="C153" s="46"/>
      <c r="D153" s="53"/>
      <c r="E153" s="53"/>
      <c r="F153" s="38" t="s">
        <v>28</v>
      </c>
      <c r="G153" s="49"/>
      <c r="H153" s="54">
        <f>VLOOKUP(F153,$A$12:$B$12,2,TRUE)</f>
        <v>500</v>
      </c>
      <c r="I153" s="51">
        <f t="shared" si="1"/>
        <v>0</v>
      </c>
      <c r="J153" s="53"/>
      <c r="K153" s="27"/>
      <c r="L153" s="27"/>
      <c r="M153" s="27"/>
      <c r="N153" s="27"/>
    </row>
    <row r="154" ht="15.75" customHeight="1">
      <c r="A154" s="46"/>
      <c r="B154" s="46"/>
      <c r="C154" s="46"/>
      <c r="D154" s="53"/>
      <c r="E154" s="53"/>
      <c r="F154" s="38" t="s">
        <v>29</v>
      </c>
      <c r="G154" s="49"/>
      <c r="H154" s="54">
        <f>VLOOKUP(F154,$A$13:$B$13,2,TRUE)</f>
        <v>6500</v>
      </c>
      <c r="I154" s="51">
        <f t="shared" si="1"/>
        <v>0</v>
      </c>
      <c r="J154" s="53"/>
      <c r="K154" s="27"/>
      <c r="L154" s="27"/>
      <c r="M154" s="27"/>
      <c r="N154" s="27"/>
    </row>
    <row r="155" ht="15.75" customHeight="1">
      <c r="A155" s="46"/>
      <c r="B155" s="46"/>
      <c r="C155" s="46"/>
      <c r="D155" s="53"/>
      <c r="E155" s="53"/>
      <c r="F155" s="38" t="s">
        <v>30</v>
      </c>
      <c r="G155" s="49"/>
      <c r="H155" s="54">
        <f>VLOOKUP(F155,$A$14:$B$14,2,TRUE)</f>
        <v>2200</v>
      </c>
      <c r="I155" s="51">
        <f t="shared" si="1"/>
        <v>0</v>
      </c>
      <c r="J155" s="53"/>
      <c r="K155" s="27"/>
      <c r="L155" s="27"/>
      <c r="M155" s="27"/>
      <c r="N155" s="27"/>
    </row>
    <row r="156" ht="15.75" customHeight="1">
      <c r="A156" s="46"/>
      <c r="B156" s="46"/>
      <c r="C156" s="46"/>
      <c r="D156" s="53"/>
      <c r="E156" s="53"/>
      <c r="F156" s="38" t="s">
        <v>31</v>
      </c>
      <c r="G156" s="49"/>
      <c r="H156" s="54">
        <f>VLOOKUP(F156,$A$15:$B$15,2,TRUE)</f>
        <v>1300</v>
      </c>
      <c r="I156" s="51">
        <f t="shared" si="1"/>
        <v>0</v>
      </c>
      <c r="J156" s="53"/>
      <c r="K156" s="27"/>
      <c r="L156" s="27"/>
      <c r="M156" s="27"/>
      <c r="N156" s="27"/>
    </row>
    <row r="157" ht="15.75" customHeight="1">
      <c r="A157" s="46"/>
      <c r="B157" s="46"/>
      <c r="C157" s="46"/>
      <c r="D157" s="53"/>
      <c r="E157" s="53"/>
      <c r="F157" s="38" t="s">
        <v>32</v>
      </c>
      <c r="G157" s="49"/>
      <c r="H157" s="54">
        <f>VLOOKUP(F157,$A$16:$B$16,2,TRUE)</f>
        <v>5000</v>
      </c>
      <c r="I157" s="51">
        <f t="shared" si="1"/>
        <v>0</v>
      </c>
      <c r="J157" s="53"/>
      <c r="K157" s="27"/>
      <c r="L157" s="27"/>
      <c r="M157" s="27"/>
      <c r="N157" s="27"/>
    </row>
    <row r="158" ht="15.75" customHeight="1">
      <c r="A158" s="46"/>
      <c r="B158" s="46"/>
      <c r="C158" s="46"/>
      <c r="D158" s="53"/>
      <c r="E158" s="53"/>
      <c r="F158" s="38" t="s">
        <v>33</v>
      </c>
      <c r="G158" s="49"/>
      <c r="H158" s="54">
        <f>VLOOKUP(F158,$A$17:$B$17,2,TRUE)</f>
        <v>2500</v>
      </c>
      <c r="I158" s="51">
        <f t="shared" si="1"/>
        <v>0</v>
      </c>
      <c r="J158" s="53"/>
      <c r="K158" s="27"/>
      <c r="L158" s="27"/>
      <c r="M158" s="27"/>
      <c r="N158" s="27"/>
    </row>
    <row r="159" ht="15.75" customHeight="1">
      <c r="A159" s="46"/>
      <c r="B159" s="46"/>
      <c r="C159" s="46"/>
      <c r="D159" s="53"/>
      <c r="E159" s="53"/>
      <c r="F159" s="38" t="s">
        <v>35</v>
      </c>
      <c r="G159" s="49"/>
      <c r="H159" s="54">
        <f>VLOOKUP(F159,$A$18:$B$18,2,TRUE)</f>
        <v>10000</v>
      </c>
      <c r="I159" s="51">
        <f t="shared" si="1"/>
        <v>0</v>
      </c>
      <c r="J159" s="53"/>
      <c r="K159" s="27"/>
      <c r="L159" s="27"/>
      <c r="M159" s="27"/>
      <c r="N159" s="27"/>
    </row>
    <row r="160" ht="15.75" customHeight="1">
      <c r="A160" s="46"/>
      <c r="B160" s="46"/>
      <c r="C160" s="46"/>
      <c r="D160" s="53"/>
      <c r="E160" s="53"/>
      <c r="F160" s="38" t="s">
        <v>55</v>
      </c>
      <c r="G160" s="49"/>
      <c r="H160" s="54">
        <f>VLOOKUP(F160,$A$19:$B$19,2,TRUE)</f>
        <v>300</v>
      </c>
      <c r="I160" s="51">
        <f t="shared" si="1"/>
        <v>0</v>
      </c>
      <c r="J160" s="53"/>
      <c r="K160" s="27"/>
      <c r="L160" s="27"/>
      <c r="M160" s="27"/>
      <c r="N160" s="27"/>
    </row>
    <row r="161" ht="15.75" customHeight="1">
      <c r="A161" s="46"/>
      <c r="B161" s="46"/>
      <c r="C161" s="46"/>
      <c r="D161" s="53"/>
      <c r="E161" s="53"/>
      <c r="F161" s="38" t="s">
        <v>15</v>
      </c>
      <c r="G161" s="49"/>
      <c r="H161" s="54">
        <f>VLOOKUP(F161,$A$20:$B$20,2,TRUE)</f>
        <v>300</v>
      </c>
      <c r="I161" s="51">
        <f t="shared" si="1"/>
        <v>0</v>
      </c>
      <c r="J161" s="53"/>
      <c r="K161" s="27"/>
      <c r="L161" s="27"/>
      <c r="M161" s="27"/>
      <c r="N161" s="27"/>
    </row>
    <row r="162" ht="15.75" customHeight="1">
      <c r="A162" s="46"/>
      <c r="B162" s="46"/>
      <c r="C162" s="46"/>
      <c r="D162" s="53"/>
      <c r="E162" s="53"/>
      <c r="F162" s="38" t="s">
        <v>11</v>
      </c>
      <c r="G162" s="49"/>
      <c r="H162" s="54">
        <f>VLOOKUP(F162,$A$21:$B$21,2,TRUE)</f>
        <v>1700</v>
      </c>
      <c r="I162" s="51">
        <f t="shared" si="1"/>
        <v>0</v>
      </c>
      <c r="J162" s="53"/>
      <c r="K162" s="27"/>
      <c r="L162" s="27"/>
      <c r="M162" s="27"/>
      <c r="N162" s="27"/>
    </row>
    <row r="163" ht="15.75" customHeight="1">
      <c r="A163" s="46"/>
      <c r="B163" s="46"/>
      <c r="C163" s="46"/>
      <c r="D163" s="53"/>
      <c r="E163" s="53"/>
      <c r="F163" s="38" t="s">
        <v>17</v>
      </c>
      <c r="G163" s="49"/>
      <c r="H163" s="54">
        <f>VLOOKUP(F162,$A$22:$B$22,2,TRUE)</f>
        <v>4500</v>
      </c>
      <c r="I163" s="51">
        <f t="shared" si="1"/>
        <v>0</v>
      </c>
      <c r="J163" s="53"/>
      <c r="K163" s="27"/>
      <c r="L163" s="27"/>
      <c r="M163" s="27"/>
      <c r="N163" s="27"/>
    </row>
    <row r="164" ht="15.75" customHeight="1">
      <c r="A164" s="46"/>
      <c r="B164" s="46"/>
      <c r="C164" s="46"/>
      <c r="D164" s="14"/>
      <c r="E164" s="14"/>
      <c r="F164" s="38" t="s">
        <v>56</v>
      </c>
      <c r="G164" s="49">
        <v>38.0</v>
      </c>
      <c r="H164" s="54"/>
      <c r="I164" s="51">
        <f t="shared" si="1"/>
        <v>0</v>
      </c>
      <c r="J164" s="14"/>
      <c r="K164" s="27"/>
      <c r="L164" s="27"/>
      <c r="M164" s="27"/>
      <c r="N164" s="27"/>
    </row>
    <row r="165" ht="15.75" customHeight="1">
      <c r="A165" s="46"/>
      <c r="B165" s="46"/>
      <c r="C165" s="46"/>
      <c r="D165" s="58" t="s">
        <v>59</v>
      </c>
      <c r="E165" s="4"/>
      <c r="F165" s="4"/>
      <c r="G165" s="4"/>
      <c r="H165" s="4"/>
      <c r="I165" s="5"/>
      <c r="J165" s="59">
        <f>SUM(J5:J164)</f>
        <v>256000</v>
      </c>
      <c r="K165" s="27"/>
      <c r="L165" s="27"/>
      <c r="M165" s="27"/>
      <c r="N165" s="27"/>
    </row>
    <row r="166" ht="15.75" customHeight="1">
      <c r="A166" s="26"/>
      <c r="B166" s="26"/>
      <c r="C166" s="26"/>
      <c r="D166" s="26"/>
      <c r="E166" s="26"/>
      <c r="F166" s="27"/>
      <c r="G166" s="27"/>
      <c r="H166" s="27"/>
      <c r="I166" s="27"/>
      <c r="J166" s="28"/>
      <c r="K166" s="27"/>
      <c r="L166" s="27"/>
      <c r="M166" s="27"/>
      <c r="N166" s="27"/>
    </row>
    <row r="167" ht="15.75" customHeight="1">
      <c r="A167" s="26"/>
      <c r="B167" s="26"/>
      <c r="C167" s="26"/>
      <c r="D167" s="26"/>
      <c r="E167" s="26"/>
      <c r="F167" s="27"/>
      <c r="G167" s="27"/>
      <c r="H167" s="27"/>
      <c r="I167" s="27"/>
      <c r="J167" s="28"/>
      <c r="K167" s="27"/>
      <c r="L167" s="27"/>
      <c r="M167" s="27"/>
      <c r="N167" s="27"/>
    </row>
    <row r="168" ht="15.75" customHeight="1">
      <c r="A168" s="26"/>
      <c r="B168" s="26"/>
      <c r="C168" s="26"/>
      <c r="D168" s="26"/>
      <c r="E168" s="26"/>
      <c r="F168" s="27"/>
      <c r="G168" s="27"/>
      <c r="H168" s="27"/>
      <c r="I168" s="27"/>
      <c r="J168" s="28"/>
      <c r="K168" s="27"/>
      <c r="L168" s="27"/>
      <c r="M168" s="27"/>
      <c r="N168" s="27"/>
    </row>
    <row r="169" ht="15.75" customHeight="1">
      <c r="A169" s="26"/>
      <c r="B169" s="26"/>
      <c r="C169" s="26"/>
      <c r="D169" s="26"/>
      <c r="E169" s="26"/>
      <c r="F169" s="27"/>
      <c r="G169" s="27"/>
      <c r="H169" s="27"/>
      <c r="I169" s="27"/>
      <c r="J169" s="28"/>
      <c r="K169" s="27"/>
      <c r="L169" s="27"/>
      <c r="M169" s="27"/>
      <c r="N169" s="27"/>
    </row>
    <row r="170" ht="15.75" customHeight="1">
      <c r="A170" s="26"/>
      <c r="B170" s="26"/>
      <c r="C170" s="26"/>
      <c r="D170" s="26"/>
      <c r="E170" s="26"/>
      <c r="F170" s="27"/>
      <c r="G170" s="27"/>
      <c r="H170" s="27"/>
      <c r="I170" s="27"/>
      <c r="J170" s="28"/>
      <c r="K170" s="27"/>
      <c r="L170" s="27"/>
      <c r="M170" s="27"/>
      <c r="N170" s="27"/>
    </row>
    <row r="171" ht="15.75" customHeight="1">
      <c r="A171" s="26"/>
      <c r="B171" s="26"/>
      <c r="C171" s="26"/>
      <c r="D171" s="26"/>
      <c r="E171" s="26"/>
      <c r="F171" s="27"/>
      <c r="G171" s="27"/>
      <c r="H171" s="27"/>
      <c r="I171" s="27"/>
      <c r="J171" s="28"/>
      <c r="K171" s="27"/>
      <c r="L171" s="27"/>
      <c r="M171" s="27"/>
      <c r="N171" s="27"/>
    </row>
    <row r="172" ht="15.75" customHeight="1">
      <c r="A172" s="26"/>
      <c r="B172" s="26"/>
      <c r="C172" s="26"/>
      <c r="D172" s="26"/>
      <c r="E172" s="26"/>
      <c r="F172" s="27"/>
      <c r="G172" s="27"/>
      <c r="H172" s="27"/>
      <c r="I172" s="27"/>
      <c r="J172" s="28"/>
      <c r="K172" s="27"/>
      <c r="L172" s="27"/>
      <c r="M172" s="27"/>
      <c r="N172" s="27"/>
    </row>
    <row r="173" ht="15.75" customHeight="1">
      <c r="A173" s="26"/>
      <c r="B173" s="26"/>
      <c r="C173" s="26"/>
      <c r="D173" s="26"/>
      <c r="E173" s="26"/>
      <c r="F173" s="27"/>
      <c r="G173" s="27"/>
      <c r="H173" s="27"/>
      <c r="I173" s="27"/>
      <c r="J173" s="28"/>
      <c r="K173" s="27"/>
      <c r="L173" s="27"/>
      <c r="M173" s="27"/>
      <c r="N173" s="27"/>
    </row>
    <row r="174" ht="15.75" customHeight="1">
      <c r="A174" s="26"/>
      <c r="B174" s="26"/>
      <c r="C174" s="26"/>
      <c r="D174" s="26"/>
      <c r="E174" s="26"/>
      <c r="J174" s="28"/>
    </row>
    <row r="175" ht="15.75" customHeight="1">
      <c r="A175" s="26"/>
      <c r="B175" s="26"/>
      <c r="C175" s="26"/>
      <c r="D175" s="26"/>
      <c r="E175" s="26"/>
      <c r="J175" s="28"/>
    </row>
    <row r="176" ht="15.75" customHeight="1">
      <c r="A176" s="26"/>
      <c r="B176" s="26"/>
      <c r="C176" s="26"/>
      <c r="D176" s="26"/>
      <c r="E176" s="26"/>
      <c r="J176" s="28"/>
    </row>
    <row r="177" ht="15.75" customHeight="1">
      <c r="A177" s="26"/>
      <c r="B177" s="26"/>
      <c r="C177" s="26"/>
      <c r="D177" s="26"/>
      <c r="E177" s="26"/>
      <c r="J177" s="28"/>
    </row>
    <row r="178" ht="15.75" customHeight="1">
      <c r="A178" s="26"/>
      <c r="B178" s="26"/>
      <c r="C178" s="26"/>
      <c r="D178" s="26"/>
      <c r="E178" s="26"/>
      <c r="J178" s="28"/>
    </row>
    <row r="179" ht="15.75" customHeight="1">
      <c r="A179" s="26"/>
      <c r="B179" s="26"/>
      <c r="C179" s="26"/>
      <c r="D179" s="26"/>
      <c r="E179" s="26"/>
      <c r="J179" s="28"/>
    </row>
    <row r="180" ht="15.75" customHeight="1">
      <c r="A180" s="26"/>
      <c r="B180" s="26"/>
      <c r="C180" s="26"/>
      <c r="D180" s="26"/>
      <c r="E180" s="26"/>
      <c r="J180" s="28"/>
    </row>
    <row r="181" ht="15.75" customHeight="1">
      <c r="A181" s="26"/>
      <c r="B181" s="26"/>
      <c r="C181" s="26"/>
      <c r="D181" s="26"/>
      <c r="E181" s="26"/>
      <c r="J181" s="28"/>
    </row>
    <row r="182" ht="15.75" customHeight="1">
      <c r="A182" s="26"/>
      <c r="B182" s="26"/>
      <c r="C182" s="26"/>
      <c r="D182" s="26"/>
      <c r="E182" s="26"/>
      <c r="J182" s="28"/>
    </row>
    <row r="183" ht="15.75" customHeight="1">
      <c r="A183" s="26"/>
      <c r="B183" s="26"/>
      <c r="C183" s="26"/>
      <c r="D183" s="26"/>
      <c r="E183" s="26"/>
      <c r="J183" s="28"/>
    </row>
    <row r="184" ht="15.75" customHeight="1">
      <c r="A184" s="26"/>
      <c r="B184" s="26"/>
      <c r="C184" s="26"/>
      <c r="D184" s="26"/>
      <c r="E184" s="26"/>
      <c r="J184" s="28"/>
    </row>
    <row r="185" ht="15.75" customHeight="1">
      <c r="A185" s="26"/>
      <c r="B185" s="26"/>
      <c r="C185" s="26"/>
      <c r="D185" s="26"/>
      <c r="E185" s="26"/>
      <c r="J185" s="28"/>
    </row>
    <row r="186" ht="15.75" customHeight="1">
      <c r="A186" s="26"/>
      <c r="B186" s="26"/>
      <c r="C186" s="26"/>
      <c r="D186" s="26"/>
      <c r="E186" s="26"/>
      <c r="J186" s="28"/>
    </row>
    <row r="187" ht="15.75" customHeight="1">
      <c r="A187" s="26"/>
      <c r="B187" s="26"/>
      <c r="C187" s="26"/>
      <c r="D187" s="26"/>
      <c r="E187" s="26"/>
      <c r="J187" s="28"/>
    </row>
    <row r="188" ht="15.75" customHeight="1">
      <c r="A188" s="26"/>
      <c r="B188" s="26"/>
      <c r="C188" s="26"/>
      <c r="D188" s="26"/>
      <c r="E188" s="26"/>
      <c r="J188" s="28"/>
    </row>
    <row r="189" ht="15.75" customHeight="1">
      <c r="A189" s="26"/>
      <c r="B189" s="26"/>
      <c r="C189" s="26"/>
      <c r="D189" s="26"/>
      <c r="E189" s="26"/>
      <c r="J189" s="28"/>
    </row>
    <row r="190" ht="15.75" customHeight="1">
      <c r="A190" s="26"/>
      <c r="B190" s="26"/>
      <c r="C190" s="26"/>
      <c r="D190" s="26"/>
      <c r="E190" s="26"/>
      <c r="J190" s="28"/>
    </row>
    <row r="191" ht="15.75" customHeight="1">
      <c r="A191" s="26"/>
      <c r="B191" s="26"/>
      <c r="C191" s="26"/>
      <c r="D191" s="26"/>
      <c r="E191" s="26"/>
      <c r="J191" s="28"/>
    </row>
    <row r="192" ht="15.75" customHeight="1">
      <c r="A192" s="26"/>
      <c r="B192" s="26"/>
      <c r="C192" s="26"/>
      <c r="D192" s="26"/>
      <c r="E192" s="26"/>
      <c r="J192" s="28"/>
    </row>
    <row r="193" ht="15.75" customHeight="1">
      <c r="A193" s="26"/>
      <c r="B193" s="26"/>
      <c r="C193" s="26"/>
      <c r="D193" s="26"/>
      <c r="E193" s="26"/>
      <c r="J193" s="28"/>
    </row>
    <row r="194" ht="15.75" customHeight="1">
      <c r="A194" s="26"/>
      <c r="B194" s="26"/>
      <c r="C194" s="26"/>
      <c r="D194" s="26"/>
      <c r="E194" s="26"/>
      <c r="J194" s="28"/>
    </row>
    <row r="195" ht="15.75" customHeight="1">
      <c r="A195" s="26"/>
      <c r="B195" s="26"/>
      <c r="C195" s="26"/>
      <c r="D195" s="26"/>
      <c r="E195" s="26"/>
      <c r="J195" s="28"/>
    </row>
    <row r="196" ht="15.75" customHeight="1">
      <c r="A196" s="26"/>
      <c r="B196" s="26"/>
      <c r="C196" s="26"/>
      <c r="D196" s="26"/>
      <c r="E196" s="26"/>
      <c r="J196" s="28"/>
    </row>
    <row r="197" ht="15.75" customHeight="1">
      <c r="A197" s="26"/>
      <c r="B197" s="26"/>
      <c r="C197" s="26"/>
      <c r="D197" s="26"/>
      <c r="E197" s="26"/>
      <c r="J197" s="28"/>
    </row>
    <row r="198" ht="15.75" customHeight="1">
      <c r="A198" s="26"/>
      <c r="B198" s="26"/>
      <c r="C198" s="26"/>
      <c r="D198" s="26"/>
      <c r="E198" s="26"/>
      <c r="J198" s="28"/>
    </row>
    <row r="199" ht="15.75" customHeight="1">
      <c r="A199" s="26"/>
      <c r="B199" s="26"/>
      <c r="C199" s="26"/>
      <c r="D199" s="26"/>
      <c r="E199" s="26"/>
      <c r="J199" s="28"/>
    </row>
    <row r="200" ht="15.75" customHeight="1">
      <c r="A200" s="26"/>
      <c r="B200" s="26"/>
      <c r="C200" s="26"/>
      <c r="D200" s="26"/>
      <c r="E200" s="26"/>
      <c r="J200" s="28"/>
    </row>
    <row r="201" ht="15.75" customHeight="1">
      <c r="A201" s="26"/>
      <c r="B201" s="26"/>
      <c r="C201" s="26"/>
      <c r="D201" s="26"/>
      <c r="E201" s="26"/>
      <c r="J201" s="28"/>
    </row>
    <row r="202" ht="15.75" customHeight="1">
      <c r="A202" s="26"/>
      <c r="B202" s="26"/>
      <c r="C202" s="26"/>
      <c r="D202" s="26"/>
      <c r="E202" s="26"/>
      <c r="J202" s="28"/>
    </row>
    <row r="203" ht="15.75" customHeight="1">
      <c r="A203" s="26"/>
      <c r="B203" s="26"/>
      <c r="C203" s="26"/>
      <c r="D203" s="26"/>
      <c r="E203" s="26"/>
      <c r="J203" s="28"/>
    </row>
    <row r="204" ht="15.75" customHeight="1">
      <c r="A204" s="26"/>
      <c r="B204" s="26"/>
      <c r="C204" s="26"/>
      <c r="D204" s="26"/>
      <c r="E204" s="26"/>
      <c r="J204" s="28"/>
    </row>
    <row r="205" ht="15.75" customHeight="1">
      <c r="A205" s="26"/>
      <c r="B205" s="26"/>
      <c r="C205" s="26"/>
      <c r="D205" s="26"/>
      <c r="E205" s="26"/>
      <c r="J205" s="28"/>
    </row>
    <row r="206" ht="15.75" customHeight="1">
      <c r="A206" s="26"/>
      <c r="B206" s="26"/>
      <c r="C206" s="26"/>
      <c r="D206" s="26"/>
      <c r="E206" s="26"/>
      <c r="J206" s="28"/>
    </row>
    <row r="207" ht="15.75" customHeight="1">
      <c r="A207" s="26"/>
      <c r="B207" s="26"/>
      <c r="C207" s="26"/>
      <c r="D207" s="26"/>
      <c r="E207" s="26"/>
      <c r="J207" s="28"/>
    </row>
    <row r="208" ht="15.75" customHeight="1">
      <c r="A208" s="26"/>
      <c r="B208" s="26"/>
      <c r="C208" s="26"/>
      <c r="D208" s="26"/>
      <c r="E208" s="26"/>
      <c r="J208" s="28"/>
    </row>
    <row r="209" ht="15.75" customHeight="1">
      <c r="A209" s="26"/>
      <c r="B209" s="26"/>
      <c r="C209" s="26"/>
      <c r="D209" s="26"/>
      <c r="E209" s="26"/>
      <c r="J209" s="28"/>
    </row>
    <row r="210" ht="15.75" customHeight="1">
      <c r="A210" s="26"/>
      <c r="B210" s="26"/>
      <c r="C210" s="26"/>
      <c r="D210" s="26"/>
      <c r="E210" s="26"/>
      <c r="J210" s="28"/>
    </row>
    <row r="211" ht="15.75" customHeight="1">
      <c r="A211" s="26"/>
      <c r="B211" s="26"/>
      <c r="C211" s="26"/>
      <c r="D211" s="26"/>
      <c r="E211" s="26"/>
      <c r="J211" s="28"/>
    </row>
    <row r="212" ht="15.75" customHeight="1">
      <c r="A212" s="26"/>
      <c r="B212" s="26"/>
      <c r="C212" s="26"/>
      <c r="D212" s="26"/>
      <c r="E212" s="26"/>
      <c r="J212" s="28"/>
    </row>
    <row r="213" ht="15.75" customHeight="1">
      <c r="A213" s="26"/>
      <c r="B213" s="26"/>
      <c r="C213" s="26"/>
      <c r="D213" s="26"/>
      <c r="E213" s="26"/>
      <c r="J213" s="28"/>
    </row>
    <row r="214" ht="15.75" customHeight="1">
      <c r="A214" s="26"/>
      <c r="B214" s="26"/>
      <c r="C214" s="26"/>
      <c r="D214" s="26"/>
      <c r="E214" s="26"/>
      <c r="J214" s="28"/>
    </row>
    <row r="215" ht="15.75" customHeight="1">
      <c r="A215" s="26"/>
      <c r="B215" s="26"/>
      <c r="C215" s="26"/>
      <c r="D215" s="26"/>
      <c r="E215" s="26"/>
      <c r="J215" s="28"/>
    </row>
    <row r="216" ht="15.75" customHeight="1">
      <c r="A216" s="26"/>
      <c r="B216" s="26"/>
      <c r="C216" s="26"/>
      <c r="D216" s="26"/>
      <c r="E216" s="26"/>
      <c r="J216" s="28"/>
    </row>
    <row r="217" ht="15.75" customHeight="1">
      <c r="A217" s="26"/>
      <c r="B217" s="26"/>
      <c r="C217" s="26"/>
      <c r="D217" s="26"/>
      <c r="E217" s="26"/>
      <c r="J217" s="28"/>
    </row>
    <row r="218" ht="15.75" customHeight="1">
      <c r="A218" s="26"/>
      <c r="B218" s="26"/>
      <c r="C218" s="26"/>
      <c r="D218" s="26"/>
      <c r="E218" s="26"/>
      <c r="J218" s="28"/>
    </row>
    <row r="219" ht="15.75" customHeight="1">
      <c r="A219" s="26"/>
      <c r="B219" s="26"/>
      <c r="C219" s="26"/>
      <c r="D219" s="26"/>
      <c r="E219" s="26"/>
      <c r="J219" s="28"/>
    </row>
    <row r="220" ht="15.75" customHeight="1">
      <c r="A220" s="26"/>
      <c r="B220" s="26"/>
      <c r="C220" s="26"/>
      <c r="D220" s="26"/>
      <c r="E220" s="26"/>
      <c r="J220" s="28"/>
    </row>
    <row r="221" ht="15.75" customHeight="1">
      <c r="A221" s="26"/>
      <c r="B221" s="26"/>
      <c r="C221" s="26"/>
      <c r="D221" s="26"/>
      <c r="E221" s="26"/>
      <c r="J221" s="28"/>
    </row>
    <row r="222" ht="15.75" customHeight="1">
      <c r="A222" s="26"/>
      <c r="B222" s="26"/>
      <c r="C222" s="26"/>
      <c r="D222" s="26"/>
      <c r="E222" s="26"/>
      <c r="J222" s="28"/>
    </row>
    <row r="223" ht="15.75" customHeight="1">
      <c r="A223" s="26"/>
      <c r="B223" s="26"/>
      <c r="C223" s="26"/>
      <c r="D223" s="26"/>
      <c r="E223" s="26"/>
      <c r="J223" s="28"/>
    </row>
    <row r="224" ht="15.75" customHeight="1">
      <c r="A224" s="26"/>
      <c r="B224" s="26"/>
      <c r="C224" s="26"/>
      <c r="D224" s="26"/>
      <c r="E224" s="26"/>
      <c r="J224" s="28"/>
    </row>
    <row r="225" ht="15.75" customHeight="1">
      <c r="A225" s="26"/>
      <c r="B225" s="26"/>
      <c r="C225" s="26"/>
      <c r="D225" s="26"/>
      <c r="E225" s="26"/>
      <c r="J225" s="28"/>
    </row>
    <row r="226" ht="15.75" customHeight="1">
      <c r="A226" s="26"/>
      <c r="B226" s="26"/>
      <c r="C226" s="26"/>
      <c r="D226" s="26"/>
      <c r="E226" s="26"/>
      <c r="J226" s="28"/>
    </row>
    <row r="227" ht="15.75" customHeight="1">
      <c r="A227" s="26"/>
      <c r="B227" s="26"/>
      <c r="C227" s="26"/>
      <c r="D227" s="26"/>
      <c r="E227" s="26"/>
      <c r="J227" s="28"/>
    </row>
    <row r="228" ht="15.75" customHeight="1">
      <c r="A228" s="26"/>
      <c r="B228" s="26"/>
      <c r="C228" s="26"/>
      <c r="D228" s="26"/>
      <c r="E228" s="26"/>
      <c r="J228" s="28"/>
    </row>
    <row r="229" ht="15.75" customHeight="1">
      <c r="A229" s="26"/>
      <c r="B229" s="26"/>
      <c r="C229" s="26"/>
      <c r="D229" s="26"/>
      <c r="E229" s="26"/>
      <c r="J229" s="28"/>
    </row>
    <row r="230" ht="15.75" customHeight="1">
      <c r="A230" s="26"/>
      <c r="B230" s="26"/>
      <c r="C230" s="26"/>
      <c r="D230" s="26"/>
      <c r="E230" s="26"/>
      <c r="J230" s="28"/>
    </row>
    <row r="231" ht="15.75" customHeight="1">
      <c r="A231" s="26"/>
      <c r="B231" s="26"/>
      <c r="C231" s="26"/>
      <c r="D231" s="26"/>
      <c r="E231" s="26"/>
      <c r="J231" s="28"/>
    </row>
    <row r="232" ht="15.75" customHeight="1">
      <c r="A232" s="26"/>
      <c r="B232" s="26"/>
      <c r="C232" s="26"/>
      <c r="D232" s="26"/>
      <c r="E232" s="26"/>
      <c r="J232" s="28"/>
    </row>
    <row r="233" ht="15.75" customHeight="1">
      <c r="A233" s="26"/>
      <c r="B233" s="26"/>
      <c r="C233" s="26"/>
      <c r="D233" s="26"/>
      <c r="E233" s="26"/>
      <c r="J233" s="28"/>
    </row>
    <row r="234" ht="15.75" customHeight="1">
      <c r="A234" s="26"/>
      <c r="B234" s="26"/>
      <c r="C234" s="26"/>
      <c r="D234" s="26"/>
      <c r="E234" s="26"/>
      <c r="J234" s="28"/>
    </row>
    <row r="235" ht="15.75" customHeight="1">
      <c r="A235" s="26"/>
      <c r="B235" s="26"/>
      <c r="C235" s="26"/>
      <c r="D235" s="26"/>
      <c r="E235" s="26"/>
      <c r="J235" s="28"/>
    </row>
    <row r="236" ht="15.75" customHeight="1">
      <c r="A236" s="26"/>
      <c r="B236" s="26"/>
      <c r="C236" s="26"/>
      <c r="D236" s="26"/>
      <c r="E236" s="26"/>
      <c r="J236" s="28"/>
    </row>
    <row r="237" ht="15.75" customHeight="1">
      <c r="A237" s="26"/>
      <c r="B237" s="26"/>
      <c r="C237" s="26"/>
      <c r="D237" s="26"/>
      <c r="E237" s="26"/>
      <c r="J237" s="28"/>
    </row>
    <row r="238" ht="15.75" customHeight="1">
      <c r="A238" s="26"/>
      <c r="B238" s="26"/>
      <c r="C238" s="26"/>
      <c r="D238" s="26"/>
      <c r="E238" s="26"/>
      <c r="J238" s="28"/>
    </row>
    <row r="239" ht="15.75" customHeight="1">
      <c r="A239" s="26"/>
      <c r="B239" s="26"/>
      <c r="C239" s="26"/>
      <c r="D239" s="26"/>
      <c r="E239" s="26"/>
      <c r="J239" s="28"/>
    </row>
    <row r="240" ht="15.75" customHeight="1">
      <c r="A240" s="26"/>
      <c r="B240" s="26"/>
      <c r="C240" s="26"/>
      <c r="D240" s="26"/>
      <c r="E240" s="26"/>
      <c r="J240" s="28"/>
    </row>
    <row r="241" ht="15.75" customHeight="1">
      <c r="A241" s="26"/>
      <c r="B241" s="26"/>
      <c r="C241" s="26"/>
      <c r="D241" s="26"/>
      <c r="E241" s="26"/>
      <c r="J241" s="28"/>
    </row>
    <row r="242" ht="15.75" customHeight="1">
      <c r="A242" s="26"/>
      <c r="B242" s="26"/>
      <c r="C242" s="26"/>
      <c r="D242" s="26"/>
      <c r="E242" s="26"/>
      <c r="J242" s="28"/>
    </row>
    <row r="243" ht="15.75" customHeight="1">
      <c r="A243" s="26"/>
      <c r="B243" s="26"/>
      <c r="C243" s="26"/>
      <c r="D243" s="26"/>
      <c r="E243" s="26"/>
      <c r="J243" s="28"/>
    </row>
    <row r="244" ht="15.75" customHeight="1">
      <c r="A244" s="26"/>
      <c r="B244" s="26"/>
      <c r="C244" s="26"/>
      <c r="D244" s="26"/>
      <c r="E244" s="26"/>
      <c r="J244" s="28"/>
    </row>
    <row r="245" ht="15.75" customHeight="1">
      <c r="A245" s="26"/>
      <c r="B245" s="26"/>
      <c r="C245" s="26"/>
      <c r="D245" s="26"/>
      <c r="E245" s="26"/>
      <c r="J245" s="28"/>
    </row>
    <row r="246" ht="15.75" customHeight="1">
      <c r="A246" s="26"/>
      <c r="B246" s="26"/>
      <c r="C246" s="26"/>
      <c r="D246" s="26"/>
      <c r="E246" s="26"/>
      <c r="J246" s="28"/>
    </row>
    <row r="247" ht="15.75" customHeight="1">
      <c r="A247" s="26"/>
      <c r="B247" s="26"/>
      <c r="C247" s="26"/>
      <c r="D247" s="26"/>
      <c r="E247" s="26"/>
      <c r="J247" s="28"/>
    </row>
    <row r="248" ht="15.75" customHeight="1">
      <c r="A248" s="26"/>
      <c r="B248" s="26"/>
      <c r="C248" s="26"/>
      <c r="D248" s="26"/>
      <c r="E248" s="26"/>
      <c r="J248" s="28"/>
    </row>
    <row r="249" ht="15.75" customHeight="1">
      <c r="A249" s="26"/>
      <c r="B249" s="26"/>
      <c r="C249" s="26"/>
      <c r="D249" s="26"/>
      <c r="E249" s="26"/>
      <c r="J249" s="28"/>
    </row>
    <row r="250" ht="15.75" customHeight="1">
      <c r="A250" s="26"/>
      <c r="B250" s="26"/>
      <c r="C250" s="26"/>
      <c r="D250" s="26"/>
      <c r="E250" s="26"/>
      <c r="J250" s="28"/>
    </row>
    <row r="251" ht="15.75" customHeight="1">
      <c r="A251" s="26"/>
      <c r="B251" s="26"/>
      <c r="C251" s="26"/>
      <c r="D251" s="26"/>
      <c r="E251" s="26"/>
      <c r="J251" s="28"/>
    </row>
    <row r="252" ht="15.75" customHeight="1">
      <c r="A252" s="26"/>
      <c r="B252" s="26"/>
      <c r="C252" s="26"/>
      <c r="D252" s="26"/>
      <c r="E252" s="26"/>
      <c r="J252" s="28"/>
    </row>
    <row r="253" ht="15.75" customHeight="1">
      <c r="A253" s="26"/>
      <c r="B253" s="26"/>
      <c r="C253" s="26"/>
      <c r="D253" s="26"/>
      <c r="E253" s="26"/>
      <c r="J253" s="28"/>
    </row>
    <row r="254" ht="15.75" customHeight="1">
      <c r="A254" s="26"/>
      <c r="B254" s="26"/>
      <c r="C254" s="26"/>
      <c r="D254" s="26"/>
      <c r="E254" s="26"/>
      <c r="J254" s="28"/>
    </row>
    <row r="255" ht="15.75" customHeight="1">
      <c r="A255" s="26"/>
      <c r="B255" s="26"/>
      <c r="C255" s="26"/>
      <c r="D255" s="26"/>
      <c r="E255" s="26"/>
      <c r="J255" s="28"/>
    </row>
    <row r="256" ht="15.75" customHeight="1">
      <c r="A256" s="26"/>
      <c r="B256" s="26"/>
      <c r="C256" s="26"/>
      <c r="D256" s="26"/>
      <c r="E256" s="26"/>
      <c r="J256" s="28"/>
    </row>
    <row r="257" ht="15.75" customHeight="1">
      <c r="A257" s="26"/>
      <c r="B257" s="26"/>
      <c r="C257" s="26"/>
      <c r="D257" s="26"/>
      <c r="E257" s="26"/>
      <c r="J257" s="28"/>
    </row>
    <row r="258" ht="15.75" customHeight="1">
      <c r="A258" s="26"/>
      <c r="B258" s="26"/>
      <c r="C258" s="26"/>
      <c r="D258" s="26"/>
      <c r="E258" s="26"/>
      <c r="J258" s="28"/>
    </row>
    <row r="259" ht="15.75" customHeight="1">
      <c r="A259" s="26"/>
      <c r="B259" s="26"/>
      <c r="C259" s="26"/>
      <c r="D259" s="26"/>
      <c r="E259" s="26"/>
      <c r="J259" s="28"/>
    </row>
    <row r="260" ht="15.75" customHeight="1">
      <c r="A260" s="26"/>
      <c r="B260" s="26"/>
      <c r="C260" s="26"/>
      <c r="D260" s="26"/>
      <c r="E260" s="26"/>
      <c r="J260" s="28"/>
    </row>
    <row r="261" ht="15.75" customHeight="1">
      <c r="A261" s="26"/>
      <c r="B261" s="26"/>
      <c r="C261" s="26"/>
      <c r="D261" s="26"/>
      <c r="E261" s="26"/>
      <c r="J261" s="28"/>
    </row>
    <row r="262" ht="15.75" customHeight="1">
      <c r="A262" s="26"/>
      <c r="B262" s="26"/>
      <c r="C262" s="26"/>
      <c r="D262" s="26"/>
      <c r="E262" s="26"/>
      <c r="J262" s="28"/>
    </row>
    <row r="263" ht="15.75" customHeight="1">
      <c r="A263" s="26"/>
      <c r="B263" s="26"/>
      <c r="C263" s="26"/>
      <c r="D263" s="26"/>
      <c r="E263" s="26"/>
      <c r="J263" s="28"/>
    </row>
    <row r="264" ht="15.75" customHeight="1">
      <c r="A264" s="26"/>
      <c r="B264" s="26"/>
      <c r="C264" s="26"/>
      <c r="D264" s="26"/>
      <c r="E264" s="26"/>
      <c r="J264" s="28"/>
    </row>
    <row r="265" ht="15.75" customHeight="1">
      <c r="A265" s="26"/>
      <c r="B265" s="26"/>
      <c r="C265" s="26"/>
      <c r="D265" s="26"/>
      <c r="E265" s="26"/>
      <c r="J265" s="28"/>
    </row>
    <row r="266" ht="15.75" customHeight="1">
      <c r="A266" s="26"/>
      <c r="B266" s="26"/>
      <c r="C266" s="26"/>
      <c r="D266" s="26"/>
      <c r="E266" s="26"/>
      <c r="J266" s="28"/>
    </row>
    <row r="267" ht="15.75" customHeight="1">
      <c r="A267" s="26"/>
      <c r="B267" s="26"/>
      <c r="C267" s="26"/>
      <c r="D267" s="26"/>
      <c r="E267" s="26"/>
      <c r="J267" s="28"/>
    </row>
    <row r="268" ht="15.75" customHeight="1">
      <c r="A268" s="26"/>
      <c r="B268" s="26"/>
      <c r="C268" s="26"/>
      <c r="D268" s="26"/>
      <c r="E268" s="26"/>
      <c r="J268" s="28"/>
    </row>
    <row r="269" ht="15.75" customHeight="1">
      <c r="A269" s="26"/>
      <c r="B269" s="26"/>
      <c r="C269" s="26"/>
      <c r="D269" s="26"/>
      <c r="E269" s="26"/>
      <c r="J269" s="28"/>
    </row>
    <row r="270" ht="15.75" customHeight="1">
      <c r="A270" s="26"/>
      <c r="B270" s="26"/>
      <c r="C270" s="26"/>
      <c r="D270" s="26"/>
      <c r="E270" s="26"/>
      <c r="J270" s="28"/>
    </row>
    <row r="271" ht="15.75" customHeight="1">
      <c r="A271" s="26"/>
      <c r="B271" s="26"/>
      <c r="C271" s="26"/>
      <c r="D271" s="26"/>
      <c r="E271" s="26"/>
      <c r="J271" s="28"/>
    </row>
    <row r="272" ht="15.75" customHeight="1">
      <c r="A272" s="26"/>
      <c r="B272" s="26"/>
      <c r="C272" s="26"/>
      <c r="D272" s="26"/>
      <c r="E272" s="26"/>
      <c r="J272" s="28"/>
    </row>
    <row r="273" ht="15.75" customHeight="1">
      <c r="A273" s="26"/>
      <c r="B273" s="26"/>
      <c r="C273" s="26"/>
      <c r="D273" s="26"/>
      <c r="E273" s="26"/>
      <c r="J273" s="28"/>
    </row>
    <row r="274" ht="15.75" customHeight="1">
      <c r="A274" s="26"/>
      <c r="B274" s="26"/>
      <c r="C274" s="26"/>
      <c r="D274" s="26"/>
      <c r="E274" s="26"/>
      <c r="J274" s="28"/>
    </row>
    <row r="275" ht="15.75" customHeight="1">
      <c r="A275" s="26"/>
      <c r="B275" s="26"/>
      <c r="C275" s="26"/>
      <c r="D275" s="26"/>
      <c r="E275" s="26"/>
      <c r="J275" s="28"/>
    </row>
    <row r="276" ht="15.75" customHeight="1">
      <c r="A276" s="26"/>
      <c r="B276" s="26"/>
      <c r="C276" s="26"/>
      <c r="D276" s="26"/>
      <c r="E276" s="26"/>
      <c r="J276" s="28"/>
    </row>
    <row r="277" ht="15.75" customHeight="1">
      <c r="A277" s="26"/>
      <c r="B277" s="26"/>
      <c r="C277" s="26"/>
      <c r="D277" s="26"/>
      <c r="E277" s="26"/>
      <c r="J277" s="28"/>
    </row>
    <row r="278" ht="15.75" customHeight="1">
      <c r="A278" s="26"/>
      <c r="B278" s="26"/>
      <c r="C278" s="26"/>
      <c r="D278" s="26"/>
      <c r="E278" s="26"/>
      <c r="J278" s="28"/>
    </row>
    <row r="279" ht="15.75" customHeight="1">
      <c r="A279" s="26"/>
      <c r="B279" s="26"/>
      <c r="C279" s="26"/>
      <c r="D279" s="26"/>
      <c r="E279" s="26"/>
      <c r="J279" s="28"/>
    </row>
    <row r="280" ht="15.75" customHeight="1">
      <c r="A280" s="26"/>
      <c r="B280" s="26"/>
      <c r="C280" s="26"/>
      <c r="D280" s="26"/>
      <c r="E280" s="26"/>
      <c r="J280" s="28"/>
    </row>
    <row r="281" ht="15.75" customHeight="1">
      <c r="A281" s="26"/>
      <c r="B281" s="26"/>
      <c r="C281" s="26"/>
      <c r="D281" s="26"/>
      <c r="E281" s="26"/>
      <c r="J281" s="28"/>
    </row>
    <row r="282" ht="15.75" customHeight="1">
      <c r="A282" s="26"/>
      <c r="B282" s="26"/>
      <c r="C282" s="26"/>
      <c r="D282" s="26"/>
      <c r="E282" s="26"/>
      <c r="J282" s="28"/>
    </row>
    <row r="283" ht="15.75" customHeight="1">
      <c r="A283" s="26"/>
      <c r="B283" s="26"/>
      <c r="C283" s="26"/>
      <c r="D283" s="26"/>
      <c r="E283" s="26"/>
      <c r="J283" s="28"/>
    </row>
    <row r="284" ht="15.75" customHeight="1">
      <c r="A284" s="26"/>
      <c r="B284" s="26"/>
      <c r="C284" s="26"/>
      <c r="D284" s="26"/>
      <c r="E284" s="26"/>
      <c r="J284" s="28"/>
    </row>
    <row r="285" ht="15.75" customHeight="1">
      <c r="A285" s="26"/>
      <c r="B285" s="26"/>
      <c r="C285" s="26"/>
      <c r="D285" s="26"/>
      <c r="E285" s="26"/>
      <c r="J285" s="28"/>
    </row>
    <row r="286" ht="15.75" customHeight="1">
      <c r="A286" s="26"/>
      <c r="B286" s="26"/>
      <c r="C286" s="26"/>
      <c r="D286" s="26"/>
      <c r="E286" s="26"/>
      <c r="J286" s="28"/>
    </row>
    <row r="287" ht="15.75" customHeight="1">
      <c r="A287" s="26"/>
      <c r="B287" s="26"/>
      <c r="C287" s="26"/>
      <c r="D287" s="26"/>
      <c r="E287" s="26"/>
      <c r="J287" s="28"/>
    </row>
    <row r="288" ht="15.75" customHeight="1">
      <c r="A288" s="26"/>
      <c r="B288" s="26"/>
      <c r="C288" s="26"/>
      <c r="D288" s="26"/>
      <c r="E288" s="26"/>
      <c r="J288" s="28"/>
    </row>
    <row r="289" ht="15.75" customHeight="1">
      <c r="A289" s="26"/>
      <c r="B289" s="26"/>
      <c r="C289" s="26"/>
      <c r="D289" s="26"/>
      <c r="E289" s="26"/>
      <c r="J289" s="28"/>
    </row>
    <row r="290" ht="15.75" customHeight="1">
      <c r="A290" s="26"/>
      <c r="B290" s="26"/>
      <c r="C290" s="26"/>
      <c r="D290" s="26"/>
      <c r="E290" s="26"/>
      <c r="J290" s="28"/>
    </row>
    <row r="291" ht="15.75" customHeight="1">
      <c r="A291" s="26"/>
      <c r="B291" s="26"/>
      <c r="C291" s="26"/>
      <c r="D291" s="26"/>
      <c r="E291" s="26"/>
      <c r="J291" s="28"/>
    </row>
    <row r="292" ht="15.75" customHeight="1">
      <c r="A292" s="26"/>
      <c r="B292" s="26"/>
      <c r="C292" s="26"/>
      <c r="D292" s="26"/>
      <c r="E292" s="26"/>
      <c r="J292" s="28"/>
    </row>
    <row r="293" ht="15.75" customHeight="1">
      <c r="A293" s="26"/>
      <c r="B293" s="26"/>
      <c r="C293" s="26"/>
      <c r="D293" s="26"/>
      <c r="E293" s="26"/>
      <c r="J293" s="28"/>
    </row>
    <row r="294" ht="15.75" customHeight="1">
      <c r="A294" s="26"/>
      <c r="B294" s="26"/>
      <c r="C294" s="26"/>
      <c r="D294" s="26"/>
      <c r="E294" s="26"/>
      <c r="J294" s="28"/>
    </row>
    <row r="295" ht="15.75" customHeight="1">
      <c r="A295" s="26"/>
      <c r="B295" s="26"/>
      <c r="C295" s="26"/>
      <c r="D295" s="26"/>
      <c r="E295" s="26"/>
      <c r="J295" s="28"/>
    </row>
    <row r="296" ht="15.75" customHeight="1">
      <c r="A296" s="26"/>
      <c r="B296" s="26"/>
      <c r="C296" s="26"/>
      <c r="D296" s="26"/>
      <c r="E296" s="26"/>
      <c r="J296" s="28"/>
    </row>
    <row r="297" ht="15.75" customHeight="1">
      <c r="A297" s="26"/>
      <c r="B297" s="26"/>
      <c r="C297" s="26"/>
      <c r="D297" s="26"/>
      <c r="E297" s="26"/>
      <c r="J297" s="28"/>
    </row>
    <row r="298" ht="15.75" customHeight="1">
      <c r="A298" s="26"/>
      <c r="B298" s="26"/>
      <c r="C298" s="26"/>
      <c r="D298" s="26"/>
      <c r="E298" s="26"/>
      <c r="J298" s="28"/>
    </row>
    <row r="299" ht="15.75" customHeight="1">
      <c r="A299" s="26"/>
      <c r="B299" s="26"/>
      <c r="C299" s="26"/>
      <c r="D299" s="26"/>
      <c r="E299" s="26"/>
      <c r="J299" s="28"/>
    </row>
    <row r="300" ht="15.75" customHeight="1">
      <c r="A300" s="26"/>
      <c r="B300" s="26"/>
      <c r="C300" s="26"/>
      <c r="D300" s="26"/>
      <c r="E300" s="26"/>
      <c r="J300" s="28"/>
    </row>
    <row r="301" ht="15.75" customHeight="1">
      <c r="A301" s="26"/>
      <c r="B301" s="26"/>
      <c r="C301" s="26"/>
      <c r="D301" s="26"/>
      <c r="E301" s="26"/>
      <c r="J301" s="28"/>
    </row>
    <row r="302" ht="15.75" customHeight="1">
      <c r="A302" s="26"/>
      <c r="B302" s="26"/>
      <c r="C302" s="26"/>
      <c r="D302" s="26"/>
      <c r="E302" s="26"/>
      <c r="J302" s="28"/>
    </row>
    <row r="303" ht="15.75" customHeight="1">
      <c r="A303" s="26"/>
      <c r="B303" s="26"/>
      <c r="C303" s="26"/>
      <c r="D303" s="26"/>
      <c r="E303" s="26"/>
      <c r="J303" s="28"/>
    </row>
    <row r="304" ht="15.75" customHeight="1">
      <c r="A304" s="26"/>
      <c r="B304" s="26"/>
      <c r="C304" s="26"/>
      <c r="D304" s="26"/>
      <c r="E304" s="26"/>
      <c r="J304" s="28"/>
    </row>
    <row r="305" ht="15.75" customHeight="1">
      <c r="A305" s="26"/>
      <c r="B305" s="26"/>
      <c r="C305" s="26"/>
      <c r="D305" s="26"/>
      <c r="E305" s="26"/>
      <c r="J305" s="28"/>
    </row>
    <row r="306" ht="15.75" customHeight="1">
      <c r="A306" s="26"/>
      <c r="B306" s="26"/>
      <c r="C306" s="26"/>
      <c r="D306" s="26"/>
      <c r="E306" s="26"/>
      <c r="J306" s="28"/>
    </row>
    <row r="307" ht="15.75" customHeight="1">
      <c r="A307" s="26"/>
      <c r="B307" s="26"/>
      <c r="C307" s="26"/>
      <c r="D307" s="26"/>
      <c r="E307" s="26"/>
      <c r="J307" s="28"/>
    </row>
    <row r="308" ht="15.75" customHeight="1">
      <c r="A308" s="26"/>
      <c r="B308" s="26"/>
      <c r="C308" s="26"/>
      <c r="D308" s="26"/>
      <c r="E308" s="26"/>
      <c r="J308" s="28"/>
    </row>
    <row r="309" ht="15.75" customHeight="1">
      <c r="A309" s="26"/>
      <c r="B309" s="26"/>
      <c r="C309" s="26"/>
      <c r="D309" s="26"/>
      <c r="E309" s="26"/>
      <c r="J309" s="28"/>
    </row>
    <row r="310" ht="15.75" customHeight="1">
      <c r="A310" s="26"/>
      <c r="B310" s="26"/>
      <c r="C310" s="26"/>
      <c r="D310" s="26"/>
      <c r="E310" s="26"/>
      <c r="J310" s="28"/>
    </row>
    <row r="311" ht="15.75" customHeight="1">
      <c r="A311" s="26"/>
      <c r="B311" s="26"/>
      <c r="C311" s="26"/>
      <c r="D311" s="26"/>
      <c r="E311" s="26"/>
      <c r="J311" s="28"/>
    </row>
    <row r="312" ht="15.75" customHeight="1">
      <c r="A312" s="26"/>
      <c r="B312" s="26"/>
      <c r="C312" s="26"/>
      <c r="D312" s="26"/>
      <c r="E312" s="26"/>
      <c r="J312" s="28"/>
    </row>
    <row r="313" ht="15.75" customHeight="1">
      <c r="A313" s="26"/>
      <c r="B313" s="26"/>
      <c r="C313" s="26"/>
      <c r="D313" s="26"/>
      <c r="E313" s="26"/>
      <c r="J313" s="28"/>
    </row>
    <row r="314" ht="15.75" customHeight="1">
      <c r="A314" s="26"/>
      <c r="B314" s="26"/>
      <c r="C314" s="26"/>
      <c r="D314" s="26"/>
      <c r="E314" s="26"/>
      <c r="J314" s="28"/>
    </row>
    <row r="315" ht="15.75" customHeight="1">
      <c r="A315" s="26"/>
      <c r="B315" s="26"/>
      <c r="C315" s="26"/>
      <c r="D315" s="26"/>
      <c r="E315" s="26"/>
      <c r="J315" s="28"/>
    </row>
    <row r="316" ht="15.75" customHeight="1">
      <c r="A316" s="26"/>
      <c r="B316" s="26"/>
      <c r="C316" s="26"/>
      <c r="D316" s="26"/>
      <c r="E316" s="26"/>
      <c r="J316" s="28"/>
    </row>
    <row r="317" ht="15.75" customHeight="1">
      <c r="J317" s="28"/>
    </row>
    <row r="318" ht="15.75" customHeight="1">
      <c r="J318" s="28"/>
    </row>
    <row r="319" ht="15.75" customHeight="1">
      <c r="J319" s="28"/>
    </row>
    <row r="320" ht="15.75" customHeight="1">
      <c r="J320" s="60"/>
    </row>
    <row r="321" ht="15.75" customHeight="1">
      <c r="J321" s="60"/>
    </row>
    <row r="322" ht="15.75" customHeight="1">
      <c r="J322" s="60"/>
    </row>
    <row r="323" ht="15.75" customHeight="1">
      <c r="J323" s="60"/>
    </row>
    <row r="324" ht="15.75" customHeight="1">
      <c r="J324" s="60"/>
    </row>
    <row r="325" ht="15.75" customHeight="1">
      <c r="J325" s="60"/>
    </row>
    <row r="326" ht="15.75" customHeight="1">
      <c r="J326" s="60"/>
    </row>
    <row r="327" ht="15.75" customHeight="1">
      <c r="J327" s="60"/>
    </row>
    <row r="328" ht="15.75" customHeight="1">
      <c r="J328" s="60"/>
    </row>
    <row r="329" ht="15.75" customHeight="1">
      <c r="J329" s="60"/>
    </row>
    <row r="330" ht="15.75" customHeight="1">
      <c r="J330" s="60"/>
    </row>
    <row r="331" ht="15.75" customHeight="1">
      <c r="J331" s="60"/>
    </row>
    <row r="332" ht="15.75" customHeight="1">
      <c r="J332" s="60"/>
    </row>
    <row r="333" ht="15.75" customHeight="1">
      <c r="J333" s="60"/>
    </row>
    <row r="334" ht="15.75" customHeight="1">
      <c r="J334" s="60"/>
    </row>
    <row r="335" ht="15.75" customHeight="1">
      <c r="J335" s="60"/>
    </row>
    <row r="336" ht="15.75" customHeight="1">
      <c r="J336" s="60"/>
    </row>
    <row r="337" ht="15.75" customHeight="1">
      <c r="J337" s="60"/>
    </row>
    <row r="338" ht="15.75" customHeight="1">
      <c r="J338" s="60"/>
    </row>
    <row r="339" ht="15.75" customHeight="1">
      <c r="J339" s="60"/>
    </row>
    <row r="340" ht="15.75" customHeight="1">
      <c r="J340" s="60"/>
    </row>
    <row r="341" ht="15.75" customHeight="1">
      <c r="J341" s="60"/>
    </row>
    <row r="342" ht="15.75" customHeight="1">
      <c r="J342" s="60"/>
    </row>
    <row r="343" ht="15.75" customHeight="1">
      <c r="J343" s="60"/>
    </row>
    <row r="344" ht="15.75" customHeight="1">
      <c r="J344" s="60"/>
    </row>
    <row r="345" ht="15.75" customHeight="1">
      <c r="J345" s="60"/>
    </row>
    <row r="346" ht="15.75" customHeight="1">
      <c r="J346" s="60"/>
    </row>
    <row r="347" ht="15.75" customHeight="1">
      <c r="J347" s="60"/>
    </row>
    <row r="348" ht="15.75" customHeight="1">
      <c r="J348" s="60"/>
    </row>
    <row r="349" ht="15.75" customHeight="1">
      <c r="J349" s="60"/>
    </row>
  </sheetData>
  <mergeCells count="30">
    <mergeCell ref="A1:B1"/>
    <mergeCell ref="A2:B2"/>
    <mergeCell ref="D2:J2"/>
    <mergeCell ref="L2:M3"/>
    <mergeCell ref="D3:E3"/>
    <mergeCell ref="E5:E24"/>
    <mergeCell ref="J5:J24"/>
    <mergeCell ref="D5:D24"/>
    <mergeCell ref="D25:D44"/>
    <mergeCell ref="E25:E44"/>
    <mergeCell ref="J25:J44"/>
    <mergeCell ref="D45:D64"/>
    <mergeCell ref="E45:E64"/>
    <mergeCell ref="J45:J64"/>
    <mergeCell ref="J85:J104"/>
    <mergeCell ref="J105:J124"/>
    <mergeCell ref="J125:J144"/>
    <mergeCell ref="J145:J164"/>
    <mergeCell ref="D125:D144"/>
    <mergeCell ref="E125:E144"/>
    <mergeCell ref="D145:D164"/>
    <mergeCell ref="E145:E164"/>
    <mergeCell ref="D165:I165"/>
    <mergeCell ref="D65:D84"/>
    <mergeCell ref="E65:E84"/>
    <mergeCell ref="J65:J84"/>
    <mergeCell ref="D85:D104"/>
    <mergeCell ref="E85:E104"/>
    <mergeCell ref="D105:D124"/>
    <mergeCell ref="E105:E1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5" t="s">
        <v>37</v>
      </c>
      <c r="B1" s="5"/>
      <c r="C1" s="26"/>
      <c r="D1" s="26"/>
      <c r="E1" s="26"/>
      <c r="F1" s="27"/>
      <c r="G1" s="27"/>
      <c r="H1" s="27"/>
      <c r="I1" s="27"/>
      <c r="J1" s="28"/>
      <c r="K1" s="27"/>
      <c r="L1" s="27"/>
      <c r="M1" s="27"/>
      <c r="N1" s="27"/>
    </row>
    <row r="2" ht="15.75" customHeight="1">
      <c r="A2" s="29" t="s">
        <v>38</v>
      </c>
      <c r="B2" s="5"/>
      <c r="C2" s="30"/>
      <c r="D2" s="30" t="s">
        <v>39</v>
      </c>
      <c r="K2" s="27"/>
      <c r="L2" s="31" t="s">
        <v>40</v>
      </c>
      <c r="M2" s="32"/>
      <c r="N2" s="27"/>
    </row>
    <row r="3" ht="36.75" customHeight="1">
      <c r="A3" s="33" t="s">
        <v>41</v>
      </c>
      <c r="B3" s="34" t="s">
        <v>42</v>
      </c>
      <c r="C3" s="26"/>
      <c r="D3" s="35" t="s">
        <v>72</v>
      </c>
      <c r="F3" s="27"/>
      <c r="G3" s="27"/>
      <c r="H3" s="27"/>
      <c r="I3" s="27"/>
      <c r="J3" s="36"/>
      <c r="K3" s="27"/>
      <c r="L3" s="37"/>
      <c r="M3" s="12"/>
      <c r="N3" s="27"/>
    </row>
    <row r="4" ht="15.75" customHeight="1">
      <c r="A4" s="38" t="s">
        <v>19</v>
      </c>
      <c r="B4" s="39">
        <v>3100.0</v>
      </c>
      <c r="C4" s="40"/>
      <c r="D4" s="41" t="s">
        <v>1</v>
      </c>
      <c r="E4" s="41" t="s">
        <v>44</v>
      </c>
      <c r="F4" s="42" t="s">
        <v>45</v>
      </c>
      <c r="G4" s="43" t="s">
        <v>46</v>
      </c>
      <c r="H4" s="43" t="s">
        <v>47</v>
      </c>
      <c r="I4" s="43" t="s">
        <v>48</v>
      </c>
      <c r="J4" s="44" t="s">
        <v>49</v>
      </c>
      <c r="K4" s="27"/>
      <c r="L4" s="45" t="s">
        <v>50</v>
      </c>
      <c r="M4" s="45" t="s">
        <v>46</v>
      </c>
      <c r="N4" s="27"/>
    </row>
    <row r="5" ht="15.75" customHeight="1">
      <c r="A5" s="38" t="s">
        <v>51</v>
      </c>
      <c r="B5" s="39">
        <v>3000.0</v>
      </c>
      <c r="C5" s="46"/>
      <c r="D5" s="47">
        <v>1.0</v>
      </c>
      <c r="E5" s="48" t="s">
        <v>81</v>
      </c>
      <c r="F5" s="38" t="s">
        <v>19</v>
      </c>
      <c r="G5" s="49"/>
      <c r="H5" s="50">
        <f>VLOOKUP(F5,$A$4:$B$4,2,TRUE)</f>
        <v>3100</v>
      </c>
      <c r="I5" s="51">
        <f t="shared" ref="I5:I24" si="1">G5*H5</f>
        <v>0</v>
      </c>
      <c r="J5" s="52">
        <f>SUM(I5:I24)</f>
        <v>72400</v>
      </c>
      <c r="K5" s="27"/>
      <c r="L5" s="38" t="s">
        <v>19</v>
      </c>
      <c r="M5" s="45">
        <f>SUMIF(F5:F24,"Gelas bersih",G5:G24)</f>
        <v>0</v>
      </c>
      <c r="N5" s="27"/>
    </row>
    <row r="6" ht="15.75" customHeight="1">
      <c r="A6" s="38" t="s">
        <v>53</v>
      </c>
      <c r="B6" s="39">
        <v>800.0</v>
      </c>
      <c r="C6" s="46"/>
      <c r="D6" s="53"/>
      <c r="E6" s="53"/>
      <c r="F6" s="38" t="s">
        <v>51</v>
      </c>
      <c r="G6" s="49">
        <f>4.5+2+1</f>
        <v>7.5</v>
      </c>
      <c r="H6" s="54">
        <f>VLOOKUP(F6,$A$5:$B$5,2,TRUE)</f>
        <v>3000</v>
      </c>
      <c r="I6" s="51">
        <f t="shared" si="1"/>
        <v>22500</v>
      </c>
      <c r="J6" s="53"/>
      <c r="K6" s="27"/>
      <c r="L6" s="38" t="s">
        <v>51</v>
      </c>
      <c r="M6" s="45">
        <f>SUMIF(F6:F25,"Botol bersih",G6:G25)</f>
        <v>7.5</v>
      </c>
      <c r="N6" s="27"/>
    </row>
    <row r="7" ht="15.75" customHeight="1">
      <c r="A7" s="38" t="s">
        <v>22</v>
      </c>
      <c r="B7" s="39">
        <v>2000.0</v>
      </c>
      <c r="C7" s="46"/>
      <c r="D7" s="53"/>
      <c r="E7" s="53"/>
      <c r="F7" s="38" t="s">
        <v>53</v>
      </c>
      <c r="G7" s="49"/>
      <c r="H7" s="54">
        <f>VLOOKUP(F7,$A$6:$B$6,2,TRUE)</f>
        <v>800</v>
      </c>
      <c r="I7" s="51">
        <f t="shared" si="1"/>
        <v>0</v>
      </c>
      <c r="J7" s="53"/>
      <c r="K7" s="27"/>
      <c r="L7" s="38" t="s">
        <v>53</v>
      </c>
      <c r="M7" s="45">
        <f>SUMIF(F7:F25,"Botol Warna",G7:G25)</f>
        <v>0</v>
      </c>
      <c r="N7" s="27"/>
    </row>
    <row r="8" ht="15.75" customHeight="1">
      <c r="A8" s="38" t="s">
        <v>23</v>
      </c>
      <c r="B8" s="39">
        <v>2800.0</v>
      </c>
      <c r="C8" s="46"/>
      <c r="D8" s="53"/>
      <c r="E8" s="53"/>
      <c r="F8" s="38" t="s">
        <v>22</v>
      </c>
      <c r="G8" s="49">
        <v>1.0</v>
      </c>
      <c r="H8" s="54">
        <f>VLOOKUP(F8,$A$7:$B$7,2,TRUE)</f>
        <v>2000</v>
      </c>
      <c r="I8" s="51">
        <f t="shared" si="1"/>
        <v>2000</v>
      </c>
      <c r="J8" s="53"/>
      <c r="K8" s="27"/>
      <c r="L8" s="38" t="s">
        <v>22</v>
      </c>
      <c r="M8" s="45">
        <f>SUMIF(F8:F26,"Tutup botol",G8:G26)</f>
        <v>1</v>
      </c>
      <c r="N8" s="27"/>
    </row>
    <row r="9" ht="15.75" customHeight="1">
      <c r="A9" s="38" t="s">
        <v>54</v>
      </c>
      <c r="B9" s="39">
        <v>800.0</v>
      </c>
      <c r="C9" s="46"/>
      <c r="D9" s="53"/>
      <c r="E9" s="53"/>
      <c r="F9" s="38" t="s">
        <v>23</v>
      </c>
      <c r="G9" s="49"/>
      <c r="H9" s="54">
        <f>VLOOKUP(F9, $A$8:$B$8, 2, FALSE)</f>
        <v>2800</v>
      </c>
      <c r="I9" s="51">
        <f t="shared" si="1"/>
        <v>0</v>
      </c>
      <c r="J9" s="53"/>
      <c r="K9" s="27"/>
      <c r="L9" s="38" t="s">
        <v>23</v>
      </c>
      <c r="M9" s="45">
        <f>SUMIF(F9:F27,"Tutup galon",G9:G27)</f>
        <v>0</v>
      </c>
      <c r="N9" s="27"/>
    </row>
    <row r="10" ht="15.75" customHeight="1">
      <c r="A10" s="38" t="s">
        <v>25</v>
      </c>
      <c r="B10" s="39">
        <v>1500.0</v>
      </c>
      <c r="C10" s="46"/>
      <c r="D10" s="53"/>
      <c r="E10" s="53"/>
      <c r="F10" s="38" t="s">
        <v>54</v>
      </c>
      <c r="G10" s="49">
        <f>4+3+1.5</f>
        <v>8.5</v>
      </c>
      <c r="H10" s="54">
        <f>VLOOKUP(F10, $A$9:$B$9, 2, FALSE)</f>
        <v>800</v>
      </c>
      <c r="I10" s="51">
        <f t="shared" si="1"/>
        <v>6800</v>
      </c>
      <c r="J10" s="53"/>
      <c r="K10" s="27"/>
      <c r="L10" s="38" t="s">
        <v>54</v>
      </c>
      <c r="M10" s="45">
        <f>SUMIF(F10:F29,"Emberan/Atum",G10:G29)</f>
        <v>8.5</v>
      </c>
      <c r="N10" s="27"/>
    </row>
    <row r="11" ht="15.75" customHeight="1">
      <c r="A11" s="38" t="s">
        <v>26</v>
      </c>
      <c r="B11" s="39">
        <v>1200.0</v>
      </c>
      <c r="C11" s="46"/>
      <c r="D11" s="53"/>
      <c r="E11" s="53"/>
      <c r="F11" s="38" t="s">
        <v>25</v>
      </c>
      <c r="G11" s="49"/>
      <c r="H11" s="54">
        <f>VLOOKUP(F11,$A$10:$B$10,2,TRUE)</f>
        <v>1500</v>
      </c>
      <c r="I11" s="51">
        <f t="shared" si="1"/>
        <v>0</v>
      </c>
      <c r="J11" s="53"/>
      <c r="K11" s="27"/>
      <c r="L11" s="38" t="s">
        <v>25</v>
      </c>
      <c r="M11" s="45">
        <f>SUMIF(F11:F30,"Kardus",G11:G30)</f>
        <v>0</v>
      </c>
      <c r="N11" s="27"/>
    </row>
    <row r="12" ht="15.75" customHeight="1">
      <c r="A12" s="38" t="s">
        <v>28</v>
      </c>
      <c r="B12" s="39">
        <v>500.0</v>
      </c>
      <c r="C12" s="46"/>
      <c r="D12" s="53"/>
      <c r="E12" s="53"/>
      <c r="F12" s="38" t="s">
        <v>26</v>
      </c>
      <c r="G12" s="49"/>
      <c r="H12" s="54">
        <f>VLOOKUP(F12,$A$11:$B$11,2,TRUE)</f>
        <v>1200</v>
      </c>
      <c r="I12" s="51">
        <f t="shared" si="1"/>
        <v>0</v>
      </c>
      <c r="J12" s="53"/>
      <c r="K12" s="27"/>
      <c r="L12" s="38" t="s">
        <v>26</v>
      </c>
      <c r="M12" s="45">
        <f>SUMIF(F12:F32,"Kertas Putihan/HVS",G12:G32)</f>
        <v>0</v>
      </c>
      <c r="N12" s="27"/>
    </row>
    <row r="13" ht="15.75" customHeight="1">
      <c r="A13" s="38" t="s">
        <v>29</v>
      </c>
      <c r="B13" s="39">
        <v>6500.0</v>
      </c>
      <c r="C13" s="46"/>
      <c r="D13" s="53"/>
      <c r="E13" s="53"/>
      <c r="F13" s="38" t="s">
        <v>28</v>
      </c>
      <c r="G13" s="49"/>
      <c r="H13" s="54">
        <f>VLOOKUP(F13,$A$12:$B$12,2,TRUE)</f>
        <v>500</v>
      </c>
      <c r="I13" s="51">
        <f t="shared" si="1"/>
        <v>0</v>
      </c>
      <c r="J13" s="53"/>
      <c r="K13" s="27"/>
      <c r="L13" s="38" t="s">
        <v>28</v>
      </c>
      <c r="M13" s="45">
        <f>SUMIF(F13:F33,"Duplex",G13:G33)</f>
        <v>0</v>
      </c>
      <c r="N13" s="27"/>
    </row>
    <row r="14" ht="15.75" customHeight="1">
      <c r="A14" s="38" t="s">
        <v>30</v>
      </c>
      <c r="B14" s="39">
        <v>2200.0</v>
      </c>
      <c r="C14" s="46"/>
      <c r="D14" s="53"/>
      <c r="E14" s="53"/>
      <c r="F14" s="38" t="s">
        <v>29</v>
      </c>
      <c r="G14" s="49">
        <f>3.5+2.5</f>
        <v>6</v>
      </c>
      <c r="H14" s="54">
        <f>VLOOKUP(F14,$A$13:$B$13,2,TRUE)</f>
        <v>6500</v>
      </c>
      <c r="I14" s="51">
        <f t="shared" si="1"/>
        <v>39000</v>
      </c>
      <c r="J14" s="53"/>
      <c r="K14" s="27"/>
      <c r="L14" s="38" t="s">
        <v>29</v>
      </c>
      <c r="M14" s="45">
        <f>SUMIF(F14:F34,"Alumunium",G14:G34)</f>
        <v>6</v>
      </c>
      <c r="N14" s="27"/>
    </row>
    <row r="15" ht="15.75" customHeight="1">
      <c r="A15" s="38" t="s">
        <v>31</v>
      </c>
      <c r="B15" s="39">
        <v>1300.0</v>
      </c>
      <c r="C15" s="46"/>
      <c r="D15" s="53"/>
      <c r="E15" s="53"/>
      <c r="F15" s="38" t="s">
        <v>30</v>
      </c>
      <c r="G15" s="49"/>
      <c r="H15" s="54">
        <f>VLOOKUP(F15,$A$14:$B$14,2,TRUE)</f>
        <v>2200</v>
      </c>
      <c r="I15" s="51">
        <f t="shared" si="1"/>
        <v>0</v>
      </c>
      <c r="J15" s="53"/>
      <c r="K15" s="27"/>
      <c r="L15" s="38" t="s">
        <v>30</v>
      </c>
      <c r="M15" s="45">
        <f>SUMIF(F15:F35,"Besi",G15:G35)</f>
        <v>0</v>
      </c>
      <c r="N15" s="27"/>
    </row>
    <row r="16" ht="15.75" customHeight="1">
      <c r="A16" s="38" t="s">
        <v>32</v>
      </c>
      <c r="B16" s="39">
        <v>5000.0</v>
      </c>
      <c r="C16" s="46"/>
      <c r="D16" s="53"/>
      <c r="E16" s="53"/>
      <c r="F16" s="38" t="s">
        <v>31</v>
      </c>
      <c r="G16" s="49"/>
      <c r="H16" s="54">
        <f>VLOOKUP(F16,$A$15:$B$15,2,TRUE)</f>
        <v>1300</v>
      </c>
      <c r="I16" s="51">
        <f t="shared" si="1"/>
        <v>0</v>
      </c>
      <c r="J16" s="53"/>
      <c r="K16" s="27"/>
      <c r="L16" s="38" t="s">
        <v>31</v>
      </c>
      <c r="M16" s="45">
        <f>SUMIF(F16:F36,"Kaleng kue/susu",G16:G36)</f>
        <v>0</v>
      </c>
      <c r="N16" s="27"/>
    </row>
    <row r="17" ht="15.75" customHeight="1">
      <c r="A17" s="38" t="s">
        <v>33</v>
      </c>
      <c r="B17" s="39">
        <v>2500.0</v>
      </c>
      <c r="C17" s="46"/>
      <c r="D17" s="53"/>
      <c r="E17" s="53"/>
      <c r="F17" s="38" t="s">
        <v>32</v>
      </c>
      <c r="G17" s="49"/>
      <c r="H17" s="54">
        <f>VLOOKUP(F17,$A$16:$B$16,2,TRUE)</f>
        <v>5000</v>
      </c>
      <c r="I17" s="51">
        <f t="shared" si="1"/>
        <v>0</v>
      </c>
      <c r="J17" s="53"/>
      <c r="K17" s="27"/>
      <c r="L17" s="38" t="s">
        <v>32</v>
      </c>
      <c r="M17" s="45">
        <f>SUMIF(F17:F37,"Kaleng Minuman",G17:G37)</f>
        <v>0</v>
      </c>
      <c r="N17" s="27"/>
    </row>
    <row r="18" ht="15.75" customHeight="1">
      <c r="A18" s="38" t="s">
        <v>35</v>
      </c>
      <c r="B18" s="39">
        <v>10000.0</v>
      </c>
      <c r="C18" s="46"/>
      <c r="D18" s="53"/>
      <c r="E18" s="53"/>
      <c r="F18" s="38" t="s">
        <v>33</v>
      </c>
      <c r="G18" s="49"/>
      <c r="H18" s="54">
        <f>VLOOKUP(F18, $A$17:$B$17, 2, FALSE)</f>
        <v>2500</v>
      </c>
      <c r="I18" s="51">
        <f t="shared" si="1"/>
        <v>0</v>
      </c>
      <c r="J18" s="53"/>
      <c r="K18" s="27"/>
      <c r="L18" s="38" t="s">
        <v>33</v>
      </c>
      <c r="M18" s="45">
        <f>SUMIF(F18:F39,"Stanless",G18:G39)</f>
        <v>0</v>
      </c>
      <c r="N18" s="27"/>
    </row>
    <row r="19" ht="15.75" customHeight="1">
      <c r="A19" s="38" t="s">
        <v>55</v>
      </c>
      <c r="B19" s="39">
        <v>300.0</v>
      </c>
      <c r="C19" s="46"/>
      <c r="D19" s="53"/>
      <c r="E19" s="53"/>
      <c r="F19" s="38" t="s">
        <v>35</v>
      </c>
      <c r="G19" s="49"/>
      <c r="H19" s="54">
        <f>VLOOKUP(F19, $A$18:$B$18, 2, FALSE)</f>
        <v>10000</v>
      </c>
      <c r="I19" s="51">
        <f t="shared" si="1"/>
        <v>0</v>
      </c>
      <c r="J19" s="53"/>
      <c r="K19" s="27"/>
      <c r="L19" s="38" t="s">
        <v>35</v>
      </c>
      <c r="M19" s="45">
        <f>SUMIF(F19:F41,"Aki Motor",G19:G41)</f>
        <v>0</v>
      </c>
      <c r="N19" s="27"/>
    </row>
    <row r="20" ht="15.75" customHeight="1">
      <c r="A20" s="38" t="s">
        <v>15</v>
      </c>
      <c r="B20" s="39">
        <v>300.0</v>
      </c>
      <c r="C20" s="46"/>
      <c r="D20" s="53"/>
      <c r="E20" s="53"/>
      <c r="F20" s="38" t="s">
        <v>55</v>
      </c>
      <c r="G20" s="49"/>
      <c r="H20" s="54">
        <f>VLOOKUP(F20,$A$19:$B$19,2,TRUE)</f>
        <v>300</v>
      </c>
      <c r="I20" s="51">
        <f t="shared" si="1"/>
        <v>0</v>
      </c>
      <c r="J20" s="53"/>
      <c r="K20" s="27"/>
      <c r="L20" s="38" t="s">
        <v>55</v>
      </c>
      <c r="M20" s="45">
        <f>SUMIF(F20:F44,"Plastik Keresek",G20:G44)</f>
        <v>0</v>
      </c>
      <c r="N20" s="27"/>
    </row>
    <row r="21" ht="15.75" customHeight="1">
      <c r="A21" s="38" t="s">
        <v>11</v>
      </c>
      <c r="B21" s="39">
        <v>1700.0</v>
      </c>
      <c r="C21" s="46"/>
      <c r="D21" s="53"/>
      <c r="E21" s="53"/>
      <c r="F21" s="38" t="s">
        <v>15</v>
      </c>
      <c r="G21" s="49">
        <v>7.0</v>
      </c>
      <c r="H21" s="54">
        <f>VLOOKUP(F21,$A$20:$B$20,2,TRUE)</f>
        <v>300</v>
      </c>
      <c r="I21" s="51">
        <f t="shared" si="1"/>
        <v>2100</v>
      </c>
      <c r="J21" s="53"/>
      <c r="K21" s="27"/>
      <c r="L21" s="38" t="s">
        <v>15</v>
      </c>
      <c r="M21" s="45">
        <f>SUMIF(F21:F46,"Beling",G21:G46)</f>
        <v>7</v>
      </c>
      <c r="N21" s="27"/>
    </row>
    <row r="22" ht="15.75" customHeight="1">
      <c r="A22" s="38" t="s">
        <v>17</v>
      </c>
      <c r="B22" s="55">
        <v>4500.0</v>
      </c>
      <c r="C22" s="46"/>
      <c r="D22" s="53"/>
      <c r="E22" s="53"/>
      <c r="F22" s="38" t="s">
        <v>11</v>
      </c>
      <c r="G22" s="49"/>
      <c r="H22" s="54">
        <f>VLOOKUP(F22,$A$21:$B$21,2,TRUE)</f>
        <v>1700</v>
      </c>
      <c r="I22" s="51">
        <f t="shared" si="1"/>
        <v>0</v>
      </c>
      <c r="J22" s="53"/>
      <c r="K22" s="27"/>
      <c r="L22" s="38" t="s">
        <v>11</v>
      </c>
      <c r="M22" s="45">
        <f>SUMIF(F22:F48,"Paku",G22:G48)</f>
        <v>0</v>
      </c>
      <c r="N22" s="27"/>
    </row>
    <row r="23" ht="15.75" customHeight="1">
      <c r="A23" s="38" t="s">
        <v>56</v>
      </c>
      <c r="B23" s="39">
        <v>500.0</v>
      </c>
      <c r="C23" s="46"/>
      <c r="D23" s="53"/>
      <c r="E23" s="53"/>
      <c r="F23" s="38" t="s">
        <v>17</v>
      </c>
      <c r="G23" s="49"/>
      <c r="H23" s="54">
        <f>VLOOKUP(F22,$A$22:$B$22,2,TRUE)</f>
        <v>4500</v>
      </c>
      <c r="I23" s="51">
        <f t="shared" si="1"/>
        <v>0</v>
      </c>
      <c r="J23" s="53"/>
      <c r="K23" s="27"/>
      <c r="L23" s="38" t="s">
        <v>17</v>
      </c>
      <c r="M23" s="45">
        <f>SUMIF(F23:F49,"Minyak Jelantah",G23:G49)</f>
        <v>0</v>
      </c>
      <c r="N23" s="27"/>
    </row>
    <row r="24" ht="15.75" customHeight="1">
      <c r="A24" s="46"/>
      <c r="B24" s="46"/>
      <c r="C24" s="46"/>
      <c r="D24" s="14"/>
      <c r="E24" s="14"/>
      <c r="F24" s="38" t="s">
        <v>56</v>
      </c>
      <c r="G24" s="49">
        <v>4.0</v>
      </c>
      <c r="H24" s="54"/>
      <c r="I24" s="51">
        <f t="shared" si="1"/>
        <v>0</v>
      </c>
      <c r="J24" s="14"/>
      <c r="K24" s="27"/>
      <c r="L24" s="38" t="s">
        <v>56</v>
      </c>
      <c r="M24" s="45">
        <f>SUMIF(F24:F50,"Lainnya",G24:G50)</f>
        <v>4</v>
      </c>
      <c r="N24" s="27"/>
    </row>
    <row r="25" ht="15.75" customHeight="1">
      <c r="A25" s="46"/>
      <c r="B25" s="46"/>
      <c r="C25" s="46"/>
      <c r="D25" s="58" t="s">
        <v>59</v>
      </c>
      <c r="E25" s="4"/>
      <c r="F25" s="4"/>
      <c r="G25" s="4"/>
      <c r="H25" s="4"/>
      <c r="I25" s="5"/>
      <c r="J25" s="59">
        <f>SUM(J5:J24)</f>
        <v>72400</v>
      </c>
      <c r="K25" s="27"/>
      <c r="L25" s="27"/>
      <c r="M25" s="27"/>
      <c r="N25" s="27"/>
    </row>
    <row r="26" ht="15.75" customHeight="1">
      <c r="A26" s="46"/>
      <c r="B26" s="46"/>
      <c r="C26" s="46"/>
      <c r="D26" s="26"/>
      <c r="E26" s="26"/>
      <c r="F26" s="27"/>
      <c r="G26" s="27"/>
      <c r="H26" s="27"/>
      <c r="I26" s="27"/>
      <c r="J26" s="28"/>
      <c r="K26" s="27"/>
      <c r="L26" s="27"/>
      <c r="M26" s="27"/>
      <c r="N26" s="27"/>
    </row>
    <row r="27" ht="15.75" customHeight="1">
      <c r="A27" s="46"/>
      <c r="B27" s="46"/>
      <c r="C27" s="46"/>
      <c r="D27" s="26"/>
      <c r="E27" s="26"/>
      <c r="F27" s="27"/>
      <c r="G27" s="27"/>
      <c r="H27" s="27"/>
      <c r="I27" s="27"/>
      <c r="J27" s="28"/>
      <c r="K27" s="27"/>
      <c r="L27" s="27"/>
      <c r="M27" s="27"/>
      <c r="N27" s="27"/>
    </row>
    <row r="28" ht="15.75" customHeight="1">
      <c r="A28" s="46"/>
      <c r="B28" s="46"/>
      <c r="C28" s="46"/>
      <c r="D28" s="26"/>
      <c r="E28" s="26"/>
      <c r="F28" s="27"/>
      <c r="G28" s="27"/>
      <c r="H28" s="27"/>
      <c r="I28" s="27"/>
      <c r="J28" s="28"/>
      <c r="K28" s="27"/>
      <c r="L28" s="27"/>
      <c r="M28" s="27"/>
      <c r="N28" s="27"/>
    </row>
    <row r="29" ht="15.75" customHeight="1">
      <c r="A29" s="46"/>
      <c r="B29" s="46"/>
      <c r="C29" s="46"/>
      <c r="D29" s="26"/>
      <c r="E29" s="26"/>
      <c r="F29" s="27"/>
      <c r="G29" s="27"/>
      <c r="H29" s="27"/>
      <c r="I29" s="27"/>
      <c r="J29" s="28"/>
      <c r="K29" s="27"/>
      <c r="L29" s="27"/>
      <c r="M29" s="27"/>
      <c r="N29" s="27"/>
    </row>
    <row r="30" ht="15.75" customHeight="1">
      <c r="A30" s="46"/>
      <c r="B30" s="46"/>
      <c r="C30" s="46"/>
      <c r="D30" s="26"/>
      <c r="E30" s="26"/>
      <c r="F30" s="27"/>
      <c r="G30" s="27"/>
      <c r="H30" s="27"/>
      <c r="I30" s="27"/>
      <c r="J30" s="28"/>
      <c r="K30" s="27"/>
      <c r="L30" s="27"/>
      <c r="M30" s="27"/>
      <c r="N30" s="27"/>
    </row>
    <row r="31" ht="15.75" customHeight="1">
      <c r="A31" s="46"/>
      <c r="B31" s="46"/>
      <c r="C31" s="46"/>
      <c r="D31" s="26"/>
      <c r="E31" s="26"/>
      <c r="F31" s="27"/>
      <c r="G31" s="27"/>
      <c r="H31" s="27"/>
      <c r="I31" s="27"/>
      <c r="J31" s="28"/>
      <c r="K31" s="27"/>
      <c r="L31" s="27"/>
      <c r="M31" s="27"/>
      <c r="N31" s="27"/>
    </row>
    <row r="32" ht="15.75" customHeight="1">
      <c r="A32" s="46"/>
      <c r="B32" s="46"/>
      <c r="C32" s="46"/>
      <c r="D32" s="26"/>
      <c r="E32" s="26"/>
      <c r="F32" s="27"/>
      <c r="G32" s="27"/>
      <c r="H32" s="27"/>
      <c r="I32" s="27"/>
      <c r="J32" s="28"/>
      <c r="K32" s="27"/>
      <c r="L32" s="27"/>
      <c r="M32" s="27"/>
      <c r="N32" s="27"/>
    </row>
    <row r="33" ht="15.75" customHeight="1">
      <c r="A33" s="46"/>
      <c r="B33" s="46"/>
      <c r="C33" s="46"/>
      <c r="D33" s="26"/>
      <c r="E33" s="26"/>
      <c r="F33" s="27"/>
      <c r="G33" s="27"/>
      <c r="H33" s="27"/>
      <c r="I33" s="27"/>
      <c r="J33" s="28"/>
      <c r="K33" s="27"/>
      <c r="L33" s="27"/>
      <c r="M33" s="27"/>
      <c r="N33" s="27"/>
    </row>
    <row r="34" ht="15.75" customHeight="1">
      <c r="A34" s="46"/>
      <c r="B34" s="46"/>
      <c r="C34" s="46"/>
      <c r="D34" s="26"/>
      <c r="E34" s="26"/>
      <c r="J34" s="28"/>
      <c r="K34" s="27"/>
      <c r="L34" s="27"/>
      <c r="M34" s="27"/>
      <c r="N34" s="27"/>
    </row>
    <row r="35" ht="15.75" customHeight="1">
      <c r="A35" s="46"/>
      <c r="B35" s="46"/>
      <c r="C35" s="46"/>
      <c r="D35" s="26"/>
      <c r="E35" s="26"/>
      <c r="J35" s="28"/>
      <c r="K35" s="27"/>
      <c r="L35" s="27"/>
      <c r="M35" s="27"/>
      <c r="N35" s="27"/>
    </row>
    <row r="36" ht="15.75" customHeight="1">
      <c r="A36" s="46"/>
      <c r="B36" s="46"/>
      <c r="C36" s="46"/>
      <c r="D36" s="26"/>
      <c r="E36" s="26"/>
      <c r="J36" s="28"/>
      <c r="K36" s="27"/>
      <c r="L36" s="27"/>
      <c r="M36" s="27"/>
      <c r="N36" s="27"/>
    </row>
    <row r="37" ht="15.75" customHeight="1">
      <c r="A37" s="46"/>
      <c r="B37" s="46"/>
      <c r="C37" s="46"/>
      <c r="D37" s="26"/>
      <c r="E37" s="26"/>
      <c r="J37" s="28"/>
      <c r="K37" s="27"/>
      <c r="L37" s="27"/>
      <c r="M37" s="27"/>
      <c r="N37" s="27"/>
    </row>
    <row r="38" ht="15.75" customHeight="1">
      <c r="A38" s="46"/>
      <c r="B38" s="46"/>
      <c r="C38" s="46"/>
      <c r="D38" s="26"/>
      <c r="E38" s="26"/>
      <c r="J38" s="28"/>
      <c r="K38" s="27"/>
      <c r="L38" s="27"/>
      <c r="M38" s="27"/>
      <c r="N38" s="27"/>
    </row>
    <row r="39" ht="15.75" customHeight="1">
      <c r="A39" s="46"/>
      <c r="B39" s="46"/>
      <c r="C39" s="46"/>
      <c r="D39" s="26"/>
      <c r="E39" s="26"/>
      <c r="J39" s="28"/>
      <c r="K39" s="27"/>
      <c r="L39" s="27"/>
      <c r="M39" s="27"/>
      <c r="N39" s="27"/>
    </row>
    <row r="40" ht="15.75" customHeight="1">
      <c r="A40" s="46"/>
      <c r="B40" s="46"/>
      <c r="C40" s="46"/>
      <c r="D40" s="26"/>
      <c r="E40" s="26"/>
      <c r="J40" s="28"/>
      <c r="K40" s="27"/>
      <c r="L40" s="27"/>
      <c r="M40" s="27"/>
      <c r="N40" s="27"/>
    </row>
    <row r="41" ht="15.75" customHeight="1">
      <c r="A41" s="46"/>
      <c r="B41" s="46"/>
      <c r="C41" s="46"/>
      <c r="D41" s="26"/>
      <c r="E41" s="26"/>
      <c r="J41" s="28"/>
      <c r="K41" s="27"/>
      <c r="L41" s="27"/>
      <c r="M41" s="27"/>
      <c r="N41" s="27"/>
    </row>
    <row r="42" ht="15.75" customHeight="1">
      <c r="A42" s="46"/>
      <c r="B42" s="46"/>
      <c r="C42" s="46"/>
      <c r="D42" s="26"/>
      <c r="E42" s="26"/>
      <c r="J42" s="28"/>
      <c r="K42" s="27"/>
      <c r="L42" s="27"/>
      <c r="M42" s="27"/>
      <c r="N42" s="27"/>
    </row>
    <row r="43" ht="15.75" customHeight="1">
      <c r="A43" s="46"/>
      <c r="B43" s="46"/>
      <c r="C43" s="46"/>
      <c r="D43" s="26"/>
      <c r="E43" s="26"/>
      <c r="J43" s="28"/>
      <c r="K43" s="27"/>
      <c r="L43" s="27"/>
      <c r="M43" s="27"/>
      <c r="N43" s="27"/>
    </row>
    <row r="44" ht="15.75" customHeight="1">
      <c r="A44" s="46"/>
      <c r="B44" s="46"/>
      <c r="C44" s="46"/>
      <c r="D44" s="26"/>
      <c r="E44" s="26"/>
      <c r="J44" s="28"/>
      <c r="K44" s="27"/>
      <c r="L44" s="27"/>
      <c r="M44" s="27"/>
      <c r="N44" s="27"/>
    </row>
    <row r="45" ht="15.75" customHeight="1">
      <c r="A45" s="46"/>
      <c r="B45" s="46"/>
      <c r="C45" s="46"/>
      <c r="D45" s="26"/>
      <c r="E45" s="26"/>
      <c r="J45" s="28"/>
      <c r="K45" s="27"/>
      <c r="L45" s="27"/>
      <c r="M45" s="27"/>
      <c r="N45" s="27"/>
    </row>
    <row r="46" ht="15.75" customHeight="1">
      <c r="A46" s="46"/>
      <c r="B46" s="46"/>
      <c r="C46" s="46"/>
      <c r="D46" s="26"/>
      <c r="E46" s="26"/>
      <c r="J46" s="28"/>
      <c r="K46" s="27"/>
      <c r="L46" s="27"/>
      <c r="M46" s="27"/>
      <c r="N46" s="27"/>
    </row>
    <row r="47" ht="15.75" customHeight="1">
      <c r="A47" s="46"/>
      <c r="B47" s="46"/>
      <c r="C47" s="46"/>
      <c r="D47" s="26"/>
      <c r="E47" s="26"/>
      <c r="J47" s="28"/>
      <c r="K47" s="27"/>
      <c r="L47" s="27"/>
      <c r="M47" s="27"/>
      <c r="N47" s="27"/>
    </row>
    <row r="48" ht="15.75" customHeight="1">
      <c r="A48" s="46"/>
      <c r="B48" s="46"/>
      <c r="C48" s="46"/>
      <c r="D48" s="26"/>
      <c r="E48" s="26"/>
      <c r="J48" s="28"/>
      <c r="K48" s="27"/>
      <c r="L48" s="27"/>
      <c r="M48" s="27"/>
      <c r="N48" s="27"/>
    </row>
    <row r="49" ht="15.75" customHeight="1">
      <c r="A49" s="46"/>
      <c r="B49" s="46"/>
      <c r="C49" s="46"/>
      <c r="D49" s="26"/>
      <c r="E49" s="26"/>
      <c r="J49" s="28"/>
      <c r="K49" s="27"/>
      <c r="L49" s="27"/>
      <c r="M49" s="27"/>
      <c r="N49" s="27"/>
    </row>
    <row r="50" ht="15.75" customHeight="1">
      <c r="A50" s="46"/>
      <c r="B50" s="46"/>
      <c r="C50" s="46"/>
      <c r="D50" s="26"/>
      <c r="E50" s="26"/>
      <c r="J50" s="28"/>
      <c r="K50" s="27"/>
      <c r="L50" s="27"/>
      <c r="M50" s="27"/>
      <c r="N50" s="27"/>
    </row>
    <row r="51" ht="15.75" customHeight="1">
      <c r="A51" s="46"/>
      <c r="B51" s="46"/>
      <c r="C51" s="46"/>
      <c r="D51" s="26"/>
      <c r="E51" s="26"/>
      <c r="J51" s="28"/>
      <c r="K51" s="27"/>
      <c r="L51" s="27"/>
      <c r="M51" s="27"/>
      <c r="N51" s="27"/>
    </row>
    <row r="52" ht="15.75" customHeight="1">
      <c r="A52" s="46"/>
      <c r="B52" s="46"/>
      <c r="C52" s="46"/>
      <c r="D52" s="26"/>
      <c r="E52" s="26"/>
      <c r="J52" s="28"/>
      <c r="K52" s="27"/>
      <c r="L52" s="27"/>
      <c r="M52" s="27"/>
      <c r="N52" s="27"/>
    </row>
    <row r="53" ht="15.75" customHeight="1">
      <c r="A53" s="46"/>
      <c r="B53" s="46"/>
      <c r="C53" s="46"/>
      <c r="D53" s="26"/>
      <c r="E53" s="26"/>
      <c r="J53" s="28"/>
      <c r="K53" s="27"/>
      <c r="L53" s="27"/>
      <c r="M53" s="27"/>
      <c r="N53" s="27"/>
    </row>
    <row r="54" ht="15.75" customHeight="1">
      <c r="A54" s="46"/>
      <c r="B54" s="46"/>
      <c r="C54" s="46"/>
      <c r="D54" s="26"/>
      <c r="E54" s="26"/>
      <c r="J54" s="28"/>
      <c r="K54" s="27"/>
      <c r="L54" s="27"/>
      <c r="M54" s="27"/>
      <c r="N54" s="27"/>
    </row>
    <row r="55" ht="15.75" customHeight="1">
      <c r="A55" s="46"/>
      <c r="B55" s="46"/>
      <c r="C55" s="46"/>
      <c r="D55" s="26"/>
      <c r="E55" s="26"/>
      <c r="J55" s="28"/>
      <c r="K55" s="27"/>
      <c r="L55" s="27"/>
      <c r="M55" s="27"/>
      <c r="N55" s="27"/>
    </row>
    <row r="56" ht="15.75" customHeight="1">
      <c r="A56" s="46"/>
      <c r="B56" s="46"/>
      <c r="C56" s="46"/>
      <c r="D56" s="26"/>
      <c r="E56" s="26"/>
      <c r="J56" s="28"/>
      <c r="K56" s="27"/>
      <c r="L56" s="27"/>
      <c r="M56" s="27"/>
      <c r="N56" s="27"/>
    </row>
    <row r="57" ht="15.75" customHeight="1">
      <c r="A57" s="46"/>
      <c r="B57" s="46"/>
      <c r="C57" s="46"/>
      <c r="D57" s="26"/>
      <c r="E57" s="26"/>
      <c r="J57" s="28"/>
      <c r="K57" s="27"/>
      <c r="L57" s="27"/>
      <c r="M57" s="27"/>
      <c r="N57" s="27"/>
    </row>
    <row r="58" ht="15.75" customHeight="1">
      <c r="A58" s="46"/>
      <c r="B58" s="46"/>
      <c r="C58" s="46"/>
      <c r="D58" s="26"/>
      <c r="E58" s="26"/>
      <c r="J58" s="28"/>
      <c r="K58" s="27"/>
      <c r="L58" s="27"/>
      <c r="M58" s="27"/>
      <c r="N58" s="27"/>
    </row>
    <row r="59" ht="15.75" customHeight="1">
      <c r="A59" s="46"/>
      <c r="B59" s="46"/>
      <c r="C59" s="46"/>
      <c r="D59" s="26"/>
      <c r="E59" s="26"/>
      <c r="J59" s="28"/>
      <c r="K59" s="27"/>
      <c r="L59" s="27"/>
      <c r="M59" s="27"/>
      <c r="N59" s="27"/>
    </row>
    <row r="60" ht="15.75" customHeight="1">
      <c r="A60" s="46"/>
      <c r="B60" s="46"/>
      <c r="C60" s="46"/>
      <c r="D60" s="26"/>
      <c r="E60" s="26"/>
      <c r="J60" s="28"/>
      <c r="K60" s="27"/>
      <c r="L60" s="27"/>
      <c r="M60" s="27"/>
      <c r="N60" s="27"/>
    </row>
    <row r="61" ht="15.75" customHeight="1">
      <c r="A61" s="46"/>
      <c r="B61" s="46"/>
      <c r="C61" s="46"/>
      <c r="D61" s="26"/>
      <c r="E61" s="26"/>
      <c r="J61" s="28"/>
      <c r="K61" s="27"/>
      <c r="L61" s="27"/>
      <c r="M61" s="27"/>
      <c r="N61" s="27"/>
    </row>
    <row r="62" ht="15.75" customHeight="1">
      <c r="A62" s="46"/>
      <c r="B62" s="46"/>
      <c r="C62" s="46"/>
      <c r="D62" s="26"/>
      <c r="E62" s="26"/>
      <c r="J62" s="28"/>
      <c r="K62" s="27"/>
      <c r="L62" s="27"/>
      <c r="M62" s="27"/>
      <c r="N62" s="27"/>
    </row>
    <row r="63" ht="15.75" customHeight="1">
      <c r="A63" s="46"/>
      <c r="B63" s="46"/>
      <c r="C63" s="46"/>
      <c r="D63" s="26"/>
      <c r="E63" s="26"/>
      <c r="J63" s="28"/>
      <c r="K63" s="27"/>
      <c r="L63" s="27"/>
      <c r="M63" s="27"/>
      <c r="N63" s="27"/>
    </row>
    <row r="64" ht="15.75" customHeight="1">
      <c r="A64" s="46"/>
      <c r="B64" s="46"/>
      <c r="C64" s="46"/>
      <c r="D64" s="26"/>
      <c r="E64" s="26"/>
      <c r="J64" s="28"/>
      <c r="K64" s="27"/>
      <c r="L64" s="27"/>
      <c r="M64" s="27"/>
      <c r="N64" s="27"/>
    </row>
    <row r="65" ht="15.75" customHeight="1">
      <c r="A65" s="46"/>
      <c r="B65" s="46"/>
      <c r="C65" s="46"/>
      <c r="D65" s="26"/>
      <c r="E65" s="26"/>
      <c r="J65" s="28"/>
      <c r="K65" s="27"/>
      <c r="L65" s="27"/>
      <c r="M65" s="27"/>
      <c r="N65" s="27"/>
    </row>
    <row r="66" ht="15.75" customHeight="1">
      <c r="A66" s="46"/>
      <c r="B66" s="46"/>
      <c r="C66" s="46"/>
      <c r="D66" s="26"/>
      <c r="E66" s="26"/>
      <c r="J66" s="28"/>
      <c r="K66" s="27"/>
      <c r="L66" s="27"/>
      <c r="M66" s="27"/>
      <c r="N66" s="27"/>
    </row>
    <row r="67" ht="15.75" customHeight="1">
      <c r="A67" s="46"/>
      <c r="B67" s="46"/>
      <c r="C67" s="46"/>
      <c r="D67" s="26"/>
      <c r="E67" s="26"/>
      <c r="J67" s="28"/>
      <c r="K67" s="27"/>
      <c r="L67" s="27"/>
      <c r="M67" s="27"/>
      <c r="N67" s="27"/>
    </row>
    <row r="68" ht="15.75" customHeight="1">
      <c r="A68" s="46"/>
      <c r="B68" s="46"/>
      <c r="C68" s="46"/>
      <c r="D68" s="26"/>
      <c r="E68" s="26"/>
      <c r="J68" s="28"/>
      <c r="K68" s="27"/>
      <c r="L68" s="27"/>
      <c r="M68" s="27"/>
      <c r="N68" s="27"/>
    </row>
    <row r="69" ht="15.75" customHeight="1">
      <c r="A69" s="46"/>
      <c r="B69" s="46"/>
      <c r="C69" s="46"/>
      <c r="D69" s="26"/>
      <c r="E69" s="26"/>
      <c r="J69" s="28"/>
      <c r="K69" s="27"/>
      <c r="L69" s="27"/>
      <c r="M69" s="27"/>
      <c r="N69" s="27"/>
    </row>
    <row r="70" ht="15.75" customHeight="1">
      <c r="A70" s="46"/>
      <c r="B70" s="46"/>
      <c r="C70" s="46"/>
      <c r="D70" s="26"/>
      <c r="E70" s="26"/>
      <c r="J70" s="28"/>
      <c r="K70" s="27"/>
      <c r="L70" s="27"/>
      <c r="M70" s="27"/>
      <c r="N70" s="27"/>
    </row>
    <row r="71" ht="15.75" customHeight="1">
      <c r="A71" s="46"/>
      <c r="B71" s="46"/>
      <c r="C71" s="46"/>
      <c r="D71" s="26"/>
      <c r="E71" s="26"/>
      <c r="J71" s="28"/>
      <c r="K71" s="27"/>
      <c r="L71" s="27"/>
      <c r="M71" s="27"/>
      <c r="N71" s="27"/>
    </row>
    <row r="72" ht="15.75" customHeight="1">
      <c r="A72" s="46"/>
      <c r="B72" s="46"/>
      <c r="C72" s="46"/>
      <c r="D72" s="26"/>
      <c r="E72" s="26"/>
      <c r="J72" s="28"/>
      <c r="K72" s="27"/>
      <c r="L72" s="27"/>
      <c r="M72" s="27"/>
      <c r="N72" s="27"/>
    </row>
    <row r="73" ht="15.75" customHeight="1">
      <c r="A73" s="46"/>
      <c r="B73" s="46"/>
      <c r="C73" s="46"/>
      <c r="D73" s="26"/>
      <c r="E73" s="26"/>
      <c r="J73" s="28"/>
      <c r="K73" s="27"/>
      <c r="L73" s="27"/>
      <c r="M73" s="27"/>
      <c r="N73" s="27"/>
    </row>
    <row r="74" ht="15.75" customHeight="1">
      <c r="A74" s="46"/>
      <c r="B74" s="46"/>
      <c r="C74" s="46"/>
      <c r="D74" s="26"/>
      <c r="E74" s="26"/>
      <c r="J74" s="28"/>
      <c r="K74" s="27"/>
      <c r="L74" s="27"/>
      <c r="M74" s="27"/>
      <c r="N74" s="27"/>
    </row>
    <row r="75" ht="15.75" customHeight="1">
      <c r="A75" s="46"/>
      <c r="B75" s="46"/>
      <c r="C75" s="46"/>
      <c r="D75" s="26"/>
      <c r="E75" s="26"/>
      <c r="J75" s="28"/>
      <c r="K75" s="27"/>
      <c r="L75" s="27"/>
      <c r="M75" s="27"/>
      <c r="N75" s="27"/>
    </row>
    <row r="76" ht="15.75" customHeight="1">
      <c r="A76" s="46"/>
      <c r="B76" s="46"/>
      <c r="C76" s="46"/>
      <c r="D76" s="26"/>
      <c r="E76" s="26"/>
      <c r="J76" s="28"/>
      <c r="K76" s="27"/>
      <c r="L76" s="27"/>
      <c r="M76" s="27"/>
      <c r="N76" s="27"/>
    </row>
    <row r="77" ht="15.75" customHeight="1">
      <c r="A77" s="46"/>
      <c r="B77" s="46"/>
      <c r="C77" s="46"/>
      <c r="D77" s="26"/>
      <c r="E77" s="26"/>
      <c r="J77" s="28"/>
      <c r="K77" s="27"/>
      <c r="L77" s="27"/>
      <c r="M77" s="27"/>
      <c r="N77" s="27"/>
    </row>
    <row r="78" ht="15.75" customHeight="1">
      <c r="A78" s="46"/>
      <c r="B78" s="46"/>
      <c r="C78" s="46"/>
      <c r="D78" s="26"/>
      <c r="E78" s="26"/>
      <c r="J78" s="28"/>
      <c r="K78" s="27"/>
      <c r="L78" s="27"/>
      <c r="M78" s="27"/>
      <c r="N78" s="27"/>
    </row>
    <row r="79" ht="15.75" customHeight="1">
      <c r="A79" s="46"/>
      <c r="B79" s="46"/>
      <c r="C79" s="46"/>
      <c r="D79" s="26"/>
      <c r="E79" s="26"/>
      <c r="J79" s="28"/>
      <c r="K79" s="27"/>
      <c r="L79" s="27"/>
      <c r="M79" s="27"/>
      <c r="N79" s="27"/>
    </row>
    <row r="80" ht="15.75" customHeight="1">
      <c r="A80" s="46"/>
      <c r="B80" s="46"/>
      <c r="C80" s="46"/>
      <c r="D80" s="26"/>
      <c r="E80" s="26"/>
      <c r="J80" s="28"/>
      <c r="K80" s="27"/>
      <c r="L80" s="27"/>
      <c r="M80" s="27"/>
      <c r="N80" s="27"/>
    </row>
    <row r="81" ht="15.75" customHeight="1">
      <c r="A81" s="46"/>
      <c r="B81" s="46"/>
      <c r="C81" s="46"/>
      <c r="D81" s="26"/>
      <c r="E81" s="26"/>
      <c r="J81" s="28"/>
      <c r="K81" s="27"/>
      <c r="L81" s="27"/>
      <c r="M81" s="27"/>
      <c r="N81" s="27"/>
    </row>
    <row r="82" ht="15.75" customHeight="1">
      <c r="A82" s="46"/>
      <c r="B82" s="46"/>
      <c r="C82" s="46"/>
      <c r="D82" s="26"/>
      <c r="E82" s="26"/>
      <c r="J82" s="28"/>
      <c r="K82" s="27"/>
      <c r="L82" s="27"/>
      <c r="M82" s="27"/>
      <c r="N82" s="27"/>
    </row>
    <row r="83" ht="15.75" customHeight="1">
      <c r="A83" s="46"/>
      <c r="B83" s="46"/>
      <c r="C83" s="46"/>
      <c r="D83" s="26"/>
      <c r="E83" s="26"/>
      <c r="J83" s="28"/>
      <c r="K83" s="27"/>
      <c r="L83" s="27"/>
      <c r="M83" s="27"/>
      <c r="N83" s="27"/>
    </row>
    <row r="84" ht="15.75" customHeight="1">
      <c r="A84" s="46"/>
      <c r="B84" s="46"/>
      <c r="C84" s="46"/>
      <c r="D84" s="26"/>
      <c r="E84" s="26"/>
      <c r="J84" s="28"/>
      <c r="K84" s="27"/>
      <c r="L84" s="27"/>
      <c r="M84" s="27"/>
      <c r="N84" s="27"/>
    </row>
    <row r="85" ht="15.75" customHeight="1">
      <c r="A85" s="46"/>
      <c r="B85" s="46"/>
      <c r="C85" s="46"/>
      <c r="D85" s="26"/>
      <c r="E85" s="26"/>
      <c r="J85" s="28"/>
      <c r="K85" s="27"/>
      <c r="L85" s="27"/>
      <c r="M85" s="27"/>
      <c r="N85" s="27"/>
    </row>
    <row r="86" ht="15.75" customHeight="1">
      <c r="A86" s="46"/>
      <c r="B86" s="46"/>
      <c r="C86" s="46"/>
      <c r="D86" s="26"/>
      <c r="E86" s="26"/>
      <c r="J86" s="28"/>
      <c r="K86" s="27"/>
      <c r="L86" s="27"/>
      <c r="M86" s="27"/>
      <c r="N86" s="27"/>
    </row>
    <row r="87" ht="15.75" customHeight="1">
      <c r="A87" s="46"/>
      <c r="B87" s="46"/>
      <c r="C87" s="46"/>
      <c r="D87" s="26"/>
      <c r="E87" s="26"/>
      <c r="J87" s="28"/>
      <c r="K87" s="27"/>
      <c r="L87" s="27"/>
      <c r="M87" s="27"/>
      <c r="N87" s="27"/>
    </row>
    <row r="88" ht="15.75" customHeight="1">
      <c r="A88" s="46"/>
      <c r="B88" s="46"/>
      <c r="C88" s="46"/>
      <c r="D88" s="26"/>
      <c r="E88" s="26"/>
      <c r="J88" s="28"/>
      <c r="K88" s="27"/>
      <c r="L88" s="27"/>
      <c r="M88" s="27"/>
      <c r="N88" s="27"/>
    </row>
    <row r="89" ht="15.75" customHeight="1">
      <c r="A89" s="46"/>
      <c r="B89" s="46"/>
      <c r="C89" s="46"/>
      <c r="D89" s="26"/>
      <c r="E89" s="26"/>
      <c r="J89" s="28"/>
      <c r="K89" s="27"/>
      <c r="L89" s="27"/>
      <c r="M89" s="27"/>
      <c r="N89" s="27"/>
    </row>
    <row r="90" ht="15.75" customHeight="1">
      <c r="A90" s="46"/>
      <c r="B90" s="46"/>
      <c r="C90" s="46"/>
      <c r="D90" s="26"/>
      <c r="E90" s="26"/>
      <c r="J90" s="28"/>
      <c r="K90" s="27"/>
      <c r="L90" s="27"/>
      <c r="M90" s="27"/>
      <c r="N90" s="27"/>
    </row>
    <row r="91" ht="15.75" customHeight="1">
      <c r="A91" s="46"/>
      <c r="B91" s="46"/>
      <c r="C91" s="46"/>
      <c r="D91" s="26"/>
      <c r="E91" s="26"/>
      <c r="J91" s="28"/>
      <c r="K91" s="27"/>
      <c r="L91" s="27"/>
      <c r="M91" s="27"/>
      <c r="N91" s="27"/>
    </row>
    <row r="92" ht="15.75" customHeight="1">
      <c r="A92" s="46"/>
      <c r="B92" s="46"/>
      <c r="C92" s="46"/>
      <c r="D92" s="26"/>
      <c r="E92" s="26"/>
      <c r="J92" s="28"/>
      <c r="K92" s="27"/>
      <c r="L92" s="27"/>
      <c r="M92" s="27"/>
      <c r="N92" s="27"/>
    </row>
    <row r="93" ht="15.75" customHeight="1">
      <c r="A93" s="46"/>
      <c r="B93" s="46"/>
      <c r="C93" s="46"/>
      <c r="D93" s="26"/>
      <c r="E93" s="26"/>
      <c r="J93" s="28"/>
      <c r="K93" s="27"/>
      <c r="L93" s="27"/>
      <c r="M93" s="27"/>
      <c r="N93" s="27"/>
    </row>
    <row r="94" ht="15.75" customHeight="1">
      <c r="A94" s="46"/>
      <c r="B94" s="46"/>
      <c r="C94" s="46"/>
      <c r="D94" s="26"/>
      <c r="E94" s="26"/>
      <c r="J94" s="28"/>
      <c r="K94" s="27"/>
      <c r="L94" s="27"/>
      <c r="M94" s="27"/>
      <c r="N94" s="27"/>
    </row>
    <row r="95" ht="15.75" customHeight="1">
      <c r="A95" s="46"/>
      <c r="B95" s="46"/>
      <c r="C95" s="46"/>
      <c r="D95" s="26"/>
      <c r="E95" s="26"/>
      <c r="J95" s="28"/>
      <c r="K95" s="27"/>
      <c r="L95" s="27"/>
      <c r="M95" s="27"/>
      <c r="N95" s="27"/>
    </row>
    <row r="96" ht="15.75" customHeight="1">
      <c r="A96" s="46"/>
      <c r="B96" s="46"/>
      <c r="C96" s="46"/>
      <c r="D96" s="26"/>
      <c r="E96" s="26"/>
      <c r="J96" s="28"/>
      <c r="K96" s="27"/>
      <c r="L96" s="27"/>
      <c r="M96" s="27"/>
      <c r="N96" s="27"/>
    </row>
    <row r="97" ht="15.75" customHeight="1">
      <c r="A97" s="46"/>
      <c r="B97" s="46"/>
      <c r="C97" s="46"/>
      <c r="D97" s="26"/>
      <c r="E97" s="26"/>
      <c r="J97" s="28"/>
      <c r="K97" s="27"/>
      <c r="L97" s="27"/>
      <c r="M97" s="27"/>
      <c r="N97" s="27"/>
    </row>
    <row r="98" ht="15.75" customHeight="1">
      <c r="A98" s="46"/>
      <c r="B98" s="46"/>
      <c r="C98" s="46"/>
      <c r="D98" s="26"/>
      <c r="E98" s="26"/>
      <c r="J98" s="28"/>
      <c r="K98" s="27"/>
      <c r="L98" s="27"/>
      <c r="M98" s="27"/>
      <c r="N98" s="27"/>
    </row>
    <row r="99" ht="15.75" customHeight="1">
      <c r="A99" s="46"/>
      <c r="B99" s="46"/>
      <c r="C99" s="46"/>
      <c r="D99" s="26"/>
      <c r="E99" s="26"/>
      <c r="J99" s="28"/>
      <c r="K99" s="27"/>
      <c r="L99" s="27"/>
      <c r="M99" s="27"/>
      <c r="N99" s="27"/>
    </row>
    <row r="100" ht="15.75" customHeight="1">
      <c r="A100" s="46"/>
      <c r="B100" s="46"/>
      <c r="C100" s="46"/>
      <c r="D100" s="26"/>
      <c r="E100" s="26"/>
      <c r="J100" s="28"/>
      <c r="K100" s="27"/>
      <c r="L100" s="27"/>
      <c r="M100" s="27"/>
      <c r="N100" s="27"/>
    </row>
    <row r="101" ht="15.75" customHeight="1">
      <c r="A101" s="46"/>
      <c r="B101" s="46"/>
      <c r="C101" s="46"/>
      <c r="D101" s="26"/>
      <c r="E101" s="26"/>
      <c r="J101" s="28"/>
      <c r="K101" s="27"/>
      <c r="L101" s="27"/>
      <c r="M101" s="27"/>
      <c r="N101" s="27"/>
    </row>
    <row r="102" ht="15.75" customHeight="1">
      <c r="A102" s="46"/>
      <c r="B102" s="46"/>
      <c r="C102" s="46"/>
      <c r="D102" s="26"/>
      <c r="E102" s="26"/>
      <c r="J102" s="28"/>
      <c r="K102" s="27"/>
      <c r="L102" s="27"/>
      <c r="M102" s="27"/>
      <c r="N102" s="27"/>
    </row>
    <row r="103" ht="15.75" customHeight="1">
      <c r="A103" s="46"/>
      <c r="B103" s="46"/>
      <c r="C103" s="46"/>
      <c r="D103" s="26"/>
      <c r="E103" s="26"/>
      <c r="J103" s="28"/>
      <c r="K103" s="27"/>
      <c r="L103" s="27"/>
      <c r="M103" s="27"/>
      <c r="N103" s="27"/>
    </row>
    <row r="104" ht="15.75" customHeight="1">
      <c r="A104" s="46"/>
      <c r="B104" s="46"/>
      <c r="C104" s="46"/>
      <c r="D104" s="26"/>
      <c r="E104" s="26"/>
      <c r="J104" s="28"/>
      <c r="K104" s="27"/>
      <c r="L104" s="27"/>
      <c r="M104" s="27"/>
      <c r="N104" s="27"/>
    </row>
    <row r="105" ht="15.75" customHeight="1">
      <c r="A105" s="46"/>
      <c r="B105" s="46"/>
      <c r="C105" s="46"/>
      <c r="D105" s="26"/>
      <c r="E105" s="26"/>
      <c r="J105" s="28"/>
      <c r="K105" s="27"/>
      <c r="L105" s="27"/>
      <c r="M105" s="27"/>
      <c r="N105" s="27"/>
    </row>
    <row r="106" ht="15.75" customHeight="1">
      <c r="A106" s="46"/>
      <c r="B106" s="46"/>
      <c r="C106" s="46"/>
      <c r="D106" s="26"/>
      <c r="E106" s="26"/>
      <c r="J106" s="28"/>
      <c r="K106" s="27"/>
      <c r="L106" s="27"/>
      <c r="M106" s="27"/>
      <c r="N106" s="27"/>
    </row>
    <row r="107" ht="15.75" customHeight="1">
      <c r="A107" s="46"/>
      <c r="B107" s="46"/>
      <c r="C107" s="46"/>
      <c r="D107" s="26"/>
      <c r="E107" s="26"/>
      <c r="J107" s="28"/>
      <c r="K107" s="27"/>
      <c r="L107" s="27"/>
      <c r="M107" s="27"/>
      <c r="N107" s="27"/>
    </row>
    <row r="108" ht="15.75" customHeight="1">
      <c r="A108" s="46"/>
      <c r="B108" s="46"/>
      <c r="C108" s="46"/>
      <c r="D108" s="26"/>
      <c r="E108" s="26"/>
      <c r="J108" s="28"/>
      <c r="K108" s="27"/>
      <c r="L108" s="27"/>
      <c r="M108" s="27"/>
      <c r="N108" s="27"/>
    </row>
    <row r="109" ht="15.75" customHeight="1">
      <c r="A109" s="46"/>
      <c r="B109" s="46"/>
      <c r="C109" s="46"/>
      <c r="D109" s="26"/>
      <c r="E109" s="26"/>
      <c r="J109" s="28"/>
      <c r="K109" s="27"/>
      <c r="L109" s="27"/>
      <c r="M109" s="27"/>
      <c r="N109" s="27"/>
    </row>
    <row r="110" ht="15.75" customHeight="1">
      <c r="A110" s="46"/>
      <c r="B110" s="46"/>
      <c r="C110" s="46"/>
      <c r="D110" s="26"/>
      <c r="E110" s="26"/>
      <c r="J110" s="28"/>
      <c r="K110" s="27"/>
      <c r="L110" s="27"/>
      <c r="M110" s="27"/>
      <c r="N110" s="27"/>
    </row>
    <row r="111" ht="15.75" customHeight="1">
      <c r="A111" s="46"/>
      <c r="B111" s="46"/>
      <c r="C111" s="46"/>
      <c r="D111" s="26"/>
      <c r="E111" s="26"/>
      <c r="J111" s="28"/>
      <c r="K111" s="27"/>
      <c r="L111" s="27"/>
      <c r="M111" s="27"/>
      <c r="N111" s="27"/>
    </row>
    <row r="112" ht="15.75" customHeight="1">
      <c r="A112" s="46"/>
      <c r="B112" s="46"/>
      <c r="C112" s="46"/>
      <c r="D112" s="26"/>
      <c r="E112" s="26"/>
      <c r="J112" s="28"/>
      <c r="K112" s="27"/>
      <c r="L112" s="27"/>
      <c r="M112" s="27"/>
      <c r="N112" s="27"/>
    </row>
    <row r="113" ht="15.75" customHeight="1">
      <c r="A113" s="46"/>
      <c r="B113" s="46"/>
      <c r="C113" s="46"/>
      <c r="D113" s="26"/>
      <c r="E113" s="26"/>
      <c r="J113" s="28"/>
      <c r="K113" s="27"/>
      <c r="L113" s="27"/>
      <c r="M113" s="27"/>
      <c r="N113" s="27"/>
    </row>
    <row r="114" ht="15.75" customHeight="1">
      <c r="A114" s="46"/>
      <c r="B114" s="46"/>
      <c r="C114" s="46"/>
      <c r="D114" s="26"/>
      <c r="E114" s="26"/>
      <c r="J114" s="28"/>
      <c r="K114" s="27"/>
      <c r="L114" s="27"/>
      <c r="M114" s="27"/>
      <c r="N114" s="27"/>
    </row>
    <row r="115" ht="15.75" customHeight="1">
      <c r="A115" s="46"/>
      <c r="B115" s="46"/>
      <c r="C115" s="46"/>
      <c r="D115" s="26"/>
      <c r="E115" s="26"/>
      <c r="J115" s="28"/>
      <c r="K115" s="27"/>
      <c r="L115" s="27"/>
      <c r="M115" s="27"/>
      <c r="N115" s="27"/>
    </row>
    <row r="116" ht="15.75" customHeight="1">
      <c r="A116" s="46"/>
      <c r="B116" s="46"/>
      <c r="C116" s="46"/>
      <c r="D116" s="26"/>
      <c r="E116" s="26"/>
      <c r="J116" s="28"/>
      <c r="K116" s="27"/>
      <c r="L116" s="27"/>
      <c r="M116" s="27"/>
      <c r="N116" s="27"/>
    </row>
    <row r="117" ht="15.75" customHeight="1">
      <c r="A117" s="46"/>
      <c r="B117" s="46"/>
      <c r="C117" s="46"/>
      <c r="D117" s="26"/>
      <c r="E117" s="26"/>
      <c r="J117" s="28"/>
      <c r="K117" s="27"/>
      <c r="L117" s="27"/>
      <c r="M117" s="27"/>
      <c r="N117" s="27"/>
    </row>
    <row r="118" ht="15.75" customHeight="1">
      <c r="A118" s="46"/>
      <c r="B118" s="46"/>
      <c r="C118" s="46"/>
      <c r="D118" s="26"/>
      <c r="E118" s="26"/>
      <c r="J118" s="28"/>
      <c r="K118" s="27"/>
      <c r="L118" s="27"/>
      <c r="M118" s="27"/>
      <c r="N118" s="27"/>
    </row>
    <row r="119" ht="15.75" customHeight="1">
      <c r="A119" s="46"/>
      <c r="B119" s="46"/>
      <c r="C119" s="46"/>
      <c r="D119" s="26"/>
      <c r="E119" s="26"/>
      <c r="J119" s="28"/>
      <c r="K119" s="27"/>
      <c r="L119" s="27"/>
      <c r="M119" s="27"/>
      <c r="N119" s="27"/>
    </row>
    <row r="120" ht="15.75" customHeight="1">
      <c r="A120" s="46"/>
      <c r="B120" s="46"/>
      <c r="C120" s="46"/>
      <c r="D120" s="26"/>
      <c r="E120" s="26"/>
      <c r="J120" s="28"/>
      <c r="K120" s="27"/>
      <c r="L120" s="27"/>
      <c r="M120" s="27"/>
      <c r="N120" s="27"/>
    </row>
    <row r="121" ht="15.75" customHeight="1">
      <c r="A121" s="46"/>
      <c r="B121" s="46"/>
      <c r="C121" s="46"/>
      <c r="D121" s="26"/>
      <c r="E121" s="26"/>
      <c r="J121" s="28"/>
      <c r="K121" s="27"/>
      <c r="L121" s="27"/>
      <c r="M121" s="27"/>
      <c r="N121" s="27"/>
    </row>
    <row r="122" ht="15.75" customHeight="1">
      <c r="A122" s="46"/>
      <c r="B122" s="46"/>
      <c r="C122" s="46"/>
      <c r="D122" s="26"/>
      <c r="E122" s="26"/>
      <c r="J122" s="28"/>
      <c r="K122" s="27"/>
      <c r="L122" s="27"/>
      <c r="M122" s="27"/>
      <c r="N122" s="27"/>
    </row>
    <row r="123" ht="15.75" customHeight="1">
      <c r="A123" s="46"/>
      <c r="B123" s="46"/>
      <c r="C123" s="46"/>
      <c r="D123" s="26"/>
      <c r="E123" s="26"/>
      <c r="J123" s="28"/>
      <c r="K123" s="27"/>
      <c r="L123" s="27"/>
      <c r="M123" s="27"/>
      <c r="N123" s="27"/>
    </row>
    <row r="124" ht="15.75" customHeight="1">
      <c r="A124" s="46"/>
      <c r="B124" s="46"/>
      <c r="C124" s="46"/>
      <c r="D124" s="26"/>
      <c r="E124" s="26"/>
      <c r="J124" s="28"/>
      <c r="K124" s="27"/>
      <c r="L124" s="27"/>
      <c r="M124" s="27"/>
      <c r="N124" s="27"/>
    </row>
    <row r="125" ht="15.75" customHeight="1">
      <c r="A125" s="46"/>
      <c r="B125" s="46"/>
      <c r="C125" s="46"/>
      <c r="D125" s="26"/>
      <c r="E125" s="26"/>
      <c r="J125" s="28"/>
      <c r="K125" s="27"/>
      <c r="L125" s="27"/>
      <c r="M125" s="27"/>
      <c r="N125" s="27"/>
    </row>
    <row r="126" ht="15.75" customHeight="1">
      <c r="A126" s="46"/>
      <c r="B126" s="46"/>
      <c r="C126" s="46"/>
      <c r="D126" s="26"/>
      <c r="E126" s="26"/>
      <c r="J126" s="28"/>
      <c r="K126" s="27"/>
      <c r="L126" s="27"/>
      <c r="M126" s="27"/>
      <c r="N126" s="27"/>
    </row>
    <row r="127" ht="15.75" customHeight="1">
      <c r="A127" s="46"/>
      <c r="B127" s="46"/>
      <c r="C127" s="46"/>
      <c r="D127" s="26"/>
      <c r="E127" s="26"/>
      <c r="J127" s="28"/>
      <c r="K127" s="27"/>
      <c r="L127" s="27"/>
      <c r="M127" s="27"/>
      <c r="N127" s="27"/>
    </row>
    <row r="128" ht="15.75" customHeight="1">
      <c r="A128" s="46"/>
      <c r="B128" s="46"/>
      <c r="C128" s="46"/>
      <c r="D128" s="26"/>
      <c r="E128" s="26"/>
      <c r="J128" s="28"/>
      <c r="K128" s="27"/>
      <c r="L128" s="27"/>
      <c r="M128" s="27"/>
      <c r="N128" s="27"/>
    </row>
    <row r="129" ht="15.75" customHeight="1">
      <c r="A129" s="46"/>
      <c r="B129" s="46"/>
      <c r="C129" s="46"/>
      <c r="D129" s="26"/>
      <c r="E129" s="26"/>
      <c r="J129" s="28"/>
      <c r="K129" s="27"/>
      <c r="L129" s="27"/>
      <c r="M129" s="27"/>
      <c r="N129" s="27"/>
    </row>
    <row r="130" ht="15.75" customHeight="1">
      <c r="A130" s="46"/>
      <c r="B130" s="46"/>
      <c r="C130" s="46"/>
      <c r="D130" s="26"/>
      <c r="E130" s="26"/>
      <c r="J130" s="28"/>
      <c r="K130" s="27"/>
      <c r="L130" s="27"/>
      <c r="M130" s="27"/>
      <c r="N130" s="27"/>
    </row>
    <row r="131" ht="15.75" customHeight="1">
      <c r="A131" s="46"/>
      <c r="B131" s="46"/>
      <c r="C131" s="46"/>
      <c r="D131" s="26"/>
      <c r="E131" s="26"/>
      <c r="J131" s="28"/>
      <c r="K131" s="27"/>
      <c r="L131" s="27"/>
      <c r="M131" s="27"/>
      <c r="N131" s="27"/>
    </row>
    <row r="132" ht="15.75" customHeight="1">
      <c r="A132" s="46"/>
      <c r="B132" s="46"/>
      <c r="C132" s="46"/>
      <c r="D132" s="26"/>
      <c r="E132" s="26"/>
      <c r="J132" s="28"/>
      <c r="K132" s="27"/>
      <c r="L132" s="27"/>
      <c r="M132" s="27"/>
      <c r="N132" s="27"/>
    </row>
    <row r="133" ht="15.75" customHeight="1">
      <c r="A133" s="46"/>
      <c r="B133" s="46"/>
      <c r="C133" s="46"/>
      <c r="D133" s="26"/>
      <c r="E133" s="26"/>
      <c r="J133" s="28"/>
      <c r="K133" s="27"/>
      <c r="L133" s="27"/>
      <c r="M133" s="27"/>
      <c r="N133" s="27"/>
    </row>
    <row r="134" ht="15.75" customHeight="1">
      <c r="A134" s="46"/>
      <c r="B134" s="46"/>
      <c r="C134" s="46"/>
      <c r="D134" s="26"/>
      <c r="E134" s="26"/>
      <c r="J134" s="28"/>
      <c r="K134" s="27"/>
      <c r="L134" s="27"/>
      <c r="M134" s="27"/>
      <c r="N134" s="27"/>
    </row>
    <row r="135" ht="15.75" customHeight="1">
      <c r="A135" s="46"/>
      <c r="B135" s="46"/>
      <c r="C135" s="46"/>
      <c r="D135" s="26"/>
      <c r="E135" s="26"/>
      <c r="J135" s="28"/>
      <c r="K135" s="27"/>
      <c r="L135" s="27"/>
      <c r="M135" s="27"/>
      <c r="N135" s="27"/>
    </row>
    <row r="136" ht="15.75" customHeight="1">
      <c r="A136" s="46"/>
      <c r="B136" s="46"/>
      <c r="C136" s="46"/>
      <c r="D136" s="26"/>
      <c r="E136" s="26"/>
      <c r="J136" s="28"/>
      <c r="K136" s="27"/>
      <c r="L136" s="27"/>
      <c r="M136" s="27"/>
      <c r="N136" s="27"/>
    </row>
    <row r="137" ht="15.75" customHeight="1">
      <c r="A137" s="46"/>
      <c r="B137" s="46"/>
      <c r="C137" s="46"/>
      <c r="D137" s="26"/>
      <c r="E137" s="26"/>
      <c r="J137" s="28"/>
      <c r="K137" s="27"/>
      <c r="L137" s="27"/>
      <c r="M137" s="27"/>
      <c r="N137" s="27"/>
    </row>
    <row r="138" ht="15.75" customHeight="1">
      <c r="A138" s="46"/>
      <c r="B138" s="46"/>
      <c r="C138" s="46"/>
      <c r="D138" s="26"/>
      <c r="E138" s="26"/>
      <c r="J138" s="28"/>
      <c r="K138" s="27"/>
      <c r="L138" s="27"/>
      <c r="M138" s="27"/>
      <c r="N138" s="27"/>
    </row>
    <row r="139" ht="15.75" customHeight="1">
      <c r="A139" s="46"/>
      <c r="B139" s="46"/>
      <c r="C139" s="46"/>
      <c r="D139" s="26"/>
      <c r="E139" s="26"/>
      <c r="J139" s="28"/>
      <c r="K139" s="27"/>
      <c r="L139" s="27"/>
      <c r="M139" s="27"/>
      <c r="N139" s="27"/>
    </row>
    <row r="140" ht="15.75" customHeight="1">
      <c r="A140" s="46"/>
      <c r="B140" s="46"/>
      <c r="C140" s="46"/>
      <c r="D140" s="26"/>
      <c r="E140" s="26"/>
      <c r="J140" s="28"/>
      <c r="K140" s="27"/>
      <c r="L140" s="27"/>
      <c r="M140" s="27"/>
      <c r="N140" s="27"/>
    </row>
    <row r="141" ht="15.75" customHeight="1">
      <c r="A141" s="46"/>
      <c r="B141" s="46"/>
      <c r="C141" s="46"/>
      <c r="D141" s="26"/>
      <c r="E141" s="26"/>
      <c r="J141" s="28"/>
      <c r="K141" s="27"/>
      <c r="L141" s="27"/>
      <c r="M141" s="27"/>
      <c r="N141" s="27"/>
    </row>
    <row r="142" ht="15.75" customHeight="1">
      <c r="A142" s="46"/>
      <c r="B142" s="46"/>
      <c r="C142" s="46"/>
      <c r="D142" s="26"/>
      <c r="E142" s="26"/>
      <c r="J142" s="28"/>
      <c r="K142" s="27"/>
      <c r="L142" s="27"/>
      <c r="M142" s="27"/>
      <c r="N142" s="27"/>
    </row>
    <row r="143" ht="15.75" customHeight="1">
      <c r="A143" s="46"/>
      <c r="B143" s="46"/>
      <c r="C143" s="46"/>
      <c r="D143" s="26"/>
      <c r="E143" s="26"/>
      <c r="J143" s="28"/>
      <c r="K143" s="27"/>
      <c r="L143" s="27"/>
      <c r="M143" s="27"/>
      <c r="N143" s="27"/>
    </row>
    <row r="144" ht="15.75" customHeight="1">
      <c r="A144" s="46"/>
      <c r="B144" s="46"/>
      <c r="C144" s="46"/>
      <c r="D144" s="26"/>
      <c r="E144" s="26"/>
      <c r="J144" s="28"/>
      <c r="K144" s="27"/>
      <c r="L144" s="27"/>
      <c r="M144" s="27"/>
      <c r="N144" s="27"/>
    </row>
    <row r="145" ht="15.75" customHeight="1">
      <c r="A145" s="46"/>
      <c r="B145" s="46"/>
      <c r="C145" s="46"/>
      <c r="D145" s="26"/>
      <c r="E145" s="26"/>
      <c r="J145" s="28"/>
      <c r="K145" s="27"/>
      <c r="L145" s="27"/>
      <c r="M145" s="27"/>
      <c r="N145" s="27"/>
    </row>
    <row r="146" ht="15.75" customHeight="1">
      <c r="A146" s="46"/>
      <c r="B146" s="46"/>
      <c r="C146" s="46"/>
      <c r="D146" s="26"/>
      <c r="E146" s="26"/>
      <c r="J146" s="28"/>
      <c r="K146" s="27"/>
      <c r="L146" s="27"/>
      <c r="M146" s="27"/>
      <c r="N146" s="27"/>
    </row>
    <row r="147" ht="15.75" customHeight="1">
      <c r="A147" s="46"/>
      <c r="B147" s="46"/>
      <c r="C147" s="46"/>
      <c r="D147" s="26"/>
      <c r="E147" s="26"/>
      <c r="J147" s="28"/>
      <c r="K147" s="27"/>
      <c r="L147" s="27"/>
      <c r="M147" s="27"/>
      <c r="N147" s="27"/>
    </row>
    <row r="148" ht="15.75" customHeight="1">
      <c r="A148" s="46"/>
      <c r="B148" s="46"/>
      <c r="C148" s="46"/>
      <c r="D148" s="26"/>
      <c r="E148" s="26"/>
      <c r="J148" s="28"/>
      <c r="K148" s="27"/>
      <c r="L148" s="27"/>
      <c r="M148" s="27"/>
      <c r="N148" s="27"/>
    </row>
    <row r="149" ht="15.75" customHeight="1">
      <c r="A149" s="46"/>
      <c r="B149" s="46"/>
      <c r="C149" s="46"/>
      <c r="D149" s="26"/>
      <c r="E149" s="26"/>
      <c r="J149" s="28"/>
      <c r="K149" s="27"/>
      <c r="L149" s="27"/>
      <c r="M149" s="27"/>
      <c r="N149" s="27"/>
    </row>
    <row r="150" ht="15.75" customHeight="1">
      <c r="A150" s="46"/>
      <c r="B150" s="46"/>
      <c r="C150" s="46"/>
      <c r="D150" s="26"/>
      <c r="E150" s="26"/>
      <c r="J150" s="28"/>
      <c r="K150" s="27"/>
      <c r="L150" s="27"/>
      <c r="M150" s="27"/>
      <c r="N150" s="27"/>
    </row>
    <row r="151" ht="15.75" customHeight="1">
      <c r="A151" s="46"/>
      <c r="B151" s="46"/>
      <c r="C151" s="46"/>
      <c r="D151" s="26"/>
      <c r="E151" s="26"/>
      <c r="J151" s="28"/>
      <c r="K151" s="27"/>
      <c r="L151" s="27"/>
      <c r="M151" s="27"/>
      <c r="N151" s="27"/>
    </row>
    <row r="152" ht="15.75" customHeight="1">
      <c r="A152" s="46"/>
      <c r="B152" s="46"/>
      <c r="C152" s="46"/>
      <c r="D152" s="26"/>
      <c r="E152" s="26"/>
      <c r="J152" s="28"/>
      <c r="K152" s="27"/>
      <c r="L152" s="27"/>
      <c r="M152" s="27"/>
      <c r="N152" s="27"/>
    </row>
    <row r="153" ht="15.75" customHeight="1">
      <c r="A153" s="46"/>
      <c r="B153" s="46"/>
      <c r="C153" s="46"/>
      <c r="D153" s="26"/>
      <c r="E153" s="26"/>
      <c r="J153" s="28"/>
      <c r="K153" s="27"/>
      <c r="L153" s="27"/>
      <c r="M153" s="27"/>
      <c r="N153" s="27"/>
    </row>
    <row r="154" ht="15.75" customHeight="1">
      <c r="A154" s="46"/>
      <c r="B154" s="46"/>
      <c r="C154" s="46"/>
      <c r="D154" s="26"/>
      <c r="E154" s="26"/>
      <c r="J154" s="28"/>
      <c r="K154" s="27"/>
      <c r="L154" s="27"/>
      <c r="M154" s="27"/>
      <c r="N154" s="27"/>
    </row>
    <row r="155" ht="15.75" customHeight="1">
      <c r="A155" s="46"/>
      <c r="B155" s="46"/>
      <c r="C155" s="46"/>
      <c r="D155" s="26"/>
      <c r="E155" s="26"/>
      <c r="J155" s="28"/>
      <c r="K155" s="27"/>
      <c r="L155" s="27"/>
      <c r="M155" s="27"/>
      <c r="N155" s="27"/>
    </row>
    <row r="156" ht="15.75" customHeight="1">
      <c r="A156" s="46"/>
      <c r="B156" s="46"/>
      <c r="C156" s="46"/>
      <c r="D156" s="26"/>
      <c r="E156" s="26"/>
      <c r="J156" s="28"/>
      <c r="K156" s="27"/>
      <c r="L156" s="27"/>
      <c r="M156" s="27"/>
      <c r="N156" s="27"/>
    </row>
    <row r="157" ht="15.75" customHeight="1">
      <c r="A157" s="46"/>
      <c r="B157" s="46"/>
      <c r="C157" s="46"/>
      <c r="D157" s="26"/>
      <c r="E157" s="26"/>
      <c r="J157" s="28"/>
      <c r="K157" s="27"/>
      <c r="L157" s="27"/>
      <c r="M157" s="27"/>
      <c r="N157" s="27"/>
    </row>
    <row r="158" ht="15.75" customHeight="1">
      <c r="A158" s="46"/>
      <c r="B158" s="46"/>
      <c r="C158" s="46"/>
      <c r="D158" s="26"/>
      <c r="E158" s="26"/>
      <c r="J158" s="28"/>
      <c r="K158" s="27"/>
      <c r="L158" s="27"/>
      <c r="M158" s="27"/>
      <c r="N158" s="27"/>
    </row>
    <row r="159" ht="15.75" customHeight="1">
      <c r="A159" s="46"/>
      <c r="B159" s="46"/>
      <c r="C159" s="46"/>
      <c r="D159" s="26"/>
      <c r="E159" s="26"/>
      <c r="J159" s="28"/>
      <c r="K159" s="27"/>
      <c r="L159" s="27"/>
      <c r="M159" s="27"/>
      <c r="N159" s="27"/>
    </row>
    <row r="160" ht="15.75" customHeight="1">
      <c r="A160" s="46"/>
      <c r="B160" s="46"/>
      <c r="C160" s="46"/>
      <c r="D160" s="26"/>
      <c r="E160" s="26"/>
      <c r="J160" s="28"/>
      <c r="K160" s="27"/>
      <c r="L160" s="27"/>
      <c r="M160" s="27"/>
      <c r="N160" s="27"/>
    </row>
    <row r="161" ht="15.75" customHeight="1">
      <c r="A161" s="46"/>
      <c r="B161" s="46"/>
      <c r="C161" s="46"/>
      <c r="D161" s="26"/>
      <c r="E161" s="26"/>
      <c r="J161" s="28"/>
      <c r="K161" s="27"/>
      <c r="L161" s="27"/>
      <c r="M161" s="27"/>
      <c r="N161" s="27"/>
    </row>
    <row r="162" ht="15.75" customHeight="1">
      <c r="A162" s="46"/>
      <c r="B162" s="46"/>
      <c r="C162" s="46"/>
      <c r="D162" s="26"/>
      <c r="E162" s="26"/>
      <c r="J162" s="28"/>
      <c r="K162" s="27"/>
      <c r="L162" s="27"/>
      <c r="M162" s="27"/>
      <c r="N162" s="27"/>
    </row>
    <row r="163" ht="15.75" customHeight="1">
      <c r="A163" s="46"/>
      <c r="B163" s="46"/>
      <c r="C163" s="46"/>
      <c r="D163" s="26"/>
      <c r="E163" s="26"/>
      <c r="J163" s="28"/>
      <c r="K163" s="27"/>
      <c r="L163" s="27"/>
      <c r="M163" s="27"/>
      <c r="N163" s="27"/>
    </row>
    <row r="164" ht="15.75" customHeight="1">
      <c r="A164" s="46"/>
      <c r="B164" s="46"/>
      <c r="C164" s="46"/>
      <c r="D164" s="26"/>
      <c r="E164" s="26"/>
      <c r="J164" s="28"/>
      <c r="K164" s="27"/>
      <c r="L164" s="27"/>
      <c r="M164" s="27"/>
      <c r="N164" s="27"/>
    </row>
    <row r="165" ht="15.75" customHeight="1">
      <c r="A165" s="46"/>
      <c r="B165" s="46"/>
      <c r="C165" s="46"/>
      <c r="D165" s="26"/>
      <c r="E165" s="26"/>
      <c r="J165" s="28"/>
      <c r="K165" s="27"/>
      <c r="L165" s="27"/>
      <c r="M165" s="27"/>
      <c r="N165" s="27"/>
    </row>
    <row r="166" ht="15.75" customHeight="1">
      <c r="A166" s="46"/>
      <c r="B166" s="46"/>
      <c r="C166" s="46"/>
      <c r="D166" s="26"/>
      <c r="E166" s="26"/>
      <c r="J166" s="28"/>
      <c r="K166" s="27"/>
      <c r="L166" s="27"/>
      <c r="M166" s="27"/>
      <c r="N166" s="27"/>
    </row>
    <row r="167" ht="15.75" customHeight="1">
      <c r="A167" s="46"/>
      <c r="B167" s="46"/>
      <c r="C167" s="46"/>
      <c r="D167" s="26"/>
      <c r="E167" s="26"/>
      <c r="J167" s="28"/>
      <c r="K167" s="27"/>
      <c r="L167" s="27"/>
      <c r="M167" s="27"/>
      <c r="N167" s="27"/>
    </row>
    <row r="168" ht="15.75" customHeight="1">
      <c r="A168" s="46"/>
      <c r="B168" s="46"/>
      <c r="C168" s="46"/>
      <c r="D168" s="26"/>
      <c r="E168" s="26"/>
      <c r="J168" s="28"/>
      <c r="K168" s="27"/>
      <c r="L168" s="27"/>
      <c r="M168" s="27"/>
      <c r="N168" s="27"/>
    </row>
    <row r="169" ht="15.75" customHeight="1">
      <c r="A169" s="46"/>
      <c r="B169" s="46"/>
      <c r="C169" s="46"/>
      <c r="D169" s="26"/>
      <c r="E169" s="26"/>
      <c r="J169" s="28"/>
      <c r="K169" s="27"/>
      <c r="L169" s="27"/>
      <c r="M169" s="27"/>
      <c r="N169" s="27"/>
    </row>
    <row r="170" ht="15.75" customHeight="1">
      <c r="A170" s="46"/>
      <c r="B170" s="46"/>
      <c r="C170" s="46"/>
      <c r="D170" s="26"/>
      <c r="E170" s="26"/>
      <c r="J170" s="28"/>
      <c r="K170" s="27"/>
      <c r="L170" s="27"/>
      <c r="M170" s="27"/>
      <c r="N170" s="27"/>
    </row>
    <row r="171" ht="15.75" customHeight="1">
      <c r="A171" s="46"/>
      <c r="B171" s="46"/>
      <c r="C171" s="46"/>
      <c r="D171" s="26"/>
      <c r="E171" s="26"/>
      <c r="J171" s="28"/>
      <c r="K171" s="27"/>
      <c r="L171" s="27"/>
      <c r="M171" s="27"/>
      <c r="N171" s="27"/>
    </row>
    <row r="172" ht="15.75" customHeight="1">
      <c r="A172" s="46"/>
      <c r="B172" s="46"/>
      <c r="C172" s="46"/>
      <c r="D172" s="26"/>
      <c r="E172" s="26"/>
      <c r="J172" s="28"/>
      <c r="K172" s="27"/>
      <c r="L172" s="27"/>
      <c r="M172" s="27"/>
      <c r="N172" s="27"/>
    </row>
    <row r="173" ht="15.75" customHeight="1">
      <c r="A173" s="46"/>
      <c r="B173" s="46"/>
      <c r="C173" s="46"/>
      <c r="D173" s="26"/>
      <c r="E173" s="26"/>
      <c r="J173" s="28"/>
      <c r="K173" s="27"/>
      <c r="L173" s="27"/>
      <c r="M173" s="27"/>
      <c r="N173" s="27"/>
    </row>
    <row r="174" ht="15.75" customHeight="1">
      <c r="A174" s="46"/>
      <c r="B174" s="46"/>
      <c r="C174" s="46"/>
      <c r="D174" s="26"/>
      <c r="E174" s="26"/>
      <c r="J174" s="28"/>
      <c r="K174" s="27"/>
      <c r="L174" s="27"/>
      <c r="M174" s="27"/>
      <c r="N174" s="27"/>
    </row>
    <row r="175" ht="15.75" customHeight="1">
      <c r="A175" s="46"/>
      <c r="B175" s="46"/>
      <c r="C175" s="46"/>
      <c r="D175" s="26"/>
      <c r="E175" s="26"/>
      <c r="J175" s="28"/>
      <c r="K175" s="27"/>
      <c r="L175" s="27"/>
      <c r="M175" s="27"/>
      <c r="N175" s="27"/>
    </row>
    <row r="176" ht="15.75" customHeight="1">
      <c r="A176" s="46"/>
      <c r="B176" s="46"/>
      <c r="C176" s="46"/>
      <c r="D176" s="26"/>
      <c r="E176" s="26"/>
      <c r="J176" s="28"/>
      <c r="K176" s="27"/>
      <c r="L176" s="27"/>
      <c r="M176" s="27"/>
      <c r="N176" s="27"/>
    </row>
    <row r="177" ht="15.75" customHeight="1">
      <c r="A177" s="46"/>
      <c r="B177" s="46"/>
      <c r="C177" s="46"/>
      <c r="J177" s="28"/>
      <c r="K177" s="27"/>
      <c r="L177" s="27"/>
      <c r="M177" s="27"/>
      <c r="N177" s="27"/>
    </row>
    <row r="178" ht="15.75" customHeight="1">
      <c r="A178" s="46"/>
      <c r="B178" s="46"/>
      <c r="C178" s="46"/>
      <c r="J178" s="28"/>
      <c r="K178" s="27"/>
      <c r="L178" s="27"/>
      <c r="M178" s="27"/>
      <c r="N178" s="27"/>
    </row>
    <row r="179" ht="15.75" customHeight="1">
      <c r="A179" s="46"/>
      <c r="B179" s="46"/>
      <c r="C179" s="46"/>
      <c r="J179" s="28"/>
      <c r="K179" s="27"/>
      <c r="L179" s="27"/>
      <c r="M179" s="27"/>
      <c r="N179" s="27"/>
    </row>
    <row r="180" ht="15.75" customHeight="1">
      <c r="A180" s="46"/>
      <c r="B180" s="46"/>
      <c r="C180" s="46"/>
      <c r="J180" s="60"/>
      <c r="K180" s="27"/>
      <c r="L180" s="27"/>
      <c r="M180" s="27"/>
      <c r="N180" s="27"/>
    </row>
    <row r="181" ht="15.75" customHeight="1">
      <c r="A181" s="46"/>
      <c r="B181" s="46"/>
      <c r="C181" s="46"/>
      <c r="J181" s="60"/>
      <c r="K181" s="27"/>
      <c r="L181" s="27"/>
      <c r="M181" s="27"/>
      <c r="N181" s="27"/>
    </row>
    <row r="182" ht="15.75" customHeight="1">
      <c r="A182" s="46"/>
      <c r="B182" s="46"/>
      <c r="C182" s="46"/>
      <c r="J182" s="60"/>
      <c r="K182" s="27"/>
      <c r="L182" s="27"/>
      <c r="M182" s="27"/>
      <c r="N182" s="27"/>
    </row>
    <row r="183" ht="15.75" customHeight="1">
      <c r="A183" s="46"/>
      <c r="B183" s="46"/>
      <c r="C183" s="46"/>
      <c r="J183" s="60"/>
      <c r="K183" s="27"/>
      <c r="L183" s="27"/>
      <c r="M183" s="27"/>
      <c r="N183" s="27"/>
    </row>
    <row r="184" ht="15.75" customHeight="1">
      <c r="A184" s="46"/>
      <c r="B184" s="46"/>
      <c r="C184" s="46"/>
      <c r="J184" s="60"/>
      <c r="K184" s="27"/>
      <c r="L184" s="27"/>
      <c r="M184" s="27"/>
      <c r="N184" s="27"/>
    </row>
    <row r="185" ht="15.75" customHeight="1">
      <c r="A185" s="46"/>
      <c r="B185" s="46"/>
      <c r="C185" s="46"/>
      <c r="J185" s="60"/>
      <c r="K185" s="27"/>
      <c r="L185" s="27"/>
      <c r="M185" s="27"/>
      <c r="N185" s="27"/>
    </row>
    <row r="186" ht="15.75" customHeight="1">
      <c r="A186" s="46"/>
      <c r="B186" s="46"/>
      <c r="C186" s="46"/>
      <c r="J186" s="60"/>
      <c r="K186" s="27"/>
      <c r="L186" s="27"/>
      <c r="M186" s="27"/>
      <c r="N186" s="27"/>
    </row>
    <row r="187" ht="15.75" customHeight="1">
      <c r="A187" s="46"/>
      <c r="B187" s="46"/>
      <c r="C187" s="46"/>
      <c r="J187" s="60"/>
      <c r="K187" s="27"/>
      <c r="L187" s="27"/>
      <c r="M187" s="27"/>
      <c r="N187" s="27"/>
    </row>
    <row r="188" ht="15.75" customHeight="1">
      <c r="A188" s="46"/>
      <c r="B188" s="46"/>
      <c r="C188" s="46"/>
      <c r="J188" s="60"/>
      <c r="K188" s="27"/>
      <c r="L188" s="27"/>
      <c r="M188" s="27"/>
      <c r="N188" s="27"/>
    </row>
    <row r="189" ht="15.75" customHeight="1">
      <c r="A189" s="46"/>
      <c r="B189" s="46"/>
      <c r="C189" s="46"/>
      <c r="J189" s="60"/>
      <c r="K189" s="27"/>
      <c r="L189" s="27"/>
      <c r="M189" s="27"/>
      <c r="N189" s="27"/>
    </row>
    <row r="190" ht="15.75" customHeight="1">
      <c r="A190" s="46"/>
      <c r="B190" s="46"/>
      <c r="C190" s="46"/>
      <c r="J190" s="60"/>
      <c r="K190" s="27"/>
      <c r="L190" s="27"/>
      <c r="M190" s="27"/>
      <c r="N190" s="27"/>
    </row>
    <row r="191" ht="15.75" customHeight="1">
      <c r="A191" s="46"/>
      <c r="B191" s="46"/>
      <c r="C191" s="46"/>
      <c r="J191" s="60"/>
      <c r="K191" s="27"/>
      <c r="L191" s="27"/>
      <c r="M191" s="27"/>
      <c r="N191" s="27"/>
    </row>
    <row r="192" ht="15.75" customHeight="1">
      <c r="A192" s="46"/>
      <c r="B192" s="46"/>
      <c r="C192" s="46"/>
      <c r="J192" s="60"/>
      <c r="K192" s="27"/>
      <c r="L192" s="27"/>
      <c r="M192" s="27"/>
      <c r="N192" s="27"/>
    </row>
    <row r="193" ht="15.75" customHeight="1">
      <c r="A193" s="46"/>
      <c r="B193" s="46"/>
      <c r="C193" s="46"/>
      <c r="J193" s="60"/>
      <c r="K193" s="27"/>
      <c r="L193" s="27"/>
      <c r="M193" s="27"/>
      <c r="N193" s="27"/>
    </row>
    <row r="194" ht="15.75" customHeight="1">
      <c r="A194" s="46"/>
      <c r="B194" s="46"/>
      <c r="C194" s="46"/>
      <c r="J194" s="60"/>
      <c r="K194" s="27"/>
      <c r="L194" s="27"/>
      <c r="M194" s="27"/>
      <c r="N194" s="27"/>
    </row>
    <row r="195" ht="15.75" customHeight="1">
      <c r="A195" s="46"/>
      <c r="B195" s="46"/>
      <c r="C195" s="46"/>
      <c r="J195" s="60"/>
      <c r="K195" s="27"/>
      <c r="L195" s="27"/>
      <c r="M195" s="27"/>
      <c r="N195" s="27"/>
    </row>
    <row r="196" ht="15.75" customHeight="1">
      <c r="A196" s="46"/>
      <c r="B196" s="46"/>
      <c r="C196" s="46"/>
      <c r="J196" s="60"/>
      <c r="K196" s="27"/>
      <c r="L196" s="27"/>
      <c r="M196" s="27"/>
      <c r="N196" s="27"/>
    </row>
    <row r="197" ht="15.75" customHeight="1">
      <c r="A197" s="46"/>
      <c r="B197" s="46"/>
      <c r="C197" s="46"/>
      <c r="J197" s="60"/>
      <c r="K197" s="27"/>
      <c r="L197" s="27"/>
      <c r="M197" s="27"/>
      <c r="N197" s="27"/>
    </row>
    <row r="198" ht="15.75" customHeight="1">
      <c r="A198" s="46"/>
      <c r="B198" s="46"/>
      <c r="C198" s="46"/>
      <c r="J198" s="60"/>
      <c r="K198" s="27"/>
      <c r="L198" s="27"/>
      <c r="M198" s="27"/>
      <c r="N198" s="27"/>
    </row>
    <row r="199" ht="15.75" customHeight="1">
      <c r="A199" s="46"/>
      <c r="B199" s="46"/>
      <c r="C199" s="46"/>
      <c r="J199" s="60"/>
      <c r="K199" s="27"/>
      <c r="L199" s="27"/>
      <c r="M199" s="27"/>
      <c r="N199" s="27"/>
    </row>
    <row r="200" ht="15.75" customHeight="1">
      <c r="A200" s="46"/>
      <c r="B200" s="46"/>
      <c r="C200" s="46"/>
      <c r="J200" s="60"/>
      <c r="K200" s="27"/>
      <c r="L200" s="27"/>
      <c r="M200" s="27"/>
      <c r="N200" s="27"/>
    </row>
    <row r="201" ht="15.75" customHeight="1">
      <c r="A201" s="46"/>
      <c r="B201" s="46"/>
      <c r="C201" s="46"/>
      <c r="J201" s="60"/>
      <c r="K201" s="27"/>
      <c r="L201" s="27"/>
      <c r="M201" s="27"/>
      <c r="N201" s="27"/>
    </row>
    <row r="202" ht="15.75" customHeight="1">
      <c r="A202" s="46"/>
      <c r="B202" s="46"/>
      <c r="C202" s="46"/>
      <c r="J202" s="60"/>
      <c r="K202" s="27"/>
      <c r="L202" s="27"/>
      <c r="M202" s="27"/>
      <c r="N202" s="27"/>
    </row>
    <row r="203" ht="15.75" customHeight="1">
      <c r="A203" s="46"/>
      <c r="B203" s="46"/>
      <c r="C203" s="46"/>
      <c r="J203" s="60"/>
      <c r="K203" s="27"/>
      <c r="L203" s="27"/>
      <c r="M203" s="27"/>
      <c r="N203" s="27"/>
    </row>
    <row r="204" ht="15.75" customHeight="1">
      <c r="A204" s="46"/>
      <c r="B204" s="46"/>
      <c r="C204" s="46"/>
      <c r="J204" s="60"/>
      <c r="K204" s="27"/>
      <c r="L204" s="27"/>
      <c r="M204" s="27"/>
      <c r="N204" s="27"/>
    </row>
    <row r="205" ht="15.75" customHeight="1">
      <c r="A205" s="46"/>
      <c r="B205" s="46"/>
      <c r="C205" s="46"/>
      <c r="J205" s="60"/>
      <c r="K205" s="27"/>
      <c r="L205" s="27"/>
      <c r="M205" s="27"/>
      <c r="N205" s="27"/>
    </row>
    <row r="206" ht="15.75" customHeight="1">
      <c r="A206" s="46"/>
      <c r="B206" s="46"/>
      <c r="C206" s="46"/>
      <c r="J206" s="60"/>
      <c r="K206" s="27"/>
      <c r="L206" s="27"/>
      <c r="M206" s="27"/>
      <c r="N206" s="27"/>
    </row>
    <row r="207" ht="15.75" customHeight="1">
      <c r="A207" s="46"/>
      <c r="B207" s="46"/>
      <c r="C207" s="46"/>
      <c r="J207" s="60"/>
      <c r="K207" s="27"/>
      <c r="L207" s="27"/>
      <c r="M207" s="27"/>
      <c r="N207" s="27"/>
    </row>
    <row r="208" ht="15.75" customHeight="1">
      <c r="A208" s="46"/>
      <c r="B208" s="46"/>
      <c r="C208" s="46"/>
      <c r="J208" s="60"/>
      <c r="K208" s="27"/>
      <c r="L208" s="27"/>
      <c r="M208" s="27"/>
      <c r="N208" s="27"/>
    </row>
    <row r="209" ht="15.75" customHeight="1">
      <c r="A209" s="46"/>
      <c r="B209" s="46"/>
      <c r="C209" s="46"/>
      <c r="J209" s="60"/>
      <c r="K209" s="27"/>
      <c r="L209" s="27"/>
      <c r="M209" s="27"/>
      <c r="N209" s="27"/>
    </row>
    <row r="210" ht="15.75" customHeight="1">
      <c r="A210" s="46"/>
      <c r="B210" s="46"/>
      <c r="C210" s="46"/>
      <c r="K210" s="27"/>
      <c r="L210" s="27"/>
      <c r="M210" s="27"/>
      <c r="N210" s="27"/>
    </row>
    <row r="211" ht="15.75" customHeight="1">
      <c r="A211" s="46"/>
      <c r="B211" s="46"/>
      <c r="C211" s="46"/>
      <c r="K211" s="27"/>
      <c r="L211" s="27"/>
      <c r="M211" s="27"/>
      <c r="N211" s="27"/>
    </row>
    <row r="212" ht="15.75" customHeight="1">
      <c r="A212" s="46"/>
      <c r="B212" s="46"/>
      <c r="C212" s="46"/>
      <c r="K212" s="27"/>
      <c r="L212" s="27"/>
      <c r="M212" s="27"/>
      <c r="N212" s="27"/>
    </row>
    <row r="213" ht="15.75" customHeight="1">
      <c r="A213" s="46"/>
      <c r="B213" s="46"/>
      <c r="C213" s="46"/>
      <c r="K213" s="27"/>
      <c r="L213" s="27"/>
      <c r="M213" s="27"/>
      <c r="N213" s="27"/>
    </row>
    <row r="214" ht="15.75" customHeight="1">
      <c r="A214" s="46"/>
      <c r="B214" s="46"/>
      <c r="C214" s="46"/>
      <c r="K214" s="27"/>
      <c r="L214" s="27"/>
      <c r="M214" s="27"/>
      <c r="N214" s="27"/>
    </row>
    <row r="215" ht="15.75" customHeight="1">
      <c r="A215" s="46"/>
      <c r="B215" s="46"/>
      <c r="C215" s="46"/>
      <c r="K215" s="27"/>
      <c r="L215" s="27"/>
      <c r="M215" s="27"/>
      <c r="N215" s="27"/>
    </row>
    <row r="216" ht="15.75" customHeight="1">
      <c r="A216" s="46"/>
      <c r="B216" s="46"/>
      <c r="C216" s="46"/>
      <c r="K216" s="27"/>
      <c r="L216" s="27"/>
      <c r="M216" s="27"/>
      <c r="N216" s="27"/>
    </row>
    <row r="217" ht="15.75" customHeight="1">
      <c r="A217" s="46"/>
      <c r="B217" s="46"/>
      <c r="C217" s="46"/>
      <c r="K217" s="27"/>
      <c r="L217" s="27"/>
      <c r="M217" s="27"/>
      <c r="N217" s="27"/>
    </row>
    <row r="218" ht="15.75" customHeight="1">
      <c r="A218" s="46"/>
      <c r="B218" s="46"/>
      <c r="C218" s="46"/>
      <c r="K218" s="27"/>
      <c r="L218" s="27"/>
      <c r="M218" s="27"/>
      <c r="N218" s="27"/>
    </row>
    <row r="219" ht="15.75" customHeight="1">
      <c r="A219" s="46"/>
      <c r="B219" s="46"/>
      <c r="C219" s="46"/>
      <c r="K219" s="27"/>
      <c r="L219" s="27"/>
      <c r="M219" s="27"/>
      <c r="N219" s="27"/>
    </row>
    <row r="220" ht="15.75" customHeight="1">
      <c r="A220" s="46"/>
      <c r="B220" s="46"/>
      <c r="C220" s="46"/>
      <c r="K220" s="27"/>
      <c r="L220" s="27"/>
      <c r="M220" s="27"/>
      <c r="N220" s="27"/>
    </row>
    <row r="221" ht="15.75" customHeight="1">
      <c r="A221" s="46"/>
      <c r="B221" s="46"/>
      <c r="C221" s="46"/>
      <c r="K221" s="27"/>
      <c r="L221" s="27"/>
      <c r="M221" s="27"/>
      <c r="N221" s="27"/>
    </row>
    <row r="222" ht="15.75" customHeight="1">
      <c r="A222" s="46"/>
      <c r="B222" s="46"/>
      <c r="C222" s="46"/>
      <c r="K222" s="27"/>
      <c r="L222" s="27"/>
      <c r="M222" s="27"/>
      <c r="N222" s="27"/>
    </row>
    <row r="223" ht="15.75" customHeight="1">
      <c r="A223" s="46"/>
      <c r="B223" s="46"/>
      <c r="C223" s="46"/>
      <c r="K223" s="27"/>
      <c r="L223" s="27"/>
      <c r="M223" s="27"/>
      <c r="N223" s="27"/>
    </row>
    <row r="224" ht="15.75" customHeight="1">
      <c r="A224" s="46"/>
      <c r="B224" s="46"/>
      <c r="C224" s="46"/>
      <c r="K224" s="27"/>
      <c r="L224" s="27"/>
      <c r="M224" s="27"/>
      <c r="N224" s="27"/>
    </row>
    <row r="225" ht="15.75" customHeight="1">
      <c r="A225" s="46"/>
      <c r="B225" s="46"/>
      <c r="C225" s="46"/>
      <c r="K225" s="27"/>
      <c r="L225" s="27"/>
      <c r="M225" s="27"/>
      <c r="N225" s="27"/>
    </row>
    <row r="226" ht="15.75" customHeight="1">
      <c r="A226" s="46"/>
      <c r="B226" s="46"/>
      <c r="C226" s="46"/>
      <c r="K226" s="27"/>
      <c r="L226" s="27"/>
      <c r="M226" s="27"/>
      <c r="N226" s="27"/>
    </row>
    <row r="227" ht="15.75" customHeight="1">
      <c r="A227" s="46"/>
      <c r="B227" s="46"/>
      <c r="C227" s="46"/>
      <c r="K227" s="27"/>
      <c r="L227" s="27"/>
      <c r="M227" s="27"/>
      <c r="N227" s="27"/>
    </row>
    <row r="228" ht="15.75" customHeight="1">
      <c r="A228" s="46"/>
      <c r="B228" s="46"/>
      <c r="C228" s="46"/>
      <c r="K228" s="27"/>
      <c r="L228" s="27"/>
      <c r="M228" s="27"/>
      <c r="N228" s="27"/>
    </row>
    <row r="229" ht="15.75" customHeight="1">
      <c r="A229" s="46"/>
      <c r="B229" s="46"/>
      <c r="C229" s="46"/>
      <c r="K229" s="27"/>
      <c r="L229" s="27"/>
      <c r="M229" s="27"/>
      <c r="N229" s="27"/>
    </row>
    <row r="230" ht="15.75" customHeight="1">
      <c r="A230" s="46"/>
      <c r="B230" s="46"/>
      <c r="C230" s="46"/>
      <c r="K230" s="27"/>
      <c r="L230" s="27"/>
      <c r="M230" s="27"/>
      <c r="N230" s="27"/>
    </row>
    <row r="231" ht="15.75" customHeight="1">
      <c r="A231" s="46"/>
      <c r="B231" s="46"/>
      <c r="C231" s="46"/>
      <c r="K231" s="27"/>
      <c r="L231" s="27"/>
      <c r="M231" s="27"/>
      <c r="N231" s="27"/>
    </row>
    <row r="232" ht="15.75" customHeight="1">
      <c r="A232" s="46"/>
      <c r="B232" s="46"/>
      <c r="C232" s="46"/>
      <c r="K232" s="27"/>
      <c r="L232" s="27"/>
      <c r="M232" s="27"/>
      <c r="N232" s="27"/>
    </row>
    <row r="233" ht="15.75" customHeight="1">
      <c r="A233" s="46"/>
      <c r="B233" s="46"/>
      <c r="C233" s="46"/>
      <c r="K233" s="27"/>
      <c r="L233" s="27"/>
      <c r="M233" s="27"/>
      <c r="N233" s="27"/>
    </row>
    <row r="234" ht="15.75" customHeight="1">
      <c r="A234" s="46"/>
      <c r="B234" s="46"/>
      <c r="C234" s="46"/>
      <c r="K234" s="27"/>
      <c r="L234" s="27"/>
      <c r="M234" s="27"/>
      <c r="N234" s="27"/>
    </row>
    <row r="235" ht="15.75" customHeight="1">
      <c r="A235" s="46"/>
      <c r="B235" s="46"/>
      <c r="C235" s="46"/>
      <c r="K235" s="27"/>
      <c r="L235" s="27"/>
      <c r="M235" s="27"/>
      <c r="N235" s="27"/>
    </row>
    <row r="236" ht="15.75" customHeight="1">
      <c r="A236" s="46"/>
      <c r="B236" s="46"/>
      <c r="C236" s="46"/>
      <c r="K236" s="27"/>
      <c r="L236" s="27"/>
      <c r="M236" s="27"/>
      <c r="N236" s="27"/>
    </row>
    <row r="237" ht="15.75" customHeight="1">
      <c r="A237" s="46"/>
      <c r="B237" s="46"/>
      <c r="C237" s="46"/>
      <c r="K237" s="27"/>
      <c r="L237" s="27"/>
      <c r="M237" s="27"/>
      <c r="N237" s="27"/>
    </row>
    <row r="238" ht="15.75" customHeight="1">
      <c r="A238" s="46"/>
      <c r="B238" s="46"/>
      <c r="C238" s="46"/>
      <c r="K238" s="27"/>
      <c r="L238" s="27"/>
      <c r="M238" s="27"/>
      <c r="N238" s="27"/>
    </row>
    <row r="239" ht="15.75" customHeight="1">
      <c r="A239" s="46"/>
      <c r="B239" s="46"/>
      <c r="C239" s="46"/>
      <c r="K239" s="27"/>
      <c r="L239" s="27"/>
      <c r="M239" s="27"/>
      <c r="N239" s="27"/>
    </row>
    <row r="240" ht="15.75" customHeight="1">
      <c r="A240" s="46"/>
      <c r="B240" s="46"/>
      <c r="C240" s="46"/>
      <c r="K240" s="27"/>
      <c r="L240" s="27"/>
      <c r="M240" s="27"/>
      <c r="N240" s="27"/>
    </row>
    <row r="241" ht="15.75" customHeight="1">
      <c r="A241" s="46"/>
      <c r="B241" s="46"/>
      <c r="C241" s="46"/>
      <c r="K241" s="27"/>
      <c r="L241" s="27"/>
      <c r="M241" s="27"/>
      <c r="N241" s="27"/>
    </row>
    <row r="242" ht="15.75" customHeight="1">
      <c r="A242" s="46"/>
      <c r="B242" s="46"/>
      <c r="C242" s="46"/>
      <c r="K242" s="27"/>
      <c r="L242" s="27"/>
      <c r="M242" s="27"/>
      <c r="N242" s="27"/>
    </row>
    <row r="243" ht="15.75" customHeight="1">
      <c r="A243" s="46"/>
      <c r="B243" s="46"/>
      <c r="C243" s="46"/>
      <c r="K243" s="27"/>
      <c r="L243" s="27"/>
      <c r="M243" s="27"/>
      <c r="N243" s="27"/>
    </row>
    <row r="244" ht="15.75" customHeight="1">
      <c r="A244" s="46"/>
      <c r="B244" s="46"/>
      <c r="C244" s="46"/>
      <c r="K244" s="27"/>
      <c r="L244" s="27"/>
      <c r="M244" s="27"/>
      <c r="N244" s="27"/>
    </row>
    <row r="245" ht="15.75" customHeight="1">
      <c r="A245" s="46"/>
      <c r="B245" s="46"/>
      <c r="C245" s="46"/>
      <c r="K245" s="27"/>
      <c r="L245" s="27"/>
      <c r="M245" s="27"/>
      <c r="N245" s="27"/>
    </row>
    <row r="246" ht="15.75" customHeight="1">
      <c r="A246" s="46"/>
      <c r="B246" s="46"/>
      <c r="C246" s="46"/>
      <c r="K246" s="27"/>
      <c r="L246" s="27"/>
      <c r="M246" s="27"/>
      <c r="N246" s="27"/>
    </row>
    <row r="247" ht="15.75" customHeight="1">
      <c r="A247" s="46"/>
      <c r="B247" s="46"/>
      <c r="C247" s="46"/>
      <c r="K247" s="27"/>
      <c r="L247" s="27"/>
      <c r="M247" s="27"/>
      <c r="N247" s="27"/>
    </row>
    <row r="248" ht="15.75" customHeight="1">
      <c r="A248" s="46"/>
      <c r="B248" s="46"/>
      <c r="C248" s="46"/>
      <c r="K248" s="27"/>
      <c r="L248" s="27"/>
      <c r="M248" s="27"/>
      <c r="N248" s="27"/>
    </row>
    <row r="249" ht="15.75" customHeight="1">
      <c r="A249" s="46"/>
      <c r="B249" s="46"/>
      <c r="C249" s="46"/>
      <c r="K249" s="27"/>
      <c r="L249" s="27"/>
      <c r="M249" s="27"/>
      <c r="N249" s="27"/>
    </row>
    <row r="250" ht="15.75" customHeight="1">
      <c r="A250" s="46"/>
      <c r="B250" s="46"/>
      <c r="C250" s="46"/>
      <c r="K250" s="27"/>
      <c r="L250" s="27"/>
      <c r="M250" s="27"/>
      <c r="N250" s="27"/>
    </row>
    <row r="251" ht="15.75" customHeight="1">
      <c r="A251" s="46"/>
      <c r="B251" s="46"/>
      <c r="C251" s="46"/>
      <c r="K251" s="27"/>
      <c r="L251" s="27"/>
      <c r="M251" s="27"/>
      <c r="N251" s="27"/>
    </row>
    <row r="252" ht="15.75" customHeight="1">
      <c r="A252" s="46"/>
      <c r="B252" s="46"/>
      <c r="C252" s="46"/>
      <c r="K252" s="27"/>
      <c r="L252" s="27"/>
      <c r="M252" s="27"/>
      <c r="N252" s="27"/>
    </row>
    <row r="253" ht="15.75" customHeight="1">
      <c r="A253" s="46"/>
      <c r="B253" s="46"/>
      <c r="C253" s="46"/>
      <c r="K253" s="27"/>
      <c r="L253" s="27"/>
      <c r="M253" s="27"/>
      <c r="N253" s="27"/>
    </row>
    <row r="254" ht="15.75" customHeight="1">
      <c r="A254" s="46"/>
      <c r="B254" s="46"/>
      <c r="C254" s="46"/>
      <c r="K254" s="27"/>
      <c r="L254" s="27"/>
      <c r="M254" s="27"/>
      <c r="N254" s="27"/>
    </row>
    <row r="255" ht="15.75" customHeight="1">
      <c r="A255" s="46"/>
      <c r="B255" s="46"/>
      <c r="C255" s="46"/>
      <c r="K255" s="27"/>
      <c r="L255" s="27"/>
      <c r="M255" s="27"/>
      <c r="N255" s="27"/>
    </row>
    <row r="256" ht="15.75" customHeight="1">
      <c r="A256" s="46"/>
      <c r="B256" s="46"/>
      <c r="C256" s="46"/>
      <c r="K256" s="27"/>
      <c r="L256" s="27"/>
      <c r="M256" s="27"/>
      <c r="N256" s="27"/>
    </row>
    <row r="257" ht="15.75" customHeight="1">
      <c r="A257" s="46"/>
      <c r="B257" s="46"/>
      <c r="C257" s="46"/>
      <c r="K257" s="27"/>
      <c r="L257" s="27"/>
      <c r="M257" s="27"/>
      <c r="N257" s="27"/>
    </row>
    <row r="258" ht="15.75" customHeight="1">
      <c r="A258" s="46"/>
      <c r="B258" s="46"/>
      <c r="C258" s="46"/>
      <c r="K258" s="27"/>
      <c r="L258" s="27"/>
      <c r="M258" s="27"/>
      <c r="N258" s="27"/>
    </row>
    <row r="259" ht="15.75" customHeight="1">
      <c r="A259" s="46"/>
      <c r="B259" s="46"/>
      <c r="C259" s="46"/>
      <c r="K259" s="27"/>
      <c r="L259" s="27"/>
      <c r="M259" s="27"/>
      <c r="N259" s="27"/>
    </row>
    <row r="260" ht="15.75" customHeight="1">
      <c r="A260" s="46"/>
      <c r="B260" s="46"/>
      <c r="C260" s="46"/>
      <c r="K260" s="27"/>
      <c r="L260" s="27"/>
      <c r="M260" s="27"/>
      <c r="N260" s="27"/>
    </row>
    <row r="261" ht="15.75" customHeight="1">
      <c r="A261" s="46"/>
      <c r="B261" s="46"/>
      <c r="C261" s="46"/>
      <c r="K261" s="27"/>
      <c r="L261" s="27"/>
      <c r="M261" s="27"/>
      <c r="N261" s="27"/>
    </row>
    <row r="262" ht="15.75" customHeight="1">
      <c r="A262" s="46"/>
      <c r="B262" s="46"/>
      <c r="C262" s="46"/>
      <c r="K262" s="27"/>
      <c r="L262" s="27"/>
      <c r="M262" s="27"/>
      <c r="N262" s="27"/>
    </row>
    <row r="263" ht="15.75" customHeight="1">
      <c r="A263" s="46"/>
      <c r="B263" s="46"/>
      <c r="C263" s="46"/>
      <c r="K263" s="27"/>
      <c r="L263" s="27"/>
      <c r="M263" s="27"/>
      <c r="N263" s="27"/>
    </row>
    <row r="264" ht="15.75" customHeight="1">
      <c r="A264" s="46"/>
      <c r="B264" s="46"/>
      <c r="C264" s="46"/>
      <c r="K264" s="27"/>
      <c r="L264" s="27"/>
      <c r="M264" s="27"/>
      <c r="N264" s="27"/>
    </row>
    <row r="265" ht="15.75" customHeight="1">
      <c r="A265" s="46"/>
      <c r="B265" s="46"/>
      <c r="C265" s="46"/>
      <c r="K265" s="27"/>
      <c r="L265" s="27"/>
      <c r="M265" s="27"/>
      <c r="N265" s="27"/>
    </row>
    <row r="266" ht="15.75" customHeight="1">
      <c r="A266" s="46"/>
      <c r="B266" s="46"/>
      <c r="C266" s="46"/>
      <c r="K266" s="27"/>
      <c r="L266" s="27"/>
      <c r="M266" s="27"/>
      <c r="N266" s="27"/>
    </row>
    <row r="267" ht="15.75" customHeight="1">
      <c r="A267" s="46"/>
      <c r="B267" s="46"/>
      <c r="C267" s="46"/>
      <c r="K267" s="27"/>
      <c r="L267" s="27"/>
      <c r="M267" s="27"/>
      <c r="N267" s="27"/>
    </row>
    <row r="268" ht="15.75" customHeight="1">
      <c r="A268" s="46"/>
      <c r="B268" s="46"/>
      <c r="C268" s="46"/>
      <c r="K268" s="27"/>
      <c r="L268" s="27"/>
      <c r="M268" s="27"/>
      <c r="N268" s="27"/>
    </row>
    <row r="269" ht="15.75" customHeight="1">
      <c r="A269" s="46"/>
      <c r="B269" s="46"/>
      <c r="C269" s="46"/>
      <c r="K269" s="27"/>
      <c r="L269" s="27"/>
      <c r="M269" s="27"/>
      <c r="N269" s="27"/>
    </row>
    <row r="270" ht="15.75" customHeight="1">
      <c r="A270" s="46"/>
      <c r="B270" s="46"/>
      <c r="C270" s="46"/>
      <c r="K270" s="27"/>
      <c r="L270" s="27"/>
      <c r="M270" s="27"/>
      <c r="N270" s="27"/>
    </row>
    <row r="271" ht="15.75" customHeight="1">
      <c r="A271" s="46"/>
      <c r="B271" s="46"/>
      <c r="C271" s="46"/>
      <c r="K271" s="27"/>
      <c r="L271" s="27"/>
      <c r="M271" s="27"/>
      <c r="N271" s="27"/>
    </row>
    <row r="272" ht="15.75" customHeight="1">
      <c r="A272" s="46"/>
      <c r="B272" s="46"/>
      <c r="C272" s="46"/>
      <c r="K272" s="27"/>
      <c r="L272" s="27"/>
      <c r="M272" s="27"/>
      <c r="N272" s="27"/>
    </row>
    <row r="273" ht="15.75" customHeight="1">
      <c r="A273" s="46"/>
      <c r="B273" s="46"/>
      <c r="C273" s="46"/>
      <c r="K273" s="27"/>
      <c r="L273" s="27"/>
      <c r="M273" s="27"/>
      <c r="N273" s="27"/>
    </row>
    <row r="274" ht="15.75" customHeight="1">
      <c r="A274" s="46"/>
      <c r="B274" s="46"/>
      <c r="C274" s="46"/>
      <c r="K274" s="27"/>
      <c r="L274" s="27"/>
      <c r="M274" s="27"/>
      <c r="N274" s="27"/>
    </row>
    <row r="275" ht="15.75" customHeight="1">
      <c r="A275" s="46"/>
      <c r="B275" s="46"/>
      <c r="C275" s="46"/>
      <c r="K275" s="27"/>
      <c r="L275" s="27"/>
      <c r="M275" s="27"/>
      <c r="N275" s="27"/>
    </row>
    <row r="276" ht="15.75" customHeight="1">
      <c r="A276" s="46"/>
      <c r="B276" s="46"/>
      <c r="C276" s="46"/>
      <c r="K276" s="27"/>
      <c r="L276" s="27"/>
      <c r="M276" s="27"/>
      <c r="N276" s="27"/>
    </row>
    <row r="277" ht="15.75" customHeight="1">
      <c r="A277" s="46"/>
      <c r="B277" s="46"/>
      <c r="C277" s="46"/>
      <c r="K277" s="27"/>
      <c r="L277" s="27"/>
      <c r="M277" s="27"/>
      <c r="N277" s="27"/>
    </row>
    <row r="278" ht="15.75" customHeight="1">
      <c r="A278" s="46"/>
      <c r="B278" s="46"/>
      <c r="C278" s="46"/>
      <c r="K278" s="27"/>
      <c r="L278" s="27"/>
      <c r="M278" s="27"/>
      <c r="N278" s="27"/>
    </row>
    <row r="279" ht="15.75" customHeight="1">
      <c r="A279" s="46"/>
      <c r="B279" s="46"/>
      <c r="C279" s="46"/>
      <c r="K279" s="27"/>
      <c r="L279" s="27"/>
      <c r="M279" s="27"/>
      <c r="N279" s="27"/>
    </row>
    <row r="280" ht="15.75" customHeight="1">
      <c r="A280" s="46"/>
      <c r="B280" s="46"/>
      <c r="C280" s="46"/>
      <c r="K280" s="27"/>
      <c r="L280" s="27"/>
      <c r="M280" s="27"/>
      <c r="N280" s="27"/>
    </row>
    <row r="281" ht="15.75" customHeight="1">
      <c r="A281" s="46"/>
      <c r="B281" s="46"/>
      <c r="C281" s="46"/>
      <c r="K281" s="27"/>
      <c r="L281" s="27"/>
      <c r="M281" s="27"/>
      <c r="N281" s="27"/>
    </row>
    <row r="282" ht="15.75" customHeight="1">
      <c r="A282" s="46"/>
      <c r="B282" s="46"/>
      <c r="C282" s="46"/>
      <c r="K282" s="27"/>
      <c r="L282" s="27"/>
      <c r="M282" s="27"/>
      <c r="N282" s="27"/>
    </row>
    <row r="283" ht="15.75" customHeight="1">
      <c r="A283" s="46"/>
      <c r="B283" s="46"/>
      <c r="C283" s="46"/>
      <c r="K283" s="27"/>
      <c r="L283" s="27"/>
      <c r="M283" s="27"/>
      <c r="N283" s="27"/>
    </row>
    <row r="284" ht="15.75" customHeight="1">
      <c r="A284" s="46"/>
      <c r="B284" s="46"/>
      <c r="C284" s="46"/>
      <c r="K284" s="27"/>
      <c r="L284" s="27"/>
      <c r="M284" s="27"/>
      <c r="N284" s="27"/>
    </row>
    <row r="285" ht="15.75" customHeight="1">
      <c r="A285" s="46"/>
      <c r="B285" s="46"/>
      <c r="C285" s="46"/>
      <c r="K285" s="27"/>
      <c r="L285" s="27"/>
      <c r="M285" s="27"/>
      <c r="N285" s="27"/>
    </row>
    <row r="286" ht="15.75" customHeight="1">
      <c r="A286" s="46"/>
      <c r="B286" s="46"/>
      <c r="C286" s="46"/>
      <c r="K286" s="27"/>
      <c r="L286" s="27"/>
      <c r="M286" s="27"/>
      <c r="N286" s="27"/>
    </row>
    <row r="287" ht="15.75" customHeight="1">
      <c r="A287" s="46"/>
      <c r="B287" s="46"/>
      <c r="C287" s="46"/>
      <c r="K287" s="27"/>
      <c r="L287" s="27"/>
      <c r="M287" s="27"/>
      <c r="N287" s="27"/>
    </row>
    <row r="288" ht="15.75" customHeight="1">
      <c r="A288" s="46"/>
      <c r="B288" s="46"/>
      <c r="C288" s="46"/>
      <c r="K288" s="27"/>
      <c r="L288" s="27"/>
      <c r="M288" s="27"/>
      <c r="N288" s="27"/>
    </row>
    <row r="289" ht="15.75" customHeight="1">
      <c r="A289" s="46"/>
      <c r="B289" s="46"/>
      <c r="C289" s="46"/>
      <c r="K289" s="27"/>
      <c r="L289" s="27"/>
      <c r="M289" s="27"/>
      <c r="N289" s="27"/>
    </row>
    <row r="290" ht="15.75" customHeight="1">
      <c r="A290" s="46"/>
      <c r="B290" s="46"/>
      <c r="C290" s="46"/>
      <c r="K290" s="27"/>
      <c r="L290" s="27"/>
      <c r="M290" s="27"/>
      <c r="N290" s="27"/>
    </row>
    <row r="291" ht="15.75" customHeight="1">
      <c r="A291" s="46"/>
      <c r="B291" s="46"/>
      <c r="C291" s="46"/>
      <c r="K291" s="27"/>
      <c r="L291" s="27"/>
      <c r="M291" s="27"/>
      <c r="N291" s="27"/>
    </row>
    <row r="292" ht="15.75" customHeight="1">
      <c r="A292" s="46"/>
      <c r="B292" s="46"/>
      <c r="C292" s="46"/>
      <c r="K292" s="27"/>
      <c r="L292" s="27"/>
      <c r="M292" s="27"/>
      <c r="N292" s="27"/>
    </row>
    <row r="293" ht="15.75" customHeight="1">
      <c r="A293" s="46"/>
      <c r="B293" s="46"/>
      <c r="C293" s="46"/>
      <c r="K293" s="27"/>
      <c r="L293" s="27"/>
      <c r="M293" s="27"/>
      <c r="N293" s="27"/>
    </row>
    <row r="294" ht="15.75" customHeight="1">
      <c r="A294" s="46"/>
      <c r="B294" s="46"/>
      <c r="C294" s="46"/>
      <c r="K294" s="27"/>
      <c r="L294" s="27"/>
      <c r="M294" s="27"/>
      <c r="N294" s="27"/>
    </row>
    <row r="295" ht="15.75" customHeight="1">
      <c r="A295" s="46"/>
      <c r="B295" s="46"/>
      <c r="C295" s="46"/>
      <c r="K295" s="27"/>
      <c r="L295" s="27"/>
      <c r="M295" s="27"/>
      <c r="N295" s="27"/>
    </row>
    <row r="296" ht="15.75" customHeight="1">
      <c r="A296" s="46"/>
      <c r="B296" s="46"/>
      <c r="C296" s="46"/>
      <c r="K296" s="27"/>
      <c r="L296" s="27"/>
      <c r="M296" s="27"/>
      <c r="N296" s="27"/>
    </row>
    <row r="297" ht="15.75" customHeight="1">
      <c r="A297" s="46"/>
      <c r="B297" s="46"/>
      <c r="C297" s="46"/>
      <c r="K297" s="27"/>
      <c r="L297" s="27"/>
      <c r="M297" s="27"/>
      <c r="N297" s="27"/>
    </row>
    <row r="298" ht="15.75" customHeight="1">
      <c r="A298" s="46"/>
      <c r="B298" s="46"/>
      <c r="C298" s="46"/>
      <c r="K298" s="27"/>
      <c r="L298" s="27"/>
      <c r="M298" s="27"/>
      <c r="N298" s="27"/>
    </row>
    <row r="299" ht="15.75" customHeight="1">
      <c r="A299" s="46"/>
      <c r="B299" s="46"/>
      <c r="C299" s="46"/>
      <c r="K299" s="27"/>
      <c r="L299" s="27"/>
      <c r="M299" s="27"/>
      <c r="N299" s="27"/>
    </row>
    <row r="300" ht="15.75" customHeight="1">
      <c r="A300" s="46"/>
      <c r="B300" s="46"/>
      <c r="C300" s="46"/>
      <c r="K300" s="27"/>
      <c r="L300" s="27"/>
      <c r="M300" s="27"/>
      <c r="N300" s="27"/>
    </row>
    <row r="301" ht="15.75" customHeight="1">
      <c r="A301" s="46"/>
      <c r="B301" s="46"/>
      <c r="C301" s="46"/>
      <c r="K301" s="27"/>
      <c r="L301" s="27"/>
      <c r="M301" s="27"/>
      <c r="N301" s="27"/>
    </row>
    <row r="302" ht="15.75" customHeight="1">
      <c r="A302" s="46"/>
      <c r="B302" s="46"/>
      <c r="C302" s="46"/>
      <c r="K302" s="27"/>
      <c r="L302" s="27"/>
      <c r="M302" s="27"/>
      <c r="N302" s="27"/>
    </row>
    <row r="303" ht="15.75" customHeight="1">
      <c r="A303" s="46"/>
      <c r="B303" s="46"/>
      <c r="C303" s="46"/>
      <c r="K303" s="27"/>
      <c r="L303" s="27"/>
      <c r="M303" s="27"/>
      <c r="N303" s="27"/>
    </row>
    <row r="304" ht="15.75" customHeight="1">
      <c r="A304" s="46"/>
      <c r="B304" s="46"/>
      <c r="C304" s="46"/>
      <c r="K304" s="27"/>
      <c r="L304" s="27"/>
      <c r="M304" s="27"/>
      <c r="N304" s="27"/>
    </row>
    <row r="305" ht="15.75" customHeight="1">
      <c r="A305" s="46"/>
      <c r="B305" s="46"/>
      <c r="C305" s="46"/>
      <c r="K305" s="27"/>
      <c r="L305" s="27"/>
      <c r="M305" s="27"/>
      <c r="N305" s="27"/>
    </row>
    <row r="306" ht="15.75" customHeight="1">
      <c r="A306" s="46"/>
      <c r="B306" s="46"/>
      <c r="C306" s="46"/>
      <c r="K306" s="27"/>
      <c r="L306" s="27"/>
      <c r="M306" s="27"/>
      <c r="N306" s="27"/>
    </row>
    <row r="307" ht="15.75" customHeight="1">
      <c r="A307" s="46"/>
      <c r="B307" s="46"/>
      <c r="C307" s="46"/>
      <c r="K307" s="27"/>
      <c r="L307" s="27"/>
      <c r="M307" s="27"/>
      <c r="N307" s="27"/>
    </row>
    <row r="308" ht="15.75" customHeight="1">
      <c r="A308" s="46"/>
      <c r="B308" s="46"/>
      <c r="C308" s="46"/>
      <c r="K308" s="27"/>
      <c r="L308" s="27"/>
      <c r="M308" s="27"/>
      <c r="N308" s="27"/>
    </row>
    <row r="309" ht="15.75" customHeight="1">
      <c r="A309" s="46"/>
      <c r="B309" s="46"/>
      <c r="C309" s="46"/>
      <c r="K309" s="27"/>
      <c r="L309" s="27"/>
      <c r="M309" s="27"/>
      <c r="N309" s="27"/>
    </row>
    <row r="310" ht="15.75" customHeight="1">
      <c r="A310" s="46"/>
      <c r="B310" s="46"/>
      <c r="C310" s="46"/>
      <c r="K310" s="27"/>
      <c r="L310" s="27"/>
      <c r="M310" s="27"/>
      <c r="N310" s="27"/>
    </row>
    <row r="311" ht="15.75" customHeight="1">
      <c r="A311" s="46"/>
      <c r="B311" s="46"/>
      <c r="C311" s="46"/>
      <c r="K311" s="27"/>
      <c r="L311" s="27"/>
      <c r="M311" s="27"/>
      <c r="N311" s="27"/>
    </row>
    <row r="312" ht="15.75" customHeight="1">
      <c r="A312" s="46"/>
      <c r="B312" s="46"/>
      <c r="C312" s="46"/>
      <c r="K312" s="27"/>
      <c r="L312" s="27"/>
      <c r="M312" s="27"/>
      <c r="N312" s="27"/>
    </row>
    <row r="313" ht="15.75" customHeight="1">
      <c r="A313" s="46"/>
      <c r="B313" s="46"/>
      <c r="C313" s="46"/>
      <c r="K313" s="27"/>
      <c r="L313" s="27"/>
      <c r="M313" s="27"/>
      <c r="N313" s="27"/>
    </row>
    <row r="314" ht="15.75" customHeight="1">
      <c r="A314" s="46"/>
      <c r="B314" s="46"/>
      <c r="C314" s="46"/>
      <c r="K314" s="27"/>
      <c r="L314" s="27"/>
      <c r="M314" s="27"/>
      <c r="N314" s="27"/>
    </row>
    <row r="315" ht="15.75" customHeight="1">
      <c r="A315" s="46"/>
      <c r="B315" s="46"/>
      <c r="C315" s="46"/>
      <c r="K315" s="27"/>
      <c r="L315" s="27"/>
      <c r="M315" s="27"/>
      <c r="N315" s="27"/>
    </row>
    <row r="316" ht="15.75" customHeight="1">
      <c r="A316" s="46"/>
      <c r="B316" s="46"/>
      <c r="C316" s="46"/>
      <c r="K316" s="27"/>
      <c r="L316" s="27"/>
      <c r="M316" s="27"/>
      <c r="N316" s="27"/>
    </row>
    <row r="317" ht="15.75" customHeight="1">
      <c r="A317" s="46"/>
      <c r="B317" s="46"/>
      <c r="C317" s="46"/>
      <c r="K317" s="27"/>
      <c r="L317" s="27"/>
      <c r="M317" s="27"/>
      <c r="N317" s="27"/>
    </row>
    <row r="318" ht="15.75" customHeight="1">
      <c r="A318" s="46"/>
      <c r="B318" s="46"/>
      <c r="C318" s="46"/>
      <c r="K318" s="27"/>
      <c r="L318" s="27"/>
      <c r="M318" s="27"/>
      <c r="N318" s="27"/>
    </row>
    <row r="319" ht="15.75" customHeight="1">
      <c r="A319" s="46"/>
      <c r="B319" s="46"/>
      <c r="C319" s="46"/>
      <c r="K319" s="27"/>
      <c r="L319" s="27"/>
      <c r="M319" s="27"/>
      <c r="N319" s="27"/>
    </row>
    <row r="320" ht="15.75" customHeight="1">
      <c r="A320" s="46"/>
      <c r="B320" s="46"/>
      <c r="C320" s="46"/>
      <c r="K320" s="27"/>
      <c r="L320" s="27"/>
      <c r="M320" s="27"/>
      <c r="N320" s="27"/>
    </row>
    <row r="321" ht="15.75" customHeight="1">
      <c r="A321" s="46"/>
      <c r="B321" s="46"/>
      <c r="C321" s="46"/>
      <c r="K321" s="27"/>
      <c r="L321" s="27"/>
      <c r="M321" s="27"/>
      <c r="N321" s="27"/>
    </row>
    <row r="322" ht="15.75" customHeight="1">
      <c r="A322" s="46"/>
      <c r="B322" s="46"/>
      <c r="C322" s="46"/>
      <c r="K322" s="27"/>
      <c r="L322" s="27"/>
      <c r="M322" s="27"/>
      <c r="N322" s="27"/>
    </row>
    <row r="323" ht="15.75" customHeight="1">
      <c r="A323" s="46"/>
      <c r="B323" s="46"/>
      <c r="C323" s="46"/>
      <c r="K323" s="27"/>
      <c r="L323" s="27"/>
      <c r="M323" s="27"/>
      <c r="N323" s="27"/>
    </row>
    <row r="324" ht="15.75" customHeight="1">
      <c r="A324" s="46"/>
      <c r="B324" s="46"/>
      <c r="C324" s="46"/>
      <c r="K324" s="27"/>
      <c r="L324" s="27"/>
      <c r="M324" s="27"/>
      <c r="N324" s="27"/>
    </row>
    <row r="325" ht="15.75" customHeight="1">
      <c r="A325" s="46"/>
      <c r="B325" s="46"/>
      <c r="C325" s="46"/>
      <c r="K325" s="27"/>
      <c r="L325" s="27"/>
      <c r="M325" s="27"/>
      <c r="N325" s="27"/>
    </row>
    <row r="326" ht="15.75" customHeight="1">
      <c r="A326" s="46"/>
      <c r="B326" s="46"/>
      <c r="C326" s="46"/>
      <c r="K326" s="27"/>
      <c r="L326" s="27"/>
      <c r="M326" s="27"/>
      <c r="N326" s="27"/>
    </row>
    <row r="327" ht="15.75" customHeight="1">
      <c r="A327" s="46"/>
      <c r="B327" s="46"/>
      <c r="C327" s="46"/>
      <c r="K327" s="27"/>
      <c r="L327" s="27"/>
      <c r="M327" s="27"/>
      <c r="N327" s="27"/>
    </row>
    <row r="328" ht="15.75" customHeight="1">
      <c r="A328" s="46"/>
      <c r="B328" s="46"/>
      <c r="C328" s="46"/>
      <c r="K328" s="27"/>
      <c r="L328" s="27"/>
      <c r="M328" s="27"/>
      <c r="N328" s="27"/>
    </row>
    <row r="329" ht="15.75" customHeight="1">
      <c r="A329" s="46"/>
      <c r="B329" s="46"/>
      <c r="C329" s="46"/>
      <c r="K329" s="27"/>
      <c r="L329" s="27"/>
      <c r="M329" s="27"/>
      <c r="N329" s="27"/>
    </row>
    <row r="330" ht="15.75" customHeight="1">
      <c r="A330" s="46"/>
      <c r="B330" s="46"/>
      <c r="C330" s="46"/>
      <c r="K330" s="27"/>
      <c r="L330" s="27"/>
      <c r="M330" s="27"/>
      <c r="N330" s="27"/>
    </row>
    <row r="331" ht="15.75" customHeight="1">
      <c r="A331" s="46"/>
      <c r="B331" s="46"/>
      <c r="C331" s="46"/>
      <c r="K331" s="27"/>
      <c r="L331" s="27"/>
      <c r="M331" s="27"/>
      <c r="N331" s="27"/>
    </row>
    <row r="332" ht="15.75" customHeight="1">
      <c r="A332" s="46"/>
      <c r="B332" s="46"/>
      <c r="C332" s="46"/>
      <c r="K332" s="27"/>
      <c r="L332" s="27"/>
      <c r="M332" s="27"/>
      <c r="N332" s="27"/>
    </row>
    <row r="333" ht="15.75" customHeight="1">
      <c r="A333" s="46"/>
      <c r="B333" s="46"/>
      <c r="C333" s="46"/>
      <c r="K333" s="27"/>
      <c r="L333" s="27"/>
      <c r="M333" s="27"/>
      <c r="N333" s="27"/>
    </row>
    <row r="334" ht="15.75" customHeight="1">
      <c r="A334" s="46"/>
      <c r="B334" s="46"/>
      <c r="C334" s="46"/>
      <c r="K334" s="27"/>
      <c r="L334" s="27"/>
      <c r="M334" s="27"/>
      <c r="N334" s="27"/>
    </row>
    <row r="335" ht="15.75" customHeight="1">
      <c r="A335" s="46"/>
      <c r="B335" s="46"/>
      <c r="C335" s="46"/>
      <c r="K335" s="27"/>
      <c r="L335" s="27"/>
      <c r="M335" s="27"/>
      <c r="N335" s="27"/>
    </row>
    <row r="336" ht="15.75" customHeight="1">
      <c r="A336" s="46"/>
      <c r="B336" s="46"/>
      <c r="C336" s="46"/>
      <c r="K336" s="27"/>
      <c r="L336" s="27"/>
      <c r="M336" s="27"/>
      <c r="N336" s="27"/>
    </row>
    <row r="337" ht="15.75" customHeight="1">
      <c r="A337" s="46"/>
      <c r="B337" s="46"/>
      <c r="C337" s="46"/>
      <c r="K337" s="27"/>
      <c r="L337" s="27"/>
      <c r="M337" s="27"/>
      <c r="N337" s="27"/>
    </row>
    <row r="338" ht="15.75" customHeight="1">
      <c r="A338" s="46"/>
      <c r="B338" s="46"/>
      <c r="C338" s="46"/>
      <c r="K338" s="27"/>
      <c r="L338" s="27"/>
      <c r="M338" s="27"/>
      <c r="N338" s="27"/>
    </row>
    <row r="339" ht="15.75" customHeight="1">
      <c r="A339" s="46"/>
      <c r="B339" s="46"/>
      <c r="C339" s="46"/>
      <c r="K339" s="27"/>
      <c r="L339" s="27"/>
      <c r="M339" s="27"/>
      <c r="N339" s="27"/>
    </row>
    <row r="340" ht="15.75" customHeight="1">
      <c r="A340" s="46"/>
      <c r="B340" s="46"/>
      <c r="C340" s="46"/>
      <c r="K340" s="27"/>
      <c r="L340" s="27"/>
      <c r="M340" s="27"/>
      <c r="N340" s="27"/>
    </row>
    <row r="341" ht="15.75" customHeight="1">
      <c r="A341" s="46"/>
      <c r="B341" s="46"/>
      <c r="C341" s="46"/>
      <c r="K341" s="27"/>
      <c r="L341" s="27"/>
      <c r="M341" s="27"/>
      <c r="N341" s="27"/>
    </row>
    <row r="342" ht="15.75" customHeight="1">
      <c r="A342" s="46"/>
      <c r="B342" s="46"/>
      <c r="C342" s="46"/>
      <c r="K342" s="27"/>
      <c r="L342" s="27"/>
      <c r="M342" s="27"/>
      <c r="N342" s="27"/>
    </row>
    <row r="343" ht="15.75" customHeight="1">
      <c r="A343" s="46"/>
      <c r="B343" s="46"/>
      <c r="C343" s="46"/>
      <c r="K343" s="27"/>
      <c r="L343" s="27"/>
      <c r="M343" s="27"/>
      <c r="N343" s="27"/>
    </row>
    <row r="344" ht="15.75" customHeight="1">
      <c r="A344" s="46"/>
      <c r="B344" s="46"/>
      <c r="C344" s="46"/>
      <c r="K344" s="27"/>
      <c r="L344" s="27"/>
      <c r="M344" s="27"/>
      <c r="N344" s="27"/>
    </row>
    <row r="345" ht="15.75" customHeight="1">
      <c r="A345" s="46"/>
      <c r="B345" s="46"/>
      <c r="C345" s="46"/>
      <c r="K345" s="27"/>
      <c r="L345" s="27"/>
      <c r="M345" s="27"/>
      <c r="N345" s="27"/>
    </row>
    <row r="346" ht="15.75" customHeight="1">
      <c r="A346" s="46"/>
      <c r="B346" s="46"/>
      <c r="C346" s="46"/>
      <c r="K346" s="27"/>
      <c r="L346" s="27"/>
      <c r="M346" s="27"/>
      <c r="N346" s="27"/>
    </row>
    <row r="347" ht="15.75" customHeight="1">
      <c r="A347" s="46"/>
      <c r="B347" s="46"/>
      <c r="C347" s="46"/>
      <c r="K347" s="27"/>
      <c r="L347" s="27"/>
      <c r="M347" s="27"/>
      <c r="N347" s="27"/>
    </row>
    <row r="348" ht="15.75" customHeight="1">
      <c r="A348" s="46"/>
      <c r="B348" s="46"/>
      <c r="C348" s="46"/>
      <c r="K348" s="27"/>
      <c r="L348" s="27"/>
      <c r="M348" s="27"/>
      <c r="N348" s="27"/>
    </row>
    <row r="349" ht="15.75" customHeight="1">
      <c r="A349" s="46"/>
      <c r="B349" s="46"/>
      <c r="C349" s="46"/>
      <c r="K349" s="27"/>
      <c r="L349" s="27"/>
      <c r="M349" s="27"/>
      <c r="N349" s="27"/>
    </row>
    <row r="350" ht="15.75" customHeight="1">
      <c r="A350" s="46"/>
      <c r="B350" s="46"/>
      <c r="C350" s="46"/>
      <c r="K350" s="27"/>
      <c r="L350" s="27"/>
      <c r="M350" s="27"/>
      <c r="N350" s="27"/>
    </row>
    <row r="351" ht="15.75" customHeight="1">
      <c r="A351" s="46"/>
      <c r="B351" s="46"/>
      <c r="C351" s="46"/>
      <c r="K351" s="27"/>
      <c r="L351" s="27"/>
      <c r="M351" s="27"/>
      <c r="N351" s="27"/>
    </row>
    <row r="352" ht="15.75" customHeight="1">
      <c r="A352" s="46"/>
      <c r="B352" s="46"/>
      <c r="C352" s="46"/>
      <c r="K352" s="27"/>
      <c r="L352" s="27"/>
      <c r="M352" s="27"/>
      <c r="N352" s="27"/>
    </row>
    <row r="353" ht="15.75" customHeight="1">
      <c r="A353" s="46"/>
      <c r="B353" s="46"/>
      <c r="C353" s="46"/>
      <c r="K353" s="27"/>
      <c r="L353" s="27"/>
      <c r="M353" s="27"/>
      <c r="N353" s="27"/>
    </row>
    <row r="354" ht="15.75" customHeight="1">
      <c r="A354" s="46"/>
      <c r="B354" s="46"/>
      <c r="C354" s="46"/>
      <c r="K354" s="27"/>
      <c r="L354" s="27"/>
      <c r="M354" s="27"/>
      <c r="N354" s="27"/>
    </row>
    <row r="355" ht="15.75" customHeight="1">
      <c r="A355" s="46"/>
      <c r="B355" s="46"/>
      <c r="C355" s="46"/>
      <c r="K355" s="27"/>
      <c r="L355" s="27"/>
      <c r="M355" s="27"/>
      <c r="N355" s="27"/>
    </row>
    <row r="356" ht="15.75" customHeight="1">
      <c r="A356" s="46"/>
      <c r="B356" s="46"/>
      <c r="C356" s="46"/>
      <c r="K356" s="27"/>
      <c r="L356" s="27"/>
      <c r="M356" s="27"/>
      <c r="N356" s="27"/>
    </row>
    <row r="357" ht="15.75" customHeight="1">
      <c r="A357" s="46"/>
      <c r="B357" s="46"/>
      <c r="C357" s="46"/>
      <c r="K357" s="27"/>
      <c r="L357" s="27"/>
      <c r="M357" s="27"/>
      <c r="N357" s="27"/>
    </row>
    <row r="358" ht="15.75" customHeight="1">
      <c r="A358" s="46"/>
      <c r="B358" s="46"/>
      <c r="C358" s="46"/>
      <c r="K358" s="27"/>
      <c r="L358" s="27"/>
      <c r="M358" s="27"/>
      <c r="N358" s="27"/>
    </row>
    <row r="359" ht="15.75" customHeight="1">
      <c r="A359" s="46"/>
      <c r="B359" s="46"/>
      <c r="C359" s="46"/>
      <c r="K359" s="27"/>
      <c r="L359" s="27"/>
      <c r="M359" s="27"/>
      <c r="N359" s="27"/>
    </row>
    <row r="360" ht="15.75" customHeight="1">
      <c r="A360" s="46"/>
      <c r="B360" s="46"/>
      <c r="C360" s="46"/>
      <c r="K360" s="27"/>
      <c r="L360" s="27"/>
      <c r="M360" s="27"/>
      <c r="N360" s="27"/>
    </row>
    <row r="361" ht="15.75" customHeight="1">
      <c r="A361" s="46"/>
      <c r="B361" s="46"/>
      <c r="C361" s="46"/>
      <c r="K361" s="27"/>
      <c r="L361" s="27"/>
      <c r="M361" s="27"/>
      <c r="N361" s="27"/>
    </row>
    <row r="362" ht="15.75" customHeight="1">
      <c r="A362" s="46"/>
      <c r="B362" s="46"/>
      <c r="C362" s="46"/>
      <c r="K362" s="27"/>
      <c r="L362" s="27"/>
      <c r="M362" s="27"/>
      <c r="N362" s="27"/>
    </row>
    <row r="363" ht="15.75" customHeight="1">
      <c r="A363" s="46"/>
      <c r="B363" s="46"/>
      <c r="C363" s="46"/>
      <c r="K363" s="27"/>
      <c r="L363" s="27"/>
      <c r="M363" s="27"/>
      <c r="N363" s="27"/>
    </row>
    <row r="364" ht="15.75" customHeight="1">
      <c r="A364" s="46"/>
      <c r="B364" s="46"/>
      <c r="C364" s="46"/>
      <c r="K364" s="27"/>
      <c r="L364" s="27"/>
      <c r="M364" s="27"/>
      <c r="N364" s="27"/>
    </row>
    <row r="365" ht="15.75" customHeight="1">
      <c r="A365" s="46"/>
      <c r="B365" s="46"/>
      <c r="C365" s="46"/>
      <c r="K365" s="27"/>
      <c r="L365" s="27"/>
      <c r="M365" s="27"/>
      <c r="N365" s="27"/>
    </row>
    <row r="366" ht="15.75" customHeight="1">
      <c r="A366" s="46"/>
      <c r="B366" s="46"/>
      <c r="C366" s="46"/>
      <c r="K366" s="27"/>
      <c r="L366" s="27"/>
      <c r="M366" s="27"/>
      <c r="N366" s="27"/>
    </row>
    <row r="367" ht="15.75" customHeight="1">
      <c r="A367" s="46"/>
      <c r="B367" s="46"/>
      <c r="C367" s="46"/>
      <c r="K367" s="27"/>
      <c r="L367" s="27"/>
      <c r="M367" s="27"/>
      <c r="N367" s="27"/>
    </row>
    <row r="368" ht="15.75" customHeight="1">
      <c r="A368" s="46"/>
      <c r="B368" s="46"/>
      <c r="C368" s="46"/>
      <c r="K368" s="27"/>
      <c r="L368" s="27"/>
      <c r="M368" s="27"/>
      <c r="N368" s="27"/>
    </row>
    <row r="369" ht="15.75" customHeight="1">
      <c r="A369" s="46"/>
      <c r="B369" s="46"/>
      <c r="C369" s="46"/>
      <c r="K369" s="27"/>
      <c r="L369" s="27"/>
      <c r="M369" s="27"/>
      <c r="N369" s="27"/>
    </row>
    <row r="370" ht="15.75" customHeight="1">
      <c r="A370" s="46"/>
      <c r="B370" s="46"/>
      <c r="C370" s="46"/>
      <c r="K370" s="27"/>
      <c r="L370" s="27"/>
      <c r="M370" s="27"/>
      <c r="N370" s="27"/>
    </row>
    <row r="371" ht="15.75" customHeight="1">
      <c r="A371" s="46"/>
      <c r="B371" s="46"/>
      <c r="C371" s="46"/>
      <c r="K371" s="27"/>
      <c r="L371" s="27"/>
      <c r="M371" s="27"/>
      <c r="N371" s="27"/>
    </row>
    <row r="372" ht="15.75" customHeight="1">
      <c r="A372" s="46"/>
      <c r="B372" s="46"/>
      <c r="C372" s="46"/>
      <c r="K372" s="27"/>
      <c r="L372" s="27"/>
      <c r="M372" s="27"/>
      <c r="N372" s="27"/>
    </row>
    <row r="373" ht="15.75" customHeight="1">
      <c r="A373" s="46"/>
      <c r="B373" s="46"/>
      <c r="C373" s="46"/>
      <c r="K373" s="27"/>
      <c r="L373" s="27"/>
      <c r="M373" s="27"/>
      <c r="N373" s="27"/>
    </row>
    <row r="374" ht="15.75" customHeight="1">
      <c r="A374" s="46"/>
      <c r="B374" s="46"/>
      <c r="C374" s="46"/>
      <c r="K374" s="27"/>
      <c r="L374" s="27"/>
      <c r="M374" s="27"/>
      <c r="N374" s="27"/>
    </row>
    <row r="375" ht="15.75" customHeight="1">
      <c r="A375" s="46"/>
      <c r="B375" s="46"/>
      <c r="C375" s="46"/>
      <c r="K375" s="27"/>
      <c r="L375" s="27"/>
      <c r="M375" s="27"/>
      <c r="N375" s="27"/>
    </row>
    <row r="376" ht="15.75" customHeight="1">
      <c r="A376" s="46"/>
      <c r="B376" s="46"/>
      <c r="C376" s="46"/>
      <c r="K376" s="27"/>
      <c r="L376" s="27"/>
      <c r="M376" s="27"/>
      <c r="N376" s="27"/>
    </row>
    <row r="377" ht="15.75" customHeight="1">
      <c r="A377" s="46"/>
      <c r="B377" s="46"/>
      <c r="C377" s="46"/>
      <c r="K377" s="27"/>
      <c r="L377" s="27"/>
      <c r="M377" s="27"/>
      <c r="N377" s="27"/>
    </row>
    <row r="378" ht="15.75" customHeight="1">
      <c r="A378" s="46"/>
      <c r="B378" s="46"/>
      <c r="C378" s="46"/>
      <c r="K378" s="27"/>
      <c r="L378" s="27"/>
      <c r="M378" s="27"/>
      <c r="N378" s="27"/>
    </row>
    <row r="379" ht="15.75" customHeight="1">
      <c r="A379" s="46"/>
      <c r="B379" s="46"/>
      <c r="C379" s="46"/>
      <c r="K379" s="27"/>
      <c r="L379" s="27"/>
      <c r="M379" s="27"/>
      <c r="N379" s="27"/>
    </row>
    <row r="380" ht="15.75" customHeight="1">
      <c r="A380" s="46"/>
      <c r="B380" s="46"/>
      <c r="C380" s="46"/>
      <c r="K380" s="27"/>
      <c r="L380" s="27"/>
      <c r="M380" s="27"/>
      <c r="N380" s="27"/>
    </row>
    <row r="381" ht="15.75" customHeight="1">
      <c r="A381" s="46"/>
      <c r="B381" s="46"/>
      <c r="C381" s="46"/>
      <c r="K381" s="27"/>
      <c r="L381" s="27"/>
      <c r="M381" s="27"/>
      <c r="N381" s="27"/>
    </row>
    <row r="382" ht="15.75" customHeight="1">
      <c r="A382" s="46"/>
      <c r="B382" s="46"/>
      <c r="C382" s="46"/>
      <c r="K382" s="27"/>
      <c r="L382" s="27"/>
      <c r="M382" s="27"/>
      <c r="N382" s="27"/>
    </row>
    <row r="383" ht="15.75" customHeight="1">
      <c r="A383" s="46"/>
      <c r="B383" s="46"/>
      <c r="C383" s="46"/>
      <c r="K383" s="27"/>
      <c r="L383" s="27"/>
      <c r="M383" s="27"/>
      <c r="N383" s="27"/>
    </row>
    <row r="384" ht="15.75" customHeight="1">
      <c r="A384" s="46"/>
      <c r="B384" s="46"/>
      <c r="C384" s="46"/>
      <c r="K384" s="27"/>
      <c r="L384" s="27"/>
      <c r="M384" s="27"/>
      <c r="N384" s="27"/>
    </row>
    <row r="385" ht="15.75" customHeight="1">
      <c r="A385" s="46"/>
      <c r="B385" s="46"/>
      <c r="C385" s="46"/>
      <c r="K385" s="27"/>
      <c r="L385" s="27"/>
      <c r="M385" s="27"/>
      <c r="N385" s="27"/>
    </row>
    <row r="386" ht="15.75" customHeight="1">
      <c r="A386" s="46"/>
      <c r="B386" s="46"/>
      <c r="C386" s="46"/>
      <c r="K386" s="27"/>
      <c r="L386" s="27"/>
      <c r="M386" s="27"/>
      <c r="N386" s="27"/>
    </row>
    <row r="387" ht="15.75" customHeight="1">
      <c r="A387" s="46"/>
      <c r="B387" s="46"/>
      <c r="C387" s="46"/>
      <c r="K387" s="27"/>
      <c r="L387" s="27"/>
      <c r="M387" s="27"/>
      <c r="N387" s="27"/>
    </row>
    <row r="388" ht="15.75" customHeight="1">
      <c r="A388" s="46"/>
      <c r="B388" s="46"/>
      <c r="C388" s="46"/>
      <c r="K388" s="27"/>
      <c r="L388" s="27"/>
      <c r="M388" s="27"/>
      <c r="N388" s="27"/>
    </row>
    <row r="389" ht="15.75" customHeight="1">
      <c r="A389" s="46"/>
      <c r="B389" s="46"/>
      <c r="C389" s="46"/>
      <c r="K389" s="27"/>
      <c r="L389" s="27"/>
      <c r="M389" s="27"/>
      <c r="N389" s="27"/>
    </row>
    <row r="390" ht="15.75" customHeight="1">
      <c r="A390" s="46"/>
      <c r="B390" s="46"/>
      <c r="C390" s="46"/>
      <c r="K390" s="27"/>
      <c r="L390" s="27"/>
      <c r="M390" s="27"/>
      <c r="N390" s="27"/>
    </row>
    <row r="391" ht="15.75" customHeight="1">
      <c r="A391" s="46"/>
      <c r="B391" s="46"/>
      <c r="C391" s="46"/>
      <c r="K391" s="27"/>
      <c r="L391" s="27"/>
      <c r="M391" s="27"/>
      <c r="N391" s="27"/>
    </row>
    <row r="392" ht="15.75" customHeight="1">
      <c r="A392" s="46"/>
      <c r="B392" s="46"/>
      <c r="C392" s="46"/>
      <c r="K392" s="27"/>
      <c r="L392" s="27"/>
      <c r="M392" s="27"/>
      <c r="N392" s="27"/>
    </row>
    <row r="393" ht="15.75" customHeight="1">
      <c r="A393" s="46"/>
      <c r="B393" s="46"/>
      <c r="C393" s="46"/>
      <c r="K393" s="27"/>
      <c r="L393" s="27"/>
      <c r="M393" s="27"/>
      <c r="N393" s="27"/>
    </row>
    <row r="394" ht="15.75" customHeight="1">
      <c r="A394" s="46"/>
      <c r="B394" s="46"/>
      <c r="C394" s="46"/>
      <c r="K394" s="27"/>
      <c r="L394" s="27"/>
      <c r="M394" s="27"/>
      <c r="N394" s="27"/>
    </row>
    <row r="395" ht="15.75" customHeight="1">
      <c r="A395" s="46"/>
      <c r="B395" s="46"/>
      <c r="C395" s="46"/>
      <c r="K395" s="27"/>
      <c r="L395" s="27"/>
      <c r="M395" s="27"/>
      <c r="N395" s="27"/>
    </row>
    <row r="396" ht="15.75" customHeight="1">
      <c r="A396" s="46"/>
      <c r="B396" s="46"/>
      <c r="C396" s="46"/>
      <c r="K396" s="27"/>
      <c r="L396" s="27"/>
      <c r="M396" s="27"/>
      <c r="N396" s="27"/>
    </row>
    <row r="397" ht="15.75" customHeight="1">
      <c r="A397" s="46"/>
      <c r="B397" s="46"/>
      <c r="C397" s="46"/>
      <c r="K397" s="27"/>
      <c r="L397" s="27"/>
      <c r="M397" s="27"/>
      <c r="N397" s="27"/>
    </row>
    <row r="398" ht="15.75" customHeight="1">
      <c r="A398" s="46"/>
      <c r="B398" s="46"/>
      <c r="C398" s="46"/>
      <c r="K398" s="27"/>
      <c r="L398" s="27"/>
      <c r="M398" s="27"/>
      <c r="N398" s="27"/>
    </row>
    <row r="399" ht="15.75" customHeight="1">
      <c r="A399" s="46"/>
      <c r="B399" s="46"/>
      <c r="C399" s="46"/>
      <c r="K399" s="27"/>
      <c r="L399" s="27"/>
      <c r="M399" s="27"/>
      <c r="N399" s="27"/>
    </row>
    <row r="400" ht="15.75" customHeight="1">
      <c r="A400" s="46"/>
      <c r="B400" s="46"/>
      <c r="C400" s="46"/>
      <c r="K400" s="27"/>
      <c r="L400" s="27"/>
      <c r="M400" s="27"/>
      <c r="N400" s="27"/>
    </row>
    <row r="401" ht="15.75" customHeight="1">
      <c r="A401" s="46"/>
      <c r="B401" s="46"/>
      <c r="C401" s="46"/>
      <c r="K401" s="27"/>
      <c r="L401" s="27"/>
      <c r="M401" s="27"/>
      <c r="N401" s="27"/>
    </row>
    <row r="402" ht="15.75" customHeight="1">
      <c r="A402" s="46"/>
      <c r="B402" s="46"/>
      <c r="C402" s="46"/>
      <c r="K402" s="27"/>
      <c r="L402" s="27"/>
      <c r="M402" s="27"/>
      <c r="N402" s="27"/>
    </row>
    <row r="403" ht="15.75" customHeight="1">
      <c r="A403" s="46"/>
      <c r="B403" s="46"/>
      <c r="C403" s="46"/>
      <c r="K403" s="27"/>
      <c r="L403" s="27"/>
      <c r="M403" s="27"/>
      <c r="N403" s="27"/>
    </row>
    <row r="404" ht="15.75" customHeight="1">
      <c r="A404" s="46"/>
      <c r="B404" s="46"/>
      <c r="C404" s="46"/>
      <c r="K404" s="27"/>
      <c r="L404" s="27"/>
      <c r="M404" s="27"/>
      <c r="N404" s="27"/>
    </row>
    <row r="405" ht="15.75" customHeight="1">
      <c r="A405" s="46"/>
      <c r="B405" s="46"/>
      <c r="C405" s="46"/>
      <c r="K405" s="27"/>
      <c r="L405" s="27"/>
      <c r="M405" s="27"/>
      <c r="N405" s="27"/>
    </row>
    <row r="406" ht="15.75" customHeight="1">
      <c r="A406" s="46"/>
      <c r="B406" s="46"/>
      <c r="C406" s="46"/>
      <c r="K406" s="27"/>
      <c r="L406" s="27"/>
      <c r="M406" s="27"/>
      <c r="N406" s="27"/>
    </row>
    <row r="407" ht="15.75" customHeight="1">
      <c r="A407" s="46"/>
      <c r="B407" s="46"/>
      <c r="C407" s="46"/>
      <c r="K407" s="27"/>
      <c r="L407" s="27"/>
      <c r="M407" s="27"/>
      <c r="N407" s="27"/>
    </row>
    <row r="408" ht="15.75" customHeight="1">
      <c r="A408" s="46"/>
      <c r="B408" s="46"/>
      <c r="C408" s="46"/>
      <c r="K408" s="27"/>
      <c r="L408" s="27"/>
      <c r="M408" s="27"/>
      <c r="N408" s="27"/>
    </row>
    <row r="409" ht="15.75" customHeight="1">
      <c r="A409" s="46"/>
      <c r="B409" s="46"/>
      <c r="C409" s="46"/>
      <c r="K409" s="27"/>
      <c r="L409" s="27"/>
      <c r="M409" s="27"/>
      <c r="N409" s="27"/>
    </row>
    <row r="410" ht="15.75" customHeight="1">
      <c r="A410" s="46"/>
      <c r="B410" s="46"/>
      <c r="C410" s="46"/>
      <c r="K410" s="27"/>
      <c r="L410" s="27"/>
      <c r="M410" s="27"/>
      <c r="N410" s="27"/>
    </row>
    <row r="411" ht="15.75" customHeight="1">
      <c r="A411" s="46"/>
      <c r="B411" s="46"/>
      <c r="C411" s="46"/>
      <c r="K411" s="27"/>
      <c r="L411" s="27"/>
      <c r="M411" s="27"/>
      <c r="N411" s="27"/>
    </row>
    <row r="412" ht="15.75" customHeight="1">
      <c r="A412" s="46"/>
      <c r="B412" s="46"/>
      <c r="C412" s="46"/>
      <c r="K412" s="27"/>
      <c r="L412" s="27"/>
      <c r="M412" s="27"/>
      <c r="N412" s="27"/>
    </row>
    <row r="413" ht="15.75" customHeight="1">
      <c r="A413" s="46"/>
      <c r="B413" s="46"/>
      <c r="C413" s="46"/>
      <c r="K413" s="27"/>
      <c r="L413" s="27"/>
      <c r="M413" s="27"/>
      <c r="N413" s="27"/>
    </row>
    <row r="414" ht="15.75" customHeight="1">
      <c r="A414" s="46"/>
      <c r="B414" s="46"/>
      <c r="C414" s="46"/>
      <c r="K414" s="27"/>
      <c r="L414" s="27"/>
      <c r="M414" s="27"/>
      <c r="N414" s="27"/>
    </row>
    <row r="415" ht="15.75" customHeight="1">
      <c r="A415" s="46"/>
      <c r="B415" s="46"/>
      <c r="C415" s="46"/>
      <c r="K415" s="27"/>
      <c r="L415" s="27"/>
      <c r="M415" s="27"/>
      <c r="N415" s="27"/>
    </row>
    <row r="416" ht="15.75" customHeight="1">
      <c r="A416" s="46"/>
      <c r="B416" s="46"/>
      <c r="C416" s="46"/>
      <c r="K416" s="27"/>
      <c r="L416" s="27"/>
      <c r="M416" s="27"/>
      <c r="N416" s="27"/>
    </row>
    <row r="417" ht="15.75" customHeight="1">
      <c r="A417" s="46"/>
      <c r="B417" s="46"/>
      <c r="C417" s="46"/>
      <c r="K417" s="27"/>
      <c r="L417" s="27"/>
      <c r="M417" s="27"/>
      <c r="N417" s="27"/>
    </row>
    <row r="418" ht="15.75" customHeight="1">
      <c r="A418" s="46"/>
      <c r="B418" s="46"/>
      <c r="C418" s="46"/>
      <c r="K418" s="27"/>
      <c r="L418" s="27"/>
      <c r="M418" s="27"/>
      <c r="N418" s="27"/>
    </row>
    <row r="419" ht="15.75" customHeight="1">
      <c r="A419" s="46"/>
      <c r="B419" s="46"/>
      <c r="C419" s="46"/>
      <c r="K419" s="27"/>
      <c r="L419" s="27"/>
      <c r="M419" s="27"/>
      <c r="N419" s="27"/>
    </row>
    <row r="420" ht="15.75" customHeight="1">
      <c r="A420" s="46"/>
      <c r="B420" s="46"/>
      <c r="C420" s="46"/>
      <c r="K420" s="27"/>
      <c r="L420" s="27"/>
      <c r="M420" s="27"/>
      <c r="N420" s="27"/>
    </row>
    <row r="421" ht="15.75" customHeight="1">
      <c r="A421" s="46"/>
      <c r="B421" s="46"/>
      <c r="C421" s="46"/>
      <c r="K421" s="27"/>
      <c r="L421" s="27"/>
      <c r="M421" s="27"/>
      <c r="N421" s="27"/>
    </row>
    <row r="422" ht="15.75" customHeight="1">
      <c r="A422" s="46"/>
      <c r="B422" s="46"/>
      <c r="C422" s="46"/>
      <c r="K422" s="27"/>
      <c r="L422" s="27"/>
      <c r="M422" s="27"/>
      <c r="N422" s="27"/>
    </row>
    <row r="423" ht="15.75" customHeight="1">
      <c r="A423" s="46"/>
      <c r="B423" s="46"/>
      <c r="C423" s="46"/>
      <c r="K423" s="27"/>
      <c r="L423" s="27"/>
      <c r="M423" s="27"/>
      <c r="N423" s="27"/>
    </row>
    <row r="424" ht="15.75" customHeight="1">
      <c r="A424" s="46"/>
      <c r="B424" s="46"/>
      <c r="C424" s="46"/>
      <c r="K424" s="27"/>
      <c r="L424" s="27"/>
      <c r="M424" s="27"/>
      <c r="N424" s="27"/>
    </row>
    <row r="425" ht="15.75" customHeight="1">
      <c r="A425" s="46"/>
      <c r="B425" s="46"/>
      <c r="C425" s="46"/>
      <c r="K425" s="27"/>
      <c r="L425" s="27"/>
      <c r="M425" s="27"/>
      <c r="N425" s="27"/>
    </row>
    <row r="426" ht="15.75" customHeight="1">
      <c r="A426" s="46"/>
      <c r="B426" s="46"/>
      <c r="C426" s="46"/>
      <c r="K426" s="27"/>
      <c r="L426" s="27"/>
      <c r="M426" s="27"/>
      <c r="N426" s="27"/>
    </row>
    <row r="427" ht="15.75" customHeight="1">
      <c r="A427" s="46"/>
      <c r="B427" s="46"/>
      <c r="C427" s="46"/>
      <c r="K427" s="27"/>
      <c r="L427" s="27"/>
      <c r="M427" s="27"/>
      <c r="N427" s="27"/>
    </row>
    <row r="428" ht="15.75" customHeight="1">
      <c r="A428" s="46"/>
      <c r="B428" s="46"/>
      <c r="C428" s="46"/>
      <c r="K428" s="27"/>
      <c r="L428" s="27"/>
      <c r="M428" s="27"/>
      <c r="N428" s="27"/>
    </row>
    <row r="429" ht="15.75" customHeight="1">
      <c r="A429" s="46"/>
      <c r="B429" s="46"/>
      <c r="C429" s="46"/>
      <c r="K429" s="27"/>
      <c r="L429" s="27"/>
      <c r="M429" s="27"/>
      <c r="N429" s="27"/>
    </row>
    <row r="430" ht="15.75" customHeight="1">
      <c r="A430" s="46"/>
      <c r="B430" s="46"/>
      <c r="C430" s="46"/>
      <c r="K430" s="27"/>
      <c r="L430" s="27"/>
      <c r="M430" s="27"/>
      <c r="N430" s="27"/>
    </row>
    <row r="431" ht="15.75" customHeight="1">
      <c r="A431" s="46"/>
      <c r="B431" s="46"/>
      <c r="C431" s="46"/>
      <c r="K431" s="27"/>
      <c r="L431" s="27"/>
      <c r="M431" s="27"/>
      <c r="N431" s="27"/>
    </row>
    <row r="432" ht="15.75" customHeight="1">
      <c r="A432" s="46"/>
      <c r="B432" s="46"/>
      <c r="C432" s="46"/>
      <c r="K432" s="27"/>
      <c r="L432" s="27"/>
      <c r="M432" s="27"/>
      <c r="N432" s="27"/>
    </row>
    <row r="433" ht="15.75" customHeight="1">
      <c r="A433" s="46"/>
      <c r="B433" s="46"/>
      <c r="C433" s="46"/>
      <c r="K433" s="27"/>
      <c r="L433" s="27"/>
      <c r="M433" s="27"/>
      <c r="N433" s="27"/>
    </row>
    <row r="434" ht="15.75" customHeight="1">
      <c r="A434" s="46"/>
      <c r="B434" s="46"/>
      <c r="C434" s="46"/>
      <c r="K434" s="27"/>
      <c r="L434" s="27"/>
      <c r="M434" s="27"/>
      <c r="N434" s="27"/>
    </row>
    <row r="435" ht="15.75" customHeight="1">
      <c r="A435" s="46"/>
      <c r="B435" s="46"/>
      <c r="C435" s="46"/>
      <c r="K435" s="27"/>
      <c r="L435" s="27"/>
      <c r="M435" s="27"/>
      <c r="N435" s="27"/>
    </row>
    <row r="436" ht="15.75" customHeight="1">
      <c r="A436" s="46"/>
      <c r="B436" s="46"/>
      <c r="C436" s="46"/>
      <c r="K436" s="27"/>
      <c r="L436" s="27"/>
      <c r="M436" s="27"/>
      <c r="N436" s="27"/>
    </row>
    <row r="437" ht="15.75" customHeight="1">
      <c r="A437" s="46"/>
      <c r="B437" s="46"/>
      <c r="C437" s="46"/>
      <c r="K437" s="27"/>
      <c r="L437" s="27"/>
      <c r="M437" s="27"/>
      <c r="N437" s="27"/>
    </row>
    <row r="438" ht="15.75" customHeight="1">
      <c r="A438" s="46"/>
      <c r="B438" s="46"/>
      <c r="C438" s="46"/>
      <c r="K438" s="27"/>
      <c r="L438" s="27"/>
      <c r="M438" s="27"/>
      <c r="N438" s="27"/>
    </row>
    <row r="439" ht="15.75" customHeight="1">
      <c r="A439" s="46"/>
      <c r="B439" s="46"/>
      <c r="C439" s="46"/>
      <c r="K439" s="27"/>
      <c r="L439" s="27"/>
      <c r="M439" s="27"/>
      <c r="N439" s="27"/>
    </row>
    <row r="440" ht="15.75" customHeight="1">
      <c r="A440" s="46"/>
      <c r="B440" s="46"/>
      <c r="C440" s="46"/>
      <c r="K440" s="27"/>
      <c r="L440" s="27"/>
      <c r="M440" s="27"/>
      <c r="N440" s="27"/>
    </row>
    <row r="441" ht="15.75" customHeight="1">
      <c r="A441" s="46"/>
      <c r="B441" s="46"/>
      <c r="C441" s="46"/>
      <c r="K441" s="27"/>
      <c r="L441" s="27"/>
      <c r="M441" s="27"/>
      <c r="N441" s="27"/>
    </row>
    <row r="442" ht="15.75" customHeight="1">
      <c r="A442" s="46"/>
      <c r="B442" s="46"/>
      <c r="C442" s="46"/>
      <c r="K442" s="27"/>
      <c r="L442" s="27"/>
      <c r="M442" s="27"/>
      <c r="N442" s="27"/>
    </row>
    <row r="443" ht="15.75" customHeight="1">
      <c r="A443" s="46"/>
      <c r="B443" s="46"/>
      <c r="C443" s="46"/>
      <c r="K443" s="27"/>
      <c r="L443" s="27"/>
      <c r="M443" s="27"/>
      <c r="N443" s="27"/>
    </row>
    <row r="444" ht="15.75" customHeight="1">
      <c r="A444" s="46"/>
      <c r="B444" s="46"/>
      <c r="C444" s="46"/>
      <c r="K444" s="27"/>
      <c r="L444" s="27"/>
      <c r="M444" s="27"/>
      <c r="N444" s="27"/>
    </row>
    <row r="445" ht="15.75" customHeight="1">
      <c r="A445" s="46"/>
      <c r="B445" s="46"/>
      <c r="C445" s="46"/>
      <c r="K445" s="27"/>
      <c r="L445" s="27"/>
      <c r="M445" s="27"/>
      <c r="N445" s="27"/>
    </row>
    <row r="446" ht="15.75" customHeight="1">
      <c r="A446" s="46"/>
      <c r="B446" s="46"/>
      <c r="C446" s="46"/>
      <c r="K446" s="27"/>
      <c r="L446" s="27"/>
      <c r="M446" s="27"/>
      <c r="N446" s="27"/>
    </row>
    <row r="447" ht="15.75" customHeight="1">
      <c r="A447" s="46"/>
      <c r="B447" s="46"/>
      <c r="C447" s="46"/>
      <c r="K447" s="27"/>
      <c r="L447" s="27"/>
      <c r="M447" s="27"/>
      <c r="N447" s="27"/>
    </row>
    <row r="448" ht="15.75" customHeight="1">
      <c r="A448" s="46"/>
      <c r="B448" s="46"/>
      <c r="C448" s="46"/>
      <c r="K448" s="27"/>
      <c r="L448" s="27"/>
      <c r="M448" s="27"/>
      <c r="N448" s="27"/>
    </row>
    <row r="449" ht="15.75" customHeight="1">
      <c r="A449" s="46"/>
      <c r="B449" s="46"/>
      <c r="C449" s="46"/>
      <c r="K449" s="27"/>
      <c r="L449" s="27"/>
      <c r="M449" s="27"/>
      <c r="N449" s="27"/>
    </row>
    <row r="450" ht="15.75" customHeight="1">
      <c r="A450" s="46"/>
      <c r="B450" s="46"/>
      <c r="C450" s="46"/>
      <c r="K450" s="27"/>
      <c r="L450" s="27"/>
      <c r="M450" s="27"/>
      <c r="N450" s="27"/>
    </row>
    <row r="451" ht="15.75" customHeight="1">
      <c r="A451" s="46"/>
      <c r="B451" s="46"/>
      <c r="C451" s="46"/>
      <c r="K451" s="27"/>
      <c r="L451" s="27"/>
      <c r="M451" s="27"/>
      <c r="N451" s="27"/>
    </row>
    <row r="452" ht="15.75" customHeight="1">
      <c r="A452" s="46"/>
      <c r="B452" s="46"/>
      <c r="C452" s="46"/>
      <c r="K452" s="27"/>
      <c r="L452" s="27"/>
      <c r="M452" s="27"/>
      <c r="N452" s="27"/>
    </row>
    <row r="453" ht="15.75" customHeight="1">
      <c r="A453" s="46"/>
      <c r="B453" s="46"/>
      <c r="C453" s="46"/>
      <c r="K453" s="27"/>
      <c r="L453" s="27"/>
      <c r="M453" s="27"/>
      <c r="N453" s="27"/>
    </row>
    <row r="454" ht="15.75" customHeight="1">
      <c r="A454" s="46"/>
      <c r="B454" s="46"/>
      <c r="C454" s="46"/>
      <c r="K454" s="27"/>
      <c r="L454" s="27"/>
      <c r="M454" s="27"/>
      <c r="N454" s="27"/>
    </row>
    <row r="455" ht="15.75" customHeight="1">
      <c r="A455" s="46"/>
      <c r="B455" s="46"/>
      <c r="C455" s="46"/>
      <c r="K455" s="27"/>
      <c r="L455" s="27"/>
      <c r="M455" s="27"/>
      <c r="N455" s="27"/>
    </row>
    <row r="456" ht="15.75" customHeight="1">
      <c r="A456" s="46"/>
      <c r="B456" s="46"/>
      <c r="C456" s="46"/>
      <c r="K456" s="27"/>
      <c r="L456" s="27"/>
      <c r="M456" s="27"/>
      <c r="N456" s="27"/>
    </row>
    <row r="457" ht="15.75" customHeight="1">
      <c r="A457" s="46"/>
      <c r="B457" s="46"/>
      <c r="C457" s="46"/>
      <c r="K457" s="27"/>
      <c r="L457" s="27"/>
      <c r="M457" s="27"/>
      <c r="N457" s="27"/>
    </row>
    <row r="458" ht="15.75" customHeight="1">
      <c r="A458" s="46"/>
      <c r="B458" s="46"/>
      <c r="C458" s="46"/>
      <c r="K458" s="27"/>
      <c r="L458" s="27"/>
      <c r="M458" s="27"/>
      <c r="N458" s="27"/>
    </row>
    <row r="459" ht="15.75" customHeight="1">
      <c r="A459" s="46"/>
      <c r="B459" s="46"/>
      <c r="C459" s="46"/>
      <c r="K459" s="27"/>
      <c r="L459" s="27"/>
      <c r="M459" s="27"/>
      <c r="N459" s="27"/>
    </row>
    <row r="460" ht="15.75" customHeight="1">
      <c r="A460" s="46"/>
      <c r="B460" s="46"/>
      <c r="C460" s="46"/>
      <c r="K460" s="27"/>
      <c r="L460" s="27"/>
      <c r="M460" s="27"/>
      <c r="N460" s="27"/>
    </row>
    <row r="461" ht="15.75" customHeight="1">
      <c r="A461" s="46"/>
      <c r="B461" s="46"/>
      <c r="C461" s="46"/>
      <c r="K461" s="27"/>
      <c r="L461" s="27"/>
      <c r="M461" s="27"/>
      <c r="N461" s="27"/>
    </row>
    <row r="462" ht="15.75" customHeight="1">
      <c r="A462" s="46"/>
      <c r="B462" s="46"/>
      <c r="C462" s="46"/>
      <c r="K462" s="27"/>
      <c r="L462" s="27"/>
      <c r="M462" s="27"/>
      <c r="N462" s="27"/>
    </row>
    <row r="463" ht="15.75" customHeight="1">
      <c r="A463" s="46"/>
      <c r="B463" s="46"/>
      <c r="C463" s="46"/>
      <c r="K463" s="27"/>
      <c r="L463" s="27"/>
      <c r="M463" s="27"/>
      <c r="N463" s="27"/>
    </row>
    <row r="464" ht="15.75" customHeight="1">
      <c r="A464" s="46"/>
      <c r="B464" s="46"/>
      <c r="C464" s="46"/>
      <c r="K464" s="27"/>
      <c r="L464" s="27"/>
      <c r="M464" s="27"/>
      <c r="N464" s="27"/>
    </row>
    <row r="465" ht="15.75" customHeight="1">
      <c r="A465" s="46"/>
      <c r="B465" s="46"/>
      <c r="C465" s="46"/>
      <c r="K465" s="27"/>
      <c r="L465" s="27"/>
      <c r="M465" s="27"/>
      <c r="N465" s="27"/>
    </row>
    <row r="466" ht="15.75" customHeight="1">
      <c r="A466" s="46"/>
      <c r="B466" s="46"/>
      <c r="C466" s="46"/>
      <c r="K466" s="27"/>
      <c r="L466" s="27"/>
      <c r="M466" s="27"/>
      <c r="N466" s="27"/>
    </row>
    <row r="467" ht="15.75" customHeight="1">
      <c r="A467" s="46"/>
      <c r="B467" s="46"/>
      <c r="C467" s="46"/>
      <c r="K467" s="27"/>
      <c r="L467" s="27"/>
      <c r="M467" s="27"/>
      <c r="N467" s="27"/>
    </row>
    <row r="468" ht="15.75" customHeight="1">
      <c r="A468" s="46"/>
      <c r="B468" s="46"/>
      <c r="C468" s="46"/>
      <c r="K468" s="27"/>
      <c r="L468" s="27"/>
      <c r="M468" s="27"/>
      <c r="N468" s="27"/>
    </row>
    <row r="469" ht="15.75" customHeight="1">
      <c r="A469" s="46"/>
      <c r="B469" s="46"/>
      <c r="C469" s="46"/>
      <c r="K469" s="27"/>
      <c r="L469" s="27"/>
      <c r="M469" s="27"/>
      <c r="N469" s="27"/>
    </row>
    <row r="470" ht="15.75" customHeight="1">
      <c r="A470" s="46"/>
      <c r="B470" s="46"/>
      <c r="C470" s="46"/>
      <c r="K470" s="27"/>
      <c r="L470" s="27"/>
      <c r="M470" s="27"/>
      <c r="N470" s="27"/>
    </row>
    <row r="471" ht="15.75" customHeight="1">
      <c r="A471" s="46"/>
      <c r="B471" s="46"/>
      <c r="C471" s="46"/>
      <c r="K471" s="27"/>
      <c r="L471" s="27"/>
      <c r="M471" s="27"/>
      <c r="N471" s="27"/>
    </row>
    <row r="472" ht="15.75" customHeight="1">
      <c r="A472" s="46"/>
      <c r="B472" s="46"/>
      <c r="C472" s="46"/>
      <c r="K472" s="27"/>
      <c r="L472" s="27"/>
      <c r="M472" s="27"/>
      <c r="N472" s="27"/>
    </row>
    <row r="473" ht="15.75" customHeight="1">
      <c r="A473" s="46"/>
      <c r="B473" s="46"/>
      <c r="C473" s="46"/>
      <c r="K473" s="27"/>
      <c r="L473" s="27"/>
      <c r="M473" s="27"/>
      <c r="N473" s="27"/>
    </row>
    <row r="474" ht="15.75" customHeight="1">
      <c r="A474" s="46"/>
      <c r="B474" s="46"/>
      <c r="C474" s="46"/>
      <c r="K474" s="27"/>
      <c r="L474" s="27"/>
      <c r="M474" s="27"/>
      <c r="N474" s="27"/>
    </row>
    <row r="475" ht="15.75" customHeight="1">
      <c r="A475" s="46"/>
      <c r="B475" s="46"/>
      <c r="C475" s="46"/>
      <c r="K475" s="27"/>
      <c r="L475" s="27"/>
      <c r="M475" s="27"/>
      <c r="N475" s="27"/>
    </row>
    <row r="476" ht="15.75" customHeight="1">
      <c r="A476" s="46"/>
      <c r="B476" s="46"/>
      <c r="C476" s="46"/>
      <c r="K476" s="27"/>
      <c r="L476" s="27"/>
      <c r="M476" s="27"/>
      <c r="N476" s="27"/>
    </row>
    <row r="477" ht="15.75" customHeight="1">
      <c r="A477" s="46"/>
      <c r="B477" s="46"/>
      <c r="C477" s="46"/>
      <c r="K477" s="27"/>
      <c r="L477" s="27"/>
      <c r="M477" s="27"/>
      <c r="N477" s="27"/>
    </row>
    <row r="478" ht="15.75" customHeight="1">
      <c r="A478" s="46"/>
      <c r="B478" s="46"/>
      <c r="C478" s="46"/>
      <c r="K478" s="27"/>
      <c r="L478" s="27"/>
      <c r="M478" s="27"/>
      <c r="N478" s="27"/>
    </row>
    <row r="479" ht="15.75" customHeight="1">
      <c r="A479" s="46"/>
      <c r="B479" s="46"/>
      <c r="C479" s="46"/>
      <c r="K479" s="27"/>
      <c r="L479" s="27"/>
      <c r="M479" s="27"/>
      <c r="N479" s="27"/>
    </row>
    <row r="480" ht="15.75" customHeight="1">
      <c r="A480" s="46"/>
      <c r="B480" s="46"/>
      <c r="C480" s="46"/>
      <c r="K480" s="27"/>
      <c r="L480" s="27"/>
      <c r="M480" s="27"/>
      <c r="N480" s="27"/>
    </row>
    <row r="481" ht="15.75" customHeight="1">
      <c r="A481" s="46"/>
      <c r="B481" s="46"/>
      <c r="C481" s="46"/>
      <c r="K481" s="27"/>
      <c r="L481" s="27"/>
      <c r="M481" s="27"/>
      <c r="N481" s="27"/>
    </row>
    <row r="482" ht="15.75" customHeight="1">
      <c r="A482" s="46"/>
      <c r="B482" s="46"/>
      <c r="C482" s="46"/>
      <c r="K482" s="27"/>
      <c r="L482" s="27"/>
      <c r="M482" s="27"/>
      <c r="N482" s="27"/>
    </row>
    <row r="483" ht="15.75" customHeight="1">
      <c r="A483" s="46"/>
      <c r="B483" s="46"/>
      <c r="C483" s="46"/>
      <c r="K483" s="27"/>
      <c r="L483" s="27"/>
      <c r="M483" s="27"/>
      <c r="N483" s="27"/>
    </row>
    <row r="484" ht="15.75" customHeight="1">
      <c r="A484" s="46"/>
      <c r="B484" s="46"/>
      <c r="C484" s="46"/>
      <c r="K484" s="27"/>
      <c r="L484" s="27"/>
      <c r="M484" s="27"/>
      <c r="N484" s="27"/>
    </row>
    <row r="485" ht="15.75" customHeight="1">
      <c r="A485" s="46"/>
      <c r="B485" s="46"/>
      <c r="C485" s="46"/>
      <c r="K485" s="27"/>
      <c r="L485" s="27"/>
      <c r="M485" s="27"/>
      <c r="N485" s="27"/>
    </row>
    <row r="486" ht="15.75" customHeight="1">
      <c r="A486" s="46"/>
      <c r="B486" s="46"/>
      <c r="C486" s="46"/>
      <c r="K486" s="27"/>
      <c r="L486" s="27"/>
      <c r="M486" s="27"/>
      <c r="N486" s="27"/>
    </row>
    <row r="487" ht="15.75" customHeight="1">
      <c r="A487" s="46"/>
      <c r="B487" s="46"/>
      <c r="C487" s="46"/>
      <c r="K487" s="27"/>
      <c r="L487" s="27"/>
      <c r="M487" s="27"/>
      <c r="N487" s="27"/>
    </row>
    <row r="488" ht="15.75" customHeight="1">
      <c r="A488" s="46"/>
      <c r="B488" s="46"/>
      <c r="C488" s="46"/>
      <c r="K488" s="27"/>
      <c r="L488" s="27"/>
      <c r="M488" s="27"/>
      <c r="N488" s="27"/>
    </row>
    <row r="489" ht="15.75" customHeight="1">
      <c r="A489" s="46"/>
      <c r="B489" s="46"/>
      <c r="C489" s="46"/>
      <c r="K489" s="27"/>
      <c r="L489" s="27"/>
      <c r="M489" s="27"/>
      <c r="N489" s="27"/>
    </row>
    <row r="490" ht="15.75" customHeight="1">
      <c r="A490" s="46"/>
      <c r="B490" s="46"/>
      <c r="C490" s="46"/>
      <c r="K490" s="27"/>
      <c r="L490" s="27"/>
      <c r="M490" s="27"/>
      <c r="N490" s="27"/>
    </row>
    <row r="491" ht="15.75" customHeight="1">
      <c r="A491" s="46"/>
      <c r="B491" s="46"/>
      <c r="C491" s="46"/>
      <c r="K491" s="27"/>
      <c r="L491" s="27"/>
      <c r="M491" s="27"/>
      <c r="N491" s="27"/>
    </row>
    <row r="492" ht="15.75" customHeight="1">
      <c r="A492" s="46"/>
      <c r="B492" s="46"/>
      <c r="C492" s="46"/>
      <c r="K492" s="27"/>
      <c r="L492" s="27"/>
      <c r="M492" s="27"/>
      <c r="N492" s="27"/>
    </row>
    <row r="493" ht="15.75" customHeight="1">
      <c r="A493" s="46"/>
      <c r="B493" s="46"/>
      <c r="C493" s="46"/>
      <c r="K493" s="27"/>
      <c r="L493" s="27"/>
      <c r="M493" s="27"/>
      <c r="N493" s="27"/>
    </row>
    <row r="494" ht="15.75" customHeight="1">
      <c r="A494" s="46"/>
      <c r="B494" s="46"/>
      <c r="C494" s="46"/>
      <c r="K494" s="27"/>
      <c r="L494" s="27"/>
      <c r="M494" s="27"/>
      <c r="N494" s="27"/>
    </row>
    <row r="495" ht="15.75" customHeight="1">
      <c r="A495" s="46"/>
      <c r="B495" s="46"/>
      <c r="C495" s="46"/>
      <c r="K495" s="27"/>
      <c r="L495" s="27"/>
      <c r="M495" s="27"/>
      <c r="N495" s="27"/>
    </row>
    <row r="496" ht="15.75" customHeight="1">
      <c r="A496" s="46"/>
      <c r="B496" s="46"/>
      <c r="C496" s="46"/>
      <c r="K496" s="27"/>
      <c r="L496" s="27"/>
      <c r="M496" s="27"/>
      <c r="N496" s="27"/>
    </row>
    <row r="497" ht="15.75" customHeight="1">
      <c r="A497" s="46"/>
      <c r="B497" s="46"/>
      <c r="C497" s="46"/>
      <c r="K497" s="27"/>
      <c r="L497" s="27"/>
      <c r="M497" s="27"/>
      <c r="N497" s="27"/>
    </row>
    <row r="498" ht="15.75" customHeight="1">
      <c r="A498" s="46"/>
      <c r="B498" s="46"/>
      <c r="C498" s="46"/>
      <c r="K498" s="27"/>
      <c r="L498" s="27"/>
      <c r="M498" s="27"/>
      <c r="N498" s="27"/>
    </row>
    <row r="499" ht="15.75" customHeight="1">
      <c r="A499" s="46"/>
      <c r="B499" s="46"/>
      <c r="C499" s="46"/>
      <c r="K499" s="27"/>
      <c r="L499" s="27"/>
      <c r="M499" s="27"/>
      <c r="N499" s="27"/>
    </row>
    <row r="500" ht="15.75" customHeight="1">
      <c r="A500" s="46"/>
      <c r="B500" s="46"/>
      <c r="C500" s="46"/>
      <c r="K500" s="27"/>
      <c r="L500" s="27"/>
      <c r="M500" s="27"/>
      <c r="N500" s="27"/>
    </row>
    <row r="501" ht="15.75" customHeight="1">
      <c r="A501" s="46"/>
      <c r="B501" s="46"/>
      <c r="C501" s="46"/>
      <c r="K501" s="27"/>
      <c r="L501" s="27"/>
      <c r="M501" s="27"/>
      <c r="N501" s="27"/>
    </row>
    <row r="502" ht="15.75" customHeight="1">
      <c r="A502" s="46"/>
      <c r="B502" s="46"/>
      <c r="C502" s="46"/>
      <c r="K502" s="27"/>
      <c r="L502" s="27"/>
      <c r="M502" s="27"/>
      <c r="N502" s="27"/>
    </row>
    <row r="503" ht="15.75" customHeight="1">
      <c r="A503" s="46"/>
      <c r="B503" s="46"/>
      <c r="C503" s="46"/>
      <c r="K503" s="27"/>
      <c r="L503" s="27"/>
      <c r="M503" s="27"/>
      <c r="N503" s="27"/>
    </row>
    <row r="504" ht="15.75" customHeight="1">
      <c r="A504" s="46"/>
      <c r="B504" s="46"/>
      <c r="C504" s="46"/>
      <c r="K504" s="27"/>
      <c r="L504" s="27"/>
      <c r="M504" s="27"/>
      <c r="N504" s="27"/>
    </row>
    <row r="505" ht="15.75" customHeight="1">
      <c r="A505" s="46"/>
      <c r="B505" s="46"/>
      <c r="C505" s="46"/>
      <c r="K505" s="27"/>
      <c r="L505" s="27"/>
      <c r="M505" s="27"/>
      <c r="N505" s="27"/>
    </row>
    <row r="506" ht="15.75" customHeight="1">
      <c r="A506" s="46"/>
      <c r="B506" s="46"/>
      <c r="C506" s="46"/>
      <c r="K506" s="27"/>
      <c r="L506" s="27"/>
      <c r="M506" s="27"/>
      <c r="N506" s="27"/>
    </row>
    <row r="507" ht="15.75" customHeight="1">
      <c r="A507" s="46"/>
      <c r="B507" s="46"/>
      <c r="C507" s="46"/>
      <c r="K507" s="27"/>
      <c r="L507" s="27"/>
      <c r="M507" s="27"/>
      <c r="N507" s="27"/>
    </row>
    <row r="508" ht="15.75" customHeight="1">
      <c r="A508" s="46"/>
      <c r="B508" s="46"/>
      <c r="C508" s="46"/>
      <c r="K508" s="27"/>
      <c r="L508" s="27"/>
      <c r="M508" s="27"/>
      <c r="N508" s="27"/>
    </row>
    <row r="509" ht="15.75" customHeight="1">
      <c r="A509" s="46"/>
      <c r="B509" s="46"/>
      <c r="C509" s="46"/>
      <c r="K509" s="27"/>
      <c r="L509" s="27"/>
      <c r="M509" s="27"/>
      <c r="N509" s="27"/>
    </row>
    <row r="510" ht="15.75" customHeight="1">
      <c r="A510" s="46"/>
      <c r="B510" s="46"/>
      <c r="C510" s="46"/>
      <c r="K510" s="27"/>
      <c r="L510" s="27"/>
      <c r="M510" s="27"/>
      <c r="N510" s="27"/>
    </row>
    <row r="511" ht="15.75" customHeight="1">
      <c r="A511" s="46"/>
      <c r="B511" s="46"/>
      <c r="C511" s="46"/>
      <c r="K511" s="27"/>
      <c r="L511" s="27"/>
      <c r="M511" s="27"/>
      <c r="N511" s="27"/>
    </row>
    <row r="512" ht="15.75" customHeight="1">
      <c r="A512" s="46"/>
      <c r="B512" s="46"/>
      <c r="C512" s="46"/>
      <c r="K512" s="27"/>
      <c r="L512" s="27"/>
      <c r="M512" s="27"/>
      <c r="N512" s="27"/>
    </row>
    <row r="513" ht="15.75" customHeight="1">
      <c r="A513" s="46"/>
      <c r="B513" s="46"/>
      <c r="C513" s="46"/>
      <c r="K513" s="27"/>
      <c r="L513" s="27"/>
      <c r="M513" s="27"/>
      <c r="N513" s="27"/>
    </row>
    <row r="514" ht="15.75" customHeight="1">
      <c r="A514" s="46"/>
      <c r="B514" s="46"/>
      <c r="C514" s="46"/>
      <c r="K514" s="27"/>
      <c r="L514" s="27"/>
      <c r="M514" s="27"/>
      <c r="N514" s="27"/>
    </row>
    <row r="515" ht="15.75" customHeight="1">
      <c r="A515" s="46"/>
      <c r="B515" s="46"/>
      <c r="C515" s="46"/>
      <c r="K515" s="27"/>
      <c r="L515" s="27"/>
      <c r="M515" s="27"/>
      <c r="N515" s="27"/>
    </row>
    <row r="516" ht="15.75" customHeight="1">
      <c r="A516" s="46"/>
      <c r="B516" s="46"/>
      <c r="C516" s="46"/>
      <c r="K516" s="27"/>
      <c r="L516" s="27"/>
      <c r="M516" s="27"/>
      <c r="N516" s="27"/>
    </row>
    <row r="517" ht="15.75" customHeight="1">
      <c r="A517" s="46"/>
      <c r="B517" s="46"/>
      <c r="C517" s="46"/>
      <c r="K517" s="27"/>
      <c r="L517" s="27"/>
      <c r="M517" s="27"/>
      <c r="N517" s="27"/>
    </row>
    <row r="518" ht="15.75" customHeight="1">
      <c r="A518" s="46"/>
      <c r="B518" s="46"/>
      <c r="C518" s="46"/>
      <c r="K518" s="27"/>
      <c r="L518" s="27"/>
      <c r="M518" s="27"/>
      <c r="N518" s="27"/>
    </row>
    <row r="519" ht="15.75" customHeight="1">
      <c r="A519" s="46"/>
      <c r="B519" s="46"/>
      <c r="C519" s="46"/>
      <c r="K519" s="27"/>
      <c r="L519" s="27"/>
      <c r="M519" s="27"/>
      <c r="N519" s="27"/>
    </row>
    <row r="520" ht="15.75" customHeight="1">
      <c r="A520" s="46"/>
      <c r="B520" s="46"/>
      <c r="C520" s="46"/>
      <c r="K520" s="27"/>
      <c r="L520" s="27"/>
      <c r="M520" s="27"/>
      <c r="N520" s="27"/>
    </row>
    <row r="521" ht="15.75" customHeight="1">
      <c r="A521" s="46"/>
      <c r="B521" s="46"/>
      <c r="C521" s="46"/>
      <c r="K521" s="27"/>
      <c r="L521" s="27"/>
      <c r="M521" s="27"/>
      <c r="N521" s="27"/>
    </row>
    <row r="522" ht="15.75" customHeight="1">
      <c r="A522" s="46"/>
      <c r="B522" s="46"/>
      <c r="C522" s="46"/>
      <c r="K522" s="27"/>
      <c r="L522" s="27"/>
      <c r="M522" s="27"/>
      <c r="N522" s="27"/>
    </row>
    <row r="523" ht="15.75" customHeight="1">
      <c r="A523" s="46"/>
      <c r="B523" s="46"/>
      <c r="C523" s="46"/>
      <c r="K523" s="27"/>
      <c r="L523" s="27"/>
      <c r="M523" s="27"/>
      <c r="N523" s="27"/>
    </row>
    <row r="524" ht="15.75" customHeight="1">
      <c r="A524" s="46"/>
      <c r="B524" s="46"/>
      <c r="C524" s="46"/>
      <c r="K524" s="27"/>
      <c r="L524" s="27"/>
      <c r="M524" s="27"/>
      <c r="N524" s="27"/>
    </row>
    <row r="525" ht="15.75" customHeight="1">
      <c r="A525" s="46"/>
      <c r="B525" s="46"/>
      <c r="C525" s="46"/>
      <c r="K525" s="27"/>
      <c r="L525" s="27"/>
      <c r="M525" s="27"/>
      <c r="N525" s="27"/>
    </row>
    <row r="526" ht="15.75" customHeight="1">
      <c r="A526" s="46"/>
      <c r="B526" s="46"/>
      <c r="C526" s="46"/>
      <c r="K526" s="27"/>
      <c r="L526" s="27"/>
      <c r="M526" s="27"/>
      <c r="N526" s="27"/>
    </row>
    <row r="527" ht="15.75" customHeight="1">
      <c r="A527" s="46"/>
      <c r="B527" s="46"/>
      <c r="C527" s="46"/>
      <c r="K527" s="27"/>
      <c r="L527" s="27"/>
      <c r="M527" s="27"/>
      <c r="N527" s="27"/>
    </row>
    <row r="528" ht="15.75" customHeight="1">
      <c r="A528" s="46"/>
      <c r="B528" s="46"/>
      <c r="C528" s="46"/>
      <c r="K528" s="27"/>
      <c r="L528" s="27"/>
      <c r="M528" s="27"/>
      <c r="N528" s="27"/>
    </row>
    <row r="529" ht="15.75" customHeight="1">
      <c r="A529" s="46"/>
      <c r="B529" s="46"/>
      <c r="C529" s="46"/>
      <c r="K529" s="27"/>
      <c r="L529" s="27"/>
      <c r="M529" s="27"/>
      <c r="N529" s="27"/>
    </row>
    <row r="530" ht="15.75" customHeight="1">
      <c r="A530" s="46"/>
      <c r="B530" s="46"/>
      <c r="C530" s="46"/>
      <c r="K530" s="27"/>
      <c r="L530" s="27"/>
      <c r="M530" s="27"/>
      <c r="N530" s="27"/>
    </row>
    <row r="531" ht="15.75" customHeight="1">
      <c r="A531" s="46"/>
      <c r="B531" s="46"/>
      <c r="C531" s="46"/>
      <c r="K531" s="27"/>
      <c r="L531" s="27"/>
      <c r="M531" s="27"/>
      <c r="N531" s="27"/>
    </row>
    <row r="532" ht="15.75" customHeight="1">
      <c r="A532" s="46"/>
      <c r="B532" s="46"/>
      <c r="C532" s="46"/>
      <c r="K532" s="27"/>
      <c r="L532" s="27"/>
      <c r="M532" s="27"/>
      <c r="N532" s="27"/>
    </row>
    <row r="533" ht="15.75" customHeight="1">
      <c r="A533" s="46"/>
      <c r="B533" s="46"/>
      <c r="C533" s="46"/>
      <c r="K533" s="27"/>
      <c r="L533" s="27"/>
      <c r="M533" s="27"/>
      <c r="N533" s="27"/>
    </row>
    <row r="534" ht="15.75" customHeight="1">
      <c r="A534" s="46"/>
      <c r="B534" s="46"/>
      <c r="C534" s="46"/>
      <c r="K534" s="27"/>
      <c r="L534" s="27"/>
      <c r="M534" s="27"/>
      <c r="N534" s="27"/>
    </row>
    <row r="535" ht="15.75" customHeight="1">
      <c r="A535" s="46"/>
      <c r="B535" s="46"/>
      <c r="C535" s="46"/>
      <c r="K535" s="27"/>
      <c r="L535" s="27"/>
      <c r="M535" s="27"/>
      <c r="N535" s="27"/>
    </row>
    <row r="536" ht="15.75" customHeight="1">
      <c r="A536" s="46"/>
      <c r="B536" s="46"/>
      <c r="C536" s="46"/>
      <c r="K536" s="27"/>
      <c r="L536" s="27"/>
      <c r="M536" s="27"/>
      <c r="N536" s="27"/>
    </row>
    <row r="537" ht="15.75" customHeight="1">
      <c r="A537" s="46"/>
      <c r="B537" s="46"/>
      <c r="C537" s="46"/>
      <c r="K537" s="27"/>
      <c r="L537" s="27"/>
      <c r="M537" s="27"/>
      <c r="N537" s="27"/>
    </row>
    <row r="538" ht="15.75" customHeight="1">
      <c r="A538" s="46"/>
      <c r="B538" s="46"/>
      <c r="C538" s="46"/>
      <c r="K538" s="27"/>
      <c r="L538" s="27"/>
      <c r="M538" s="27"/>
      <c r="N538" s="27"/>
    </row>
    <row r="539" ht="15.75" customHeight="1">
      <c r="A539" s="46"/>
      <c r="B539" s="46"/>
      <c r="C539" s="46"/>
      <c r="K539" s="27"/>
      <c r="L539" s="27"/>
      <c r="M539" s="27"/>
      <c r="N539" s="27"/>
    </row>
    <row r="540" ht="15.75" customHeight="1">
      <c r="A540" s="46"/>
      <c r="B540" s="46"/>
      <c r="C540" s="46"/>
      <c r="K540" s="27"/>
      <c r="L540" s="27"/>
      <c r="M540" s="27"/>
      <c r="N540" s="27"/>
    </row>
    <row r="541" ht="15.75" customHeight="1">
      <c r="A541" s="46"/>
      <c r="B541" s="46"/>
      <c r="C541" s="46"/>
      <c r="K541" s="27"/>
      <c r="L541" s="27"/>
      <c r="M541" s="27"/>
      <c r="N541" s="27"/>
    </row>
    <row r="542" ht="15.75" customHeight="1">
      <c r="A542" s="46"/>
      <c r="B542" s="46"/>
      <c r="C542" s="46"/>
      <c r="K542" s="27"/>
      <c r="L542" s="27"/>
      <c r="M542" s="27"/>
      <c r="N542" s="27"/>
    </row>
    <row r="543" ht="15.75" customHeight="1">
      <c r="A543" s="46"/>
      <c r="B543" s="46"/>
      <c r="C543" s="46"/>
      <c r="K543" s="27"/>
      <c r="L543" s="27"/>
      <c r="M543" s="27"/>
      <c r="N543" s="27"/>
    </row>
    <row r="544" ht="15.75" customHeight="1">
      <c r="A544" s="46"/>
      <c r="B544" s="46"/>
      <c r="C544" s="46"/>
      <c r="K544" s="27"/>
      <c r="L544" s="27"/>
      <c r="M544" s="27"/>
      <c r="N544" s="27"/>
    </row>
    <row r="545" ht="15.75" customHeight="1">
      <c r="A545" s="46"/>
      <c r="B545" s="46"/>
      <c r="C545" s="46"/>
      <c r="K545" s="27"/>
      <c r="L545" s="27"/>
      <c r="M545" s="27"/>
      <c r="N545" s="27"/>
    </row>
    <row r="546" ht="15.75" customHeight="1">
      <c r="A546" s="46"/>
      <c r="B546" s="46"/>
      <c r="C546" s="46"/>
      <c r="K546" s="27"/>
      <c r="L546" s="27"/>
      <c r="M546" s="27"/>
      <c r="N546" s="27"/>
    </row>
    <row r="547" ht="15.75" customHeight="1">
      <c r="A547" s="46"/>
      <c r="B547" s="46"/>
      <c r="C547" s="46"/>
      <c r="K547" s="27"/>
      <c r="L547" s="27"/>
      <c r="M547" s="27"/>
      <c r="N547" s="27"/>
    </row>
    <row r="548" ht="15.75" customHeight="1">
      <c r="A548" s="46"/>
      <c r="B548" s="46"/>
      <c r="C548" s="46"/>
      <c r="K548" s="27"/>
      <c r="L548" s="27"/>
      <c r="M548" s="27"/>
      <c r="N548" s="27"/>
    </row>
    <row r="549" ht="15.75" customHeight="1">
      <c r="A549" s="46"/>
      <c r="B549" s="46"/>
      <c r="C549" s="46"/>
      <c r="K549" s="27"/>
      <c r="L549" s="27"/>
      <c r="M549" s="27"/>
      <c r="N549" s="27"/>
    </row>
    <row r="550" ht="15.75" customHeight="1">
      <c r="A550" s="46"/>
      <c r="B550" s="46"/>
      <c r="C550" s="46"/>
      <c r="K550" s="27"/>
      <c r="L550" s="27"/>
      <c r="M550" s="27"/>
      <c r="N550" s="27"/>
    </row>
    <row r="551" ht="15.75" customHeight="1">
      <c r="A551" s="46"/>
      <c r="B551" s="46"/>
      <c r="C551" s="46"/>
      <c r="K551" s="27"/>
      <c r="L551" s="27"/>
      <c r="M551" s="27"/>
      <c r="N551" s="27"/>
    </row>
    <row r="552" ht="15.75" customHeight="1">
      <c r="A552" s="46"/>
      <c r="B552" s="46"/>
      <c r="C552" s="46"/>
      <c r="K552" s="27"/>
      <c r="L552" s="27"/>
      <c r="M552" s="27"/>
      <c r="N552" s="27"/>
    </row>
    <row r="553" ht="15.75" customHeight="1">
      <c r="A553" s="46"/>
      <c r="B553" s="46"/>
      <c r="C553" s="46"/>
      <c r="K553" s="27"/>
      <c r="L553" s="27"/>
      <c r="M553" s="27"/>
      <c r="N553" s="27"/>
    </row>
    <row r="554" ht="15.75" customHeight="1">
      <c r="A554" s="46"/>
      <c r="B554" s="46"/>
      <c r="C554" s="46"/>
      <c r="K554" s="27"/>
      <c r="L554" s="27"/>
      <c r="M554" s="27"/>
      <c r="N554" s="27"/>
    </row>
    <row r="555" ht="15.75" customHeight="1">
      <c r="A555" s="46"/>
      <c r="B555" s="46"/>
      <c r="C555" s="46"/>
      <c r="K555" s="27"/>
      <c r="L555" s="27"/>
      <c r="M555" s="27"/>
      <c r="N555" s="27"/>
    </row>
    <row r="556" ht="15.75" customHeight="1">
      <c r="A556" s="46"/>
      <c r="B556" s="46"/>
      <c r="C556" s="46"/>
      <c r="K556" s="27"/>
      <c r="L556" s="27"/>
      <c r="M556" s="27"/>
      <c r="N556" s="27"/>
    </row>
    <row r="557" ht="15.75" customHeight="1">
      <c r="A557" s="46"/>
      <c r="B557" s="46"/>
      <c r="C557" s="46"/>
      <c r="K557" s="27"/>
      <c r="L557" s="27"/>
      <c r="M557" s="27"/>
      <c r="N557" s="27"/>
    </row>
    <row r="558" ht="15.75" customHeight="1">
      <c r="A558" s="46"/>
      <c r="B558" s="46"/>
      <c r="C558" s="46"/>
      <c r="K558" s="27"/>
      <c r="L558" s="27"/>
      <c r="M558" s="27"/>
      <c r="N558" s="27"/>
    </row>
    <row r="559" ht="15.75" customHeight="1">
      <c r="A559" s="46"/>
      <c r="B559" s="46"/>
      <c r="C559" s="46"/>
      <c r="K559" s="27"/>
      <c r="L559" s="27"/>
      <c r="M559" s="27"/>
      <c r="N559" s="27"/>
    </row>
    <row r="560" ht="15.75" customHeight="1">
      <c r="A560" s="46"/>
      <c r="B560" s="46"/>
      <c r="C560" s="46"/>
      <c r="K560" s="27"/>
      <c r="L560" s="27"/>
      <c r="M560" s="27"/>
      <c r="N560" s="27"/>
    </row>
    <row r="561" ht="15.75" customHeight="1">
      <c r="A561" s="46"/>
      <c r="B561" s="46"/>
      <c r="C561" s="46"/>
      <c r="K561" s="27"/>
      <c r="L561" s="27"/>
      <c r="M561" s="27"/>
      <c r="N561" s="27"/>
    </row>
    <row r="562" ht="15.75" customHeight="1">
      <c r="A562" s="46"/>
      <c r="B562" s="46"/>
      <c r="C562" s="46"/>
      <c r="K562" s="27"/>
      <c r="L562" s="27"/>
      <c r="M562" s="27"/>
      <c r="N562" s="27"/>
    </row>
    <row r="563" ht="15.75" customHeight="1">
      <c r="A563" s="46"/>
      <c r="B563" s="46"/>
      <c r="C563" s="46"/>
      <c r="K563" s="27"/>
      <c r="L563" s="27"/>
      <c r="M563" s="27"/>
      <c r="N563" s="27"/>
    </row>
    <row r="564" ht="15.75" customHeight="1">
      <c r="A564" s="46"/>
      <c r="B564" s="46"/>
      <c r="C564" s="46"/>
      <c r="K564" s="27"/>
      <c r="L564" s="27"/>
      <c r="M564" s="27"/>
      <c r="N564" s="27"/>
    </row>
    <row r="565" ht="15.75" customHeight="1">
      <c r="A565" s="46"/>
      <c r="B565" s="46"/>
      <c r="C565" s="46"/>
      <c r="K565" s="27"/>
      <c r="L565" s="27"/>
      <c r="M565" s="27"/>
      <c r="N565" s="27"/>
    </row>
    <row r="566" ht="15.75" customHeight="1">
      <c r="A566" s="46"/>
      <c r="B566" s="46"/>
      <c r="C566" s="46"/>
      <c r="K566" s="27"/>
      <c r="L566" s="27"/>
      <c r="M566" s="27"/>
      <c r="N566" s="27"/>
    </row>
    <row r="567" ht="15.75" customHeight="1">
      <c r="A567" s="46"/>
      <c r="B567" s="46"/>
      <c r="C567" s="46"/>
      <c r="K567" s="27"/>
      <c r="L567" s="27"/>
      <c r="M567" s="27"/>
      <c r="N567" s="27"/>
    </row>
    <row r="568" ht="15.75" customHeight="1">
      <c r="A568" s="46"/>
      <c r="B568" s="46"/>
      <c r="C568" s="46"/>
      <c r="K568" s="27"/>
      <c r="L568" s="27"/>
      <c r="M568" s="27"/>
      <c r="N568" s="27"/>
    </row>
    <row r="569" ht="15.75" customHeight="1">
      <c r="A569" s="46"/>
      <c r="B569" s="46"/>
      <c r="C569" s="46"/>
      <c r="K569" s="27"/>
      <c r="L569" s="27"/>
      <c r="M569" s="27"/>
      <c r="N569" s="27"/>
    </row>
    <row r="570" ht="15.75" customHeight="1">
      <c r="A570" s="46"/>
      <c r="B570" s="46"/>
      <c r="C570" s="46"/>
      <c r="K570" s="27"/>
      <c r="L570" s="27"/>
      <c r="M570" s="27"/>
      <c r="N570" s="27"/>
    </row>
    <row r="571" ht="15.75" customHeight="1">
      <c r="A571" s="46"/>
      <c r="B571" s="46"/>
      <c r="C571" s="46"/>
      <c r="K571" s="27"/>
      <c r="L571" s="27"/>
      <c r="M571" s="27"/>
      <c r="N571" s="27"/>
    </row>
    <row r="572" ht="15.75" customHeight="1">
      <c r="A572" s="46"/>
      <c r="B572" s="46"/>
      <c r="C572" s="46"/>
      <c r="K572" s="27"/>
      <c r="L572" s="27"/>
      <c r="M572" s="27"/>
      <c r="N572" s="27"/>
    </row>
    <row r="573" ht="15.75" customHeight="1">
      <c r="A573" s="46"/>
      <c r="B573" s="46"/>
      <c r="C573" s="46"/>
      <c r="K573" s="27"/>
      <c r="L573" s="27"/>
      <c r="M573" s="27"/>
      <c r="N573" s="27"/>
    </row>
    <row r="574" ht="15.75" customHeight="1">
      <c r="A574" s="46"/>
      <c r="B574" s="46"/>
      <c r="C574" s="46"/>
      <c r="K574" s="27"/>
      <c r="L574" s="27"/>
      <c r="M574" s="27"/>
      <c r="N574" s="27"/>
    </row>
    <row r="575" ht="15.75" customHeight="1">
      <c r="A575" s="46"/>
      <c r="B575" s="46"/>
      <c r="C575" s="46"/>
      <c r="K575" s="27"/>
      <c r="L575" s="27"/>
      <c r="M575" s="27"/>
      <c r="N575" s="27"/>
    </row>
    <row r="576" ht="15.75" customHeight="1">
      <c r="A576" s="46"/>
      <c r="B576" s="46"/>
      <c r="C576" s="46"/>
      <c r="K576" s="27"/>
      <c r="L576" s="27"/>
      <c r="M576" s="27"/>
      <c r="N576" s="27"/>
    </row>
    <row r="577" ht="15.75" customHeight="1">
      <c r="A577" s="46"/>
      <c r="B577" s="46"/>
      <c r="C577" s="46"/>
      <c r="K577" s="27"/>
      <c r="L577" s="27"/>
      <c r="M577" s="27"/>
      <c r="N577" s="27"/>
    </row>
    <row r="578" ht="15.75" customHeight="1">
      <c r="A578" s="46"/>
      <c r="B578" s="46"/>
      <c r="C578" s="46"/>
      <c r="K578" s="27"/>
      <c r="L578" s="27"/>
      <c r="M578" s="27"/>
      <c r="N578" s="27"/>
    </row>
    <row r="579" ht="15.75" customHeight="1">
      <c r="A579" s="46"/>
      <c r="B579" s="46"/>
      <c r="C579" s="46"/>
      <c r="K579" s="27"/>
      <c r="L579" s="27"/>
      <c r="M579" s="27"/>
      <c r="N579" s="27"/>
    </row>
    <row r="580" ht="15.75" customHeight="1">
      <c r="A580" s="46"/>
      <c r="B580" s="46"/>
      <c r="C580" s="46"/>
      <c r="K580" s="27"/>
      <c r="L580" s="27"/>
      <c r="M580" s="27"/>
      <c r="N580" s="27"/>
    </row>
    <row r="581" ht="15.75" customHeight="1">
      <c r="A581" s="46"/>
      <c r="B581" s="46"/>
      <c r="C581" s="46"/>
      <c r="K581" s="27"/>
      <c r="L581" s="27"/>
      <c r="M581" s="27"/>
      <c r="N581" s="27"/>
    </row>
    <row r="582" ht="15.75" customHeight="1">
      <c r="A582" s="46"/>
      <c r="B582" s="46"/>
      <c r="C582" s="46"/>
      <c r="K582" s="27"/>
      <c r="L582" s="27"/>
      <c r="M582" s="27"/>
      <c r="N582" s="27"/>
    </row>
    <row r="583" ht="15.75" customHeight="1">
      <c r="A583" s="46"/>
      <c r="B583" s="46"/>
      <c r="C583" s="46"/>
      <c r="K583" s="27"/>
      <c r="L583" s="27"/>
      <c r="M583" s="27"/>
      <c r="N583" s="27"/>
    </row>
    <row r="584" ht="15.75" customHeight="1">
      <c r="A584" s="46"/>
      <c r="B584" s="46"/>
      <c r="C584" s="46"/>
      <c r="K584" s="27"/>
      <c r="L584" s="27"/>
      <c r="M584" s="27"/>
      <c r="N584" s="27"/>
    </row>
    <row r="585" ht="15.75" customHeight="1">
      <c r="A585" s="46"/>
      <c r="B585" s="46"/>
      <c r="C585" s="46"/>
      <c r="K585" s="27"/>
      <c r="L585" s="27"/>
      <c r="M585" s="27"/>
      <c r="N585" s="27"/>
    </row>
    <row r="586" ht="15.75" customHeight="1">
      <c r="A586" s="26"/>
      <c r="B586" s="26"/>
      <c r="C586" s="26"/>
      <c r="K586" s="27"/>
      <c r="L586" s="27"/>
      <c r="M586" s="27"/>
      <c r="N586" s="27"/>
    </row>
    <row r="587" ht="15.75" customHeight="1">
      <c r="A587" s="26"/>
      <c r="B587" s="26"/>
      <c r="C587" s="26"/>
      <c r="K587" s="27"/>
      <c r="L587" s="27"/>
      <c r="M587" s="27"/>
      <c r="N587" s="27"/>
    </row>
    <row r="588" ht="15.75" customHeight="1">
      <c r="A588" s="26"/>
      <c r="B588" s="26"/>
      <c r="C588" s="26"/>
      <c r="K588" s="27"/>
      <c r="L588" s="27"/>
      <c r="M588" s="27"/>
      <c r="N588" s="27"/>
    </row>
    <row r="589" ht="15.75" customHeight="1">
      <c r="A589" s="26"/>
      <c r="B589" s="26"/>
      <c r="C589" s="26"/>
      <c r="K589" s="27"/>
      <c r="L589" s="27"/>
      <c r="M589" s="27"/>
      <c r="N589" s="27"/>
    </row>
    <row r="590" ht="15.75" customHeight="1">
      <c r="A590" s="26"/>
      <c r="B590" s="26"/>
      <c r="C590" s="26"/>
      <c r="K590" s="27"/>
      <c r="L590" s="27"/>
      <c r="M590" s="27"/>
      <c r="N590" s="27"/>
    </row>
    <row r="591" ht="15.75" customHeight="1">
      <c r="A591" s="26"/>
      <c r="B591" s="26"/>
      <c r="C591" s="26"/>
      <c r="K591" s="27"/>
      <c r="L591" s="27"/>
      <c r="M591" s="27"/>
      <c r="N591" s="27"/>
    </row>
    <row r="592" ht="15.75" customHeight="1">
      <c r="A592" s="26"/>
      <c r="B592" s="26"/>
      <c r="C592" s="26"/>
      <c r="K592" s="27"/>
      <c r="L592" s="27"/>
      <c r="M592" s="27"/>
      <c r="N592" s="27"/>
    </row>
    <row r="593" ht="15.75" customHeight="1">
      <c r="A593" s="26"/>
      <c r="B593" s="26"/>
      <c r="C593" s="26"/>
      <c r="K593" s="27"/>
      <c r="L593" s="27"/>
      <c r="M593" s="27"/>
      <c r="N593" s="27"/>
    </row>
    <row r="594" ht="15.75" customHeight="1">
      <c r="A594" s="26"/>
      <c r="B594" s="26"/>
      <c r="C594" s="26"/>
    </row>
    <row r="595" ht="15.75" customHeight="1">
      <c r="A595" s="26"/>
      <c r="B595" s="26"/>
      <c r="C595" s="26"/>
    </row>
    <row r="596" ht="15.75" customHeight="1">
      <c r="A596" s="26"/>
      <c r="B596" s="26"/>
      <c r="C596" s="26"/>
    </row>
    <row r="597" ht="15.75" customHeight="1">
      <c r="A597" s="26"/>
      <c r="B597" s="26"/>
      <c r="C597" s="26"/>
    </row>
    <row r="598" ht="15.75" customHeight="1">
      <c r="A598" s="26"/>
      <c r="B598" s="26"/>
      <c r="C598" s="26"/>
    </row>
    <row r="599" ht="15.75" customHeight="1">
      <c r="A599" s="26"/>
      <c r="B599" s="26"/>
      <c r="C599" s="26"/>
    </row>
    <row r="600" ht="15.75" customHeight="1">
      <c r="A600" s="26"/>
      <c r="B600" s="26"/>
      <c r="C600" s="26"/>
    </row>
    <row r="601" ht="15.75" customHeight="1">
      <c r="A601" s="26"/>
      <c r="B601" s="26"/>
      <c r="C601" s="26"/>
    </row>
    <row r="602" ht="15.75" customHeight="1">
      <c r="A602" s="26"/>
      <c r="B602" s="26"/>
      <c r="C602" s="26"/>
    </row>
    <row r="603" ht="15.75" customHeight="1">
      <c r="A603" s="26"/>
      <c r="B603" s="26"/>
      <c r="C603" s="26"/>
    </row>
    <row r="604" ht="15.75" customHeight="1">
      <c r="A604" s="26"/>
      <c r="B604" s="26"/>
      <c r="C604" s="26"/>
    </row>
    <row r="605" ht="15.75" customHeight="1">
      <c r="A605" s="26"/>
      <c r="B605" s="26"/>
      <c r="C605" s="26"/>
    </row>
    <row r="606" ht="15.75" customHeight="1">
      <c r="A606" s="26"/>
      <c r="B606" s="26"/>
      <c r="C606" s="26"/>
    </row>
    <row r="607" ht="15.75" customHeight="1">
      <c r="A607" s="26"/>
      <c r="B607" s="26"/>
      <c r="C607" s="26"/>
    </row>
    <row r="608" ht="15.75" customHeight="1">
      <c r="A608" s="26"/>
      <c r="B608" s="26"/>
      <c r="C608" s="26"/>
    </row>
    <row r="609" ht="15.75" customHeight="1">
      <c r="A609" s="26"/>
      <c r="B609" s="26"/>
      <c r="C609" s="26"/>
    </row>
    <row r="610" ht="15.75" customHeight="1">
      <c r="A610" s="26"/>
      <c r="B610" s="26"/>
      <c r="C610" s="26"/>
    </row>
    <row r="611" ht="15.75" customHeight="1">
      <c r="A611" s="26"/>
      <c r="B611" s="26"/>
      <c r="C611" s="26"/>
    </row>
    <row r="612" ht="15.75" customHeight="1">
      <c r="A612" s="26"/>
      <c r="B612" s="26"/>
      <c r="C612" s="26"/>
    </row>
    <row r="613" ht="15.75" customHeight="1">
      <c r="A613" s="26"/>
      <c r="B613" s="26"/>
      <c r="C613" s="26"/>
    </row>
    <row r="614" ht="15.75" customHeight="1">
      <c r="A614" s="26"/>
      <c r="B614" s="26"/>
      <c r="C614" s="26"/>
    </row>
    <row r="615" ht="15.75" customHeight="1">
      <c r="A615" s="26"/>
      <c r="B615" s="26"/>
      <c r="C615" s="26"/>
    </row>
    <row r="616" ht="15.75" customHeight="1">
      <c r="A616" s="26"/>
      <c r="B616" s="26"/>
      <c r="C616" s="26"/>
    </row>
    <row r="617" ht="15.75" customHeight="1">
      <c r="A617" s="26"/>
      <c r="B617" s="26"/>
      <c r="C617" s="26"/>
    </row>
    <row r="618" ht="15.75" customHeight="1">
      <c r="A618" s="26"/>
      <c r="B618" s="26"/>
      <c r="C618" s="26"/>
    </row>
    <row r="619" ht="15.75" customHeight="1">
      <c r="A619" s="26"/>
      <c r="B619" s="26"/>
      <c r="C619" s="26"/>
    </row>
    <row r="620" ht="15.75" customHeight="1">
      <c r="A620" s="26"/>
      <c r="B620" s="26"/>
      <c r="C620" s="26"/>
    </row>
    <row r="621" ht="15.75" customHeight="1">
      <c r="A621" s="26"/>
      <c r="B621" s="26"/>
      <c r="C621" s="26"/>
    </row>
    <row r="622" ht="15.75" customHeight="1">
      <c r="A622" s="26"/>
      <c r="B622" s="26"/>
      <c r="C622" s="26"/>
    </row>
    <row r="623" ht="15.75" customHeight="1">
      <c r="A623" s="26"/>
      <c r="B623" s="26"/>
      <c r="C623" s="26"/>
    </row>
    <row r="624" ht="15.75" customHeight="1">
      <c r="A624" s="26"/>
      <c r="B624" s="26"/>
      <c r="C624" s="26"/>
    </row>
    <row r="625" ht="15.75" customHeight="1">
      <c r="A625" s="26"/>
      <c r="B625" s="26"/>
      <c r="C625" s="26"/>
    </row>
    <row r="626" ht="15.75" customHeight="1">
      <c r="A626" s="26"/>
      <c r="B626" s="26"/>
      <c r="C626" s="26"/>
    </row>
    <row r="627" ht="15.75" customHeight="1">
      <c r="A627" s="26"/>
      <c r="B627" s="26"/>
      <c r="C627" s="26"/>
    </row>
    <row r="628" ht="15.75" customHeight="1">
      <c r="A628" s="26"/>
      <c r="B628" s="26"/>
      <c r="C628" s="26"/>
    </row>
    <row r="629" ht="15.75" customHeight="1">
      <c r="A629" s="26"/>
      <c r="B629" s="26"/>
      <c r="C629" s="26"/>
    </row>
    <row r="630" ht="15.75" customHeight="1">
      <c r="A630" s="26"/>
      <c r="B630" s="26"/>
      <c r="C630" s="26"/>
    </row>
    <row r="631" ht="15.75" customHeight="1">
      <c r="A631" s="26"/>
      <c r="B631" s="26"/>
      <c r="C631" s="26"/>
    </row>
    <row r="632" ht="15.75" customHeight="1">
      <c r="A632" s="26"/>
      <c r="B632" s="26"/>
      <c r="C632" s="26"/>
    </row>
    <row r="633" ht="15.75" customHeight="1">
      <c r="A633" s="26"/>
      <c r="B633" s="26"/>
      <c r="C633" s="26"/>
    </row>
    <row r="634" ht="15.75" customHeight="1">
      <c r="A634" s="26"/>
      <c r="B634" s="26"/>
      <c r="C634" s="26"/>
    </row>
    <row r="635" ht="15.75" customHeight="1">
      <c r="A635" s="26"/>
      <c r="B635" s="26"/>
      <c r="C635" s="26"/>
    </row>
    <row r="636" ht="15.75" customHeight="1">
      <c r="A636" s="26"/>
      <c r="B636" s="26"/>
      <c r="C636" s="26"/>
    </row>
    <row r="637" ht="15.75" customHeight="1">
      <c r="A637" s="26"/>
      <c r="B637" s="26"/>
      <c r="C637" s="26"/>
    </row>
    <row r="638" ht="15.75" customHeight="1">
      <c r="A638" s="26"/>
      <c r="B638" s="26"/>
      <c r="C638" s="26"/>
    </row>
    <row r="639" ht="15.75" customHeight="1">
      <c r="A639" s="26"/>
      <c r="B639" s="26"/>
      <c r="C639" s="26"/>
    </row>
    <row r="640" ht="15.75" customHeight="1">
      <c r="A640" s="26"/>
      <c r="B640" s="26"/>
      <c r="C640" s="26"/>
    </row>
    <row r="641" ht="15.75" customHeight="1">
      <c r="A641" s="26"/>
      <c r="B641" s="26"/>
      <c r="C641" s="26"/>
    </row>
    <row r="642" ht="15.75" customHeight="1">
      <c r="A642" s="26"/>
      <c r="B642" s="26"/>
      <c r="C642" s="26"/>
    </row>
    <row r="643" ht="15.75" customHeight="1">
      <c r="A643" s="26"/>
      <c r="B643" s="26"/>
      <c r="C643" s="26"/>
    </row>
    <row r="644" ht="15.75" customHeight="1">
      <c r="A644" s="26"/>
      <c r="B644" s="26"/>
      <c r="C644" s="26"/>
    </row>
    <row r="645" ht="15.75" customHeight="1">
      <c r="A645" s="26"/>
      <c r="B645" s="26"/>
      <c r="C645" s="26"/>
    </row>
    <row r="646" ht="15.75" customHeight="1">
      <c r="A646" s="26"/>
      <c r="B646" s="26"/>
      <c r="C646" s="26"/>
    </row>
    <row r="647" ht="15.75" customHeight="1">
      <c r="A647" s="26"/>
      <c r="B647" s="26"/>
      <c r="C647" s="26"/>
    </row>
    <row r="648" ht="15.75" customHeight="1">
      <c r="A648" s="26"/>
      <c r="B648" s="26"/>
      <c r="C648" s="26"/>
    </row>
    <row r="649" ht="15.75" customHeight="1">
      <c r="A649" s="26"/>
      <c r="B649" s="26"/>
      <c r="C649" s="26"/>
    </row>
    <row r="650" ht="15.75" customHeight="1">
      <c r="A650" s="26"/>
      <c r="B650" s="26"/>
      <c r="C650" s="26"/>
    </row>
    <row r="651" ht="15.75" customHeight="1">
      <c r="A651" s="26"/>
      <c r="B651" s="26"/>
      <c r="C651" s="26"/>
    </row>
    <row r="652" ht="15.75" customHeight="1">
      <c r="A652" s="26"/>
      <c r="B652" s="26"/>
      <c r="C652" s="26"/>
    </row>
    <row r="653" ht="15.75" customHeight="1">
      <c r="A653" s="26"/>
      <c r="B653" s="26"/>
      <c r="C653" s="26"/>
    </row>
    <row r="654" ht="15.75" customHeight="1">
      <c r="A654" s="26"/>
      <c r="B654" s="26"/>
      <c r="C654" s="26"/>
    </row>
    <row r="655" ht="15.75" customHeight="1">
      <c r="A655" s="26"/>
      <c r="B655" s="26"/>
      <c r="C655" s="26"/>
    </row>
    <row r="656" ht="15.75" customHeight="1">
      <c r="A656" s="26"/>
      <c r="B656" s="26"/>
      <c r="C656" s="26"/>
    </row>
    <row r="657" ht="15.75" customHeight="1">
      <c r="A657" s="26"/>
      <c r="B657" s="26"/>
      <c r="C657" s="26"/>
    </row>
    <row r="658" ht="15.75" customHeight="1">
      <c r="A658" s="26"/>
      <c r="B658" s="26"/>
      <c r="C658" s="26"/>
    </row>
    <row r="659" ht="15.75" customHeight="1">
      <c r="A659" s="26"/>
      <c r="B659" s="26"/>
      <c r="C659" s="26"/>
    </row>
    <row r="660" ht="15.75" customHeight="1">
      <c r="A660" s="26"/>
      <c r="B660" s="26"/>
      <c r="C660" s="26"/>
    </row>
    <row r="661" ht="15.75" customHeight="1">
      <c r="A661" s="26"/>
      <c r="B661" s="26"/>
      <c r="C661" s="26"/>
    </row>
    <row r="662" ht="15.75" customHeight="1">
      <c r="A662" s="26"/>
      <c r="B662" s="26"/>
      <c r="C662" s="26"/>
    </row>
    <row r="663" ht="15.75" customHeight="1">
      <c r="A663" s="26"/>
      <c r="B663" s="26"/>
      <c r="C663" s="26"/>
    </row>
    <row r="664" ht="15.75" customHeight="1">
      <c r="A664" s="26"/>
      <c r="B664" s="26"/>
      <c r="C664" s="26"/>
    </row>
    <row r="665" ht="15.75" customHeight="1">
      <c r="A665" s="26"/>
      <c r="B665" s="26"/>
      <c r="C665" s="26"/>
    </row>
    <row r="666" ht="15.75" customHeight="1">
      <c r="A666" s="26"/>
      <c r="B666" s="26"/>
      <c r="C666" s="26"/>
    </row>
    <row r="667" ht="15.75" customHeight="1">
      <c r="A667" s="26"/>
      <c r="B667" s="26"/>
      <c r="C667" s="26"/>
    </row>
    <row r="668" ht="15.75" customHeight="1">
      <c r="A668" s="26"/>
      <c r="B668" s="26"/>
      <c r="C668" s="26"/>
    </row>
    <row r="669" ht="15.75" customHeight="1">
      <c r="A669" s="26"/>
      <c r="B669" s="26"/>
      <c r="C669" s="26"/>
    </row>
    <row r="670" ht="15.75" customHeight="1">
      <c r="A670" s="26"/>
      <c r="B670" s="26"/>
      <c r="C670" s="26"/>
    </row>
    <row r="671" ht="15.75" customHeight="1">
      <c r="A671" s="26"/>
      <c r="B671" s="26"/>
      <c r="C671" s="26"/>
    </row>
    <row r="672" ht="15.75" customHeight="1">
      <c r="A672" s="26"/>
      <c r="B672" s="26"/>
      <c r="C672" s="26"/>
    </row>
    <row r="673" ht="15.75" customHeight="1">
      <c r="A673" s="26"/>
      <c r="B673" s="26"/>
      <c r="C673" s="26"/>
    </row>
    <row r="674" ht="15.75" customHeight="1">
      <c r="A674" s="26"/>
      <c r="B674" s="26"/>
      <c r="C674" s="26"/>
    </row>
    <row r="675" ht="15.75" customHeight="1">
      <c r="A675" s="26"/>
      <c r="B675" s="26"/>
      <c r="C675" s="26"/>
    </row>
    <row r="676" ht="15.75" customHeight="1">
      <c r="A676" s="26"/>
      <c r="B676" s="26"/>
      <c r="C676" s="26"/>
    </row>
    <row r="677" ht="15.75" customHeight="1">
      <c r="A677" s="26"/>
      <c r="B677" s="26"/>
      <c r="C677" s="26"/>
    </row>
    <row r="678" ht="15.75" customHeight="1">
      <c r="A678" s="26"/>
      <c r="B678" s="26"/>
      <c r="C678" s="26"/>
    </row>
    <row r="679" ht="15.75" customHeight="1">
      <c r="A679" s="26"/>
      <c r="B679" s="26"/>
      <c r="C679" s="26"/>
    </row>
    <row r="680" ht="15.75" customHeight="1">
      <c r="A680" s="26"/>
      <c r="B680" s="26"/>
      <c r="C680" s="26"/>
    </row>
    <row r="681" ht="15.75" customHeight="1">
      <c r="A681" s="26"/>
      <c r="B681" s="26"/>
      <c r="C681" s="26"/>
    </row>
    <row r="682" ht="15.75" customHeight="1">
      <c r="A682" s="26"/>
      <c r="B682" s="26"/>
      <c r="C682" s="26"/>
    </row>
    <row r="683" ht="15.75" customHeight="1">
      <c r="A683" s="26"/>
      <c r="B683" s="26"/>
      <c r="C683" s="26"/>
    </row>
    <row r="684" ht="15.75" customHeight="1">
      <c r="A684" s="26"/>
      <c r="B684" s="26"/>
      <c r="C684" s="26"/>
    </row>
    <row r="685" ht="15.75" customHeight="1">
      <c r="A685" s="26"/>
      <c r="B685" s="26"/>
      <c r="C685" s="26"/>
    </row>
    <row r="686" ht="15.75" customHeight="1">
      <c r="A686" s="26"/>
      <c r="B686" s="26"/>
      <c r="C686" s="26"/>
    </row>
    <row r="687" ht="15.75" customHeight="1">
      <c r="A687" s="26"/>
      <c r="B687" s="26"/>
      <c r="C687" s="26"/>
    </row>
    <row r="688" ht="15.75" customHeight="1">
      <c r="A688" s="26"/>
      <c r="B688" s="26"/>
      <c r="C688" s="26"/>
    </row>
    <row r="689" ht="15.75" customHeight="1">
      <c r="A689" s="26"/>
      <c r="B689" s="26"/>
      <c r="C689" s="26"/>
    </row>
    <row r="690" ht="15.75" customHeight="1">
      <c r="A690" s="26"/>
      <c r="B690" s="26"/>
      <c r="C690" s="26"/>
    </row>
    <row r="691" ht="15.75" customHeight="1">
      <c r="A691" s="26"/>
      <c r="B691" s="26"/>
      <c r="C691" s="26"/>
    </row>
    <row r="692" ht="15.75" customHeight="1">
      <c r="A692" s="26"/>
      <c r="B692" s="26"/>
      <c r="C692" s="26"/>
    </row>
    <row r="693" ht="15.75" customHeight="1">
      <c r="A693" s="26"/>
      <c r="B693" s="26"/>
      <c r="C693" s="26"/>
    </row>
    <row r="694" ht="15.75" customHeight="1">
      <c r="A694" s="26"/>
      <c r="B694" s="26"/>
      <c r="C694" s="26"/>
    </row>
    <row r="695" ht="15.75" customHeight="1">
      <c r="A695" s="26"/>
      <c r="B695" s="26"/>
      <c r="C695" s="26"/>
    </row>
    <row r="696" ht="15.75" customHeight="1">
      <c r="A696" s="26"/>
      <c r="B696" s="26"/>
      <c r="C696" s="26"/>
    </row>
    <row r="697" ht="15.75" customHeight="1">
      <c r="A697" s="26"/>
      <c r="B697" s="26"/>
      <c r="C697" s="26"/>
    </row>
    <row r="698" ht="15.75" customHeight="1">
      <c r="A698" s="26"/>
      <c r="B698" s="26"/>
      <c r="C698" s="26"/>
    </row>
    <row r="699" ht="15.75" customHeight="1">
      <c r="A699" s="26"/>
      <c r="B699" s="26"/>
      <c r="C699" s="26"/>
    </row>
    <row r="700" ht="15.75" customHeight="1">
      <c r="A700" s="26"/>
      <c r="B700" s="26"/>
      <c r="C700" s="26"/>
    </row>
    <row r="701" ht="15.75" customHeight="1">
      <c r="A701" s="26"/>
      <c r="B701" s="26"/>
      <c r="C701" s="26"/>
    </row>
    <row r="702" ht="15.75" customHeight="1">
      <c r="A702" s="26"/>
      <c r="B702" s="26"/>
      <c r="C702" s="26"/>
    </row>
    <row r="703" ht="15.75" customHeight="1">
      <c r="A703" s="26"/>
      <c r="B703" s="26"/>
      <c r="C703" s="26"/>
    </row>
    <row r="704" ht="15.75" customHeight="1">
      <c r="A704" s="26"/>
      <c r="B704" s="26"/>
      <c r="C704" s="26"/>
    </row>
    <row r="705" ht="15.75" customHeight="1">
      <c r="A705" s="26"/>
      <c r="B705" s="26"/>
      <c r="C705" s="26"/>
    </row>
    <row r="706" ht="15.75" customHeight="1">
      <c r="A706" s="26"/>
      <c r="B706" s="26"/>
      <c r="C706" s="26"/>
    </row>
    <row r="707" ht="15.75" customHeight="1">
      <c r="A707" s="26"/>
      <c r="B707" s="26"/>
      <c r="C707" s="26"/>
    </row>
    <row r="708" ht="15.75" customHeight="1">
      <c r="A708" s="26"/>
      <c r="B708" s="26"/>
      <c r="C708" s="26"/>
    </row>
    <row r="709" ht="15.75" customHeight="1">
      <c r="A709" s="26"/>
      <c r="B709" s="26"/>
      <c r="C709" s="26"/>
    </row>
    <row r="710" ht="15.75" customHeight="1">
      <c r="A710" s="26"/>
      <c r="B710" s="26"/>
      <c r="C710" s="26"/>
    </row>
    <row r="711" ht="15.75" customHeight="1">
      <c r="A711" s="26"/>
      <c r="B711" s="26"/>
      <c r="C711" s="26"/>
    </row>
    <row r="712" ht="15.75" customHeight="1">
      <c r="A712" s="26"/>
      <c r="B712" s="26"/>
      <c r="C712" s="26"/>
    </row>
    <row r="713" ht="15.75" customHeight="1">
      <c r="A713" s="26"/>
      <c r="B713" s="26"/>
      <c r="C713" s="26"/>
    </row>
    <row r="714" ht="15.75" customHeight="1">
      <c r="A714" s="26"/>
      <c r="B714" s="26"/>
      <c r="C714" s="26"/>
    </row>
    <row r="715" ht="15.75" customHeight="1">
      <c r="A715" s="26"/>
      <c r="B715" s="26"/>
      <c r="C715" s="26"/>
    </row>
    <row r="716" ht="15.75" customHeight="1">
      <c r="A716" s="26"/>
      <c r="B716" s="26"/>
      <c r="C716" s="26"/>
    </row>
    <row r="717" ht="15.75" customHeight="1">
      <c r="A717" s="26"/>
      <c r="B717" s="26"/>
      <c r="C717" s="26"/>
    </row>
    <row r="718" ht="15.75" customHeight="1">
      <c r="A718" s="26"/>
      <c r="B718" s="26"/>
      <c r="C718" s="26"/>
    </row>
    <row r="719" ht="15.75" customHeight="1">
      <c r="A719" s="26"/>
      <c r="B719" s="26"/>
      <c r="C719" s="26"/>
    </row>
    <row r="720" ht="15.75" customHeight="1">
      <c r="A720" s="26"/>
      <c r="B720" s="26"/>
      <c r="C720" s="26"/>
    </row>
    <row r="721" ht="15.75" customHeight="1">
      <c r="A721" s="26"/>
      <c r="B721" s="26"/>
      <c r="C721" s="26"/>
    </row>
    <row r="722" ht="15.75" customHeight="1">
      <c r="A722" s="26"/>
      <c r="B722" s="26"/>
      <c r="C722" s="26"/>
    </row>
    <row r="723" ht="15.75" customHeight="1">
      <c r="A723" s="26"/>
      <c r="B723" s="26"/>
      <c r="C723" s="26"/>
    </row>
    <row r="724" ht="15.75" customHeight="1">
      <c r="A724" s="26"/>
      <c r="B724" s="26"/>
      <c r="C724" s="26"/>
    </row>
    <row r="725" ht="15.75" customHeight="1">
      <c r="A725" s="26"/>
      <c r="B725" s="26"/>
      <c r="C725" s="26"/>
    </row>
    <row r="726" ht="15.75" customHeight="1">
      <c r="A726" s="26"/>
      <c r="B726" s="26"/>
      <c r="C726" s="26"/>
    </row>
    <row r="727" ht="15.75" customHeight="1">
      <c r="A727" s="26"/>
      <c r="B727" s="26"/>
      <c r="C727" s="26"/>
    </row>
    <row r="728" ht="15.75" customHeight="1">
      <c r="A728" s="26"/>
      <c r="B728" s="26"/>
      <c r="C728" s="26"/>
    </row>
    <row r="729" ht="15.75" customHeight="1">
      <c r="A729" s="26"/>
      <c r="B729" s="26"/>
      <c r="C729" s="26"/>
    </row>
    <row r="730" ht="15.75" customHeight="1">
      <c r="A730" s="26"/>
      <c r="B730" s="26"/>
      <c r="C730" s="26"/>
    </row>
    <row r="731" ht="15.75" customHeight="1">
      <c r="A731" s="26"/>
      <c r="B731" s="26"/>
      <c r="C731" s="26"/>
    </row>
    <row r="732" ht="15.75" customHeight="1">
      <c r="A732" s="26"/>
      <c r="B732" s="26"/>
      <c r="C732" s="26"/>
    </row>
    <row r="733" ht="15.75" customHeight="1">
      <c r="A733" s="26"/>
      <c r="B733" s="26"/>
      <c r="C733" s="26"/>
    </row>
    <row r="734" ht="15.75" customHeight="1">
      <c r="A734" s="26"/>
      <c r="B734" s="26"/>
      <c r="C734" s="26"/>
    </row>
    <row r="735" ht="15.75" customHeight="1">
      <c r="A735" s="26"/>
      <c r="B735" s="26"/>
      <c r="C735" s="26"/>
    </row>
    <row r="736" ht="15.75" customHeight="1">
      <c r="A736" s="26"/>
      <c r="B736" s="26"/>
      <c r="C736" s="26"/>
    </row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</sheetData>
  <mergeCells count="9">
    <mergeCell ref="E5:E24"/>
    <mergeCell ref="D25:I25"/>
    <mergeCell ref="A1:B1"/>
    <mergeCell ref="A2:B2"/>
    <mergeCell ref="D2:J2"/>
    <mergeCell ref="L2:M3"/>
    <mergeCell ref="D3:E3"/>
    <mergeCell ref="D5:D24"/>
    <mergeCell ref="J5:J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5" t="s">
        <v>37</v>
      </c>
      <c r="B1" s="5"/>
      <c r="C1" s="26"/>
      <c r="D1" s="26"/>
      <c r="E1" s="26"/>
      <c r="F1" s="27"/>
      <c r="G1" s="27"/>
      <c r="H1" s="27"/>
      <c r="I1" s="27"/>
      <c r="J1" s="28"/>
      <c r="K1" s="27"/>
      <c r="L1" s="27"/>
      <c r="M1" s="27"/>
      <c r="N1" s="27"/>
    </row>
    <row r="2" ht="15.75" customHeight="1">
      <c r="A2" s="29" t="s">
        <v>38</v>
      </c>
      <c r="B2" s="5"/>
      <c r="C2" s="30"/>
      <c r="D2" s="30" t="s">
        <v>39</v>
      </c>
      <c r="K2" s="27"/>
      <c r="L2" s="31" t="s">
        <v>40</v>
      </c>
      <c r="M2" s="32"/>
      <c r="N2" s="27"/>
    </row>
    <row r="3" ht="36.75" customHeight="1">
      <c r="A3" s="33" t="s">
        <v>41</v>
      </c>
      <c r="B3" s="34" t="s">
        <v>42</v>
      </c>
      <c r="C3" s="26"/>
      <c r="D3" s="35" t="s">
        <v>43</v>
      </c>
      <c r="F3" s="27"/>
      <c r="G3" s="27"/>
      <c r="H3" s="27"/>
      <c r="I3" s="27"/>
      <c r="J3" s="36"/>
      <c r="K3" s="27"/>
      <c r="L3" s="37"/>
      <c r="M3" s="12"/>
      <c r="N3" s="27"/>
    </row>
    <row r="4" ht="15.75" customHeight="1">
      <c r="A4" s="38" t="s">
        <v>19</v>
      </c>
      <c r="B4" s="39">
        <v>3100.0</v>
      </c>
      <c r="C4" s="40"/>
      <c r="D4" s="41" t="s">
        <v>1</v>
      </c>
      <c r="E4" s="41" t="s">
        <v>44</v>
      </c>
      <c r="F4" s="42" t="s">
        <v>45</v>
      </c>
      <c r="G4" s="43" t="s">
        <v>46</v>
      </c>
      <c r="H4" s="43" t="s">
        <v>47</v>
      </c>
      <c r="I4" s="43" t="s">
        <v>48</v>
      </c>
      <c r="J4" s="44" t="s">
        <v>49</v>
      </c>
      <c r="K4" s="27"/>
      <c r="L4" s="45" t="s">
        <v>50</v>
      </c>
      <c r="M4" s="45" t="s">
        <v>46</v>
      </c>
      <c r="N4" s="27"/>
    </row>
    <row r="5" ht="15.75" customHeight="1">
      <c r="A5" s="38" t="s">
        <v>51</v>
      </c>
      <c r="B5" s="39">
        <v>3000.0</v>
      </c>
      <c r="C5" s="46"/>
      <c r="D5" s="47">
        <v>1.0</v>
      </c>
      <c r="E5" s="48" t="s">
        <v>82</v>
      </c>
      <c r="F5" s="38" t="s">
        <v>19</v>
      </c>
      <c r="G5" s="49">
        <v>1.5</v>
      </c>
      <c r="H5" s="50">
        <f>VLOOKUP(F5,$A$4:$B$4,2,TRUE)</f>
        <v>3100</v>
      </c>
      <c r="I5" s="51">
        <f t="shared" ref="I5:I44" si="1">G5*H5</f>
        <v>4650</v>
      </c>
      <c r="J5" s="52">
        <f>SUM(I5:I24)</f>
        <v>28700</v>
      </c>
      <c r="K5" s="27"/>
      <c r="L5" s="38" t="s">
        <v>19</v>
      </c>
      <c r="M5" s="45">
        <f>SUMIF(F5:F44,"Gelas bersih",G5:G44)</f>
        <v>1.5</v>
      </c>
      <c r="N5" s="27"/>
    </row>
    <row r="6" ht="15.75" customHeight="1">
      <c r="A6" s="38" t="s">
        <v>53</v>
      </c>
      <c r="B6" s="39">
        <v>800.0</v>
      </c>
      <c r="C6" s="46"/>
      <c r="D6" s="53"/>
      <c r="E6" s="53"/>
      <c r="F6" s="38" t="s">
        <v>51</v>
      </c>
      <c r="G6" s="49">
        <v>4.0</v>
      </c>
      <c r="H6" s="54">
        <f>VLOOKUP(F6,$A$5:$B$5,2,TRUE)</f>
        <v>3000</v>
      </c>
      <c r="I6" s="51">
        <f t="shared" si="1"/>
        <v>12000</v>
      </c>
      <c r="J6" s="53"/>
      <c r="K6" s="27"/>
      <c r="L6" s="38" t="s">
        <v>51</v>
      </c>
      <c r="M6" s="45">
        <f>SUMIF(F6:F45,"Botol bersih",G6:G45)</f>
        <v>4</v>
      </c>
      <c r="N6" s="27"/>
    </row>
    <row r="7" ht="15.75" customHeight="1">
      <c r="A7" s="38" t="s">
        <v>22</v>
      </c>
      <c r="B7" s="39">
        <v>2000.0</v>
      </c>
      <c r="C7" s="46"/>
      <c r="D7" s="53"/>
      <c r="E7" s="53"/>
      <c r="F7" s="38" t="s">
        <v>53</v>
      </c>
      <c r="G7" s="49"/>
      <c r="H7" s="54">
        <f>VLOOKUP(F7,$A$6:$B$6,2,TRUE)</f>
        <v>800</v>
      </c>
      <c r="I7" s="51">
        <f t="shared" si="1"/>
        <v>0</v>
      </c>
      <c r="J7" s="53"/>
      <c r="K7" s="27"/>
      <c r="L7" s="38" t="s">
        <v>53</v>
      </c>
      <c r="M7" s="45">
        <f>SUMIF(F7:F45,"Botol Warna",G7:G45)</f>
        <v>0</v>
      </c>
      <c r="N7" s="27"/>
    </row>
    <row r="8" ht="15.75" customHeight="1">
      <c r="A8" s="38" t="s">
        <v>23</v>
      </c>
      <c r="B8" s="39">
        <v>2800.0</v>
      </c>
      <c r="C8" s="46"/>
      <c r="D8" s="53"/>
      <c r="E8" s="53"/>
      <c r="F8" s="38" t="s">
        <v>22</v>
      </c>
      <c r="G8" s="49">
        <v>0.5</v>
      </c>
      <c r="H8" s="54">
        <f>VLOOKUP(F8,$A$7:$B$7,2,TRUE)</f>
        <v>2000</v>
      </c>
      <c r="I8" s="51">
        <f t="shared" si="1"/>
        <v>1000</v>
      </c>
      <c r="J8" s="53"/>
      <c r="K8" s="27"/>
      <c r="L8" s="38" t="s">
        <v>22</v>
      </c>
      <c r="M8" s="45">
        <f>SUMIF(F8:F46,"Tutup botol",G8:G46)</f>
        <v>0.5</v>
      </c>
      <c r="N8" s="27"/>
    </row>
    <row r="9" ht="15.75" customHeight="1">
      <c r="A9" s="38" t="s">
        <v>54</v>
      </c>
      <c r="B9" s="39">
        <v>800.0</v>
      </c>
      <c r="C9" s="46"/>
      <c r="D9" s="53"/>
      <c r="E9" s="53"/>
      <c r="F9" s="38" t="s">
        <v>23</v>
      </c>
      <c r="G9" s="49">
        <v>0.5</v>
      </c>
      <c r="H9" s="54">
        <f>VLOOKUP(F9, $A$8:$B$8, 2, FALSE)</f>
        <v>2800</v>
      </c>
      <c r="I9" s="51">
        <f t="shared" si="1"/>
        <v>1400</v>
      </c>
      <c r="J9" s="53"/>
      <c r="K9" s="27"/>
      <c r="L9" s="38" t="s">
        <v>23</v>
      </c>
      <c r="M9" s="45">
        <f>SUMIF(F9:F47,"Tutup galon",G9:G47)</f>
        <v>1</v>
      </c>
      <c r="N9" s="27"/>
    </row>
    <row r="10" ht="15.75" customHeight="1">
      <c r="A10" s="38" t="s">
        <v>25</v>
      </c>
      <c r="B10" s="39">
        <v>1500.0</v>
      </c>
      <c r="C10" s="46"/>
      <c r="D10" s="53"/>
      <c r="E10" s="53"/>
      <c r="F10" s="38" t="s">
        <v>54</v>
      </c>
      <c r="G10" s="49"/>
      <c r="H10" s="54">
        <f>VLOOKUP(F10, $A$9:$B$9, 2, FALSE)</f>
        <v>800</v>
      </c>
      <c r="I10" s="51">
        <f t="shared" si="1"/>
        <v>0</v>
      </c>
      <c r="J10" s="53"/>
      <c r="K10" s="27"/>
      <c r="L10" s="38" t="s">
        <v>54</v>
      </c>
      <c r="M10" s="45">
        <f>SUMIF(F10:F49,"Emberan/Atum",G10:G49)</f>
        <v>7</v>
      </c>
      <c r="N10" s="27"/>
    </row>
    <row r="11" ht="15.75" customHeight="1">
      <c r="A11" s="38" t="s">
        <v>26</v>
      </c>
      <c r="B11" s="39">
        <v>1200.0</v>
      </c>
      <c r="C11" s="46"/>
      <c r="D11" s="53"/>
      <c r="E11" s="53"/>
      <c r="F11" s="38" t="s">
        <v>25</v>
      </c>
      <c r="G11" s="49"/>
      <c r="H11" s="54">
        <f>VLOOKUP(F11,$A$10:$B$10,2,TRUE)</f>
        <v>1500</v>
      </c>
      <c r="I11" s="51">
        <f t="shared" si="1"/>
        <v>0</v>
      </c>
      <c r="J11" s="53"/>
      <c r="K11" s="27"/>
      <c r="L11" s="38" t="s">
        <v>25</v>
      </c>
      <c r="M11" s="45">
        <f>SUMIF(F11:F50,"Kardus",G11:G50)</f>
        <v>4</v>
      </c>
      <c r="N11" s="27"/>
    </row>
    <row r="12" ht="15.75" customHeight="1">
      <c r="A12" s="38" t="s">
        <v>28</v>
      </c>
      <c r="B12" s="39">
        <v>500.0</v>
      </c>
      <c r="C12" s="46"/>
      <c r="D12" s="53"/>
      <c r="E12" s="53"/>
      <c r="F12" s="38" t="s">
        <v>26</v>
      </c>
      <c r="G12" s="49"/>
      <c r="H12" s="54">
        <f>VLOOKUP(F12,$A$11:$B$11,2,TRUE)</f>
        <v>1200</v>
      </c>
      <c r="I12" s="51">
        <f t="shared" si="1"/>
        <v>0</v>
      </c>
      <c r="J12" s="53"/>
      <c r="K12" s="27"/>
      <c r="L12" s="38" t="s">
        <v>26</v>
      </c>
      <c r="M12" s="45">
        <f>SUMIF(F12:F52,"Kertas Putihan/HVS",G12:G52)</f>
        <v>0</v>
      </c>
      <c r="N12" s="27"/>
    </row>
    <row r="13" ht="15.75" customHeight="1">
      <c r="A13" s="38" t="s">
        <v>29</v>
      </c>
      <c r="B13" s="39">
        <v>6500.0</v>
      </c>
      <c r="C13" s="46"/>
      <c r="D13" s="53"/>
      <c r="E13" s="53"/>
      <c r="F13" s="38" t="s">
        <v>28</v>
      </c>
      <c r="G13" s="49">
        <v>10.0</v>
      </c>
      <c r="H13" s="54">
        <f>VLOOKUP(F13,$A$12:$B$12,2,TRUE)</f>
        <v>500</v>
      </c>
      <c r="I13" s="51">
        <f t="shared" si="1"/>
        <v>5000</v>
      </c>
      <c r="J13" s="53"/>
      <c r="K13" s="27"/>
      <c r="L13" s="38" t="s">
        <v>28</v>
      </c>
      <c r="M13" s="45">
        <f>SUMIF(F13:F53,"Duplex",G13:G53)</f>
        <v>10</v>
      </c>
      <c r="N13" s="27"/>
    </row>
    <row r="14" ht="15.75" customHeight="1">
      <c r="A14" s="38" t="s">
        <v>30</v>
      </c>
      <c r="B14" s="39">
        <v>2200.0</v>
      </c>
      <c r="C14" s="46"/>
      <c r="D14" s="53"/>
      <c r="E14" s="53"/>
      <c r="F14" s="38" t="s">
        <v>29</v>
      </c>
      <c r="G14" s="49"/>
      <c r="H14" s="54">
        <f>VLOOKUP(F14,$A$13:$B$13,2,TRUE)</f>
        <v>6500</v>
      </c>
      <c r="I14" s="51">
        <f t="shared" si="1"/>
        <v>0</v>
      </c>
      <c r="J14" s="53"/>
      <c r="K14" s="27"/>
      <c r="L14" s="38" t="s">
        <v>29</v>
      </c>
      <c r="M14" s="45">
        <f>SUMIF(F14:F54,"Alumunium",G14:G54)</f>
        <v>0</v>
      </c>
      <c r="N14" s="27"/>
    </row>
    <row r="15" ht="15.75" customHeight="1">
      <c r="A15" s="38" t="s">
        <v>31</v>
      </c>
      <c r="B15" s="39">
        <v>1300.0</v>
      </c>
      <c r="C15" s="46"/>
      <c r="D15" s="53"/>
      <c r="E15" s="53"/>
      <c r="F15" s="38" t="s">
        <v>30</v>
      </c>
      <c r="G15" s="49"/>
      <c r="H15" s="54">
        <f>VLOOKUP(F15,$A$14:$B$14,2,TRUE)</f>
        <v>2200</v>
      </c>
      <c r="I15" s="51">
        <f t="shared" si="1"/>
        <v>0</v>
      </c>
      <c r="J15" s="53"/>
      <c r="K15" s="27"/>
      <c r="L15" s="38" t="s">
        <v>30</v>
      </c>
      <c r="M15" s="45">
        <f>SUMIF(F15:F55,"Besi",G15:G55)</f>
        <v>0</v>
      </c>
      <c r="N15" s="27"/>
    </row>
    <row r="16" ht="15.75" customHeight="1">
      <c r="A16" s="38" t="s">
        <v>32</v>
      </c>
      <c r="B16" s="39">
        <v>5000.0</v>
      </c>
      <c r="C16" s="46"/>
      <c r="D16" s="53"/>
      <c r="E16" s="53"/>
      <c r="F16" s="38" t="s">
        <v>31</v>
      </c>
      <c r="G16" s="49"/>
      <c r="H16" s="54">
        <f>VLOOKUP(F16,$A$15:$B$15,2,TRUE)</f>
        <v>1300</v>
      </c>
      <c r="I16" s="51">
        <f t="shared" si="1"/>
        <v>0</v>
      </c>
      <c r="J16" s="53"/>
      <c r="K16" s="27"/>
      <c r="L16" s="38" t="s">
        <v>31</v>
      </c>
      <c r="M16" s="45">
        <f>SUMIF(F16:F56,"Kaleng kue/susu",G16:G56)</f>
        <v>0</v>
      </c>
      <c r="N16" s="27"/>
    </row>
    <row r="17" ht="15.75" customHeight="1">
      <c r="A17" s="38" t="s">
        <v>33</v>
      </c>
      <c r="B17" s="39">
        <v>2500.0</v>
      </c>
      <c r="C17" s="46"/>
      <c r="D17" s="53"/>
      <c r="E17" s="53"/>
      <c r="F17" s="38" t="s">
        <v>32</v>
      </c>
      <c r="G17" s="49"/>
      <c r="H17" s="54">
        <f>VLOOKUP(F17,$A$16:$B$16,2,TRUE)</f>
        <v>5000</v>
      </c>
      <c r="I17" s="51">
        <f t="shared" si="1"/>
        <v>0</v>
      </c>
      <c r="J17" s="53"/>
      <c r="K17" s="27"/>
      <c r="L17" s="38" t="s">
        <v>32</v>
      </c>
      <c r="M17" s="45">
        <f>SUMIF(F17:F57,"Kaleng Minuman",G17:G57)</f>
        <v>0</v>
      </c>
      <c r="N17" s="27"/>
    </row>
    <row r="18" ht="15.75" customHeight="1">
      <c r="A18" s="38" t="s">
        <v>35</v>
      </c>
      <c r="B18" s="39">
        <v>10000.0</v>
      </c>
      <c r="C18" s="46"/>
      <c r="D18" s="53"/>
      <c r="E18" s="53"/>
      <c r="F18" s="38" t="s">
        <v>33</v>
      </c>
      <c r="G18" s="49"/>
      <c r="H18" s="54">
        <f>VLOOKUP(F18, $A$17:$B$17, 2, FALSE)</f>
        <v>2500</v>
      </c>
      <c r="I18" s="51">
        <f t="shared" si="1"/>
        <v>0</v>
      </c>
      <c r="J18" s="53"/>
      <c r="K18" s="27"/>
      <c r="L18" s="38" t="s">
        <v>33</v>
      </c>
      <c r="M18" s="45">
        <f>SUMIF(F18:F59,"Stanless",G18:G59)</f>
        <v>0</v>
      </c>
      <c r="N18" s="27"/>
    </row>
    <row r="19" ht="15.75" customHeight="1">
      <c r="A19" s="38" t="s">
        <v>55</v>
      </c>
      <c r="B19" s="39">
        <v>300.0</v>
      </c>
      <c r="C19" s="46"/>
      <c r="D19" s="53"/>
      <c r="E19" s="53"/>
      <c r="F19" s="38" t="s">
        <v>35</v>
      </c>
      <c r="G19" s="49"/>
      <c r="H19" s="54">
        <f>VLOOKUP(F19, $A$18:$B$18, 2, FALSE)</f>
        <v>10000</v>
      </c>
      <c r="I19" s="51">
        <f t="shared" si="1"/>
        <v>0</v>
      </c>
      <c r="J19" s="53"/>
      <c r="K19" s="27"/>
      <c r="L19" s="38" t="s">
        <v>35</v>
      </c>
      <c r="M19" s="45">
        <f>SUMIF(F19:F61,"Aki Motor",G19:G61)</f>
        <v>0</v>
      </c>
      <c r="N19" s="27"/>
    </row>
    <row r="20" ht="15.75" customHeight="1">
      <c r="A20" s="38" t="s">
        <v>15</v>
      </c>
      <c r="B20" s="39">
        <v>300.0</v>
      </c>
      <c r="C20" s="46"/>
      <c r="D20" s="53"/>
      <c r="E20" s="53"/>
      <c r="F20" s="38" t="s">
        <v>55</v>
      </c>
      <c r="G20" s="49"/>
      <c r="H20" s="54">
        <f>VLOOKUP(F20,$A$19:$B$19,2,TRUE)</f>
        <v>300</v>
      </c>
      <c r="I20" s="51">
        <f t="shared" si="1"/>
        <v>0</v>
      </c>
      <c r="J20" s="53"/>
      <c r="K20" s="27"/>
      <c r="L20" s="38" t="s">
        <v>55</v>
      </c>
      <c r="M20" s="45">
        <f>SUMIF(F20:F64,"Plastik Keresek",G20:G64)</f>
        <v>0</v>
      </c>
      <c r="N20" s="27"/>
    </row>
    <row r="21" ht="15.75" customHeight="1">
      <c r="A21" s="38" t="s">
        <v>11</v>
      </c>
      <c r="B21" s="39">
        <v>1700.0</v>
      </c>
      <c r="C21" s="46"/>
      <c r="D21" s="53"/>
      <c r="E21" s="53"/>
      <c r="F21" s="38" t="s">
        <v>15</v>
      </c>
      <c r="G21" s="49">
        <v>8.0</v>
      </c>
      <c r="H21" s="54">
        <f>VLOOKUP(F21,$A$20:$B$20,2,TRUE)</f>
        <v>300</v>
      </c>
      <c r="I21" s="51">
        <f t="shared" si="1"/>
        <v>2400</v>
      </c>
      <c r="J21" s="53"/>
      <c r="K21" s="27"/>
      <c r="L21" s="38" t="s">
        <v>15</v>
      </c>
      <c r="M21" s="45">
        <f>SUMIF(F21:F66,"Beling",G21:G66)</f>
        <v>8</v>
      </c>
      <c r="N21" s="27"/>
    </row>
    <row r="22" ht="15.75" customHeight="1">
      <c r="A22" s="38" t="s">
        <v>17</v>
      </c>
      <c r="B22" s="55">
        <v>4500.0</v>
      </c>
      <c r="C22" s="46"/>
      <c r="D22" s="53"/>
      <c r="E22" s="53"/>
      <c r="F22" s="38" t="s">
        <v>11</v>
      </c>
      <c r="G22" s="49"/>
      <c r="H22" s="54">
        <f>VLOOKUP(F22,$A$21:$B$21,2,TRUE)</f>
        <v>1700</v>
      </c>
      <c r="I22" s="51">
        <f t="shared" si="1"/>
        <v>0</v>
      </c>
      <c r="J22" s="53"/>
      <c r="K22" s="27"/>
      <c r="L22" s="38" t="s">
        <v>11</v>
      </c>
      <c r="M22" s="45">
        <f>SUMIF(F22:F68,"Paku",G22:G68)</f>
        <v>0</v>
      </c>
      <c r="N22" s="27"/>
    </row>
    <row r="23" ht="15.75" customHeight="1">
      <c r="A23" s="38" t="s">
        <v>56</v>
      </c>
      <c r="B23" s="39">
        <v>500.0</v>
      </c>
      <c r="C23" s="46"/>
      <c r="D23" s="53"/>
      <c r="E23" s="53"/>
      <c r="F23" s="38" t="s">
        <v>17</v>
      </c>
      <c r="G23" s="49">
        <v>0.5</v>
      </c>
      <c r="H23" s="54">
        <f>VLOOKUP(F22,$A$22:$B$22,2,TRUE)</f>
        <v>4500</v>
      </c>
      <c r="I23" s="51">
        <f t="shared" si="1"/>
        <v>2250</v>
      </c>
      <c r="J23" s="53"/>
      <c r="K23" s="27"/>
      <c r="L23" s="38" t="s">
        <v>17</v>
      </c>
      <c r="M23" s="45">
        <f>SUMIF(F23:F69,"Minyak Jelantah",G23:G69)</f>
        <v>3.5</v>
      </c>
      <c r="N23" s="27"/>
    </row>
    <row r="24" ht="15.75" customHeight="1">
      <c r="A24" s="46"/>
      <c r="B24" s="46"/>
      <c r="C24" s="46"/>
      <c r="D24" s="14"/>
      <c r="E24" s="14"/>
      <c r="F24" s="38" t="s">
        <v>56</v>
      </c>
      <c r="G24" s="49">
        <v>2.0</v>
      </c>
      <c r="H24" s="54"/>
      <c r="I24" s="51">
        <f t="shared" si="1"/>
        <v>0</v>
      </c>
      <c r="J24" s="14"/>
      <c r="K24" s="27"/>
      <c r="L24" s="38" t="s">
        <v>56</v>
      </c>
      <c r="M24" s="45">
        <f>SUMIF(F24:F70,"Lainnya",G24:G70)</f>
        <v>2</v>
      </c>
      <c r="N24" s="27"/>
    </row>
    <row r="25" ht="15.75" customHeight="1">
      <c r="A25" s="46"/>
      <c r="B25" s="46"/>
      <c r="C25" s="46"/>
      <c r="D25" s="47">
        <v>2.0</v>
      </c>
      <c r="E25" s="48" t="s">
        <v>83</v>
      </c>
      <c r="F25" s="38" t="s">
        <v>19</v>
      </c>
      <c r="G25" s="49"/>
      <c r="H25" s="50">
        <f>VLOOKUP(F25,$A$4:$B$4,2,TRUE)</f>
        <v>3100</v>
      </c>
      <c r="I25" s="51">
        <f t="shared" si="1"/>
        <v>0</v>
      </c>
      <c r="J25" s="52">
        <f>SUM(I25:I44)</f>
        <v>26500</v>
      </c>
      <c r="K25" s="27"/>
      <c r="L25" s="56" t="s">
        <v>58</v>
      </c>
      <c r="M25" s="57">
        <f>SUM(M5:M24)</f>
        <v>41.5</v>
      </c>
      <c r="N25" s="27"/>
    </row>
    <row r="26" ht="15.75" customHeight="1">
      <c r="A26" s="46"/>
      <c r="B26" s="46"/>
      <c r="C26" s="46"/>
      <c r="D26" s="53"/>
      <c r="E26" s="53"/>
      <c r="F26" s="38" t="s">
        <v>51</v>
      </c>
      <c r="G26" s="49"/>
      <c r="H26" s="54">
        <f>VLOOKUP(F26,$A$5:$B$5,2,TRUE)</f>
        <v>3000</v>
      </c>
      <c r="I26" s="51">
        <f t="shared" si="1"/>
        <v>0</v>
      </c>
      <c r="J26" s="53"/>
      <c r="K26" s="27"/>
      <c r="L26" s="27"/>
      <c r="M26" s="27"/>
      <c r="N26" s="27"/>
    </row>
    <row r="27" ht="15.75" customHeight="1">
      <c r="A27" s="46"/>
      <c r="B27" s="46"/>
      <c r="C27" s="46"/>
      <c r="D27" s="53"/>
      <c r="E27" s="53"/>
      <c r="F27" s="38" t="s">
        <v>53</v>
      </c>
      <c r="G27" s="49"/>
      <c r="H27" s="54">
        <f>VLOOKUP(F27,$A$6:$B$6,2,TRUE)</f>
        <v>800</v>
      </c>
      <c r="I27" s="51">
        <f t="shared" si="1"/>
        <v>0</v>
      </c>
      <c r="J27" s="53"/>
      <c r="K27" s="27"/>
      <c r="L27" s="27"/>
      <c r="M27" s="27"/>
      <c r="N27" s="27"/>
    </row>
    <row r="28" ht="15.75" customHeight="1">
      <c r="A28" s="46"/>
      <c r="B28" s="46"/>
      <c r="C28" s="46"/>
      <c r="D28" s="53"/>
      <c r="E28" s="53"/>
      <c r="F28" s="38" t="s">
        <v>22</v>
      </c>
      <c r="G28" s="49"/>
      <c r="H28" s="54">
        <f>VLOOKUP(F28,$A$7:$B$7,2,TRUE)</f>
        <v>2000</v>
      </c>
      <c r="I28" s="51">
        <f t="shared" si="1"/>
        <v>0</v>
      </c>
      <c r="J28" s="53"/>
      <c r="K28" s="27"/>
      <c r="L28" s="27"/>
      <c r="M28" s="27"/>
      <c r="N28" s="27"/>
    </row>
    <row r="29" ht="15.75" customHeight="1">
      <c r="A29" s="46"/>
      <c r="B29" s="46"/>
      <c r="C29" s="46"/>
      <c r="D29" s="53"/>
      <c r="E29" s="53"/>
      <c r="F29" s="38" t="s">
        <v>23</v>
      </c>
      <c r="G29" s="49">
        <v>0.5</v>
      </c>
      <c r="H29" s="54">
        <f>VLOOKUP(F29, $A$8:$B$8, 2, FALSE)</f>
        <v>2800</v>
      </c>
      <c r="I29" s="51">
        <f t="shared" si="1"/>
        <v>1400</v>
      </c>
      <c r="J29" s="53"/>
      <c r="K29" s="27"/>
      <c r="L29" s="27"/>
      <c r="M29" s="27"/>
      <c r="N29" s="27"/>
    </row>
    <row r="30" ht="15.75" customHeight="1">
      <c r="A30" s="46"/>
      <c r="B30" s="46"/>
      <c r="C30" s="46"/>
      <c r="D30" s="53"/>
      <c r="E30" s="53"/>
      <c r="F30" s="38" t="s">
        <v>54</v>
      </c>
      <c r="G30" s="49">
        <v>7.0</v>
      </c>
      <c r="H30" s="54">
        <f>VLOOKUP(F30, $A$9:$B$9, 2, FALSE)</f>
        <v>800</v>
      </c>
      <c r="I30" s="51">
        <f t="shared" si="1"/>
        <v>5600</v>
      </c>
      <c r="J30" s="53"/>
      <c r="K30" s="27"/>
      <c r="L30" s="27"/>
      <c r="M30" s="27"/>
      <c r="N30" s="27"/>
    </row>
    <row r="31" ht="15.75" customHeight="1">
      <c r="A31" s="46"/>
      <c r="B31" s="46"/>
      <c r="C31" s="46"/>
      <c r="D31" s="53"/>
      <c r="E31" s="53"/>
      <c r="F31" s="38" t="s">
        <v>25</v>
      </c>
      <c r="G31" s="49">
        <v>4.0</v>
      </c>
      <c r="H31" s="54">
        <f>VLOOKUP(F31,$A$10:$B$10,2,TRUE)</f>
        <v>1500</v>
      </c>
      <c r="I31" s="51">
        <f t="shared" si="1"/>
        <v>6000</v>
      </c>
      <c r="J31" s="53"/>
      <c r="K31" s="27"/>
      <c r="L31" s="27"/>
      <c r="M31" s="27"/>
      <c r="N31" s="27"/>
    </row>
    <row r="32" ht="15.75" customHeight="1">
      <c r="A32" s="46"/>
      <c r="B32" s="46"/>
      <c r="C32" s="46"/>
      <c r="D32" s="53"/>
      <c r="E32" s="53"/>
      <c r="F32" s="38" t="s">
        <v>26</v>
      </c>
      <c r="G32" s="49"/>
      <c r="H32" s="54">
        <f>VLOOKUP(F32,$A$11:$B$11,2,TRUE)</f>
        <v>1200</v>
      </c>
      <c r="I32" s="51">
        <f t="shared" si="1"/>
        <v>0</v>
      </c>
      <c r="J32" s="53"/>
      <c r="K32" s="27"/>
      <c r="L32" s="27"/>
      <c r="M32" s="27"/>
      <c r="N32" s="27"/>
    </row>
    <row r="33" ht="15.75" customHeight="1">
      <c r="A33" s="46"/>
      <c r="B33" s="46"/>
      <c r="C33" s="46"/>
      <c r="D33" s="53"/>
      <c r="E33" s="53"/>
      <c r="F33" s="38" t="s">
        <v>28</v>
      </c>
      <c r="G33" s="49"/>
      <c r="H33" s="54">
        <f>VLOOKUP(F33,$A$12:$B$12,2,TRUE)</f>
        <v>500</v>
      </c>
      <c r="I33" s="51">
        <f t="shared" si="1"/>
        <v>0</v>
      </c>
      <c r="J33" s="53"/>
      <c r="K33" s="27"/>
      <c r="L33" s="27"/>
      <c r="M33" s="27"/>
      <c r="N33" s="27"/>
    </row>
    <row r="34" ht="15.75" customHeight="1">
      <c r="A34" s="46"/>
      <c r="B34" s="46"/>
      <c r="C34" s="46"/>
      <c r="D34" s="53"/>
      <c r="E34" s="53"/>
      <c r="F34" s="38" t="s">
        <v>29</v>
      </c>
      <c r="G34" s="49"/>
      <c r="H34" s="54">
        <f>VLOOKUP(F34,$A$13:$B$13,2,TRUE)</f>
        <v>6500</v>
      </c>
      <c r="I34" s="51">
        <f t="shared" si="1"/>
        <v>0</v>
      </c>
      <c r="J34" s="53"/>
      <c r="K34" s="27"/>
      <c r="L34" s="27"/>
      <c r="M34" s="27"/>
      <c r="N34" s="27"/>
    </row>
    <row r="35" ht="15.75" customHeight="1">
      <c r="A35" s="46"/>
      <c r="B35" s="46"/>
      <c r="C35" s="46"/>
      <c r="D35" s="53"/>
      <c r="E35" s="53"/>
      <c r="F35" s="38" t="s">
        <v>30</v>
      </c>
      <c r="G35" s="49"/>
      <c r="H35" s="54">
        <f>VLOOKUP(F35,$A$14:$B$14,2,TRUE)</f>
        <v>2200</v>
      </c>
      <c r="I35" s="51">
        <f t="shared" si="1"/>
        <v>0</v>
      </c>
      <c r="J35" s="53"/>
      <c r="K35" s="27"/>
      <c r="L35" s="27"/>
      <c r="M35" s="27"/>
      <c r="N35" s="27"/>
    </row>
    <row r="36" ht="15.75" customHeight="1">
      <c r="A36" s="46"/>
      <c r="B36" s="46"/>
      <c r="C36" s="46"/>
      <c r="D36" s="53"/>
      <c r="E36" s="53"/>
      <c r="F36" s="38" t="s">
        <v>31</v>
      </c>
      <c r="G36" s="49"/>
      <c r="H36" s="54">
        <f>VLOOKUP(F36,$A$15:$B$15,2,TRUE)</f>
        <v>1300</v>
      </c>
      <c r="I36" s="51">
        <f t="shared" si="1"/>
        <v>0</v>
      </c>
      <c r="J36" s="53"/>
      <c r="K36" s="27"/>
      <c r="L36" s="27"/>
      <c r="M36" s="27"/>
      <c r="N36" s="27"/>
    </row>
    <row r="37" ht="15.75" customHeight="1">
      <c r="A37" s="46"/>
      <c r="B37" s="46"/>
      <c r="C37" s="46"/>
      <c r="D37" s="53"/>
      <c r="E37" s="53"/>
      <c r="F37" s="38" t="s">
        <v>32</v>
      </c>
      <c r="G37" s="49"/>
      <c r="H37" s="54">
        <f>VLOOKUP(F37,$A$16:$B$16,2,TRUE)</f>
        <v>5000</v>
      </c>
      <c r="I37" s="51">
        <f t="shared" si="1"/>
        <v>0</v>
      </c>
      <c r="J37" s="53"/>
      <c r="K37" s="27"/>
      <c r="L37" s="27"/>
      <c r="M37" s="27"/>
      <c r="N37" s="27"/>
    </row>
    <row r="38" ht="15.75" customHeight="1">
      <c r="A38" s="46"/>
      <c r="B38" s="46"/>
      <c r="C38" s="46"/>
      <c r="D38" s="53"/>
      <c r="E38" s="53"/>
      <c r="F38" s="38" t="s">
        <v>33</v>
      </c>
      <c r="G38" s="49"/>
      <c r="H38" s="54">
        <f>VLOOKUP(F38,$A$17:$B$17,2,TRUE)</f>
        <v>2500</v>
      </c>
      <c r="I38" s="51">
        <f t="shared" si="1"/>
        <v>0</v>
      </c>
      <c r="J38" s="53"/>
      <c r="K38" s="27"/>
      <c r="L38" s="27"/>
      <c r="M38" s="27"/>
      <c r="N38" s="27"/>
    </row>
    <row r="39" ht="15.75" customHeight="1">
      <c r="A39" s="46"/>
      <c r="B39" s="46"/>
      <c r="C39" s="46"/>
      <c r="D39" s="53"/>
      <c r="E39" s="53"/>
      <c r="F39" s="38" t="s">
        <v>35</v>
      </c>
      <c r="G39" s="49"/>
      <c r="H39" s="54">
        <f>VLOOKUP(F39,$A$18:$B$18,2,TRUE)</f>
        <v>10000</v>
      </c>
      <c r="I39" s="51">
        <f t="shared" si="1"/>
        <v>0</v>
      </c>
      <c r="J39" s="53"/>
      <c r="K39" s="27"/>
      <c r="L39" s="27"/>
      <c r="M39" s="27"/>
      <c r="N39" s="27"/>
    </row>
    <row r="40" ht="15.75" customHeight="1">
      <c r="A40" s="46"/>
      <c r="B40" s="46"/>
      <c r="C40" s="46"/>
      <c r="D40" s="53"/>
      <c r="E40" s="53"/>
      <c r="F40" s="38" t="s">
        <v>55</v>
      </c>
      <c r="G40" s="49"/>
      <c r="H40" s="54">
        <f>VLOOKUP(F40,$A$19:$B$19,2,TRUE)</f>
        <v>300</v>
      </c>
      <c r="I40" s="51">
        <f t="shared" si="1"/>
        <v>0</v>
      </c>
      <c r="J40" s="53"/>
      <c r="K40" s="27"/>
      <c r="L40" s="27"/>
      <c r="M40" s="27"/>
      <c r="N40" s="27"/>
    </row>
    <row r="41" ht="15.75" customHeight="1">
      <c r="A41" s="46"/>
      <c r="B41" s="46"/>
      <c r="C41" s="46"/>
      <c r="D41" s="53"/>
      <c r="E41" s="53"/>
      <c r="F41" s="38" t="s">
        <v>15</v>
      </c>
      <c r="G41" s="49"/>
      <c r="H41" s="54">
        <f>VLOOKUP(F41,$A$20:$B$20,2,TRUE)</f>
        <v>300</v>
      </c>
      <c r="I41" s="51">
        <f t="shared" si="1"/>
        <v>0</v>
      </c>
      <c r="J41" s="53"/>
      <c r="K41" s="27"/>
      <c r="L41" s="27"/>
      <c r="M41" s="27"/>
      <c r="N41" s="27"/>
    </row>
    <row r="42" ht="15.75" customHeight="1">
      <c r="A42" s="46"/>
      <c r="B42" s="46"/>
      <c r="C42" s="46"/>
      <c r="D42" s="53"/>
      <c r="E42" s="53"/>
      <c r="F42" s="38" t="s">
        <v>11</v>
      </c>
      <c r="G42" s="49"/>
      <c r="H42" s="54">
        <f>VLOOKUP(F42,$A$21:$B$21,2,TRUE)</f>
        <v>1700</v>
      </c>
      <c r="I42" s="51">
        <f t="shared" si="1"/>
        <v>0</v>
      </c>
      <c r="J42" s="53"/>
      <c r="K42" s="27"/>
      <c r="L42" s="27"/>
      <c r="M42" s="27"/>
      <c r="N42" s="27"/>
    </row>
    <row r="43" ht="15.75" customHeight="1">
      <c r="A43" s="46"/>
      <c r="B43" s="46"/>
      <c r="C43" s="46"/>
      <c r="D43" s="53"/>
      <c r="E43" s="53"/>
      <c r="F43" s="38" t="s">
        <v>17</v>
      </c>
      <c r="G43" s="49">
        <v>3.0</v>
      </c>
      <c r="H43" s="54">
        <f>VLOOKUP(F42,$A$22:$B$22,2,TRUE)</f>
        <v>4500</v>
      </c>
      <c r="I43" s="51">
        <f t="shared" si="1"/>
        <v>13500</v>
      </c>
      <c r="J43" s="53"/>
      <c r="K43" s="27"/>
      <c r="L43" s="27"/>
      <c r="M43" s="27"/>
      <c r="N43" s="27"/>
    </row>
    <row r="44" ht="15.75" customHeight="1">
      <c r="A44" s="46"/>
      <c r="B44" s="46"/>
      <c r="C44" s="46"/>
      <c r="D44" s="14"/>
      <c r="E44" s="14"/>
      <c r="F44" s="38" t="s">
        <v>56</v>
      </c>
      <c r="G44" s="49"/>
      <c r="H44" s="54">
        <f>VLOOKUP(F43,$A$23:$B$23,2,TRUE)</f>
        <v>500</v>
      </c>
      <c r="I44" s="51">
        <f t="shared" si="1"/>
        <v>0</v>
      </c>
      <c r="J44" s="14"/>
      <c r="K44" s="27"/>
      <c r="L44" s="27"/>
      <c r="M44" s="27"/>
      <c r="N44" s="27"/>
    </row>
    <row r="45" ht="15.75" customHeight="1">
      <c r="A45" s="46"/>
      <c r="B45" s="46"/>
      <c r="C45" s="46"/>
      <c r="D45" s="58" t="s">
        <v>59</v>
      </c>
      <c r="E45" s="4"/>
      <c r="F45" s="4"/>
      <c r="G45" s="4"/>
      <c r="H45" s="4"/>
      <c r="I45" s="5"/>
      <c r="J45" s="59">
        <f>SUM(J5:J44)</f>
        <v>55200</v>
      </c>
      <c r="K45" s="27"/>
      <c r="L45" s="27"/>
      <c r="M45" s="27"/>
      <c r="N45" s="27"/>
    </row>
    <row r="46" ht="15.75" customHeight="1">
      <c r="A46" s="26"/>
      <c r="B46" s="26"/>
      <c r="C46" s="26"/>
      <c r="D46" s="26"/>
      <c r="E46" s="26"/>
      <c r="F46" s="27"/>
      <c r="G46" s="27"/>
      <c r="H46" s="27"/>
      <c r="I46" s="27"/>
      <c r="J46" s="28"/>
      <c r="K46" s="27"/>
      <c r="L46" s="27"/>
      <c r="M46" s="27"/>
      <c r="N46" s="27"/>
    </row>
    <row r="47" ht="15.75" customHeight="1">
      <c r="A47" s="26"/>
      <c r="B47" s="26"/>
      <c r="C47" s="26"/>
      <c r="D47" s="26"/>
      <c r="E47" s="26"/>
      <c r="F47" s="27"/>
      <c r="G47" s="27"/>
      <c r="H47" s="27"/>
      <c r="I47" s="27"/>
      <c r="J47" s="28"/>
      <c r="K47" s="27"/>
      <c r="L47" s="27"/>
      <c r="M47" s="27"/>
      <c r="N47" s="27"/>
    </row>
    <row r="48" ht="15.75" customHeight="1">
      <c r="A48" s="26"/>
      <c r="B48" s="26"/>
      <c r="C48" s="26"/>
      <c r="D48" s="26"/>
      <c r="E48" s="26"/>
      <c r="F48" s="27"/>
      <c r="G48" s="27"/>
      <c r="H48" s="27"/>
      <c r="I48" s="27"/>
      <c r="J48" s="28"/>
      <c r="K48" s="27"/>
      <c r="L48" s="27"/>
      <c r="M48" s="27"/>
      <c r="N48" s="27"/>
    </row>
    <row r="49" ht="15.75" customHeight="1">
      <c r="A49" s="26"/>
      <c r="B49" s="26"/>
      <c r="C49" s="26"/>
      <c r="D49" s="26"/>
      <c r="E49" s="26"/>
      <c r="F49" s="27"/>
      <c r="G49" s="27"/>
      <c r="H49" s="27"/>
      <c r="I49" s="27"/>
      <c r="J49" s="28"/>
      <c r="K49" s="27"/>
      <c r="L49" s="27"/>
      <c r="M49" s="27"/>
      <c r="N49" s="27"/>
    </row>
    <row r="50" ht="15.75" customHeight="1">
      <c r="A50" s="26"/>
      <c r="B50" s="26"/>
      <c r="C50" s="26"/>
      <c r="D50" s="26"/>
      <c r="E50" s="26"/>
      <c r="F50" s="27"/>
      <c r="G50" s="27"/>
      <c r="H50" s="27"/>
      <c r="I50" s="27"/>
      <c r="J50" s="28"/>
      <c r="K50" s="27"/>
      <c r="L50" s="27"/>
      <c r="M50" s="27"/>
      <c r="N50" s="27"/>
    </row>
    <row r="51" ht="15.75" customHeight="1">
      <c r="A51" s="26"/>
      <c r="B51" s="26"/>
      <c r="C51" s="26"/>
      <c r="D51" s="26"/>
      <c r="E51" s="26"/>
      <c r="F51" s="27"/>
      <c r="G51" s="27"/>
      <c r="H51" s="27"/>
      <c r="I51" s="27"/>
      <c r="J51" s="28"/>
      <c r="K51" s="27"/>
      <c r="L51" s="27"/>
      <c r="M51" s="27"/>
      <c r="N51" s="27"/>
    </row>
    <row r="52" ht="15.75" customHeight="1">
      <c r="A52" s="26"/>
      <c r="B52" s="26"/>
      <c r="C52" s="26"/>
      <c r="D52" s="26"/>
      <c r="E52" s="26"/>
      <c r="F52" s="27"/>
      <c r="G52" s="27"/>
      <c r="H52" s="27"/>
      <c r="I52" s="27"/>
      <c r="J52" s="28"/>
      <c r="K52" s="27"/>
      <c r="L52" s="27"/>
      <c r="M52" s="27"/>
      <c r="N52" s="27"/>
    </row>
    <row r="53" ht="15.75" customHeight="1">
      <c r="A53" s="26"/>
      <c r="B53" s="26"/>
      <c r="C53" s="26"/>
      <c r="D53" s="26"/>
      <c r="E53" s="26"/>
      <c r="F53" s="27"/>
      <c r="G53" s="27"/>
      <c r="H53" s="27"/>
      <c r="I53" s="27"/>
      <c r="J53" s="28"/>
      <c r="K53" s="27"/>
      <c r="L53" s="27"/>
      <c r="M53" s="27"/>
      <c r="N53" s="27"/>
    </row>
    <row r="54" ht="15.75" customHeight="1">
      <c r="A54" s="26"/>
      <c r="B54" s="26"/>
      <c r="C54" s="26"/>
      <c r="D54" s="26"/>
      <c r="E54" s="26"/>
      <c r="J54" s="28"/>
    </row>
    <row r="55" ht="15.75" customHeight="1">
      <c r="A55" s="26"/>
      <c r="B55" s="26"/>
      <c r="C55" s="26"/>
      <c r="D55" s="26"/>
      <c r="E55" s="26"/>
      <c r="J55" s="28"/>
    </row>
    <row r="56" ht="15.75" customHeight="1">
      <c r="A56" s="26"/>
      <c r="B56" s="26"/>
      <c r="C56" s="26"/>
      <c r="D56" s="26"/>
      <c r="E56" s="26"/>
      <c r="J56" s="28"/>
    </row>
    <row r="57" ht="15.75" customHeight="1">
      <c r="A57" s="26"/>
      <c r="B57" s="26"/>
      <c r="C57" s="26"/>
      <c r="D57" s="26"/>
      <c r="E57" s="26"/>
      <c r="J57" s="28"/>
    </row>
    <row r="58" ht="15.75" customHeight="1">
      <c r="A58" s="26"/>
      <c r="B58" s="26"/>
      <c r="C58" s="26"/>
      <c r="D58" s="26"/>
      <c r="E58" s="26"/>
      <c r="J58" s="28"/>
    </row>
    <row r="59" ht="15.75" customHeight="1">
      <c r="A59" s="26"/>
      <c r="B59" s="26"/>
      <c r="C59" s="26"/>
      <c r="D59" s="26"/>
      <c r="E59" s="26"/>
      <c r="J59" s="28"/>
    </row>
    <row r="60" ht="15.75" customHeight="1">
      <c r="A60" s="26"/>
      <c r="B60" s="26"/>
      <c r="C60" s="26"/>
      <c r="D60" s="26"/>
      <c r="E60" s="26"/>
      <c r="J60" s="28"/>
    </row>
    <row r="61" ht="15.75" customHeight="1">
      <c r="A61" s="26"/>
      <c r="B61" s="26"/>
      <c r="C61" s="26"/>
      <c r="D61" s="26"/>
      <c r="E61" s="26"/>
      <c r="J61" s="28"/>
    </row>
    <row r="62" ht="15.75" customHeight="1">
      <c r="A62" s="26"/>
      <c r="B62" s="26"/>
      <c r="C62" s="26"/>
      <c r="D62" s="26"/>
      <c r="E62" s="26"/>
      <c r="J62" s="28"/>
    </row>
    <row r="63" ht="15.75" customHeight="1">
      <c r="A63" s="26"/>
      <c r="B63" s="26"/>
      <c r="C63" s="26"/>
      <c r="D63" s="26"/>
      <c r="E63" s="26"/>
      <c r="J63" s="28"/>
    </row>
    <row r="64" ht="15.75" customHeight="1">
      <c r="A64" s="26"/>
      <c r="B64" s="26"/>
      <c r="C64" s="26"/>
      <c r="D64" s="26"/>
      <c r="E64" s="26"/>
      <c r="J64" s="28"/>
    </row>
    <row r="65" ht="15.75" customHeight="1">
      <c r="A65" s="26"/>
      <c r="B65" s="26"/>
      <c r="C65" s="26"/>
      <c r="D65" s="26"/>
      <c r="E65" s="26"/>
      <c r="J65" s="28"/>
    </row>
    <row r="66" ht="15.75" customHeight="1">
      <c r="A66" s="26"/>
      <c r="B66" s="26"/>
      <c r="C66" s="26"/>
      <c r="D66" s="26"/>
      <c r="E66" s="26"/>
      <c r="J66" s="28"/>
    </row>
    <row r="67" ht="15.75" customHeight="1">
      <c r="A67" s="26"/>
      <c r="B67" s="26"/>
      <c r="C67" s="26"/>
      <c r="D67" s="26"/>
      <c r="E67" s="26"/>
      <c r="J67" s="28"/>
    </row>
    <row r="68" ht="15.75" customHeight="1">
      <c r="A68" s="26"/>
      <c r="B68" s="26"/>
      <c r="C68" s="26"/>
      <c r="D68" s="26"/>
      <c r="E68" s="26"/>
      <c r="J68" s="28"/>
    </row>
    <row r="69" ht="15.75" customHeight="1">
      <c r="A69" s="26"/>
      <c r="B69" s="26"/>
      <c r="C69" s="26"/>
      <c r="D69" s="26"/>
      <c r="E69" s="26"/>
      <c r="J69" s="28"/>
    </row>
    <row r="70" ht="15.75" customHeight="1">
      <c r="A70" s="26"/>
      <c r="B70" s="26"/>
      <c r="C70" s="26"/>
      <c r="D70" s="26"/>
      <c r="E70" s="26"/>
      <c r="J70" s="28"/>
    </row>
    <row r="71" ht="15.75" customHeight="1">
      <c r="A71" s="26"/>
      <c r="B71" s="26"/>
      <c r="C71" s="26"/>
      <c r="D71" s="26"/>
      <c r="E71" s="26"/>
      <c r="J71" s="28"/>
    </row>
    <row r="72" ht="15.75" customHeight="1">
      <c r="A72" s="26"/>
      <c r="B72" s="26"/>
      <c r="C72" s="26"/>
      <c r="D72" s="26"/>
      <c r="E72" s="26"/>
      <c r="J72" s="28"/>
    </row>
    <row r="73" ht="15.75" customHeight="1">
      <c r="A73" s="26"/>
      <c r="B73" s="26"/>
      <c r="C73" s="26"/>
      <c r="D73" s="26"/>
      <c r="E73" s="26"/>
      <c r="J73" s="28"/>
    </row>
    <row r="74" ht="15.75" customHeight="1">
      <c r="A74" s="26"/>
      <c r="B74" s="26"/>
      <c r="C74" s="26"/>
      <c r="D74" s="26"/>
      <c r="E74" s="26"/>
      <c r="J74" s="28"/>
    </row>
    <row r="75" ht="15.75" customHeight="1">
      <c r="A75" s="26"/>
      <c r="B75" s="26"/>
      <c r="C75" s="26"/>
      <c r="D75" s="26"/>
      <c r="E75" s="26"/>
      <c r="J75" s="28"/>
    </row>
    <row r="76" ht="15.75" customHeight="1">
      <c r="A76" s="26"/>
      <c r="B76" s="26"/>
      <c r="C76" s="26"/>
      <c r="D76" s="26"/>
      <c r="E76" s="26"/>
      <c r="J76" s="28"/>
    </row>
    <row r="77" ht="15.75" customHeight="1">
      <c r="A77" s="26"/>
      <c r="B77" s="26"/>
      <c r="C77" s="26"/>
      <c r="D77" s="26"/>
      <c r="E77" s="26"/>
      <c r="J77" s="28"/>
    </row>
    <row r="78" ht="15.75" customHeight="1">
      <c r="A78" s="26"/>
      <c r="B78" s="26"/>
      <c r="C78" s="26"/>
      <c r="D78" s="26"/>
      <c r="E78" s="26"/>
      <c r="J78" s="28"/>
    </row>
    <row r="79" ht="15.75" customHeight="1">
      <c r="A79" s="26"/>
      <c r="B79" s="26"/>
      <c r="C79" s="26"/>
      <c r="D79" s="26"/>
      <c r="E79" s="26"/>
      <c r="J79" s="28"/>
    </row>
    <row r="80" ht="15.75" customHeight="1">
      <c r="A80" s="26"/>
      <c r="B80" s="26"/>
      <c r="C80" s="26"/>
      <c r="D80" s="26"/>
      <c r="E80" s="26"/>
      <c r="J80" s="28"/>
    </row>
    <row r="81" ht="15.75" customHeight="1">
      <c r="A81" s="26"/>
      <c r="B81" s="26"/>
      <c r="C81" s="26"/>
      <c r="D81" s="26"/>
      <c r="E81" s="26"/>
      <c r="J81" s="28"/>
    </row>
    <row r="82" ht="15.75" customHeight="1">
      <c r="A82" s="26"/>
      <c r="B82" s="26"/>
      <c r="C82" s="26"/>
      <c r="D82" s="26"/>
      <c r="E82" s="26"/>
      <c r="J82" s="28"/>
    </row>
    <row r="83" ht="15.75" customHeight="1">
      <c r="A83" s="26"/>
      <c r="B83" s="26"/>
      <c r="C83" s="26"/>
      <c r="D83" s="26"/>
      <c r="E83" s="26"/>
      <c r="J83" s="28"/>
    </row>
    <row r="84" ht="15.75" customHeight="1">
      <c r="A84" s="26"/>
      <c r="B84" s="26"/>
      <c r="C84" s="26"/>
      <c r="D84" s="26"/>
      <c r="E84" s="26"/>
      <c r="J84" s="28"/>
    </row>
    <row r="85" ht="15.75" customHeight="1">
      <c r="A85" s="26"/>
      <c r="B85" s="26"/>
      <c r="C85" s="26"/>
      <c r="D85" s="26"/>
      <c r="E85" s="26"/>
      <c r="J85" s="28"/>
    </row>
    <row r="86" ht="15.75" customHeight="1">
      <c r="A86" s="26"/>
      <c r="B86" s="26"/>
      <c r="C86" s="26"/>
      <c r="D86" s="26"/>
      <c r="E86" s="26"/>
      <c r="J86" s="28"/>
    </row>
    <row r="87" ht="15.75" customHeight="1">
      <c r="A87" s="26"/>
      <c r="B87" s="26"/>
      <c r="C87" s="26"/>
      <c r="D87" s="26"/>
      <c r="E87" s="26"/>
      <c r="J87" s="28"/>
    </row>
    <row r="88" ht="15.75" customHeight="1">
      <c r="A88" s="26"/>
      <c r="B88" s="26"/>
      <c r="C88" s="26"/>
      <c r="D88" s="26"/>
      <c r="E88" s="26"/>
      <c r="J88" s="28"/>
    </row>
    <row r="89" ht="15.75" customHeight="1">
      <c r="A89" s="26"/>
      <c r="B89" s="26"/>
      <c r="C89" s="26"/>
      <c r="D89" s="26"/>
      <c r="E89" s="26"/>
      <c r="J89" s="28"/>
    </row>
    <row r="90" ht="15.75" customHeight="1">
      <c r="A90" s="26"/>
      <c r="B90" s="26"/>
      <c r="C90" s="26"/>
      <c r="D90" s="26"/>
      <c r="E90" s="26"/>
      <c r="J90" s="28"/>
    </row>
    <row r="91" ht="15.75" customHeight="1">
      <c r="A91" s="26"/>
      <c r="B91" s="26"/>
      <c r="C91" s="26"/>
      <c r="D91" s="26"/>
      <c r="E91" s="26"/>
      <c r="J91" s="28"/>
    </row>
    <row r="92" ht="15.75" customHeight="1">
      <c r="A92" s="26"/>
      <c r="B92" s="26"/>
      <c r="C92" s="26"/>
      <c r="D92" s="26"/>
      <c r="E92" s="26"/>
      <c r="J92" s="28"/>
    </row>
    <row r="93" ht="15.75" customHeight="1">
      <c r="A93" s="26"/>
      <c r="B93" s="26"/>
      <c r="C93" s="26"/>
      <c r="D93" s="26"/>
      <c r="E93" s="26"/>
      <c r="J93" s="28"/>
    </row>
    <row r="94" ht="15.75" customHeight="1">
      <c r="A94" s="26"/>
      <c r="B94" s="26"/>
      <c r="C94" s="26"/>
      <c r="D94" s="26"/>
      <c r="E94" s="26"/>
      <c r="J94" s="28"/>
    </row>
    <row r="95" ht="15.75" customHeight="1">
      <c r="A95" s="26"/>
      <c r="B95" s="26"/>
      <c r="C95" s="26"/>
      <c r="D95" s="26"/>
      <c r="E95" s="26"/>
      <c r="J95" s="28"/>
    </row>
    <row r="96" ht="15.75" customHeight="1">
      <c r="A96" s="26"/>
      <c r="B96" s="26"/>
      <c r="C96" s="26"/>
      <c r="D96" s="26"/>
      <c r="E96" s="26"/>
      <c r="J96" s="28"/>
    </row>
    <row r="97" ht="15.75" customHeight="1">
      <c r="A97" s="26"/>
      <c r="B97" s="26"/>
      <c r="C97" s="26"/>
      <c r="D97" s="26"/>
      <c r="E97" s="26"/>
      <c r="J97" s="28"/>
    </row>
    <row r="98" ht="15.75" customHeight="1">
      <c r="A98" s="26"/>
      <c r="B98" s="26"/>
      <c r="C98" s="26"/>
      <c r="D98" s="26"/>
      <c r="E98" s="26"/>
      <c r="J98" s="28"/>
    </row>
    <row r="99" ht="15.75" customHeight="1">
      <c r="A99" s="26"/>
      <c r="B99" s="26"/>
      <c r="C99" s="26"/>
      <c r="D99" s="26"/>
      <c r="E99" s="26"/>
      <c r="J99" s="28"/>
    </row>
    <row r="100" ht="15.75" customHeight="1">
      <c r="A100" s="26"/>
      <c r="B100" s="26"/>
      <c r="C100" s="26"/>
      <c r="D100" s="26"/>
      <c r="E100" s="26"/>
      <c r="J100" s="28"/>
    </row>
    <row r="101" ht="15.75" customHeight="1">
      <c r="A101" s="26"/>
      <c r="B101" s="26"/>
      <c r="C101" s="26"/>
      <c r="D101" s="26"/>
      <c r="E101" s="26"/>
      <c r="J101" s="28"/>
    </row>
    <row r="102" ht="15.75" customHeight="1">
      <c r="A102" s="26"/>
      <c r="B102" s="26"/>
      <c r="C102" s="26"/>
      <c r="D102" s="26"/>
      <c r="E102" s="26"/>
      <c r="J102" s="28"/>
    </row>
    <row r="103" ht="15.75" customHeight="1">
      <c r="A103" s="26"/>
      <c r="B103" s="26"/>
      <c r="C103" s="26"/>
      <c r="D103" s="26"/>
      <c r="E103" s="26"/>
      <c r="J103" s="28"/>
    </row>
    <row r="104" ht="15.75" customHeight="1">
      <c r="A104" s="26"/>
      <c r="B104" s="26"/>
      <c r="C104" s="26"/>
      <c r="D104" s="26"/>
      <c r="E104" s="26"/>
      <c r="J104" s="28"/>
    </row>
    <row r="105" ht="15.75" customHeight="1">
      <c r="A105" s="26"/>
      <c r="B105" s="26"/>
      <c r="C105" s="26"/>
      <c r="D105" s="26"/>
      <c r="E105" s="26"/>
      <c r="J105" s="28"/>
    </row>
    <row r="106" ht="15.75" customHeight="1">
      <c r="A106" s="26"/>
      <c r="B106" s="26"/>
      <c r="C106" s="26"/>
      <c r="D106" s="26"/>
      <c r="E106" s="26"/>
      <c r="J106" s="28"/>
    </row>
    <row r="107" ht="15.75" customHeight="1">
      <c r="A107" s="26"/>
      <c r="B107" s="26"/>
      <c r="C107" s="26"/>
      <c r="D107" s="26"/>
      <c r="E107" s="26"/>
      <c r="J107" s="28"/>
    </row>
    <row r="108" ht="15.75" customHeight="1">
      <c r="A108" s="26"/>
      <c r="B108" s="26"/>
      <c r="C108" s="26"/>
      <c r="D108" s="26"/>
      <c r="E108" s="26"/>
      <c r="J108" s="28"/>
    </row>
    <row r="109" ht="15.75" customHeight="1">
      <c r="A109" s="26"/>
      <c r="B109" s="26"/>
      <c r="C109" s="26"/>
      <c r="D109" s="26"/>
      <c r="E109" s="26"/>
      <c r="J109" s="28"/>
    </row>
    <row r="110" ht="15.75" customHeight="1">
      <c r="A110" s="26"/>
      <c r="B110" s="26"/>
      <c r="C110" s="26"/>
      <c r="D110" s="26"/>
      <c r="E110" s="26"/>
      <c r="J110" s="28"/>
    </row>
    <row r="111" ht="15.75" customHeight="1">
      <c r="A111" s="26"/>
      <c r="B111" s="26"/>
      <c r="C111" s="26"/>
      <c r="D111" s="26"/>
      <c r="E111" s="26"/>
      <c r="J111" s="28"/>
    </row>
    <row r="112" ht="15.75" customHeight="1">
      <c r="A112" s="26"/>
      <c r="B112" s="26"/>
      <c r="C112" s="26"/>
      <c r="D112" s="26"/>
      <c r="E112" s="26"/>
      <c r="J112" s="28"/>
    </row>
    <row r="113" ht="15.75" customHeight="1">
      <c r="A113" s="26"/>
      <c r="B113" s="26"/>
      <c r="C113" s="26"/>
      <c r="D113" s="26"/>
      <c r="E113" s="26"/>
      <c r="J113" s="28"/>
    </row>
    <row r="114" ht="15.75" customHeight="1">
      <c r="A114" s="26"/>
      <c r="B114" s="26"/>
      <c r="C114" s="26"/>
      <c r="D114" s="26"/>
      <c r="E114" s="26"/>
      <c r="J114" s="28"/>
    </row>
    <row r="115" ht="15.75" customHeight="1">
      <c r="A115" s="26"/>
      <c r="B115" s="26"/>
      <c r="C115" s="26"/>
      <c r="D115" s="26"/>
      <c r="E115" s="26"/>
      <c r="J115" s="28"/>
    </row>
    <row r="116" ht="15.75" customHeight="1">
      <c r="A116" s="26"/>
      <c r="B116" s="26"/>
      <c r="C116" s="26"/>
      <c r="D116" s="26"/>
      <c r="E116" s="26"/>
      <c r="J116" s="28"/>
    </row>
    <row r="117" ht="15.75" customHeight="1">
      <c r="A117" s="26"/>
      <c r="B117" s="26"/>
      <c r="C117" s="26"/>
      <c r="D117" s="26"/>
      <c r="E117" s="26"/>
      <c r="J117" s="28"/>
    </row>
    <row r="118" ht="15.75" customHeight="1">
      <c r="A118" s="26"/>
      <c r="B118" s="26"/>
      <c r="C118" s="26"/>
      <c r="D118" s="26"/>
      <c r="E118" s="26"/>
      <c r="J118" s="28"/>
    </row>
    <row r="119" ht="15.75" customHeight="1">
      <c r="A119" s="26"/>
      <c r="B119" s="26"/>
      <c r="C119" s="26"/>
      <c r="D119" s="26"/>
      <c r="E119" s="26"/>
      <c r="J119" s="28"/>
    </row>
    <row r="120" ht="15.75" customHeight="1">
      <c r="A120" s="26"/>
      <c r="B120" s="26"/>
      <c r="C120" s="26"/>
      <c r="D120" s="26"/>
      <c r="E120" s="26"/>
      <c r="J120" s="28"/>
    </row>
    <row r="121" ht="15.75" customHeight="1">
      <c r="A121" s="26"/>
      <c r="B121" s="26"/>
      <c r="C121" s="26"/>
      <c r="D121" s="26"/>
      <c r="E121" s="26"/>
      <c r="J121" s="28"/>
    </row>
    <row r="122" ht="15.75" customHeight="1">
      <c r="A122" s="26"/>
      <c r="B122" s="26"/>
      <c r="C122" s="26"/>
      <c r="D122" s="26"/>
      <c r="E122" s="26"/>
      <c r="J122" s="28"/>
    </row>
    <row r="123" ht="15.75" customHeight="1">
      <c r="A123" s="26"/>
      <c r="B123" s="26"/>
      <c r="C123" s="26"/>
      <c r="D123" s="26"/>
      <c r="E123" s="26"/>
      <c r="J123" s="28"/>
    </row>
    <row r="124" ht="15.75" customHeight="1">
      <c r="A124" s="26"/>
      <c r="B124" s="26"/>
      <c r="C124" s="26"/>
      <c r="D124" s="26"/>
      <c r="E124" s="26"/>
      <c r="J124" s="28"/>
    </row>
    <row r="125" ht="15.75" customHeight="1">
      <c r="A125" s="26"/>
      <c r="B125" s="26"/>
      <c r="C125" s="26"/>
      <c r="D125" s="26"/>
      <c r="E125" s="26"/>
      <c r="J125" s="28"/>
    </row>
    <row r="126" ht="15.75" customHeight="1">
      <c r="A126" s="26"/>
      <c r="B126" s="26"/>
      <c r="C126" s="26"/>
      <c r="D126" s="26"/>
      <c r="E126" s="26"/>
      <c r="J126" s="28"/>
    </row>
    <row r="127" ht="15.75" customHeight="1">
      <c r="A127" s="26"/>
      <c r="B127" s="26"/>
      <c r="C127" s="26"/>
      <c r="D127" s="26"/>
      <c r="E127" s="26"/>
      <c r="J127" s="28"/>
    </row>
    <row r="128" ht="15.75" customHeight="1">
      <c r="A128" s="26"/>
      <c r="B128" s="26"/>
      <c r="C128" s="26"/>
      <c r="D128" s="26"/>
      <c r="E128" s="26"/>
      <c r="J128" s="28"/>
    </row>
    <row r="129" ht="15.75" customHeight="1">
      <c r="A129" s="26"/>
      <c r="B129" s="26"/>
      <c r="C129" s="26"/>
      <c r="D129" s="26"/>
      <c r="E129" s="26"/>
      <c r="J129" s="28"/>
    </row>
    <row r="130" ht="15.75" customHeight="1">
      <c r="A130" s="26"/>
      <c r="B130" s="26"/>
      <c r="C130" s="26"/>
      <c r="D130" s="26"/>
      <c r="E130" s="26"/>
      <c r="J130" s="28"/>
    </row>
    <row r="131" ht="15.75" customHeight="1">
      <c r="A131" s="26"/>
      <c r="B131" s="26"/>
      <c r="C131" s="26"/>
      <c r="D131" s="26"/>
      <c r="E131" s="26"/>
      <c r="J131" s="28"/>
    </row>
    <row r="132" ht="15.75" customHeight="1">
      <c r="A132" s="26"/>
      <c r="B132" s="26"/>
      <c r="C132" s="26"/>
      <c r="D132" s="26"/>
      <c r="E132" s="26"/>
      <c r="J132" s="28"/>
    </row>
    <row r="133" ht="15.75" customHeight="1">
      <c r="A133" s="26"/>
      <c r="B133" s="26"/>
      <c r="C133" s="26"/>
      <c r="D133" s="26"/>
      <c r="E133" s="26"/>
      <c r="J133" s="28"/>
    </row>
    <row r="134" ht="15.75" customHeight="1">
      <c r="A134" s="26"/>
      <c r="B134" s="26"/>
      <c r="C134" s="26"/>
      <c r="D134" s="26"/>
      <c r="E134" s="26"/>
      <c r="J134" s="28"/>
    </row>
    <row r="135" ht="15.75" customHeight="1">
      <c r="A135" s="26"/>
      <c r="B135" s="26"/>
      <c r="C135" s="26"/>
      <c r="D135" s="26"/>
      <c r="E135" s="26"/>
      <c r="J135" s="28"/>
    </row>
    <row r="136" ht="15.75" customHeight="1">
      <c r="A136" s="26"/>
      <c r="B136" s="26"/>
      <c r="C136" s="26"/>
      <c r="D136" s="26"/>
      <c r="E136" s="26"/>
      <c r="J136" s="28"/>
    </row>
    <row r="137" ht="15.75" customHeight="1">
      <c r="A137" s="26"/>
      <c r="B137" s="26"/>
      <c r="C137" s="26"/>
      <c r="D137" s="26"/>
      <c r="E137" s="26"/>
      <c r="J137" s="28"/>
    </row>
    <row r="138" ht="15.75" customHeight="1">
      <c r="A138" s="26"/>
      <c r="B138" s="26"/>
      <c r="C138" s="26"/>
      <c r="D138" s="26"/>
      <c r="E138" s="26"/>
      <c r="J138" s="28"/>
    </row>
    <row r="139" ht="15.75" customHeight="1">
      <c r="A139" s="26"/>
      <c r="B139" s="26"/>
      <c r="C139" s="26"/>
      <c r="D139" s="26"/>
      <c r="E139" s="26"/>
      <c r="J139" s="28"/>
    </row>
    <row r="140" ht="15.75" customHeight="1">
      <c r="A140" s="26"/>
      <c r="B140" s="26"/>
      <c r="C140" s="26"/>
      <c r="D140" s="26"/>
      <c r="E140" s="26"/>
      <c r="J140" s="28"/>
    </row>
    <row r="141" ht="15.75" customHeight="1">
      <c r="A141" s="26"/>
      <c r="B141" s="26"/>
      <c r="C141" s="26"/>
      <c r="D141" s="26"/>
      <c r="E141" s="26"/>
      <c r="J141" s="28"/>
    </row>
    <row r="142" ht="15.75" customHeight="1">
      <c r="A142" s="26"/>
      <c r="B142" s="26"/>
      <c r="C142" s="26"/>
      <c r="D142" s="26"/>
      <c r="E142" s="26"/>
      <c r="J142" s="28"/>
    </row>
    <row r="143" ht="15.75" customHeight="1">
      <c r="A143" s="26"/>
      <c r="B143" s="26"/>
      <c r="C143" s="26"/>
      <c r="D143" s="26"/>
      <c r="E143" s="26"/>
      <c r="J143" s="28"/>
    </row>
    <row r="144" ht="15.75" customHeight="1">
      <c r="A144" s="26"/>
      <c r="B144" s="26"/>
      <c r="C144" s="26"/>
      <c r="D144" s="26"/>
      <c r="E144" s="26"/>
      <c r="J144" s="28"/>
    </row>
    <row r="145" ht="15.75" customHeight="1">
      <c r="A145" s="26"/>
      <c r="B145" s="26"/>
      <c r="C145" s="26"/>
      <c r="D145" s="26"/>
      <c r="E145" s="26"/>
      <c r="J145" s="28"/>
    </row>
    <row r="146" ht="15.75" customHeight="1">
      <c r="A146" s="26"/>
      <c r="B146" s="26"/>
      <c r="C146" s="26"/>
      <c r="D146" s="26"/>
      <c r="E146" s="26"/>
      <c r="J146" s="28"/>
    </row>
    <row r="147" ht="15.75" customHeight="1">
      <c r="A147" s="26"/>
      <c r="B147" s="26"/>
      <c r="C147" s="26"/>
      <c r="D147" s="26"/>
      <c r="E147" s="26"/>
      <c r="J147" s="28"/>
    </row>
    <row r="148" ht="15.75" customHeight="1">
      <c r="A148" s="26"/>
      <c r="B148" s="26"/>
      <c r="C148" s="26"/>
      <c r="D148" s="26"/>
      <c r="E148" s="26"/>
      <c r="J148" s="28"/>
    </row>
    <row r="149" ht="15.75" customHeight="1">
      <c r="A149" s="26"/>
      <c r="B149" s="26"/>
      <c r="C149" s="26"/>
      <c r="D149" s="26"/>
      <c r="E149" s="26"/>
      <c r="J149" s="28"/>
    </row>
    <row r="150" ht="15.75" customHeight="1">
      <c r="A150" s="26"/>
      <c r="B150" s="26"/>
      <c r="C150" s="26"/>
      <c r="D150" s="26"/>
      <c r="E150" s="26"/>
      <c r="J150" s="28"/>
    </row>
    <row r="151" ht="15.75" customHeight="1">
      <c r="A151" s="26"/>
      <c r="B151" s="26"/>
      <c r="C151" s="26"/>
      <c r="D151" s="26"/>
      <c r="E151" s="26"/>
      <c r="J151" s="28"/>
    </row>
    <row r="152" ht="15.75" customHeight="1">
      <c r="A152" s="26"/>
      <c r="B152" s="26"/>
      <c r="C152" s="26"/>
      <c r="D152" s="26"/>
      <c r="E152" s="26"/>
      <c r="J152" s="28"/>
    </row>
    <row r="153" ht="15.75" customHeight="1">
      <c r="A153" s="26"/>
      <c r="B153" s="26"/>
      <c r="C153" s="26"/>
      <c r="D153" s="26"/>
      <c r="E153" s="26"/>
      <c r="J153" s="28"/>
    </row>
    <row r="154" ht="15.75" customHeight="1">
      <c r="A154" s="26"/>
      <c r="B154" s="26"/>
      <c r="C154" s="26"/>
      <c r="D154" s="26"/>
      <c r="E154" s="26"/>
      <c r="J154" s="28"/>
    </row>
    <row r="155" ht="15.75" customHeight="1">
      <c r="A155" s="26"/>
      <c r="B155" s="26"/>
      <c r="C155" s="26"/>
      <c r="D155" s="26"/>
      <c r="E155" s="26"/>
      <c r="J155" s="28"/>
    </row>
    <row r="156" ht="15.75" customHeight="1">
      <c r="A156" s="26"/>
      <c r="B156" s="26"/>
      <c r="C156" s="26"/>
      <c r="D156" s="26"/>
      <c r="E156" s="26"/>
      <c r="J156" s="28"/>
    </row>
    <row r="157" ht="15.75" customHeight="1">
      <c r="A157" s="26"/>
      <c r="B157" s="26"/>
      <c r="C157" s="26"/>
      <c r="D157" s="26"/>
      <c r="E157" s="26"/>
      <c r="J157" s="28"/>
    </row>
    <row r="158" ht="15.75" customHeight="1">
      <c r="A158" s="26"/>
      <c r="B158" s="26"/>
      <c r="C158" s="26"/>
      <c r="D158" s="26"/>
      <c r="E158" s="26"/>
      <c r="J158" s="28"/>
    </row>
    <row r="159" ht="15.75" customHeight="1">
      <c r="A159" s="26"/>
      <c r="B159" s="26"/>
      <c r="C159" s="26"/>
      <c r="D159" s="26"/>
      <c r="E159" s="26"/>
      <c r="J159" s="28"/>
    </row>
    <row r="160" ht="15.75" customHeight="1">
      <c r="A160" s="26"/>
      <c r="B160" s="26"/>
      <c r="C160" s="26"/>
      <c r="D160" s="26"/>
      <c r="E160" s="26"/>
      <c r="J160" s="28"/>
    </row>
    <row r="161" ht="15.75" customHeight="1">
      <c r="A161" s="26"/>
      <c r="B161" s="26"/>
      <c r="C161" s="26"/>
      <c r="D161" s="26"/>
      <c r="E161" s="26"/>
      <c r="J161" s="28"/>
    </row>
    <row r="162" ht="15.75" customHeight="1">
      <c r="A162" s="26"/>
      <c r="B162" s="26"/>
      <c r="C162" s="26"/>
      <c r="D162" s="26"/>
      <c r="E162" s="26"/>
      <c r="J162" s="28"/>
    </row>
    <row r="163" ht="15.75" customHeight="1">
      <c r="A163" s="26"/>
      <c r="B163" s="26"/>
      <c r="C163" s="26"/>
      <c r="D163" s="26"/>
      <c r="E163" s="26"/>
      <c r="J163" s="28"/>
    </row>
    <row r="164" ht="15.75" customHeight="1">
      <c r="A164" s="26"/>
      <c r="B164" s="26"/>
      <c r="C164" s="26"/>
      <c r="D164" s="26"/>
      <c r="E164" s="26"/>
      <c r="J164" s="28"/>
    </row>
    <row r="165" ht="15.75" customHeight="1">
      <c r="A165" s="26"/>
      <c r="B165" s="26"/>
      <c r="C165" s="26"/>
      <c r="D165" s="26"/>
      <c r="E165" s="26"/>
      <c r="J165" s="28"/>
    </row>
    <row r="166" ht="15.75" customHeight="1">
      <c r="A166" s="26"/>
      <c r="B166" s="26"/>
      <c r="C166" s="26"/>
      <c r="D166" s="26"/>
      <c r="E166" s="26"/>
      <c r="J166" s="28"/>
    </row>
    <row r="167" ht="15.75" customHeight="1">
      <c r="A167" s="26"/>
      <c r="B167" s="26"/>
      <c r="C167" s="26"/>
      <c r="D167" s="26"/>
      <c r="E167" s="26"/>
      <c r="J167" s="28"/>
    </row>
    <row r="168" ht="15.75" customHeight="1">
      <c r="A168" s="26"/>
      <c r="B168" s="26"/>
      <c r="C168" s="26"/>
      <c r="D168" s="26"/>
      <c r="E168" s="26"/>
      <c r="J168" s="28"/>
    </row>
    <row r="169" ht="15.75" customHeight="1">
      <c r="A169" s="26"/>
      <c r="B169" s="26"/>
      <c r="C169" s="26"/>
      <c r="D169" s="26"/>
      <c r="E169" s="26"/>
      <c r="J169" s="28"/>
    </row>
    <row r="170" ht="15.75" customHeight="1">
      <c r="A170" s="26"/>
      <c r="B170" s="26"/>
      <c r="C170" s="26"/>
      <c r="D170" s="26"/>
      <c r="E170" s="26"/>
      <c r="J170" s="28"/>
    </row>
    <row r="171" ht="15.75" customHeight="1">
      <c r="A171" s="26"/>
      <c r="B171" s="26"/>
      <c r="C171" s="26"/>
      <c r="D171" s="26"/>
      <c r="E171" s="26"/>
      <c r="J171" s="28"/>
    </row>
    <row r="172" ht="15.75" customHeight="1">
      <c r="A172" s="26"/>
      <c r="B172" s="26"/>
      <c r="C172" s="26"/>
      <c r="D172" s="26"/>
      <c r="E172" s="26"/>
      <c r="J172" s="28"/>
    </row>
    <row r="173" ht="15.75" customHeight="1">
      <c r="A173" s="26"/>
      <c r="B173" s="26"/>
      <c r="C173" s="26"/>
      <c r="D173" s="26"/>
      <c r="E173" s="26"/>
      <c r="J173" s="28"/>
    </row>
    <row r="174" ht="15.75" customHeight="1">
      <c r="A174" s="26"/>
      <c r="B174" s="26"/>
      <c r="C174" s="26"/>
      <c r="D174" s="26"/>
      <c r="E174" s="26"/>
      <c r="J174" s="28"/>
    </row>
    <row r="175" ht="15.75" customHeight="1">
      <c r="A175" s="26"/>
      <c r="B175" s="26"/>
      <c r="C175" s="26"/>
      <c r="D175" s="26"/>
      <c r="E175" s="26"/>
      <c r="J175" s="28"/>
    </row>
    <row r="176" ht="15.75" customHeight="1">
      <c r="A176" s="26"/>
      <c r="B176" s="26"/>
      <c r="C176" s="26"/>
      <c r="D176" s="26"/>
      <c r="E176" s="26"/>
      <c r="J176" s="28"/>
    </row>
    <row r="177" ht="15.75" customHeight="1">
      <c r="A177" s="26"/>
      <c r="B177" s="26"/>
      <c r="C177" s="26"/>
      <c r="D177" s="26"/>
      <c r="E177" s="26"/>
      <c r="J177" s="28"/>
    </row>
    <row r="178" ht="15.75" customHeight="1">
      <c r="A178" s="26"/>
      <c r="B178" s="26"/>
      <c r="C178" s="26"/>
      <c r="D178" s="26"/>
      <c r="E178" s="26"/>
      <c r="J178" s="28"/>
    </row>
    <row r="179" ht="15.75" customHeight="1">
      <c r="A179" s="26"/>
      <c r="B179" s="26"/>
      <c r="C179" s="26"/>
      <c r="D179" s="26"/>
      <c r="E179" s="26"/>
      <c r="J179" s="28"/>
    </row>
    <row r="180" ht="15.75" customHeight="1">
      <c r="A180" s="26"/>
      <c r="B180" s="26"/>
      <c r="C180" s="26"/>
      <c r="D180" s="26"/>
      <c r="E180" s="26"/>
      <c r="J180" s="28"/>
    </row>
    <row r="181" ht="15.75" customHeight="1">
      <c r="A181" s="26"/>
      <c r="B181" s="26"/>
      <c r="C181" s="26"/>
      <c r="D181" s="26"/>
      <c r="E181" s="26"/>
      <c r="J181" s="28"/>
    </row>
    <row r="182" ht="15.75" customHeight="1">
      <c r="A182" s="26"/>
      <c r="B182" s="26"/>
      <c r="C182" s="26"/>
      <c r="D182" s="26"/>
      <c r="E182" s="26"/>
      <c r="J182" s="28"/>
    </row>
    <row r="183" ht="15.75" customHeight="1">
      <c r="A183" s="26"/>
      <c r="B183" s="26"/>
      <c r="C183" s="26"/>
      <c r="D183" s="26"/>
      <c r="E183" s="26"/>
      <c r="J183" s="28"/>
    </row>
    <row r="184" ht="15.75" customHeight="1">
      <c r="A184" s="26"/>
      <c r="B184" s="26"/>
      <c r="C184" s="26"/>
      <c r="D184" s="26"/>
      <c r="E184" s="26"/>
      <c r="J184" s="28"/>
    </row>
    <row r="185" ht="15.75" customHeight="1">
      <c r="A185" s="26"/>
      <c r="B185" s="26"/>
      <c r="C185" s="26"/>
      <c r="D185" s="26"/>
      <c r="E185" s="26"/>
      <c r="J185" s="28"/>
    </row>
    <row r="186" ht="15.75" customHeight="1">
      <c r="A186" s="26"/>
      <c r="B186" s="26"/>
      <c r="C186" s="26"/>
      <c r="D186" s="26"/>
      <c r="E186" s="26"/>
      <c r="J186" s="28"/>
    </row>
    <row r="187" ht="15.75" customHeight="1">
      <c r="A187" s="26"/>
      <c r="B187" s="26"/>
      <c r="C187" s="26"/>
      <c r="D187" s="26"/>
      <c r="E187" s="26"/>
      <c r="J187" s="28"/>
    </row>
    <row r="188" ht="15.75" customHeight="1">
      <c r="A188" s="26"/>
      <c r="B188" s="26"/>
      <c r="C188" s="26"/>
      <c r="D188" s="26"/>
      <c r="E188" s="26"/>
      <c r="J188" s="28"/>
    </row>
    <row r="189" ht="15.75" customHeight="1">
      <c r="A189" s="26"/>
      <c r="B189" s="26"/>
      <c r="C189" s="26"/>
      <c r="D189" s="26"/>
      <c r="E189" s="26"/>
      <c r="J189" s="28"/>
    </row>
    <row r="190" ht="15.75" customHeight="1">
      <c r="A190" s="26"/>
      <c r="B190" s="26"/>
      <c r="C190" s="26"/>
      <c r="D190" s="26"/>
      <c r="E190" s="26"/>
      <c r="J190" s="28"/>
    </row>
    <row r="191" ht="15.75" customHeight="1">
      <c r="A191" s="26"/>
      <c r="B191" s="26"/>
      <c r="C191" s="26"/>
      <c r="D191" s="26"/>
      <c r="E191" s="26"/>
      <c r="J191" s="28"/>
    </row>
    <row r="192" ht="15.75" customHeight="1">
      <c r="A192" s="26"/>
      <c r="B192" s="26"/>
      <c r="C192" s="26"/>
      <c r="D192" s="26"/>
      <c r="E192" s="26"/>
      <c r="J192" s="28"/>
    </row>
    <row r="193" ht="15.75" customHeight="1">
      <c r="A193" s="26"/>
      <c r="B193" s="26"/>
      <c r="C193" s="26"/>
      <c r="D193" s="26"/>
      <c r="E193" s="26"/>
      <c r="J193" s="28"/>
    </row>
    <row r="194" ht="15.75" customHeight="1">
      <c r="A194" s="26"/>
      <c r="B194" s="26"/>
      <c r="C194" s="26"/>
      <c r="D194" s="26"/>
      <c r="E194" s="26"/>
      <c r="J194" s="28"/>
    </row>
    <row r="195" ht="15.75" customHeight="1">
      <c r="A195" s="26"/>
      <c r="B195" s="26"/>
      <c r="C195" s="26"/>
      <c r="D195" s="26"/>
      <c r="E195" s="26"/>
      <c r="J195" s="28"/>
    </row>
    <row r="196" ht="15.75" customHeight="1">
      <c r="A196" s="26"/>
      <c r="B196" s="26"/>
      <c r="C196" s="26"/>
      <c r="D196" s="26"/>
      <c r="E196" s="26"/>
      <c r="J196" s="28"/>
    </row>
    <row r="197" ht="15.75" customHeight="1">
      <c r="J197" s="28"/>
    </row>
    <row r="198" ht="15.75" customHeight="1">
      <c r="J198" s="28"/>
    </row>
    <row r="199" ht="15.75" customHeight="1">
      <c r="J199" s="28"/>
    </row>
    <row r="200" ht="15.75" customHeight="1">
      <c r="J200" s="60"/>
    </row>
    <row r="201" ht="15.75" customHeight="1">
      <c r="J201" s="60"/>
    </row>
    <row r="202" ht="15.75" customHeight="1">
      <c r="J202" s="60"/>
    </row>
    <row r="203" ht="15.75" customHeight="1">
      <c r="J203" s="60"/>
    </row>
    <row r="204" ht="15.75" customHeight="1">
      <c r="J204" s="60"/>
    </row>
    <row r="205" ht="15.75" customHeight="1">
      <c r="J205" s="60"/>
    </row>
    <row r="206" ht="15.75" customHeight="1">
      <c r="J206" s="60"/>
    </row>
    <row r="207" ht="15.75" customHeight="1">
      <c r="J207" s="60"/>
    </row>
    <row r="208" ht="15.75" customHeight="1">
      <c r="J208" s="60"/>
    </row>
    <row r="209" ht="15.75" customHeight="1">
      <c r="J209" s="60"/>
    </row>
    <row r="210" ht="15.75" customHeight="1">
      <c r="J210" s="60"/>
    </row>
    <row r="211" ht="15.75" customHeight="1">
      <c r="J211" s="60"/>
    </row>
    <row r="212" ht="15.75" customHeight="1">
      <c r="J212" s="60"/>
    </row>
    <row r="213" ht="15.75" customHeight="1">
      <c r="J213" s="60"/>
    </row>
    <row r="214" ht="15.75" customHeight="1">
      <c r="J214" s="60"/>
    </row>
    <row r="215" ht="15.75" customHeight="1">
      <c r="J215" s="60"/>
    </row>
    <row r="216" ht="15.75" customHeight="1">
      <c r="J216" s="60"/>
    </row>
    <row r="217" ht="15.75" customHeight="1">
      <c r="J217" s="60"/>
    </row>
    <row r="218" ht="15.75" customHeight="1">
      <c r="J218" s="60"/>
    </row>
    <row r="219" ht="15.75" customHeight="1">
      <c r="J219" s="60"/>
    </row>
    <row r="220" ht="15.75" customHeight="1">
      <c r="J220" s="60"/>
    </row>
    <row r="221" ht="15.75" customHeight="1">
      <c r="J221" s="60"/>
    </row>
    <row r="222" ht="15.75" customHeight="1">
      <c r="J222" s="60"/>
    </row>
    <row r="223" ht="15.75" customHeight="1">
      <c r="J223" s="60"/>
    </row>
    <row r="224" ht="15.75" customHeight="1">
      <c r="J224" s="60"/>
    </row>
    <row r="225" ht="15.75" customHeight="1">
      <c r="J225" s="60"/>
    </row>
    <row r="226" ht="15.75" customHeight="1">
      <c r="J226" s="60"/>
    </row>
    <row r="227" ht="15.75" customHeight="1">
      <c r="J227" s="60"/>
    </row>
    <row r="228" ht="15.75" customHeight="1">
      <c r="J228" s="60"/>
    </row>
    <row r="229" ht="15.75" customHeight="1">
      <c r="J229" s="60"/>
    </row>
  </sheetData>
  <mergeCells count="12">
    <mergeCell ref="D5:D24"/>
    <mergeCell ref="D25:D44"/>
    <mergeCell ref="E25:E44"/>
    <mergeCell ref="J25:J44"/>
    <mergeCell ref="D45:I45"/>
    <mergeCell ref="A1:B1"/>
    <mergeCell ref="A2:B2"/>
    <mergeCell ref="D2:J2"/>
    <mergeCell ref="L2:M3"/>
    <mergeCell ref="D3:E3"/>
    <mergeCell ref="E5:E24"/>
    <mergeCell ref="J5:J2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5"/>
      <c r="B1" s="5"/>
      <c r="C1" s="26"/>
      <c r="D1" s="26"/>
      <c r="E1" s="26"/>
      <c r="F1" s="27"/>
      <c r="G1" s="27"/>
      <c r="H1" s="27"/>
      <c r="I1" s="27"/>
      <c r="J1" s="28"/>
      <c r="K1" s="27"/>
      <c r="L1" s="27"/>
      <c r="M1" s="27"/>
      <c r="N1" s="27"/>
    </row>
    <row r="2" ht="15.75" customHeight="1">
      <c r="A2" s="29" t="s">
        <v>38</v>
      </c>
      <c r="B2" s="5"/>
      <c r="C2" s="30"/>
      <c r="D2" s="30" t="s">
        <v>39</v>
      </c>
      <c r="K2" s="27"/>
      <c r="L2" s="31" t="s">
        <v>40</v>
      </c>
      <c r="M2" s="32"/>
      <c r="N2" s="27"/>
    </row>
    <row r="3" ht="36.75" customHeight="1">
      <c r="A3" s="33" t="s">
        <v>41</v>
      </c>
      <c r="B3" s="34" t="s">
        <v>42</v>
      </c>
      <c r="C3" s="26"/>
      <c r="D3" s="35" t="s">
        <v>72</v>
      </c>
      <c r="F3" s="27"/>
      <c r="G3" s="27"/>
      <c r="H3" s="27"/>
      <c r="I3" s="27"/>
      <c r="J3" s="36"/>
      <c r="K3" s="27"/>
      <c r="L3" s="37"/>
      <c r="M3" s="12"/>
      <c r="N3" s="27"/>
    </row>
    <row r="4" ht="15.75" customHeight="1">
      <c r="A4" s="38" t="s">
        <v>19</v>
      </c>
      <c r="B4" s="39">
        <v>3100.0</v>
      </c>
      <c r="C4" s="40"/>
      <c r="D4" s="41" t="s">
        <v>1</v>
      </c>
      <c r="E4" s="41" t="s">
        <v>44</v>
      </c>
      <c r="F4" s="42" t="s">
        <v>45</v>
      </c>
      <c r="G4" s="43" t="s">
        <v>46</v>
      </c>
      <c r="H4" s="43" t="s">
        <v>47</v>
      </c>
      <c r="I4" s="43" t="s">
        <v>48</v>
      </c>
      <c r="J4" s="44" t="s">
        <v>49</v>
      </c>
      <c r="K4" s="27"/>
      <c r="L4" s="45" t="s">
        <v>50</v>
      </c>
      <c r="M4" s="45" t="s">
        <v>46</v>
      </c>
      <c r="N4" s="27"/>
    </row>
    <row r="5" ht="15.75" customHeight="1">
      <c r="A5" s="38" t="s">
        <v>51</v>
      </c>
      <c r="B5" s="39">
        <v>3000.0</v>
      </c>
      <c r="C5" s="46"/>
      <c r="D5" s="47">
        <v>1.0</v>
      </c>
      <c r="E5" s="48" t="s">
        <v>84</v>
      </c>
      <c r="F5" s="38" t="s">
        <v>19</v>
      </c>
      <c r="G5" s="49"/>
      <c r="H5" s="50">
        <f>VLOOKUP(F5,$A$4:$B$4,2,TRUE)</f>
        <v>3100</v>
      </c>
      <c r="I5" s="51">
        <f t="shared" ref="I5:I145" si="1">G5*H5</f>
        <v>0</v>
      </c>
      <c r="J5" s="52">
        <f>SUM(I5:I24)</f>
        <v>23050</v>
      </c>
      <c r="K5" s="27"/>
      <c r="L5" s="38" t="s">
        <v>19</v>
      </c>
      <c r="M5" s="45">
        <f>SUMIF(F5:F144,"Gelas bersih",G5:G144)</f>
        <v>18.5</v>
      </c>
      <c r="N5" s="27"/>
    </row>
    <row r="6" ht="15.75" customHeight="1">
      <c r="A6" s="38" t="s">
        <v>53</v>
      </c>
      <c r="B6" s="39">
        <v>800.0</v>
      </c>
      <c r="C6" s="46"/>
      <c r="D6" s="53"/>
      <c r="E6" s="53"/>
      <c r="F6" s="38" t="s">
        <v>51</v>
      </c>
      <c r="G6" s="49">
        <v>2.5</v>
      </c>
      <c r="H6" s="54">
        <f>VLOOKUP(F6,$A$5:$B$5,2,TRUE)</f>
        <v>3000</v>
      </c>
      <c r="I6" s="51">
        <f t="shared" si="1"/>
        <v>7500</v>
      </c>
      <c r="J6" s="53"/>
      <c r="K6" s="27"/>
      <c r="L6" s="38" t="s">
        <v>51</v>
      </c>
      <c r="M6" s="45">
        <f>SUMIF(F6:F145,"Botol bersih",G6:G145)</f>
        <v>22</v>
      </c>
      <c r="N6" s="27"/>
    </row>
    <row r="7" ht="15.75" customHeight="1">
      <c r="A7" s="38" t="s">
        <v>22</v>
      </c>
      <c r="B7" s="39">
        <v>2000.0</v>
      </c>
      <c r="C7" s="46"/>
      <c r="D7" s="53"/>
      <c r="E7" s="53"/>
      <c r="F7" s="38" t="s">
        <v>53</v>
      </c>
      <c r="G7" s="49"/>
      <c r="H7" s="54">
        <f>VLOOKUP(F7,$A$6:$B$6,2,TRUE)</f>
        <v>800</v>
      </c>
      <c r="I7" s="51">
        <f t="shared" si="1"/>
        <v>0</v>
      </c>
      <c r="J7" s="53"/>
      <c r="K7" s="27"/>
      <c r="L7" s="38" t="s">
        <v>53</v>
      </c>
      <c r="M7" s="45">
        <f>SUMIF(F7:F145,"Botol Warna",G7:G145)</f>
        <v>46</v>
      </c>
      <c r="N7" s="27"/>
    </row>
    <row r="8" ht="15.75" customHeight="1">
      <c r="A8" s="38" t="s">
        <v>23</v>
      </c>
      <c r="B8" s="39">
        <v>2800.0</v>
      </c>
      <c r="C8" s="46"/>
      <c r="D8" s="53"/>
      <c r="E8" s="53"/>
      <c r="F8" s="38" t="s">
        <v>22</v>
      </c>
      <c r="G8" s="49">
        <v>1.0</v>
      </c>
      <c r="H8" s="54">
        <f>VLOOKUP(F8,$A$7:$B$7,2,TRUE)</f>
        <v>2000</v>
      </c>
      <c r="I8" s="51">
        <f t="shared" si="1"/>
        <v>2000</v>
      </c>
      <c r="J8" s="53"/>
      <c r="K8" s="27"/>
      <c r="L8" s="38" t="s">
        <v>22</v>
      </c>
      <c r="M8" s="45">
        <f>SUMIF(F8:F146,"Tutup botol",G8:G146)</f>
        <v>5.5</v>
      </c>
      <c r="N8" s="27"/>
    </row>
    <row r="9" ht="15.75" customHeight="1">
      <c r="A9" s="38" t="s">
        <v>54</v>
      </c>
      <c r="B9" s="39">
        <v>800.0</v>
      </c>
      <c r="C9" s="46"/>
      <c r="D9" s="53"/>
      <c r="E9" s="53"/>
      <c r="F9" s="38" t="s">
        <v>23</v>
      </c>
      <c r="G9" s="49">
        <v>1.0</v>
      </c>
      <c r="H9" s="54">
        <f>VLOOKUP(F9, $A$8:$B$8, 2, FALSE)</f>
        <v>2800</v>
      </c>
      <c r="I9" s="51">
        <f t="shared" si="1"/>
        <v>2800</v>
      </c>
      <c r="J9" s="53"/>
      <c r="K9" s="27"/>
      <c r="L9" s="38" t="s">
        <v>23</v>
      </c>
      <c r="M9" s="45">
        <f>SUMIF(F9:F147,"Tutup galon",G9:G147)</f>
        <v>2</v>
      </c>
      <c r="N9" s="27"/>
    </row>
    <row r="10" ht="15.75" customHeight="1">
      <c r="A10" s="38" t="s">
        <v>25</v>
      </c>
      <c r="B10" s="39">
        <v>1500.0</v>
      </c>
      <c r="C10" s="46"/>
      <c r="D10" s="53"/>
      <c r="E10" s="53"/>
      <c r="F10" s="38" t="s">
        <v>54</v>
      </c>
      <c r="G10" s="49">
        <f>4+2</f>
        <v>6</v>
      </c>
      <c r="H10" s="54">
        <f>VLOOKUP(F10, $A$9:$B$9, 2, FALSE)</f>
        <v>800</v>
      </c>
      <c r="I10" s="51">
        <f t="shared" si="1"/>
        <v>4800</v>
      </c>
      <c r="J10" s="53"/>
      <c r="K10" s="27"/>
      <c r="L10" s="38" t="s">
        <v>54</v>
      </c>
      <c r="M10" s="45">
        <f>SUMIF(F10:F149,"Emberan/Atum",G10:G149)</f>
        <v>53</v>
      </c>
      <c r="N10" s="27"/>
    </row>
    <row r="11" ht="15.75" customHeight="1">
      <c r="A11" s="38" t="s">
        <v>26</v>
      </c>
      <c r="B11" s="39">
        <v>1200.0</v>
      </c>
      <c r="C11" s="46"/>
      <c r="D11" s="53"/>
      <c r="E11" s="53"/>
      <c r="F11" s="38" t="s">
        <v>25</v>
      </c>
      <c r="G11" s="49"/>
      <c r="H11" s="54">
        <f>VLOOKUP(F11,$A$10:$B$10,2,TRUE)</f>
        <v>1500</v>
      </c>
      <c r="I11" s="51">
        <f t="shared" si="1"/>
        <v>0</v>
      </c>
      <c r="J11" s="53"/>
      <c r="K11" s="27"/>
      <c r="L11" s="38" t="s">
        <v>25</v>
      </c>
      <c r="M11" s="45">
        <f>SUMIF(F11:F150,"Kardus",G11:G150)</f>
        <v>28</v>
      </c>
      <c r="N11" s="27"/>
    </row>
    <row r="12" ht="15.75" customHeight="1">
      <c r="A12" s="38" t="s">
        <v>28</v>
      </c>
      <c r="B12" s="39">
        <v>500.0</v>
      </c>
      <c r="C12" s="46"/>
      <c r="D12" s="53"/>
      <c r="E12" s="53"/>
      <c r="F12" s="38" t="s">
        <v>26</v>
      </c>
      <c r="G12" s="49"/>
      <c r="H12" s="54">
        <f>VLOOKUP(F12,$A$11:$B$11,2,TRUE)</f>
        <v>1200</v>
      </c>
      <c r="I12" s="51">
        <f t="shared" si="1"/>
        <v>0</v>
      </c>
      <c r="J12" s="53"/>
      <c r="K12" s="27"/>
      <c r="L12" s="38" t="s">
        <v>26</v>
      </c>
      <c r="M12" s="45">
        <f>SUMIF(F12:F152,"Kertas Putihan/HVS",G12:G152)</f>
        <v>0</v>
      </c>
      <c r="N12" s="27"/>
    </row>
    <row r="13" ht="15.75" customHeight="1">
      <c r="A13" s="38" t="s">
        <v>29</v>
      </c>
      <c r="B13" s="39">
        <v>6500.0</v>
      </c>
      <c r="C13" s="46"/>
      <c r="D13" s="53"/>
      <c r="E13" s="53"/>
      <c r="F13" s="38" t="s">
        <v>28</v>
      </c>
      <c r="G13" s="49"/>
      <c r="H13" s="54">
        <f>VLOOKUP(F13,$A$12:$B$12,2,TRUE)</f>
        <v>500</v>
      </c>
      <c r="I13" s="51">
        <f t="shared" si="1"/>
        <v>0</v>
      </c>
      <c r="J13" s="53"/>
      <c r="K13" s="27"/>
      <c r="L13" s="38" t="s">
        <v>28</v>
      </c>
      <c r="M13" s="45">
        <f>SUMIF(F13:F153,"Duplex",G13:G153)</f>
        <v>11.5</v>
      </c>
      <c r="N13" s="27"/>
    </row>
    <row r="14" ht="15.75" customHeight="1">
      <c r="A14" s="38" t="s">
        <v>30</v>
      </c>
      <c r="B14" s="39">
        <v>2200.0</v>
      </c>
      <c r="C14" s="46"/>
      <c r="D14" s="53"/>
      <c r="E14" s="53"/>
      <c r="F14" s="38" t="s">
        <v>29</v>
      </c>
      <c r="G14" s="49"/>
      <c r="H14" s="54">
        <f>VLOOKUP(F14,$A$13:$B$13,2,TRUE)</f>
        <v>6500</v>
      </c>
      <c r="I14" s="51">
        <f t="shared" si="1"/>
        <v>0</v>
      </c>
      <c r="J14" s="53"/>
      <c r="K14" s="27"/>
      <c r="L14" s="38" t="s">
        <v>29</v>
      </c>
      <c r="M14" s="45">
        <f>SUMIF(F14:F154,"Alumunium",G14:G154)</f>
        <v>0</v>
      </c>
      <c r="N14" s="27"/>
    </row>
    <row r="15" ht="15.75" customHeight="1">
      <c r="A15" s="38" t="s">
        <v>31</v>
      </c>
      <c r="B15" s="39">
        <v>1300.0</v>
      </c>
      <c r="C15" s="46"/>
      <c r="D15" s="53"/>
      <c r="E15" s="53"/>
      <c r="F15" s="38" t="s">
        <v>30</v>
      </c>
      <c r="G15" s="49"/>
      <c r="H15" s="54">
        <f>VLOOKUP(F15,$A$14:$B$14,2,TRUE)</f>
        <v>2200</v>
      </c>
      <c r="I15" s="51">
        <f t="shared" si="1"/>
        <v>0</v>
      </c>
      <c r="J15" s="53"/>
      <c r="K15" s="27"/>
      <c r="L15" s="38" t="s">
        <v>30</v>
      </c>
      <c r="M15" s="45">
        <f>SUMIF(F15:F155,"Besi",G15:G155)</f>
        <v>0</v>
      </c>
      <c r="N15" s="27"/>
    </row>
    <row r="16" ht="15.75" customHeight="1">
      <c r="A16" s="38" t="s">
        <v>32</v>
      </c>
      <c r="B16" s="39">
        <v>5000.0</v>
      </c>
      <c r="C16" s="46"/>
      <c r="D16" s="53"/>
      <c r="E16" s="53"/>
      <c r="F16" s="38" t="s">
        <v>31</v>
      </c>
      <c r="G16" s="49"/>
      <c r="H16" s="54">
        <f>VLOOKUP(F16,$A$15:$B$15,2,TRUE)</f>
        <v>1300</v>
      </c>
      <c r="I16" s="51">
        <f t="shared" si="1"/>
        <v>0</v>
      </c>
      <c r="J16" s="53"/>
      <c r="K16" s="27"/>
      <c r="L16" s="38" t="s">
        <v>31</v>
      </c>
      <c r="M16" s="45">
        <f>SUMIF(F16:F156,"Kaleng kue/susu",G16:G156)</f>
        <v>14.5</v>
      </c>
      <c r="N16" s="27"/>
    </row>
    <row r="17" ht="15.75" customHeight="1">
      <c r="A17" s="38" t="s">
        <v>33</v>
      </c>
      <c r="B17" s="39">
        <v>2500.0</v>
      </c>
      <c r="C17" s="46"/>
      <c r="D17" s="53"/>
      <c r="E17" s="53"/>
      <c r="F17" s="38" t="s">
        <v>32</v>
      </c>
      <c r="G17" s="49"/>
      <c r="H17" s="54">
        <f>VLOOKUP(F17,$A$16:$B$16,2,TRUE)</f>
        <v>5000</v>
      </c>
      <c r="I17" s="51">
        <f t="shared" si="1"/>
        <v>0</v>
      </c>
      <c r="J17" s="53"/>
      <c r="K17" s="27"/>
      <c r="L17" s="38" t="s">
        <v>32</v>
      </c>
      <c r="M17" s="45">
        <f>SUMIF(F17:F157,"Kaleng Minuman",G17:G157)</f>
        <v>2.5</v>
      </c>
      <c r="N17" s="27"/>
    </row>
    <row r="18" ht="15.75" customHeight="1">
      <c r="A18" s="38" t="s">
        <v>35</v>
      </c>
      <c r="B18" s="39">
        <v>10000.0</v>
      </c>
      <c r="C18" s="46"/>
      <c r="D18" s="53"/>
      <c r="E18" s="53"/>
      <c r="F18" s="38" t="s">
        <v>33</v>
      </c>
      <c r="G18" s="49"/>
      <c r="H18" s="54">
        <f>VLOOKUP(F18, $A$17:$B$17, 2, FALSE)</f>
        <v>2500</v>
      </c>
      <c r="I18" s="51">
        <f t="shared" si="1"/>
        <v>0</v>
      </c>
      <c r="J18" s="53"/>
      <c r="K18" s="27"/>
      <c r="L18" s="38" t="s">
        <v>33</v>
      </c>
      <c r="M18" s="45">
        <f>SUMIF(F18:F159,"Stanless",G18:G159)</f>
        <v>0</v>
      </c>
      <c r="N18" s="27"/>
    </row>
    <row r="19" ht="15.75" customHeight="1">
      <c r="A19" s="38" t="s">
        <v>55</v>
      </c>
      <c r="B19" s="39">
        <v>300.0</v>
      </c>
      <c r="C19" s="46"/>
      <c r="D19" s="53"/>
      <c r="E19" s="53"/>
      <c r="F19" s="38" t="s">
        <v>35</v>
      </c>
      <c r="G19" s="49"/>
      <c r="H19" s="54">
        <f>VLOOKUP(F19, $A$18:$B$18, 2, FALSE)</f>
        <v>10000</v>
      </c>
      <c r="I19" s="51">
        <f t="shared" si="1"/>
        <v>0</v>
      </c>
      <c r="J19" s="53"/>
      <c r="K19" s="27"/>
      <c r="L19" s="38" t="s">
        <v>35</v>
      </c>
      <c r="M19" s="45">
        <f>SUMIF(F19:F161,"Aki Motor",G19:G161)</f>
        <v>0</v>
      </c>
      <c r="N19" s="27"/>
    </row>
    <row r="20" ht="15.75" customHeight="1">
      <c r="A20" s="38" t="s">
        <v>15</v>
      </c>
      <c r="B20" s="39">
        <v>300.0</v>
      </c>
      <c r="C20" s="46"/>
      <c r="D20" s="53"/>
      <c r="E20" s="53"/>
      <c r="F20" s="38" t="s">
        <v>55</v>
      </c>
      <c r="G20" s="49"/>
      <c r="H20" s="54">
        <f>VLOOKUP(F20,$A$19:$B$19,2,TRUE)</f>
        <v>300</v>
      </c>
      <c r="I20" s="51">
        <f t="shared" si="1"/>
        <v>0</v>
      </c>
      <c r="J20" s="53"/>
      <c r="K20" s="27"/>
      <c r="L20" s="38" t="s">
        <v>55</v>
      </c>
      <c r="M20" s="45">
        <f>SUMIF(F20:F164,"Plastik Keresek",G20:G164)</f>
        <v>5</v>
      </c>
      <c r="N20" s="27"/>
    </row>
    <row r="21" ht="15.75" customHeight="1">
      <c r="A21" s="38" t="s">
        <v>11</v>
      </c>
      <c r="B21" s="39">
        <v>1700.0</v>
      </c>
      <c r="C21" s="46"/>
      <c r="D21" s="53"/>
      <c r="E21" s="53"/>
      <c r="F21" s="38" t="s">
        <v>15</v>
      </c>
      <c r="G21" s="49"/>
      <c r="H21" s="54">
        <f>VLOOKUP(F21,$A$20:$B$20,2,TRUE)</f>
        <v>300</v>
      </c>
      <c r="I21" s="51">
        <f t="shared" si="1"/>
        <v>0</v>
      </c>
      <c r="J21" s="53"/>
      <c r="K21" s="27"/>
      <c r="L21" s="38" t="s">
        <v>15</v>
      </c>
      <c r="M21" s="45">
        <f>SUMIF(F21:F166,"Beling",G21:G166)</f>
        <v>30</v>
      </c>
      <c r="N21" s="27"/>
    </row>
    <row r="22" ht="15.75" customHeight="1">
      <c r="A22" s="38" t="s">
        <v>17</v>
      </c>
      <c r="B22" s="55">
        <v>4500.0</v>
      </c>
      <c r="C22" s="46"/>
      <c r="D22" s="53"/>
      <c r="E22" s="53"/>
      <c r="F22" s="38" t="s">
        <v>11</v>
      </c>
      <c r="G22" s="49">
        <v>3.5</v>
      </c>
      <c r="H22" s="54">
        <f>VLOOKUP(F22,$A$21:$B$21,2,TRUE)</f>
        <v>1700</v>
      </c>
      <c r="I22" s="51">
        <f t="shared" si="1"/>
        <v>5950</v>
      </c>
      <c r="J22" s="53"/>
      <c r="K22" s="27"/>
      <c r="L22" s="38" t="s">
        <v>11</v>
      </c>
      <c r="M22" s="45">
        <f>SUMIF(F22:F168,"Paku",G22:G168)</f>
        <v>3.5</v>
      </c>
      <c r="N22" s="27"/>
    </row>
    <row r="23" ht="15.75" customHeight="1">
      <c r="A23" s="38" t="s">
        <v>56</v>
      </c>
      <c r="B23" s="39">
        <v>0.0</v>
      </c>
      <c r="C23" s="46"/>
      <c r="D23" s="53"/>
      <c r="E23" s="53"/>
      <c r="F23" s="38" t="s">
        <v>17</v>
      </c>
      <c r="G23" s="49"/>
      <c r="H23" s="54">
        <f>VLOOKUP(F22,$A$22:$B$22,2,TRUE)</f>
        <v>4500</v>
      </c>
      <c r="I23" s="51">
        <f t="shared" si="1"/>
        <v>0</v>
      </c>
      <c r="J23" s="53"/>
      <c r="K23" s="27"/>
      <c r="L23" s="38" t="s">
        <v>17</v>
      </c>
      <c r="M23" s="45">
        <f>SUMIF(F23:F169,"Minyak Jelantah",G23:G169)</f>
        <v>9</v>
      </c>
      <c r="N23" s="27"/>
    </row>
    <row r="24" ht="15.75" customHeight="1">
      <c r="A24" s="46"/>
      <c r="B24" s="46"/>
      <c r="C24" s="46"/>
      <c r="D24" s="14"/>
      <c r="E24" s="14"/>
      <c r="F24" s="38" t="s">
        <v>56</v>
      </c>
      <c r="G24" s="49"/>
      <c r="H24" s="54">
        <f>VLOOKUP(F23,$A$23:$B$23,2,TRUE)</f>
        <v>0</v>
      </c>
      <c r="I24" s="51">
        <f t="shared" si="1"/>
        <v>0</v>
      </c>
      <c r="J24" s="14"/>
      <c r="K24" s="27"/>
      <c r="L24" s="38" t="s">
        <v>56</v>
      </c>
      <c r="M24" s="45">
        <f>SUMIF(F24:F170,"Lainnya",G24:G170)</f>
        <v>26</v>
      </c>
      <c r="N24" s="27"/>
    </row>
    <row r="25" ht="15.75" customHeight="1">
      <c r="A25" s="46"/>
      <c r="B25" s="46"/>
      <c r="C25" s="46"/>
      <c r="D25" s="47">
        <v>2.0</v>
      </c>
      <c r="E25" s="48" t="s">
        <v>85</v>
      </c>
      <c r="F25" s="38" t="s">
        <v>19</v>
      </c>
      <c r="G25" s="49"/>
      <c r="H25" s="50">
        <f>VLOOKUP(F25,$A$4:$B$4,2,TRUE)</f>
        <v>3100</v>
      </c>
      <c r="I25" s="51">
        <f t="shared" si="1"/>
        <v>0</v>
      </c>
      <c r="J25" s="52">
        <f>SUM(I25:I44)</f>
        <v>5600</v>
      </c>
      <c r="K25" s="27"/>
      <c r="L25" s="56" t="s">
        <v>58</v>
      </c>
      <c r="M25" s="57">
        <f>SUM(M5:M24)</f>
        <v>277</v>
      </c>
      <c r="N25" s="27"/>
    </row>
    <row r="26" ht="15.75" customHeight="1">
      <c r="A26" s="46"/>
      <c r="B26" s="46"/>
      <c r="C26" s="46"/>
      <c r="D26" s="53"/>
      <c r="E26" s="53"/>
      <c r="F26" s="38" t="s">
        <v>51</v>
      </c>
      <c r="G26" s="49"/>
      <c r="H26" s="54">
        <f>VLOOKUP(F26,$A$5:$B$5,2,TRUE)</f>
        <v>3000</v>
      </c>
      <c r="I26" s="51">
        <f t="shared" si="1"/>
        <v>0</v>
      </c>
      <c r="J26" s="53"/>
      <c r="K26" s="27"/>
      <c r="L26" s="27"/>
      <c r="M26" s="27"/>
      <c r="N26" s="27"/>
    </row>
    <row r="27" ht="15.75" customHeight="1">
      <c r="A27" s="46"/>
      <c r="B27" s="46"/>
      <c r="C27" s="46"/>
      <c r="D27" s="53"/>
      <c r="E27" s="53"/>
      <c r="F27" s="38" t="s">
        <v>53</v>
      </c>
      <c r="G27" s="49"/>
      <c r="H27" s="54">
        <f>VLOOKUP(F27,$A$6:$B$6,2,TRUE)</f>
        <v>800</v>
      </c>
      <c r="I27" s="51">
        <f t="shared" si="1"/>
        <v>0</v>
      </c>
      <c r="J27" s="53"/>
      <c r="K27" s="27"/>
      <c r="L27" s="27"/>
      <c r="M27" s="27"/>
      <c r="N27" s="27"/>
    </row>
    <row r="28" ht="15.75" customHeight="1">
      <c r="A28" s="46"/>
      <c r="B28" s="46"/>
      <c r="C28" s="46"/>
      <c r="D28" s="53"/>
      <c r="E28" s="53"/>
      <c r="F28" s="38" t="s">
        <v>22</v>
      </c>
      <c r="G28" s="49"/>
      <c r="H28" s="54">
        <f>VLOOKUP(F28,$A$7:$B$7,2,TRUE)</f>
        <v>2000</v>
      </c>
      <c r="I28" s="51">
        <f t="shared" si="1"/>
        <v>0</v>
      </c>
      <c r="J28" s="53"/>
      <c r="K28" s="27"/>
      <c r="L28" s="27"/>
      <c r="M28" s="27"/>
      <c r="N28" s="27"/>
    </row>
    <row r="29" ht="15.75" customHeight="1">
      <c r="A29" s="46"/>
      <c r="B29" s="46"/>
      <c r="C29" s="46"/>
      <c r="D29" s="53"/>
      <c r="E29" s="53"/>
      <c r="F29" s="38" t="s">
        <v>23</v>
      </c>
      <c r="G29" s="49"/>
      <c r="H29" s="54">
        <f>VLOOKUP(F29, $A$8:$B$8, 2, FALSE)</f>
        <v>2800</v>
      </c>
      <c r="I29" s="51">
        <f t="shared" si="1"/>
        <v>0</v>
      </c>
      <c r="J29" s="53"/>
      <c r="K29" s="27"/>
      <c r="L29" s="27"/>
      <c r="M29" s="27"/>
      <c r="N29" s="27"/>
    </row>
    <row r="30" ht="15.75" customHeight="1">
      <c r="A30" s="46"/>
      <c r="B30" s="46"/>
      <c r="C30" s="46"/>
      <c r="D30" s="53"/>
      <c r="E30" s="53"/>
      <c r="F30" s="38" t="s">
        <v>54</v>
      </c>
      <c r="G30" s="49">
        <v>7.0</v>
      </c>
      <c r="H30" s="54">
        <f>VLOOKUP(F30, $A$9:$B$9, 2, FALSE)</f>
        <v>800</v>
      </c>
      <c r="I30" s="51">
        <f t="shared" si="1"/>
        <v>5600</v>
      </c>
      <c r="J30" s="53"/>
      <c r="K30" s="27"/>
      <c r="L30" s="27"/>
      <c r="M30" s="27"/>
      <c r="N30" s="27"/>
    </row>
    <row r="31" ht="15.75" customHeight="1">
      <c r="A31" s="46"/>
      <c r="B31" s="46"/>
      <c r="C31" s="46"/>
      <c r="D31" s="53"/>
      <c r="E31" s="53"/>
      <c r="F31" s="38" t="s">
        <v>25</v>
      </c>
      <c r="G31" s="49"/>
      <c r="H31" s="54">
        <f>VLOOKUP(F31,$A$10:$B$10,2,TRUE)</f>
        <v>1500</v>
      </c>
      <c r="I31" s="51">
        <f t="shared" si="1"/>
        <v>0</v>
      </c>
      <c r="J31" s="53"/>
      <c r="K31" s="27"/>
      <c r="L31" s="27"/>
      <c r="M31" s="27"/>
      <c r="N31" s="27"/>
    </row>
    <row r="32" ht="15.75" customHeight="1">
      <c r="A32" s="46"/>
      <c r="B32" s="46"/>
      <c r="C32" s="46"/>
      <c r="D32" s="53"/>
      <c r="E32" s="53"/>
      <c r="F32" s="38" t="s">
        <v>26</v>
      </c>
      <c r="G32" s="49"/>
      <c r="H32" s="54">
        <f>VLOOKUP(F32,$A$11:$B$11,2,TRUE)</f>
        <v>1200</v>
      </c>
      <c r="I32" s="51">
        <f t="shared" si="1"/>
        <v>0</v>
      </c>
      <c r="J32" s="53"/>
      <c r="K32" s="27"/>
      <c r="L32" s="27"/>
      <c r="M32" s="27"/>
      <c r="N32" s="27"/>
    </row>
    <row r="33" ht="15.75" customHeight="1">
      <c r="A33" s="46"/>
      <c r="B33" s="46"/>
      <c r="C33" s="46"/>
      <c r="D33" s="53"/>
      <c r="E33" s="53"/>
      <c r="F33" s="38" t="s">
        <v>28</v>
      </c>
      <c r="G33" s="49"/>
      <c r="H33" s="54">
        <f>VLOOKUP(F33,$A$12:$B$12,2,TRUE)</f>
        <v>500</v>
      </c>
      <c r="I33" s="51">
        <f t="shared" si="1"/>
        <v>0</v>
      </c>
      <c r="J33" s="53"/>
      <c r="K33" s="27"/>
      <c r="L33" s="27"/>
      <c r="M33" s="27"/>
      <c r="N33" s="27"/>
    </row>
    <row r="34" ht="15.75" customHeight="1">
      <c r="A34" s="46"/>
      <c r="B34" s="46"/>
      <c r="C34" s="46"/>
      <c r="D34" s="53"/>
      <c r="E34" s="53"/>
      <c r="F34" s="38" t="s">
        <v>29</v>
      </c>
      <c r="G34" s="49"/>
      <c r="H34" s="54">
        <f>VLOOKUP(F34,$A$13:$B$13,2,TRUE)</f>
        <v>6500</v>
      </c>
      <c r="I34" s="51">
        <f t="shared" si="1"/>
        <v>0</v>
      </c>
      <c r="J34" s="53"/>
      <c r="K34" s="27"/>
      <c r="L34" s="27"/>
      <c r="M34" s="27"/>
      <c r="N34" s="27"/>
    </row>
    <row r="35" ht="15.75" customHeight="1">
      <c r="A35" s="46"/>
      <c r="B35" s="46"/>
      <c r="C35" s="46"/>
      <c r="D35" s="53"/>
      <c r="E35" s="53"/>
      <c r="F35" s="38" t="s">
        <v>30</v>
      </c>
      <c r="G35" s="49"/>
      <c r="H35" s="54">
        <f>VLOOKUP(F35,$A$14:$B$14,2,TRUE)</f>
        <v>2200</v>
      </c>
      <c r="I35" s="51">
        <f t="shared" si="1"/>
        <v>0</v>
      </c>
      <c r="J35" s="53"/>
      <c r="K35" s="27"/>
      <c r="L35" s="27"/>
      <c r="M35" s="27"/>
      <c r="N35" s="27"/>
    </row>
    <row r="36" ht="15.75" customHeight="1">
      <c r="A36" s="46"/>
      <c r="B36" s="46"/>
      <c r="C36" s="46"/>
      <c r="D36" s="53"/>
      <c r="E36" s="53"/>
      <c r="F36" s="38" t="s">
        <v>31</v>
      </c>
      <c r="G36" s="49"/>
      <c r="H36" s="54">
        <f>VLOOKUP(F36,$A$15:$B$15,2,TRUE)</f>
        <v>1300</v>
      </c>
      <c r="I36" s="51">
        <f t="shared" si="1"/>
        <v>0</v>
      </c>
      <c r="J36" s="53"/>
      <c r="K36" s="27"/>
      <c r="L36" s="27"/>
      <c r="M36" s="27"/>
      <c r="N36" s="27"/>
    </row>
    <row r="37" ht="15.75" customHeight="1">
      <c r="A37" s="46"/>
      <c r="B37" s="46"/>
      <c r="C37" s="46"/>
      <c r="D37" s="53"/>
      <c r="E37" s="53"/>
      <c r="F37" s="38" t="s">
        <v>32</v>
      </c>
      <c r="G37" s="49"/>
      <c r="H37" s="54">
        <f>VLOOKUP(F37,$A$16:$B$16,2,TRUE)</f>
        <v>5000</v>
      </c>
      <c r="I37" s="51">
        <f t="shared" si="1"/>
        <v>0</v>
      </c>
      <c r="J37" s="53"/>
      <c r="K37" s="27"/>
      <c r="L37" s="27"/>
      <c r="M37" s="27"/>
      <c r="N37" s="27"/>
    </row>
    <row r="38" ht="15.75" customHeight="1">
      <c r="A38" s="46"/>
      <c r="B38" s="46"/>
      <c r="C38" s="46"/>
      <c r="D38" s="53"/>
      <c r="E38" s="53"/>
      <c r="F38" s="38" t="s">
        <v>33</v>
      </c>
      <c r="G38" s="49"/>
      <c r="H38" s="54">
        <f>VLOOKUP(F38,$A$17:$B$17,2,TRUE)</f>
        <v>2500</v>
      </c>
      <c r="I38" s="51">
        <f t="shared" si="1"/>
        <v>0</v>
      </c>
      <c r="J38" s="53"/>
      <c r="K38" s="27"/>
      <c r="L38" s="27"/>
      <c r="M38" s="27"/>
      <c r="N38" s="27"/>
    </row>
    <row r="39" ht="15.75" customHeight="1">
      <c r="A39" s="46"/>
      <c r="B39" s="46"/>
      <c r="C39" s="46"/>
      <c r="D39" s="53"/>
      <c r="E39" s="53"/>
      <c r="F39" s="38" t="s">
        <v>35</v>
      </c>
      <c r="G39" s="49"/>
      <c r="H39" s="54">
        <f>VLOOKUP(F39,$A$18:$B$18,2,TRUE)</f>
        <v>10000</v>
      </c>
      <c r="I39" s="51">
        <f t="shared" si="1"/>
        <v>0</v>
      </c>
      <c r="J39" s="53"/>
      <c r="K39" s="27"/>
      <c r="L39" s="27"/>
      <c r="M39" s="27"/>
      <c r="N39" s="27"/>
    </row>
    <row r="40" ht="15.75" customHeight="1">
      <c r="A40" s="46"/>
      <c r="B40" s="46"/>
      <c r="C40" s="46"/>
      <c r="D40" s="53"/>
      <c r="E40" s="53"/>
      <c r="F40" s="38" t="s">
        <v>55</v>
      </c>
      <c r="G40" s="49"/>
      <c r="H40" s="54">
        <f>VLOOKUP(F40,$A$19:$B$19,2,TRUE)</f>
        <v>300</v>
      </c>
      <c r="I40" s="51">
        <f t="shared" si="1"/>
        <v>0</v>
      </c>
      <c r="J40" s="53"/>
      <c r="K40" s="27"/>
      <c r="L40" s="27"/>
      <c r="M40" s="27"/>
      <c r="N40" s="27"/>
    </row>
    <row r="41" ht="15.75" customHeight="1">
      <c r="A41" s="46"/>
      <c r="B41" s="46"/>
      <c r="C41" s="46"/>
      <c r="D41" s="53"/>
      <c r="E41" s="53"/>
      <c r="F41" s="38" t="s">
        <v>15</v>
      </c>
      <c r="G41" s="49"/>
      <c r="H41" s="54">
        <f>VLOOKUP(F41,$A$20:$B$20,2,TRUE)</f>
        <v>300</v>
      </c>
      <c r="I41" s="51">
        <f t="shared" si="1"/>
        <v>0</v>
      </c>
      <c r="J41" s="53"/>
      <c r="K41" s="27"/>
      <c r="L41" s="27"/>
      <c r="M41" s="27"/>
      <c r="N41" s="27"/>
    </row>
    <row r="42" ht="15.75" customHeight="1">
      <c r="A42" s="46"/>
      <c r="B42" s="46"/>
      <c r="C42" s="46"/>
      <c r="D42" s="53"/>
      <c r="E42" s="53"/>
      <c r="F42" s="38" t="s">
        <v>11</v>
      </c>
      <c r="G42" s="49"/>
      <c r="H42" s="54">
        <f>VLOOKUP(F42,$A$21:$B$21,2,TRUE)</f>
        <v>1700</v>
      </c>
      <c r="I42" s="51">
        <f t="shared" si="1"/>
        <v>0</v>
      </c>
      <c r="J42" s="53"/>
      <c r="K42" s="27"/>
      <c r="L42" s="27"/>
      <c r="M42" s="27"/>
      <c r="N42" s="27"/>
    </row>
    <row r="43" ht="15.75" customHeight="1">
      <c r="A43" s="46"/>
      <c r="B43" s="46"/>
      <c r="C43" s="46"/>
      <c r="D43" s="53"/>
      <c r="E43" s="53"/>
      <c r="F43" s="38" t="s">
        <v>17</v>
      </c>
      <c r="G43" s="49"/>
      <c r="H43" s="54">
        <f>VLOOKUP(F42,$A$22:$B$22,2,TRUE)</f>
        <v>4500</v>
      </c>
      <c r="I43" s="51">
        <f t="shared" si="1"/>
        <v>0</v>
      </c>
      <c r="J43" s="53"/>
      <c r="K43" s="27"/>
      <c r="L43" s="27"/>
      <c r="M43" s="27"/>
      <c r="N43" s="27"/>
    </row>
    <row r="44" ht="15.75" customHeight="1">
      <c r="A44" s="46"/>
      <c r="B44" s="46"/>
      <c r="C44" s="46"/>
      <c r="D44" s="14"/>
      <c r="E44" s="14"/>
      <c r="F44" s="38" t="s">
        <v>56</v>
      </c>
      <c r="G44" s="49"/>
      <c r="H44" s="54">
        <f>VLOOKUP(F43,$A$23:$B$23,2,TRUE)</f>
        <v>0</v>
      </c>
      <c r="I44" s="51">
        <f t="shared" si="1"/>
        <v>0</v>
      </c>
      <c r="J44" s="14"/>
      <c r="K44" s="27"/>
      <c r="L44" s="27"/>
      <c r="M44" s="27"/>
      <c r="N44" s="27"/>
    </row>
    <row r="45" ht="15.75" customHeight="1">
      <c r="A45" s="46"/>
      <c r="B45" s="46"/>
      <c r="C45" s="46"/>
      <c r="D45" s="47">
        <v>3.0</v>
      </c>
      <c r="E45" s="61" t="s">
        <v>86</v>
      </c>
      <c r="F45" s="38" t="s">
        <v>19</v>
      </c>
      <c r="G45" s="49"/>
      <c r="H45" s="50">
        <f>VLOOKUP(F45,$A$4:$B$4,2,TRUE)</f>
        <v>3100</v>
      </c>
      <c r="I45" s="51">
        <f t="shared" si="1"/>
        <v>0</v>
      </c>
      <c r="J45" s="52">
        <f>SUM(I45:I64)</f>
        <v>2250</v>
      </c>
      <c r="K45" s="27"/>
      <c r="L45" s="27"/>
      <c r="M45" s="27"/>
      <c r="N45" s="27"/>
    </row>
    <row r="46" ht="15.75" customHeight="1">
      <c r="A46" s="46"/>
      <c r="B46" s="46"/>
      <c r="C46" s="46"/>
      <c r="D46" s="53"/>
      <c r="E46" s="53"/>
      <c r="F46" s="38" t="s">
        <v>51</v>
      </c>
      <c r="G46" s="49"/>
      <c r="H46" s="54">
        <f>VLOOKUP(F46,$A$5:$B$5,2,TRUE)</f>
        <v>3000</v>
      </c>
      <c r="I46" s="51">
        <f t="shared" si="1"/>
        <v>0</v>
      </c>
      <c r="J46" s="53"/>
      <c r="K46" s="27"/>
      <c r="L46" s="27"/>
      <c r="M46" s="27"/>
      <c r="N46" s="27"/>
    </row>
    <row r="47" ht="15.75" customHeight="1">
      <c r="A47" s="46"/>
      <c r="B47" s="46"/>
      <c r="C47" s="46"/>
      <c r="D47" s="53"/>
      <c r="E47" s="53"/>
      <c r="F47" s="38" t="s">
        <v>53</v>
      </c>
      <c r="G47" s="49"/>
      <c r="H47" s="54">
        <f>VLOOKUP(F47,$A$6:$B$6,2,TRUE)</f>
        <v>800</v>
      </c>
      <c r="I47" s="51">
        <f t="shared" si="1"/>
        <v>0</v>
      </c>
      <c r="J47" s="53"/>
      <c r="K47" s="27"/>
      <c r="L47" s="27"/>
      <c r="M47" s="27"/>
      <c r="N47" s="27"/>
    </row>
    <row r="48" ht="15.75" customHeight="1">
      <c r="A48" s="46"/>
      <c r="B48" s="46"/>
      <c r="C48" s="46"/>
      <c r="D48" s="53"/>
      <c r="E48" s="53"/>
      <c r="F48" s="38" t="s">
        <v>22</v>
      </c>
      <c r="G48" s="49"/>
      <c r="H48" s="54">
        <f>VLOOKUP(F48,$A$7:$B$7,2,TRUE)</f>
        <v>2000</v>
      </c>
      <c r="I48" s="51">
        <f t="shared" si="1"/>
        <v>0</v>
      </c>
      <c r="J48" s="53"/>
      <c r="K48" s="27"/>
      <c r="L48" s="27"/>
      <c r="M48" s="27"/>
      <c r="N48" s="27"/>
    </row>
    <row r="49" ht="15.75" customHeight="1">
      <c r="A49" s="46"/>
      <c r="B49" s="46"/>
      <c r="C49" s="46"/>
      <c r="D49" s="53"/>
      <c r="E49" s="53"/>
      <c r="F49" s="38" t="s">
        <v>23</v>
      </c>
      <c r="G49" s="49"/>
      <c r="H49" s="54">
        <f>VLOOKUP(F49, $A$8:$B$8, 2, FALSE)</f>
        <v>2800</v>
      </c>
      <c r="I49" s="51">
        <f t="shared" si="1"/>
        <v>0</v>
      </c>
      <c r="J49" s="53"/>
      <c r="K49" s="27"/>
      <c r="L49" s="27"/>
      <c r="M49" s="27"/>
      <c r="N49" s="27"/>
    </row>
    <row r="50" ht="15.75" customHeight="1">
      <c r="A50" s="46"/>
      <c r="B50" s="46"/>
      <c r="C50" s="46"/>
      <c r="D50" s="53"/>
      <c r="E50" s="53"/>
      <c r="F50" s="38" t="s">
        <v>54</v>
      </c>
      <c r="G50" s="49">
        <v>0.5</v>
      </c>
      <c r="H50" s="54">
        <f>VLOOKUP(F50, $A$9:$B$9, 2, FALSE)</f>
        <v>800</v>
      </c>
      <c r="I50" s="51">
        <f t="shared" si="1"/>
        <v>400</v>
      </c>
      <c r="J50" s="53"/>
      <c r="K50" s="27"/>
      <c r="L50" s="27"/>
      <c r="M50" s="27"/>
      <c r="N50" s="27"/>
    </row>
    <row r="51" ht="15.75" customHeight="1">
      <c r="A51" s="46"/>
      <c r="B51" s="46"/>
      <c r="C51" s="46"/>
      <c r="D51" s="53"/>
      <c r="E51" s="53"/>
      <c r="F51" s="38" t="s">
        <v>25</v>
      </c>
      <c r="G51" s="49"/>
      <c r="H51" s="54">
        <f>VLOOKUP(F51,$A$10:$B$10,2,TRUE)</f>
        <v>1500</v>
      </c>
      <c r="I51" s="51">
        <f t="shared" si="1"/>
        <v>0</v>
      </c>
      <c r="J51" s="53"/>
      <c r="K51" s="27"/>
      <c r="L51" s="27"/>
      <c r="M51" s="27"/>
      <c r="N51" s="27"/>
    </row>
    <row r="52" ht="15.75" customHeight="1">
      <c r="A52" s="46"/>
      <c r="B52" s="46"/>
      <c r="C52" s="46"/>
      <c r="D52" s="53"/>
      <c r="E52" s="53"/>
      <c r="F52" s="38" t="s">
        <v>26</v>
      </c>
      <c r="G52" s="49"/>
      <c r="H52" s="54">
        <f>VLOOKUP(F52,$A$11:$B$11,2,TRUE)</f>
        <v>1200</v>
      </c>
      <c r="I52" s="51">
        <f t="shared" si="1"/>
        <v>0</v>
      </c>
      <c r="J52" s="53"/>
      <c r="K52" s="27"/>
      <c r="L52" s="27"/>
      <c r="M52" s="27"/>
      <c r="N52" s="27"/>
    </row>
    <row r="53" ht="15.75" customHeight="1">
      <c r="A53" s="46"/>
      <c r="B53" s="46"/>
      <c r="C53" s="46"/>
      <c r="D53" s="53"/>
      <c r="E53" s="53"/>
      <c r="F53" s="38" t="s">
        <v>28</v>
      </c>
      <c r="G53" s="49">
        <v>2.5</v>
      </c>
      <c r="H53" s="54">
        <f>VLOOKUP(F53,$A$12:$B$12,2,TRUE)</f>
        <v>500</v>
      </c>
      <c r="I53" s="51">
        <f t="shared" si="1"/>
        <v>1250</v>
      </c>
      <c r="J53" s="53"/>
      <c r="K53" s="27"/>
      <c r="L53" s="27"/>
      <c r="M53" s="27"/>
      <c r="N53" s="27"/>
    </row>
    <row r="54" ht="15.75" customHeight="1">
      <c r="A54" s="46"/>
      <c r="B54" s="46"/>
      <c r="C54" s="46"/>
      <c r="D54" s="53"/>
      <c r="E54" s="53"/>
      <c r="F54" s="38" t="s">
        <v>29</v>
      </c>
      <c r="G54" s="49"/>
      <c r="H54" s="54">
        <f>VLOOKUP(F54,$A$13:$B$13,2,TRUE)</f>
        <v>6500</v>
      </c>
      <c r="I54" s="51">
        <f t="shared" si="1"/>
        <v>0</v>
      </c>
      <c r="J54" s="53"/>
      <c r="K54" s="27"/>
      <c r="L54" s="27"/>
      <c r="M54" s="27"/>
      <c r="N54" s="27"/>
    </row>
    <row r="55" ht="15.75" customHeight="1">
      <c r="A55" s="46"/>
      <c r="B55" s="46"/>
      <c r="C55" s="46"/>
      <c r="D55" s="53"/>
      <c r="E55" s="53"/>
      <c r="F55" s="38" t="s">
        <v>30</v>
      </c>
      <c r="G55" s="49"/>
      <c r="H55" s="54">
        <f>VLOOKUP(F55,$A$14:$B$14,2,TRUE)</f>
        <v>2200</v>
      </c>
      <c r="I55" s="51">
        <f t="shared" si="1"/>
        <v>0</v>
      </c>
      <c r="J55" s="53"/>
      <c r="K55" s="27"/>
      <c r="L55" s="27"/>
      <c r="M55" s="27"/>
      <c r="N55" s="27"/>
    </row>
    <row r="56" ht="15.75" customHeight="1">
      <c r="A56" s="46"/>
      <c r="B56" s="46"/>
      <c r="C56" s="46"/>
      <c r="D56" s="53"/>
      <c r="E56" s="53"/>
      <c r="F56" s="38" t="s">
        <v>31</v>
      </c>
      <c r="G56" s="49"/>
      <c r="H56" s="54">
        <f>VLOOKUP(F56,$A$15:$B$15,2,TRUE)</f>
        <v>1300</v>
      </c>
      <c r="I56" s="51">
        <f t="shared" si="1"/>
        <v>0</v>
      </c>
      <c r="J56" s="53"/>
      <c r="K56" s="27"/>
      <c r="L56" s="27"/>
      <c r="M56" s="27"/>
      <c r="N56" s="27"/>
    </row>
    <row r="57" ht="15.75" customHeight="1">
      <c r="A57" s="46"/>
      <c r="B57" s="46"/>
      <c r="C57" s="46"/>
      <c r="D57" s="53"/>
      <c r="E57" s="53"/>
      <c r="F57" s="38" t="s">
        <v>32</v>
      </c>
      <c r="G57" s="49"/>
      <c r="H57" s="54">
        <f>VLOOKUP(F57,$A$16:$B$16,2,TRUE)</f>
        <v>5000</v>
      </c>
      <c r="I57" s="51">
        <f t="shared" si="1"/>
        <v>0</v>
      </c>
      <c r="J57" s="53"/>
      <c r="K57" s="27"/>
      <c r="L57" s="27"/>
      <c r="M57" s="27"/>
      <c r="N57" s="27"/>
    </row>
    <row r="58" ht="15.75" customHeight="1">
      <c r="A58" s="46"/>
      <c r="B58" s="46"/>
      <c r="C58" s="46"/>
      <c r="D58" s="53"/>
      <c r="E58" s="53"/>
      <c r="F58" s="38" t="s">
        <v>33</v>
      </c>
      <c r="G58" s="49"/>
      <c r="H58" s="54">
        <f>VLOOKUP(F58,$A$17:$B$17,2,TRUE)</f>
        <v>2500</v>
      </c>
      <c r="I58" s="51">
        <f t="shared" si="1"/>
        <v>0</v>
      </c>
      <c r="J58" s="53"/>
      <c r="K58" s="27"/>
      <c r="L58" s="27"/>
      <c r="M58" s="27"/>
      <c r="N58" s="27"/>
    </row>
    <row r="59" ht="15.75" customHeight="1">
      <c r="A59" s="46"/>
      <c r="B59" s="46"/>
      <c r="C59" s="46"/>
      <c r="D59" s="53"/>
      <c r="E59" s="53"/>
      <c r="F59" s="38" t="s">
        <v>35</v>
      </c>
      <c r="G59" s="49"/>
      <c r="H59" s="54">
        <f>VLOOKUP(F59,$A$18:$B$18,2,TRUE)</f>
        <v>10000</v>
      </c>
      <c r="I59" s="51">
        <f t="shared" si="1"/>
        <v>0</v>
      </c>
      <c r="J59" s="53"/>
      <c r="K59" s="27"/>
      <c r="L59" s="27"/>
      <c r="M59" s="27"/>
      <c r="N59" s="27"/>
    </row>
    <row r="60" ht="15.75" customHeight="1">
      <c r="A60" s="46"/>
      <c r="B60" s="46"/>
      <c r="C60" s="46"/>
      <c r="D60" s="53"/>
      <c r="E60" s="53"/>
      <c r="F60" s="38" t="s">
        <v>55</v>
      </c>
      <c r="G60" s="49">
        <v>2.0</v>
      </c>
      <c r="H60" s="54">
        <f>VLOOKUP(F60,$A$19:$B$19,2,TRUE)</f>
        <v>300</v>
      </c>
      <c r="I60" s="51">
        <f t="shared" si="1"/>
        <v>600</v>
      </c>
      <c r="J60" s="53"/>
      <c r="K60" s="27"/>
      <c r="L60" s="27"/>
      <c r="M60" s="27"/>
      <c r="N60" s="27"/>
    </row>
    <row r="61" ht="15.75" customHeight="1">
      <c r="A61" s="46"/>
      <c r="B61" s="46"/>
      <c r="C61" s="46"/>
      <c r="D61" s="53"/>
      <c r="E61" s="53"/>
      <c r="F61" s="38" t="s">
        <v>15</v>
      </c>
      <c r="G61" s="49"/>
      <c r="H61" s="54">
        <f>VLOOKUP(F61,$A$20:$B$20,2,TRUE)</f>
        <v>300</v>
      </c>
      <c r="I61" s="51">
        <f t="shared" si="1"/>
        <v>0</v>
      </c>
      <c r="J61" s="53"/>
      <c r="K61" s="27"/>
      <c r="L61" s="27"/>
      <c r="M61" s="27"/>
      <c r="N61" s="27"/>
    </row>
    <row r="62" ht="15.75" customHeight="1">
      <c r="A62" s="46"/>
      <c r="B62" s="46"/>
      <c r="C62" s="46"/>
      <c r="D62" s="53"/>
      <c r="E62" s="53"/>
      <c r="F62" s="38" t="s">
        <v>11</v>
      </c>
      <c r="G62" s="49"/>
      <c r="H62" s="54">
        <f>VLOOKUP(F62,$A$21:$B$21,2,TRUE)</f>
        <v>1700</v>
      </c>
      <c r="I62" s="51">
        <f t="shared" si="1"/>
        <v>0</v>
      </c>
      <c r="J62" s="53"/>
      <c r="K62" s="27"/>
      <c r="L62" s="27"/>
      <c r="M62" s="27"/>
      <c r="N62" s="27"/>
    </row>
    <row r="63" ht="15.75" customHeight="1">
      <c r="A63" s="46"/>
      <c r="B63" s="46"/>
      <c r="C63" s="46"/>
      <c r="D63" s="53"/>
      <c r="E63" s="53"/>
      <c r="F63" s="38" t="s">
        <v>17</v>
      </c>
      <c r="G63" s="49"/>
      <c r="H63" s="54">
        <f>VLOOKUP(F62,$A$22:$B$22,2,TRUE)</f>
        <v>4500</v>
      </c>
      <c r="I63" s="51">
        <f t="shared" si="1"/>
        <v>0</v>
      </c>
      <c r="J63" s="53"/>
      <c r="K63" s="27"/>
      <c r="L63" s="27"/>
      <c r="M63" s="27"/>
      <c r="N63" s="27"/>
    </row>
    <row r="64" ht="15.75" customHeight="1">
      <c r="A64" s="46"/>
      <c r="B64" s="46"/>
      <c r="C64" s="46"/>
      <c r="D64" s="14"/>
      <c r="E64" s="14"/>
      <c r="F64" s="38" t="s">
        <v>56</v>
      </c>
      <c r="G64" s="49">
        <v>3.0</v>
      </c>
      <c r="H64" s="54">
        <f>VLOOKUP(F63,$A$23:$B$23,2,TRUE)</f>
        <v>0</v>
      </c>
      <c r="I64" s="51">
        <f t="shared" si="1"/>
        <v>0</v>
      </c>
      <c r="J64" s="14"/>
      <c r="K64" s="27"/>
      <c r="L64" s="27"/>
      <c r="M64" s="27"/>
      <c r="N64" s="27"/>
    </row>
    <row r="65" ht="15.75" customHeight="1">
      <c r="A65" s="46"/>
      <c r="B65" s="46"/>
      <c r="C65" s="46"/>
      <c r="D65" s="47">
        <v>4.0</v>
      </c>
      <c r="E65" s="48" t="s">
        <v>87</v>
      </c>
      <c r="F65" s="38" t="s">
        <v>19</v>
      </c>
      <c r="G65" s="49"/>
      <c r="H65" s="50">
        <f>VLOOKUP(F65,$A$4:$B$4,2,TRUE)</f>
        <v>3100</v>
      </c>
      <c r="I65" s="51">
        <f t="shared" si="1"/>
        <v>0</v>
      </c>
      <c r="J65" s="52">
        <f>SUM(I65:I84)</f>
        <v>12200</v>
      </c>
      <c r="K65" s="27"/>
      <c r="L65" s="27"/>
      <c r="M65" s="27"/>
      <c r="N65" s="27"/>
    </row>
    <row r="66" ht="15.75" customHeight="1">
      <c r="A66" s="46"/>
      <c r="B66" s="46"/>
      <c r="C66" s="46"/>
      <c r="D66" s="53"/>
      <c r="E66" s="53"/>
      <c r="F66" s="38" t="s">
        <v>51</v>
      </c>
      <c r="G66" s="49"/>
      <c r="H66" s="54">
        <f>VLOOKUP(F66,$A$5:$B$5,2,TRUE)</f>
        <v>3000</v>
      </c>
      <c r="I66" s="51">
        <f t="shared" si="1"/>
        <v>0</v>
      </c>
      <c r="J66" s="53"/>
      <c r="K66" s="27"/>
      <c r="L66" s="27"/>
      <c r="M66" s="27"/>
      <c r="N66" s="27"/>
    </row>
    <row r="67" ht="15.75" customHeight="1">
      <c r="A67" s="46"/>
      <c r="B67" s="46"/>
      <c r="C67" s="46"/>
      <c r="D67" s="53"/>
      <c r="E67" s="53"/>
      <c r="F67" s="38" t="s">
        <v>53</v>
      </c>
      <c r="G67" s="49"/>
      <c r="H67" s="54">
        <f>VLOOKUP(F67,$A$6:$B$6,2,TRUE)</f>
        <v>800</v>
      </c>
      <c r="I67" s="51">
        <f t="shared" si="1"/>
        <v>0</v>
      </c>
      <c r="J67" s="53"/>
      <c r="K67" s="27"/>
      <c r="L67" s="27"/>
      <c r="M67" s="27"/>
      <c r="N67" s="27"/>
    </row>
    <row r="68" ht="15.75" customHeight="1">
      <c r="A68" s="46"/>
      <c r="B68" s="46"/>
      <c r="C68" s="46"/>
      <c r="D68" s="53"/>
      <c r="E68" s="53"/>
      <c r="F68" s="38" t="s">
        <v>22</v>
      </c>
      <c r="G68" s="49"/>
      <c r="H68" s="54">
        <f>VLOOKUP(F68,$A$7:$B$7,2,TRUE)</f>
        <v>2000</v>
      </c>
      <c r="I68" s="51">
        <f t="shared" si="1"/>
        <v>0</v>
      </c>
      <c r="J68" s="53"/>
      <c r="K68" s="27"/>
      <c r="L68" s="27"/>
      <c r="M68" s="27"/>
      <c r="N68" s="27"/>
    </row>
    <row r="69" ht="15.75" customHeight="1">
      <c r="A69" s="46"/>
      <c r="B69" s="46"/>
      <c r="C69" s="46"/>
      <c r="D69" s="53"/>
      <c r="E69" s="53"/>
      <c r="F69" s="38" t="s">
        <v>23</v>
      </c>
      <c r="G69" s="49"/>
      <c r="H69" s="54">
        <f>VLOOKUP(F69, $A$8:$B$8, 2, FALSE)</f>
        <v>2800</v>
      </c>
      <c r="I69" s="51">
        <f t="shared" si="1"/>
        <v>0</v>
      </c>
      <c r="J69" s="53"/>
      <c r="K69" s="27"/>
      <c r="L69" s="27"/>
      <c r="M69" s="27"/>
      <c r="N69" s="27"/>
    </row>
    <row r="70" ht="15.75" customHeight="1">
      <c r="A70" s="46"/>
      <c r="B70" s="46"/>
      <c r="C70" s="46"/>
      <c r="D70" s="53"/>
      <c r="E70" s="53"/>
      <c r="F70" s="38" t="s">
        <v>54</v>
      </c>
      <c r="G70" s="49">
        <v>8.5</v>
      </c>
      <c r="H70" s="54">
        <f>VLOOKUP(F70, $A$9:$B$9, 2, FALSE)</f>
        <v>800</v>
      </c>
      <c r="I70" s="51">
        <f t="shared" si="1"/>
        <v>6800</v>
      </c>
      <c r="J70" s="53"/>
      <c r="K70" s="27"/>
      <c r="L70" s="27"/>
      <c r="M70" s="27"/>
      <c r="N70" s="27"/>
    </row>
    <row r="71" ht="15.75" customHeight="1">
      <c r="A71" s="46"/>
      <c r="B71" s="46"/>
      <c r="C71" s="46"/>
      <c r="D71" s="53"/>
      <c r="E71" s="53"/>
      <c r="F71" s="38" t="s">
        <v>25</v>
      </c>
      <c r="G71" s="49"/>
      <c r="H71" s="54">
        <f>VLOOKUP(F71,$A$10:$B$10,2,TRUE)</f>
        <v>1500</v>
      </c>
      <c r="I71" s="51">
        <f t="shared" si="1"/>
        <v>0</v>
      </c>
      <c r="J71" s="53"/>
      <c r="K71" s="27"/>
      <c r="L71" s="27"/>
      <c r="M71" s="27"/>
      <c r="N71" s="27"/>
    </row>
    <row r="72" ht="15.75" customHeight="1">
      <c r="A72" s="46"/>
      <c r="B72" s="46"/>
      <c r="C72" s="46"/>
      <c r="D72" s="53"/>
      <c r="E72" s="53"/>
      <c r="F72" s="38" t="s">
        <v>26</v>
      </c>
      <c r="G72" s="49"/>
      <c r="H72" s="54">
        <f>VLOOKUP(F72,$A$11:$B$11,2,TRUE)</f>
        <v>1200</v>
      </c>
      <c r="I72" s="51">
        <f t="shared" si="1"/>
        <v>0</v>
      </c>
      <c r="J72" s="53"/>
      <c r="K72" s="27"/>
      <c r="L72" s="27"/>
      <c r="M72" s="27"/>
      <c r="N72" s="27"/>
    </row>
    <row r="73" ht="15.75" customHeight="1">
      <c r="A73" s="46"/>
      <c r="B73" s="46"/>
      <c r="C73" s="46"/>
      <c r="D73" s="53"/>
      <c r="E73" s="53"/>
      <c r="F73" s="38" t="s">
        <v>28</v>
      </c>
      <c r="G73" s="49">
        <v>9.0</v>
      </c>
      <c r="H73" s="54">
        <f>VLOOKUP(F73,$A$12:$B$12,2,TRUE)</f>
        <v>500</v>
      </c>
      <c r="I73" s="51">
        <f t="shared" si="1"/>
        <v>4500</v>
      </c>
      <c r="J73" s="53"/>
      <c r="K73" s="27"/>
      <c r="L73" s="27"/>
      <c r="M73" s="27"/>
      <c r="N73" s="27"/>
    </row>
    <row r="74" ht="15.75" customHeight="1">
      <c r="A74" s="46"/>
      <c r="B74" s="46"/>
      <c r="C74" s="46"/>
      <c r="D74" s="53"/>
      <c r="E74" s="53"/>
      <c r="F74" s="38" t="s">
        <v>29</v>
      </c>
      <c r="G74" s="49"/>
      <c r="H74" s="54">
        <f>VLOOKUP(F74,$A$13:$B$13,2,TRUE)</f>
        <v>6500</v>
      </c>
      <c r="I74" s="51">
        <f t="shared" si="1"/>
        <v>0</v>
      </c>
      <c r="J74" s="53"/>
      <c r="K74" s="27"/>
      <c r="L74" s="27"/>
      <c r="M74" s="27"/>
      <c r="N74" s="27"/>
    </row>
    <row r="75" ht="15.75" customHeight="1">
      <c r="A75" s="46"/>
      <c r="B75" s="46"/>
      <c r="C75" s="46"/>
      <c r="D75" s="53"/>
      <c r="E75" s="53"/>
      <c r="F75" s="38" t="s">
        <v>30</v>
      </c>
      <c r="G75" s="49"/>
      <c r="H75" s="54">
        <f>VLOOKUP(F75,$A$14:$B$14,2,TRUE)</f>
        <v>2200</v>
      </c>
      <c r="I75" s="51">
        <f t="shared" si="1"/>
        <v>0</v>
      </c>
      <c r="J75" s="53"/>
      <c r="K75" s="27"/>
      <c r="L75" s="27"/>
      <c r="M75" s="27"/>
      <c r="N75" s="27"/>
    </row>
    <row r="76" ht="15.75" customHeight="1">
      <c r="A76" s="46"/>
      <c r="B76" s="46"/>
      <c r="C76" s="46"/>
      <c r="D76" s="53"/>
      <c r="E76" s="53"/>
      <c r="F76" s="38" t="s">
        <v>31</v>
      </c>
      <c r="G76" s="49"/>
      <c r="H76" s="54">
        <f>VLOOKUP(F76,$A$15:$B$15,2,TRUE)</f>
        <v>1300</v>
      </c>
      <c r="I76" s="51">
        <f t="shared" si="1"/>
        <v>0</v>
      </c>
      <c r="J76" s="53"/>
      <c r="K76" s="27"/>
      <c r="L76" s="27"/>
      <c r="M76" s="27"/>
      <c r="N76" s="27"/>
    </row>
    <row r="77" ht="15.75" customHeight="1">
      <c r="A77" s="46"/>
      <c r="B77" s="46"/>
      <c r="C77" s="46"/>
      <c r="D77" s="53"/>
      <c r="E77" s="53"/>
      <c r="F77" s="38" t="s">
        <v>32</v>
      </c>
      <c r="G77" s="49"/>
      <c r="H77" s="54">
        <f>VLOOKUP(F77,$A$16:$B$16,2,TRUE)</f>
        <v>5000</v>
      </c>
      <c r="I77" s="51">
        <f t="shared" si="1"/>
        <v>0</v>
      </c>
      <c r="J77" s="53"/>
      <c r="K77" s="27"/>
      <c r="L77" s="27"/>
      <c r="M77" s="27"/>
      <c r="N77" s="27"/>
    </row>
    <row r="78" ht="15.75" customHeight="1">
      <c r="A78" s="46"/>
      <c r="B78" s="46"/>
      <c r="C78" s="46"/>
      <c r="D78" s="53"/>
      <c r="E78" s="53"/>
      <c r="F78" s="38" t="s">
        <v>33</v>
      </c>
      <c r="G78" s="49"/>
      <c r="H78" s="54">
        <f>VLOOKUP(F78,$A$17:$B$17,2,TRUE)</f>
        <v>2500</v>
      </c>
      <c r="I78" s="51">
        <f t="shared" si="1"/>
        <v>0</v>
      </c>
      <c r="J78" s="53"/>
      <c r="K78" s="27"/>
      <c r="L78" s="27"/>
      <c r="M78" s="27"/>
      <c r="N78" s="27"/>
    </row>
    <row r="79" ht="15.75" customHeight="1">
      <c r="A79" s="46"/>
      <c r="B79" s="46"/>
      <c r="C79" s="46"/>
      <c r="D79" s="53"/>
      <c r="E79" s="53"/>
      <c r="F79" s="38" t="s">
        <v>35</v>
      </c>
      <c r="G79" s="49"/>
      <c r="H79" s="54">
        <f>VLOOKUP(F79,$A$18:$B$18,2,TRUE)</f>
        <v>10000</v>
      </c>
      <c r="I79" s="51">
        <f t="shared" si="1"/>
        <v>0</v>
      </c>
      <c r="J79" s="53"/>
      <c r="K79" s="27"/>
      <c r="L79" s="27"/>
      <c r="M79" s="27"/>
      <c r="N79" s="27"/>
    </row>
    <row r="80" ht="15.75" customHeight="1">
      <c r="A80" s="46"/>
      <c r="B80" s="46"/>
      <c r="C80" s="46"/>
      <c r="D80" s="53"/>
      <c r="E80" s="53"/>
      <c r="F80" s="38" t="s">
        <v>55</v>
      </c>
      <c r="G80" s="49">
        <v>3.0</v>
      </c>
      <c r="H80" s="54">
        <f>VLOOKUP(F80,$A$19:$B$19,2,TRUE)</f>
        <v>300</v>
      </c>
      <c r="I80" s="51">
        <f t="shared" si="1"/>
        <v>900</v>
      </c>
      <c r="J80" s="53"/>
      <c r="K80" s="27"/>
      <c r="L80" s="27"/>
      <c r="M80" s="27"/>
      <c r="N80" s="27"/>
    </row>
    <row r="81" ht="15.75" customHeight="1">
      <c r="A81" s="46"/>
      <c r="B81" s="46"/>
      <c r="C81" s="46"/>
      <c r="D81" s="53"/>
      <c r="E81" s="53"/>
      <c r="F81" s="38" t="s">
        <v>15</v>
      </c>
      <c r="G81" s="49"/>
      <c r="H81" s="54">
        <f>VLOOKUP(F81,$A$20:$B$20,2,TRUE)</f>
        <v>300</v>
      </c>
      <c r="I81" s="51">
        <f t="shared" si="1"/>
        <v>0</v>
      </c>
      <c r="J81" s="53"/>
      <c r="K81" s="27"/>
      <c r="L81" s="27"/>
      <c r="M81" s="27"/>
      <c r="N81" s="27"/>
    </row>
    <row r="82" ht="15.75" customHeight="1">
      <c r="A82" s="46"/>
      <c r="B82" s="46"/>
      <c r="C82" s="46"/>
      <c r="D82" s="53"/>
      <c r="E82" s="53"/>
      <c r="F82" s="38" t="s">
        <v>11</v>
      </c>
      <c r="G82" s="49"/>
      <c r="H82" s="54">
        <f>VLOOKUP(F82,$A$21:$B$21,2,TRUE)</f>
        <v>1700</v>
      </c>
      <c r="I82" s="51">
        <f t="shared" si="1"/>
        <v>0</v>
      </c>
      <c r="J82" s="53"/>
      <c r="K82" s="27"/>
      <c r="L82" s="27"/>
      <c r="M82" s="27"/>
      <c r="N82" s="27"/>
    </row>
    <row r="83" ht="15.75" customHeight="1">
      <c r="A83" s="46"/>
      <c r="B83" s="46"/>
      <c r="C83" s="46"/>
      <c r="D83" s="53"/>
      <c r="E83" s="53"/>
      <c r="F83" s="38" t="s">
        <v>17</v>
      </c>
      <c r="G83" s="49"/>
      <c r="H83" s="54">
        <f>VLOOKUP(F82,$A$22:$B$22,2,TRUE)</f>
        <v>4500</v>
      </c>
      <c r="I83" s="51">
        <f t="shared" si="1"/>
        <v>0</v>
      </c>
      <c r="J83" s="53"/>
      <c r="K83" s="27"/>
      <c r="L83" s="27"/>
      <c r="M83" s="27"/>
      <c r="N83" s="27"/>
    </row>
    <row r="84" ht="15.75" customHeight="1">
      <c r="A84" s="46"/>
      <c r="B84" s="46"/>
      <c r="C84" s="46"/>
      <c r="D84" s="14"/>
      <c r="E84" s="14"/>
      <c r="F84" s="38" t="s">
        <v>56</v>
      </c>
      <c r="G84" s="49">
        <v>7.0</v>
      </c>
      <c r="H84" s="54">
        <f>VLOOKUP(F83,$A$23:$B$23,2,TRUE)</f>
        <v>0</v>
      </c>
      <c r="I84" s="51">
        <f t="shared" si="1"/>
        <v>0</v>
      </c>
      <c r="J84" s="14"/>
      <c r="K84" s="27"/>
      <c r="L84" s="27"/>
      <c r="M84" s="27"/>
      <c r="N84" s="27"/>
    </row>
    <row r="85" ht="15.75" customHeight="1">
      <c r="A85" s="46"/>
      <c r="B85" s="46"/>
      <c r="C85" s="46"/>
      <c r="D85" s="47">
        <v>5.0</v>
      </c>
      <c r="E85" s="48" t="s">
        <v>88</v>
      </c>
      <c r="F85" s="38" t="s">
        <v>19</v>
      </c>
      <c r="G85" s="49"/>
      <c r="H85" s="50">
        <f>VLOOKUP(F85,$A$4:$B$4,2,TRUE)</f>
        <v>3100</v>
      </c>
      <c r="I85" s="51">
        <f t="shared" si="1"/>
        <v>0</v>
      </c>
      <c r="J85" s="52">
        <f>SUM(I85:I104)</f>
        <v>40500</v>
      </c>
      <c r="K85" s="27"/>
      <c r="L85" s="27"/>
      <c r="M85" s="27"/>
      <c r="N85" s="27"/>
    </row>
    <row r="86" ht="15.75" customHeight="1">
      <c r="A86" s="46"/>
      <c r="B86" s="46"/>
      <c r="C86" s="46"/>
      <c r="D86" s="53"/>
      <c r="E86" s="53"/>
      <c r="F86" s="38" t="s">
        <v>51</v>
      </c>
      <c r="G86" s="49"/>
      <c r="H86" s="54">
        <f>VLOOKUP(F86,$A$5:$B$5,2,TRUE)</f>
        <v>3000</v>
      </c>
      <c r="I86" s="51">
        <f t="shared" si="1"/>
        <v>0</v>
      </c>
      <c r="J86" s="53"/>
      <c r="K86" s="27"/>
      <c r="L86" s="27"/>
      <c r="M86" s="27"/>
      <c r="N86" s="27"/>
    </row>
    <row r="87" ht="15.75" customHeight="1">
      <c r="A87" s="46"/>
      <c r="B87" s="46"/>
      <c r="C87" s="46"/>
      <c r="D87" s="53"/>
      <c r="E87" s="53"/>
      <c r="F87" s="38" t="s">
        <v>53</v>
      </c>
      <c r="G87" s="49"/>
      <c r="H87" s="54">
        <f>VLOOKUP(F87,$A$6:$B$6,2,TRUE)</f>
        <v>800</v>
      </c>
      <c r="I87" s="51">
        <f t="shared" si="1"/>
        <v>0</v>
      </c>
      <c r="J87" s="53"/>
      <c r="K87" s="27"/>
      <c r="L87" s="27"/>
      <c r="M87" s="27"/>
      <c r="N87" s="27"/>
    </row>
    <row r="88" ht="15.75" customHeight="1">
      <c r="A88" s="46"/>
      <c r="B88" s="46"/>
      <c r="C88" s="46"/>
      <c r="D88" s="53"/>
      <c r="E88" s="53"/>
      <c r="F88" s="38" t="s">
        <v>22</v>
      </c>
      <c r="G88" s="49"/>
      <c r="H88" s="54">
        <f>VLOOKUP(F88,$A$7:$B$7,2,TRUE)</f>
        <v>2000</v>
      </c>
      <c r="I88" s="51">
        <f t="shared" si="1"/>
        <v>0</v>
      </c>
      <c r="J88" s="53"/>
      <c r="K88" s="27"/>
      <c r="L88" s="27"/>
      <c r="M88" s="27"/>
      <c r="N88" s="27"/>
    </row>
    <row r="89" ht="15.75" customHeight="1">
      <c r="A89" s="46"/>
      <c r="B89" s="46"/>
      <c r="C89" s="46"/>
      <c r="D89" s="53"/>
      <c r="E89" s="53"/>
      <c r="F89" s="38" t="s">
        <v>23</v>
      </c>
      <c r="G89" s="49"/>
      <c r="H89" s="54">
        <f>VLOOKUP(F89, $A$8:$B$8, 2, FALSE)</f>
        <v>2800</v>
      </c>
      <c r="I89" s="51">
        <f t="shared" si="1"/>
        <v>0</v>
      </c>
      <c r="J89" s="53"/>
      <c r="K89" s="27"/>
      <c r="L89" s="27"/>
      <c r="M89" s="27"/>
      <c r="N89" s="27"/>
    </row>
    <row r="90" ht="15.75" customHeight="1">
      <c r="A90" s="46"/>
      <c r="B90" s="46"/>
      <c r="C90" s="46"/>
      <c r="D90" s="53"/>
      <c r="E90" s="53"/>
      <c r="F90" s="38" t="s">
        <v>54</v>
      </c>
      <c r="G90" s="49"/>
      <c r="H90" s="54">
        <f>VLOOKUP(F90, $A$9:$B$9, 2, FALSE)</f>
        <v>800</v>
      </c>
      <c r="I90" s="51">
        <f t="shared" si="1"/>
        <v>0</v>
      </c>
      <c r="J90" s="53"/>
      <c r="K90" s="27"/>
      <c r="L90" s="27"/>
      <c r="M90" s="27"/>
      <c r="N90" s="27"/>
    </row>
    <row r="91" ht="15.75" customHeight="1">
      <c r="A91" s="46"/>
      <c r="B91" s="46"/>
      <c r="C91" s="46"/>
      <c r="D91" s="53"/>
      <c r="E91" s="53"/>
      <c r="F91" s="38" t="s">
        <v>25</v>
      </c>
      <c r="G91" s="49"/>
      <c r="H91" s="54">
        <f>VLOOKUP(F91,$A$10:$B$10,2,TRUE)</f>
        <v>1500</v>
      </c>
      <c r="I91" s="51">
        <f t="shared" si="1"/>
        <v>0</v>
      </c>
      <c r="J91" s="53"/>
      <c r="K91" s="27"/>
      <c r="L91" s="27"/>
      <c r="M91" s="27"/>
      <c r="N91" s="27"/>
    </row>
    <row r="92" ht="15.75" customHeight="1">
      <c r="A92" s="46"/>
      <c r="B92" s="46"/>
      <c r="C92" s="46"/>
      <c r="D92" s="53"/>
      <c r="E92" s="53"/>
      <c r="F92" s="38" t="s">
        <v>26</v>
      </c>
      <c r="G92" s="49"/>
      <c r="H92" s="54">
        <f>VLOOKUP(F92,$A$11:$B$11,2,TRUE)</f>
        <v>1200</v>
      </c>
      <c r="I92" s="51">
        <f t="shared" si="1"/>
        <v>0</v>
      </c>
      <c r="J92" s="53"/>
      <c r="K92" s="27"/>
      <c r="L92" s="27"/>
      <c r="M92" s="27"/>
      <c r="N92" s="27"/>
    </row>
    <row r="93" ht="15.75" customHeight="1">
      <c r="A93" s="46"/>
      <c r="B93" s="46"/>
      <c r="C93" s="46"/>
      <c r="D93" s="53"/>
      <c r="E93" s="53"/>
      <c r="F93" s="38" t="s">
        <v>28</v>
      </c>
      <c r="G93" s="49"/>
      <c r="H93" s="54">
        <f>VLOOKUP(F93,$A$12:$B$12,2,TRUE)</f>
        <v>500</v>
      </c>
      <c r="I93" s="51">
        <f t="shared" si="1"/>
        <v>0</v>
      </c>
      <c r="J93" s="53"/>
      <c r="K93" s="27"/>
      <c r="L93" s="27"/>
      <c r="M93" s="27"/>
      <c r="N93" s="27"/>
    </row>
    <row r="94" ht="15.75" customHeight="1">
      <c r="A94" s="46"/>
      <c r="B94" s="46"/>
      <c r="C94" s="46"/>
      <c r="D94" s="53"/>
      <c r="E94" s="53"/>
      <c r="F94" s="38" t="s">
        <v>29</v>
      </c>
      <c r="G94" s="49"/>
      <c r="H94" s="54">
        <f>VLOOKUP(F94,$A$13:$B$13,2,TRUE)</f>
        <v>6500</v>
      </c>
      <c r="I94" s="51">
        <f t="shared" si="1"/>
        <v>0</v>
      </c>
      <c r="J94" s="53"/>
      <c r="K94" s="27"/>
      <c r="L94" s="27"/>
      <c r="M94" s="27"/>
      <c r="N94" s="27"/>
    </row>
    <row r="95" ht="15.75" customHeight="1">
      <c r="A95" s="46"/>
      <c r="B95" s="46"/>
      <c r="C95" s="46"/>
      <c r="D95" s="53"/>
      <c r="E95" s="53"/>
      <c r="F95" s="38" t="s">
        <v>30</v>
      </c>
      <c r="G95" s="49"/>
      <c r="H95" s="54">
        <f>VLOOKUP(F95,$A$14:$B$14,2,TRUE)</f>
        <v>2200</v>
      </c>
      <c r="I95" s="51">
        <f t="shared" si="1"/>
        <v>0</v>
      </c>
      <c r="J95" s="53"/>
      <c r="K95" s="27"/>
      <c r="L95" s="27"/>
      <c r="M95" s="27"/>
      <c r="N95" s="27"/>
    </row>
    <row r="96" ht="15.75" customHeight="1">
      <c r="A96" s="46"/>
      <c r="B96" s="46"/>
      <c r="C96" s="46"/>
      <c r="D96" s="53"/>
      <c r="E96" s="53"/>
      <c r="F96" s="38" t="s">
        <v>31</v>
      </c>
      <c r="G96" s="49"/>
      <c r="H96" s="54">
        <f>VLOOKUP(F96,$A$15:$B$15,2,TRUE)</f>
        <v>1300</v>
      </c>
      <c r="I96" s="51">
        <f t="shared" si="1"/>
        <v>0</v>
      </c>
      <c r="J96" s="53"/>
      <c r="K96" s="27"/>
      <c r="L96" s="27"/>
      <c r="M96" s="27"/>
      <c r="N96" s="27"/>
    </row>
    <row r="97" ht="15.75" customHeight="1">
      <c r="A97" s="46"/>
      <c r="B97" s="46"/>
      <c r="C97" s="46"/>
      <c r="D97" s="53"/>
      <c r="E97" s="53"/>
      <c r="F97" s="38" t="s">
        <v>32</v>
      </c>
      <c r="G97" s="49"/>
      <c r="H97" s="54">
        <f>VLOOKUP(F97,$A$16:$B$16,2,TRUE)</f>
        <v>5000</v>
      </c>
      <c r="I97" s="51">
        <f t="shared" si="1"/>
        <v>0</v>
      </c>
      <c r="J97" s="53"/>
      <c r="K97" s="27"/>
      <c r="L97" s="27"/>
      <c r="M97" s="27"/>
      <c r="N97" s="27"/>
    </row>
    <row r="98" ht="15.75" customHeight="1">
      <c r="A98" s="46"/>
      <c r="B98" s="46"/>
      <c r="C98" s="46"/>
      <c r="D98" s="53"/>
      <c r="E98" s="53"/>
      <c r="F98" s="38" t="s">
        <v>33</v>
      </c>
      <c r="G98" s="49"/>
      <c r="H98" s="54">
        <f>VLOOKUP(F98,$A$17:$B$17,2,TRUE)</f>
        <v>2500</v>
      </c>
      <c r="I98" s="51">
        <f t="shared" si="1"/>
        <v>0</v>
      </c>
      <c r="J98" s="53"/>
      <c r="K98" s="27"/>
      <c r="L98" s="27"/>
      <c r="M98" s="27"/>
      <c r="N98" s="27"/>
    </row>
    <row r="99" ht="15.75" customHeight="1">
      <c r="A99" s="46"/>
      <c r="B99" s="46"/>
      <c r="C99" s="46"/>
      <c r="D99" s="53"/>
      <c r="E99" s="53"/>
      <c r="F99" s="38" t="s">
        <v>35</v>
      </c>
      <c r="G99" s="49"/>
      <c r="H99" s="54">
        <f>VLOOKUP(F99,$A$18:$B$18,2,TRUE)</f>
        <v>10000</v>
      </c>
      <c r="I99" s="51">
        <f t="shared" si="1"/>
        <v>0</v>
      </c>
      <c r="J99" s="53"/>
      <c r="K99" s="27"/>
      <c r="L99" s="27"/>
      <c r="M99" s="27"/>
      <c r="N99" s="27"/>
    </row>
    <row r="100" ht="15.75" customHeight="1">
      <c r="A100" s="46"/>
      <c r="B100" s="46"/>
      <c r="C100" s="46"/>
      <c r="D100" s="53"/>
      <c r="E100" s="53"/>
      <c r="F100" s="38" t="s">
        <v>55</v>
      </c>
      <c r="G100" s="49"/>
      <c r="H100" s="54">
        <f>VLOOKUP(F100,$A$19:$B$19,2,TRUE)</f>
        <v>300</v>
      </c>
      <c r="I100" s="51">
        <f t="shared" si="1"/>
        <v>0</v>
      </c>
      <c r="J100" s="53"/>
      <c r="K100" s="27"/>
      <c r="L100" s="27"/>
      <c r="M100" s="27"/>
      <c r="N100" s="27"/>
    </row>
    <row r="101" ht="15.75" customHeight="1">
      <c r="A101" s="46"/>
      <c r="B101" s="46"/>
      <c r="C101" s="46"/>
      <c r="D101" s="53"/>
      <c r="E101" s="53"/>
      <c r="F101" s="38" t="s">
        <v>15</v>
      </c>
      <c r="G101" s="49"/>
      <c r="H101" s="54">
        <f>VLOOKUP(F101,$A$20:$B$20,2,TRUE)</f>
        <v>300</v>
      </c>
      <c r="I101" s="51">
        <f t="shared" si="1"/>
        <v>0</v>
      </c>
      <c r="J101" s="53"/>
      <c r="K101" s="27"/>
      <c r="L101" s="27"/>
      <c r="M101" s="27"/>
      <c r="N101" s="27"/>
    </row>
    <row r="102" ht="15.75" customHeight="1">
      <c r="A102" s="46"/>
      <c r="B102" s="46"/>
      <c r="C102" s="46"/>
      <c r="D102" s="53"/>
      <c r="E102" s="53"/>
      <c r="F102" s="38" t="s">
        <v>11</v>
      </c>
      <c r="G102" s="49"/>
      <c r="H102" s="54">
        <f>VLOOKUP(F102,$A$21:$B$21,2,TRUE)</f>
        <v>1700</v>
      </c>
      <c r="I102" s="51">
        <f t="shared" si="1"/>
        <v>0</v>
      </c>
      <c r="J102" s="53"/>
      <c r="K102" s="27"/>
      <c r="L102" s="27"/>
      <c r="M102" s="27"/>
      <c r="N102" s="27"/>
    </row>
    <row r="103" ht="15.75" customHeight="1">
      <c r="A103" s="46"/>
      <c r="B103" s="46"/>
      <c r="C103" s="46"/>
      <c r="D103" s="53"/>
      <c r="E103" s="53"/>
      <c r="F103" s="38" t="s">
        <v>17</v>
      </c>
      <c r="G103" s="49">
        <v>9.0</v>
      </c>
      <c r="H103" s="54">
        <f>VLOOKUP(F102,$A$22:$B$22,2,TRUE)</f>
        <v>4500</v>
      </c>
      <c r="I103" s="51">
        <f t="shared" si="1"/>
        <v>40500</v>
      </c>
      <c r="J103" s="53"/>
      <c r="K103" s="27"/>
      <c r="L103" s="27"/>
      <c r="M103" s="27"/>
      <c r="N103" s="27"/>
    </row>
    <row r="104" ht="15.75" customHeight="1">
      <c r="A104" s="46"/>
      <c r="B104" s="46"/>
      <c r="C104" s="46"/>
      <c r="D104" s="14"/>
      <c r="E104" s="14"/>
      <c r="F104" s="38" t="s">
        <v>56</v>
      </c>
      <c r="G104" s="49"/>
      <c r="H104" s="54">
        <f>VLOOKUP(F103,$A$23:$B$23,2,TRUE)</f>
        <v>0</v>
      </c>
      <c r="I104" s="51">
        <f t="shared" si="1"/>
        <v>0</v>
      </c>
      <c r="J104" s="14"/>
      <c r="K104" s="27"/>
      <c r="L104" s="27"/>
      <c r="M104" s="27"/>
      <c r="N104" s="27"/>
    </row>
    <row r="105" ht="15.75" customHeight="1">
      <c r="A105" s="46"/>
      <c r="B105" s="46"/>
      <c r="C105" s="46"/>
      <c r="D105" s="47">
        <v>6.0</v>
      </c>
      <c r="E105" s="48" t="s">
        <v>89</v>
      </c>
      <c r="F105" s="38" t="s">
        <v>19</v>
      </c>
      <c r="G105" s="49"/>
      <c r="H105" s="50">
        <f>VLOOKUP(F105,$A$4:$B$4,2,TRUE)</f>
        <v>3100</v>
      </c>
      <c r="I105" s="51">
        <f t="shared" si="1"/>
        <v>0</v>
      </c>
      <c r="J105" s="52">
        <f>SUM(I105:I124)</f>
        <v>1200</v>
      </c>
      <c r="K105" s="27"/>
      <c r="L105" s="27"/>
      <c r="M105" s="27"/>
      <c r="N105" s="27"/>
    </row>
    <row r="106" ht="15.75" customHeight="1">
      <c r="A106" s="46"/>
      <c r="B106" s="46"/>
      <c r="C106" s="46"/>
      <c r="D106" s="53"/>
      <c r="E106" s="53"/>
      <c r="F106" s="38" t="s">
        <v>51</v>
      </c>
      <c r="G106" s="49"/>
      <c r="H106" s="54">
        <f>VLOOKUP(F106,$A$5:$B$5,2,TRUE)</f>
        <v>3000</v>
      </c>
      <c r="I106" s="51">
        <f t="shared" si="1"/>
        <v>0</v>
      </c>
      <c r="J106" s="53"/>
      <c r="K106" s="27"/>
      <c r="L106" s="27"/>
      <c r="M106" s="27"/>
      <c r="N106" s="27"/>
    </row>
    <row r="107" ht="15.75" customHeight="1">
      <c r="A107" s="46"/>
      <c r="B107" s="46"/>
      <c r="C107" s="46"/>
      <c r="D107" s="53"/>
      <c r="E107" s="53"/>
      <c r="F107" s="38" t="s">
        <v>53</v>
      </c>
      <c r="G107" s="49"/>
      <c r="H107" s="54">
        <f>VLOOKUP(F107,$A$6:$B$6,2,TRUE)</f>
        <v>800</v>
      </c>
      <c r="I107" s="51">
        <f t="shared" si="1"/>
        <v>0</v>
      </c>
      <c r="J107" s="53"/>
      <c r="K107" s="27"/>
      <c r="L107" s="27"/>
      <c r="M107" s="27"/>
      <c r="N107" s="27"/>
    </row>
    <row r="108" ht="15.75" customHeight="1">
      <c r="A108" s="46"/>
      <c r="B108" s="46"/>
      <c r="C108" s="46"/>
      <c r="D108" s="53"/>
      <c r="E108" s="53"/>
      <c r="F108" s="38" t="s">
        <v>22</v>
      </c>
      <c r="G108" s="49"/>
      <c r="H108" s="54">
        <f>VLOOKUP(F108,$A$7:$B$7,2,TRUE)</f>
        <v>2000</v>
      </c>
      <c r="I108" s="51">
        <f t="shared" si="1"/>
        <v>0</v>
      </c>
      <c r="J108" s="53"/>
      <c r="K108" s="27"/>
      <c r="L108" s="27"/>
      <c r="M108" s="27"/>
      <c r="N108" s="27"/>
    </row>
    <row r="109" ht="15.75" customHeight="1">
      <c r="A109" s="46"/>
      <c r="B109" s="46"/>
      <c r="C109" s="46"/>
      <c r="D109" s="53"/>
      <c r="E109" s="53"/>
      <c r="F109" s="38" t="s">
        <v>23</v>
      </c>
      <c r="G109" s="49"/>
      <c r="H109" s="54">
        <f>VLOOKUP(F109, $A$8:$B$8, 2, FALSE)</f>
        <v>2800</v>
      </c>
      <c r="I109" s="51">
        <f t="shared" si="1"/>
        <v>0</v>
      </c>
      <c r="J109" s="53"/>
      <c r="K109" s="27"/>
      <c r="L109" s="27"/>
      <c r="M109" s="27"/>
      <c r="N109" s="27"/>
    </row>
    <row r="110" ht="15.75" customHeight="1">
      <c r="A110" s="46"/>
      <c r="B110" s="46"/>
      <c r="C110" s="46"/>
      <c r="D110" s="53"/>
      <c r="E110" s="53"/>
      <c r="F110" s="38" t="s">
        <v>54</v>
      </c>
      <c r="G110" s="49"/>
      <c r="H110" s="54">
        <f>VLOOKUP(F110, $A$9:$B$9, 2, FALSE)</f>
        <v>800</v>
      </c>
      <c r="I110" s="51">
        <f t="shared" si="1"/>
        <v>0</v>
      </c>
      <c r="J110" s="53"/>
      <c r="K110" s="27"/>
      <c r="L110" s="27"/>
      <c r="M110" s="27"/>
      <c r="N110" s="27"/>
    </row>
    <row r="111" ht="15.75" customHeight="1">
      <c r="A111" s="46"/>
      <c r="B111" s="46"/>
      <c r="C111" s="46"/>
      <c r="D111" s="53"/>
      <c r="E111" s="53"/>
      <c r="F111" s="38" t="s">
        <v>25</v>
      </c>
      <c r="G111" s="49"/>
      <c r="H111" s="54">
        <f>VLOOKUP(F111,$A$10:$B$10,2,TRUE)</f>
        <v>1500</v>
      </c>
      <c r="I111" s="51">
        <f t="shared" si="1"/>
        <v>0</v>
      </c>
      <c r="J111" s="53"/>
      <c r="K111" s="27"/>
      <c r="L111" s="27"/>
      <c r="M111" s="27"/>
      <c r="N111" s="27"/>
    </row>
    <row r="112" ht="15.75" customHeight="1">
      <c r="A112" s="46"/>
      <c r="B112" s="46"/>
      <c r="C112" s="46"/>
      <c r="D112" s="53"/>
      <c r="E112" s="53"/>
      <c r="F112" s="38" t="s">
        <v>26</v>
      </c>
      <c r="G112" s="49"/>
      <c r="H112" s="54">
        <f>VLOOKUP(F112,$A$11:$B$11,2,TRUE)</f>
        <v>1200</v>
      </c>
      <c r="I112" s="51">
        <f t="shared" si="1"/>
        <v>0</v>
      </c>
      <c r="J112" s="53"/>
      <c r="K112" s="27"/>
      <c r="L112" s="27"/>
      <c r="M112" s="27"/>
      <c r="N112" s="27"/>
    </row>
    <row r="113" ht="15.75" customHeight="1">
      <c r="A113" s="46"/>
      <c r="B113" s="46"/>
      <c r="C113" s="46"/>
      <c r="D113" s="53"/>
      <c r="E113" s="53"/>
      <c r="F113" s="38" t="s">
        <v>28</v>
      </c>
      <c r="G113" s="49"/>
      <c r="H113" s="54">
        <f>VLOOKUP(F113,$A$12:$B$12,2,TRUE)</f>
        <v>500</v>
      </c>
      <c r="I113" s="51">
        <f t="shared" si="1"/>
        <v>0</v>
      </c>
      <c r="J113" s="53"/>
      <c r="K113" s="27"/>
      <c r="L113" s="27"/>
      <c r="M113" s="27"/>
      <c r="N113" s="27"/>
    </row>
    <row r="114" ht="15.75" customHeight="1">
      <c r="A114" s="46"/>
      <c r="B114" s="46"/>
      <c r="C114" s="46"/>
      <c r="D114" s="53"/>
      <c r="E114" s="53"/>
      <c r="F114" s="38" t="s">
        <v>29</v>
      </c>
      <c r="G114" s="49"/>
      <c r="H114" s="54">
        <f>VLOOKUP(F114,$A$13:$B$13,2,TRUE)</f>
        <v>6500</v>
      </c>
      <c r="I114" s="51">
        <f t="shared" si="1"/>
        <v>0</v>
      </c>
      <c r="J114" s="53"/>
      <c r="K114" s="27"/>
      <c r="L114" s="27"/>
      <c r="M114" s="27"/>
      <c r="N114" s="27"/>
    </row>
    <row r="115" ht="15.75" customHeight="1">
      <c r="A115" s="46"/>
      <c r="B115" s="46"/>
      <c r="C115" s="46"/>
      <c r="D115" s="53"/>
      <c r="E115" s="53"/>
      <c r="F115" s="38" t="s">
        <v>30</v>
      </c>
      <c r="G115" s="49"/>
      <c r="H115" s="54">
        <f>VLOOKUP(F115,$A$14:$B$14,2,TRUE)</f>
        <v>2200</v>
      </c>
      <c r="I115" s="51">
        <f t="shared" si="1"/>
        <v>0</v>
      </c>
      <c r="J115" s="53"/>
      <c r="K115" s="27"/>
      <c r="L115" s="27"/>
      <c r="M115" s="27"/>
      <c r="N115" s="27"/>
    </row>
    <row r="116" ht="15.75" customHeight="1">
      <c r="A116" s="46"/>
      <c r="B116" s="46"/>
      <c r="C116" s="46"/>
      <c r="D116" s="53"/>
      <c r="E116" s="53"/>
      <c r="F116" s="38" t="s">
        <v>31</v>
      </c>
      <c r="G116" s="49"/>
      <c r="H116" s="54">
        <f>VLOOKUP(F116,$A$15:$B$15,2,TRUE)</f>
        <v>1300</v>
      </c>
      <c r="I116" s="51">
        <f t="shared" si="1"/>
        <v>0</v>
      </c>
      <c r="J116" s="53"/>
      <c r="K116" s="27"/>
      <c r="L116" s="27"/>
      <c r="M116" s="27"/>
      <c r="N116" s="27"/>
    </row>
    <row r="117" ht="15.75" customHeight="1">
      <c r="A117" s="46"/>
      <c r="B117" s="46"/>
      <c r="C117" s="46"/>
      <c r="D117" s="53"/>
      <c r="E117" s="53"/>
      <c r="F117" s="38" t="s">
        <v>32</v>
      </c>
      <c r="G117" s="49"/>
      <c r="H117" s="54">
        <f>VLOOKUP(F117,$A$16:$B$16,2,TRUE)</f>
        <v>5000</v>
      </c>
      <c r="I117" s="51">
        <f t="shared" si="1"/>
        <v>0</v>
      </c>
      <c r="J117" s="53"/>
      <c r="K117" s="27"/>
      <c r="L117" s="27"/>
      <c r="M117" s="27"/>
      <c r="N117" s="27"/>
    </row>
    <row r="118" ht="15.75" customHeight="1">
      <c r="A118" s="46"/>
      <c r="B118" s="46"/>
      <c r="C118" s="46"/>
      <c r="D118" s="53"/>
      <c r="E118" s="53"/>
      <c r="F118" s="38" t="s">
        <v>33</v>
      </c>
      <c r="G118" s="49"/>
      <c r="H118" s="54">
        <f>VLOOKUP(F118,$A$17:$B$17,2,TRUE)</f>
        <v>2500</v>
      </c>
      <c r="I118" s="51">
        <f t="shared" si="1"/>
        <v>0</v>
      </c>
      <c r="J118" s="53"/>
      <c r="K118" s="27"/>
      <c r="L118" s="27"/>
      <c r="M118" s="27"/>
      <c r="N118" s="27"/>
    </row>
    <row r="119" ht="15.75" customHeight="1">
      <c r="A119" s="46"/>
      <c r="B119" s="46"/>
      <c r="C119" s="46"/>
      <c r="D119" s="53"/>
      <c r="E119" s="53"/>
      <c r="F119" s="38" t="s">
        <v>35</v>
      </c>
      <c r="G119" s="49"/>
      <c r="H119" s="54">
        <f>VLOOKUP(F119,$A$18:$B$18,2,TRUE)</f>
        <v>10000</v>
      </c>
      <c r="I119" s="51">
        <f t="shared" si="1"/>
        <v>0</v>
      </c>
      <c r="J119" s="53"/>
      <c r="K119" s="27"/>
      <c r="L119" s="27"/>
      <c r="M119" s="27"/>
      <c r="N119" s="27"/>
    </row>
    <row r="120" ht="15.75" customHeight="1">
      <c r="A120" s="46"/>
      <c r="B120" s="46"/>
      <c r="C120" s="46"/>
      <c r="D120" s="53"/>
      <c r="E120" s="53"/>
      <c r="F120" s="38" t="s">
        <v>55</v>
      </c>
      <c r="G120" s="49"/>
      <c r="H120" s="54">
        <f>VLOOKUP(F120,$A$19:$B$19,2,TRUE)</f>
        <v>300</v>
      </c>
      <c r="I120" s="51">
        <f t="shared" si="1"/>
        <v>0</v>
      </c>
      <c r="J120" s="53"/>
      <c r="K120" s="27"/>
      <c r="L120" s="27"/>
      <c r="M120" s="27"/>
      <c r="N120" s="27"/>
    </row>
    <row r="121" ht="15.75" customHeight="1">
      <c r="A121" s="46"/>
      <c r="B121" s="46"/>
      <c r="C121" s="46"/>
      <c r="D121" s="53"/>
      <c r="E121" s="53"/>
      <c r="F121" s="38" t="s">
        <v>15</v>
      </c>
      <c r="G121" s="49">
        <v>4.0</v>
      </c>
      <c r="H121" s="54">
        <f>VLOOKUP(F121,$A$20:$B$20,2,TRUE)</f>
        <v>300</v>
      </c>
      <c r="I121" s="51">
        <f t="shared" si="1"/>
        <v>1200</v>
      </c>
      <c r="J121" s="53"/>
      <c r="K121" s="27"/>
      <c r="L121" s="27"/>
      <c r="M121" s="27"/>
      <c r="N121" s="27"/>
    </row>
    <row r="122" ht="15.75" customHeight="1">
      <c r="A122" s="46"/>
      <c r="B122" s="46"/>
      <c r="C122" s="46"/>
      <c r="D122" s="53"/>
      <c r="E122" s="53"/>
      <c r="F122" s="38" t="s">
        <v>11</v>
      </c>
      <c r="G122" s="49"/>
      <c r="H122" s="54">
        <f>VLOOKUP(F122,$A$21:$B$21,2,TRUE)</f>
        <v>1700</v>
      </c>
      <c r="I122" s="51">
        <f t="shared" si="1"/>
        <v>0</v>
      </c>
      <c r="J122" s="53"/>
      <c r="K122" s="27"/>
      <c r="L122" s="27"/>
      <c r="M122" s="27"/>
      <c r="N122" s="27"/>
    </row>
    <row r="123" ht="15.75" customHeight="1">
      <c r="A123" s="46"/>
      <c r="B123" s="46"/>
      <c r="C123" s="46"/>
      <c r="D123" s="53"/>
      <c r="E123" s="53"/>
      <c r="F123" s="38" t="s">
        <v>17</v>
      </c>
      <c r="G123" s="49"/>
      <c r="H123" s="54">
        <f>VLOOKUP(F122,$A$22:$B$22,2,TRUE)</f>
        <v>4500</v>
      </c>
      <c r="I123" s="51">
        <f t="shared" si="1"/>
        <v>0</v>
      </c>
      <c r="J123" s="53"/>
      <c r="K123" s="27"/>
      <c r="L123" s="27"/>
      <c r="M123" s="27"/>
      <c r="N123" s="27"/>
    </row>
    <row r="124" ht="15.75" customHeight="1">
      <c r="A124" s="46"/>
      <c r="B124" s="46"/>
      <c r="C124" s="46"/>
      <c r="D124" s="14"/>
      <c r="E124" s="14"/>
      <c r="F124" s="38" t="s">
        <v>56</v>
      </c>
      <c r="G124" s="49"/>
      <c r="H124" s="54">
        <f>VLOOKUP(F123,$A$23:$B$23,2,TRUE)</f>
        <v>0</v>
      </c>
      <c r="I124" s="51">
        <f t="shared" si="1"/>
        <v>0</v>
      </c>
      <c r="J124" s="14"/>
      <c r="K124" s="27"/>
      <c r="L124" s="27"/>
      <c r="M124" s="27"/>
      <c r="N124" s="27"/>
    </row>
    <row r="125" ht="15.75" customHeight="1">
      <c r="A125" s="46"/>
      <c r="B125" s="46"/>
      <c r="C125" s="46"/>
      <c r="D125" s="47">
        <v>7.0</v>
      </c>
      <c r="E125" s="48" t="s">
        <v>90</v>
      </c>
      <c r="F125" s="38" t="s">
        <v>19</v>
      </c>
      <c r="G125" s="49">
        <f>9.5+9</f>
        <v>18.5</v>
      </c>
      <c r="H125" s="50">
        <f>VLOOKUP(F125,$A$4:$B$4,2,TRUE)</f>
        <v>3100</v>
      </c>
      <c r="I125" s="51">
        <f t="shared" si="1"/>
        <v>57350</v>
      </c>
      <c r="J125" s="52">
        <f>SUM(I125:I144)</f>
        <v>270400</v>
      </c>
      <c r="K125" s="27"/>
      <c r="L125" s="27"/>
      <c r="M125" s="27"/>
      <c r="N125" s="27"/>
    </row>
    <row r="126" ht="15.75" customHeight="1">
      <c r="A126" s="46"/>
      <c r="B126" s="46"/>
      <c r="C126" s="46"/>
      <c r="D126" s="53"/>
      <c r="E126" s="53"/>
      <c r="F126" s="38" t="s">
        <v>51</v>
      </c>
      <c r="G126" s="49">
        <f>4.5+15</f>
        <v>19.5</v>
      </c>
      <c r="H126" s="54">
        <f>VLOOKUP(F126,$A$5:$B$5,2,TRUE)</f>
        <v>3000</v>
      </c>
      <c r="I126" s="51">
        <f t="shared" si="1"/>
        <v>58500</v>
      </c>
      <c r="J126" s="53"/>
      <c r="K126" s="27"/>
      <c r="L126" s="27"/>
      <c r="M126" s="27"/>
      <c r="N126" s="27"/>
    </row>
    <row r="127" ht="15.75" customHeight="1">
      <c r="A127" s="46"/>
      <c r="B127" s="46"/>
      <c r="C127" s="46"/>
      <c r="D127" s="53"/>
      <c r="E127" s="53"/>
      <c r="F127" s="38" t="s">
        <v>53</v>
      </c>
      <c r="G127" s="49">
        <f>33+13</f>
        <v>46</v>
      </c>
      <c r="H127" s="54">
        <f>VLOOKUP(F127,$A$6:$B$6,2,TRUE)</f>
        <v>800</v>
      </c>
      <c r="I127" s="51">
        <f t="shared" si="1"/>
        <v>36800</v>
      </c>
      <c r="J127" s="53"/>
      <c r="K127" s="27"/>
      <c r="L127" s="27"/>
      <c r="M127" s="27"/>
      <c r="N127" s="27"/>
    </row>
    <row r="128" ht="15.75" customHeight="1">
      <c r="A128" s="46"/>
      <c r="B128" s="46"/>
      <c r="C128" s="46"/>
      <c r="D128" s="53"/>
      <c r="E128" s="53"/>
      <c r="F128" s="38" t="s">
        <v>22</v>
      </c>
      <c r="G128" s="49">
        <v>4.5</v>
      </c>
      <c r="H128" s="54">
        <f>VLOOKUP(F128,$A$7:$B$7,2,TRUE)</f>
        <v>2000</v>
      </c>
      <c r="I128" s="51">
        <f t="shared" si="1"/>
        <v>9000</v>
      </c>
      <c r="J128" s="53"/>
      <c r="K128" s="27"/>
      <c r="L128" s="27"/>
      <c r="M128" s="27"/>
      <c r="N128" s="27"/>
    </row>
    <row r="129" ht="15.75" customHeight="1">
      <c r="A129" s="46"/>
      <c r="B129" s="46"/>
      <c r="C129" s="46"/>
      <c r="D129" s="53"/>
      <c r="E129" s="53"/>
      <c r="F129" s="38" t="s">
        <v>23</v>
      </c>
      <c r="G129" s="49">
        <v>1.0</v>
      </c>
      <c r="H129" s="54">
        <f>VLOOKUP(F129, $A$8:$B$8, 2, FALSE)</f>
        <v>2800</v>
      </c>
      <c r="I129" s="51">
        <f t="shared" si="1"/>
        <v>2800</v>
      </c>
      <c r="J129" s="53"/>
      <c r="K129" s="27"/>
      <c r="L129" s="27"/>
      <c r="M129" s="27"/>
      <c r="N129" s="27"/>
    </row>
    <row r="130" ht="15.75" customHeight="1">
      <c r="A130" s="46"/>
      <c r="B130" s="46"/>
      <c r="C130" s="46"/>
      <c r="D130" s="53"/>
      <c r="E130" s="53"/>
      <c r="F130" s="38" t="s">
        <v>54</v>
      </c>
      <c r="G130" s="49">
        <f>19.5+9.5+2</f>
        <v>31</v>
      </c>
      <c r="H130" s="54">
        <f>VLOOKUP(F130, $A$9:$B$9, 2, FALSE)</f>
        <v>800</v>
      </c>
      <c r="I130" s="51">
        <f t="shared" si="1"/>
        <v>24800</v>
      </c>
      <c r="J130" s="53"/>
      <c r="K130" s="27"/>
      <c r="L130" s="27"/>
      <c r="M130" s="27"/>
      <c r="N130" s="27"/>
    </row>
    <row r="131" ht="15.75" customHeight="1">
      <c r="A131" s="46"/>
      <c r="B131" s="46"/>
      <c r="C131" s="46"/>
      <c r="D131" s="53"/>
      <c r="E131" s="53"/>
      <c r="F131" s="38" t="s">
        <v>25</v>
      </c>
      <c r="G131" s="49">
        <v>28.0</v>
      </c>
      <c r="H131" s="54">
        <f>VLOOKUP(F131,$A$10:$B$10,2,TRUE)</f>
        <v>1500</v>
      </c>
      <c r="I131" s="51">
        <f t="shared" si="1"/>
        <v>42000</v>
      </c>
      <c r="J131" s="53"/>
      <c r="K131" s="27"/>
      <c r="L131" s="27"/>
      <c r="M131" s="27"/>
      <c r="N131" s="27"/>
    </row>
    <row r="132" ht="15.75" customHeight="1">
      <c r="A132" s="46"/>
      <c r="B132" s="46"/>
      <c r="C132" s="46"/>
      <c r="D132" s="53"/>
      <c r="E132" s="53"/>
      <c r="F132" s="38" t="s">
        <v>26</v>
      </c>
      <c r="G132" s="49"/>
      <c r="H132" s="54">
        <f>VLOOKUP(F132,$A$11:$B$11,2,TRUE)</f>
        <v>1200</v>
      </c>
      <c r="I132" s="51">
        <f t="shared" si="1"/>
        <v>0</v>
      </c>
      <c r="J132" s="53"/>
      <c r="K132" s="27"/>
      <c r="L132" s="27"/>
      <c r="M132" s="27"/>
      <c r="N132" s="27"/>
    </row>
    <row r="133" ht="15.75" customHeight="1">
      <c r="A133" s="46"/>
      <c r="B133" s="46"/>
      <c r="C133" s="46"/>
      <c r="D133" s="53"/>
      <c r="E133" s="53"/>
      <c r="F133" s="38" t="s">
        <v>28</v>
      </c>
      <c r="G133" s="49"/>
      <c r="H133" s="54">
        <f>VLOOKUP(F133,$A$12:$B$12,2,TRUE)</f>
        <v>500</v>
      </c>
      <c r="I133" s="51">
        <f t="shared" si="1"/>
        <v>0</v>
      </c>
      <c r="J133" s="53"/>
      <c r="K133" s="27"/>
      <c r="L133" s="27"/>
      <c r="M133" s="27"/>
      <c r="N133" s="27"/>
    </row>
    <row r="134" ht="15.75" customHeight="1">
      <c r="A134" s="46"/>
      <c r="B134" s="46"/>
      <c r="C134" s="46"/>
      <c r="D134" s="53"/>
      <c r="E134" s="53"/>
      <c r="F134" s="38" t="s">
        <v>29</v>
      </c>
      <c r="G134" s="49"/>
      <c r="H134" s="54">
        <f>VLOOKUP(F134,$A$13:$B$13,2,TRUE)</f>
        <v>6500</v>
      </c>
      <c r="I134" s="51">
        <f t="shared" si="1"/>
        <v>0</v>
      </c>
      <c r="J134" s="53"/>
      <c r="K134" s="27"/>
      <c r="L134" s="27"/>
      <c r="M134" s="27"/>
      <c r="N134" s="27"/>
    </row>
    <row r="135" ht="15.75" customHeight="1">
      <c r="A135" s="46"/>
      <c r="B135" s="46"/>
      <c r="C135" s="46"/>
      <c r="D135" s="53"/>
      <c r="E135" s="53"/>
      <c r="F135" s="38" t="s">
        <v>30</v>
      </c>
      <c r="G135" s="49"/>
      <c r="H135" s="54">
        <f>VLOOKUP(F135,$A$14:$B$14,2,TRUE)</f>
        <v>2200</v>
      </c>
      <c r="I135" s="51">
        <f t="shared" si="1"/>
        <v>0</v>
      </c>
      <c r="J135" s="53"/>
      <c r="K135" s="27"/>
      <c r="L135" s="27"/>
      <c r="M135" s="27"/>
      <c r="N135" s="27"/>
    </row>
    <row r="136" ht="15.75" customHeight="1">
      <c r="A136" s="46"/>
      <c r="B136" s="46"/>
      <c r="C136" s="46"/>
      <c r="D136" s="53"/>
      <c r="E136" s="53"/>
      <c r="F136" s="38" t="s">
        <v>31</v>
      </c>
      <c r="G136" s="49">
        <v>14.5</v>
      </c>
      <c r="H136" s="54">
        <f>VLOOKUP(F136,$A$15:$B$15,2,TRUE)</f>
        <v>1300</v>
      </c>
      <c r="I136" s="51">
        <f t="shared" si="1"/>
        <v>18850</v>
      </c>
      <c r="J136" s="53"/>
      <c r="K136" s="27"/>
      <c r="L136" s="27"/>
      <c r="M136" s="27"/>
      <c r="N136" s="27"/>
    </row>
    <row r="137" ht="15.75" customHeight="1">
      <c r="A137" s="46"/>
      <c r="B137" s="46"/>
      <c r="C137" s="46"/>
      <c r="D137" s="53"/>
      <c r="E137" s="53"/>
      <c r="F137" s="38" t="s">
        <v>32</v>
      </c>
      <c r="G137" s="49">
        <v>2.5</v>
      </c>
      <c r="H137" s="54">
        <f>VLOOKUP(F137,$A$16:$B$16,2,TRUE)</f>
        <v>5000</v>
      </c>
      <c r="I137" s="51">
        <f t="shared" si="1"/>
        <v>12500</v>
      </c>
      <c r="J137" s="53"/>
      <c r="K137" s="27"/>
      <c r="L137" s="27"/>
      <c r="M137" s="27"/>
      <c r="N137" s="27"/>
    </row>
    <row r="138" ht="15.75" customHeight="1">
      <c r="A138" s="46"/>
      <c r="B138" s="46"/>
      <c r="C138" s="46"/>
      <c r="D138" s="53"/>
      <c r="E138" s="53"/>
      <c r="F138" s="38" t="s">
        <v>33</v>
      </c>
      <c r="G138" s="49"/>
      <c r="H138" s="54">
        <f>VLOOKUP(F138,$A$17:$B$17,2,TRUE)</f>
        <v>2500</v>
      </c>
      <c r="I138" s="51">
        <f t="shared" si="1"/>
        <v>0</v>
      </c>
      <c r="J138" s="53"/>
      <c r="K138" s="27"/>
      <c r="L138" s="27"/>
      <c r="M138" s="27"/>
      <c r="N138" s="27"/>
    </row>
    <row r="139" ht="15.75" customHeight="1">
      <c r="A139" s="46"/>
      <c r="B139" s="46"/>
      <c r="C139" s="46"/>
      <c r="D139" s="53"/>
      <c r="E139" s="53"/>
      <c r="F139" s="38" t="s">
        <v>35</v>
      </c>
      <c r="G139" s="49"/>
      <c r="H139" s="54">
        <f>VLOOKUP(F139,$A$18:$B$18,2,TRUE)</f>
        <v>10000</v>
      </c>
      <c r="I139" s="51">
        <f t="shared" si="1"/>
        <v>0</v>
      </c>
      <c r="J139" s="53"/>
      <c r="K139" s="27"/>
      <c r="L139" s="27"/>
      <c r="M139" s="27"/>
      <c r="N139" s="27"/>
    </row>
    <row r="140" ht="15.75" customHeight="1">
      <c r="A140" s="46"/>
      <c r="B140" s="46"/>
      <c r="C140" s="46"/>
      <c r="D140" s="53"/>
      <c r="E140" s="53"/>
      <c r="F140" s="38" t="s">
        <v>55</v>
      </c>
      <c r="G140" s="49"/>
      <c r="H140" s="54">
        <f>VLOOKUP(F140,$A$19:$B$19,2,TRUE)</f>
        <v>300</v>
      </c>
      <c r="I140" s="51">
        <f t="shared" si="1"/>
        <v>0</v>
      </c>
      <c r="J140" s="53"/>
      <c r="K140" s="27"/>
      <c r="L140" s="27"/>
      <c r="M140" s="27"/>
      <c r="N140" s="27"/>
    </row>
    <row r="141" ht="15.75" customHeight="1">
      <c r="A141" s="46"/>
      <c r="B141" s="46"/>
      <c r="C141" s="46"/>
      <c r="D141" s="53"/>
      <c r="E141" s="53"/>
      <c r="F141" s="38" t="s">
        <v>15</v>
      </c>
      <c r="G141" s="49">
        <v>26.0</v>
      </c>
      <c r="H141" s="54">
        <f>VLOOKUP(F141,$A$20:$B$20,2,TRUE)</f>
        <v>300</v>
      </c>
      <c r="I141" s="51">
        <f t="shared" si="1"/>
        <v>7800</v>
      </c>
      <c r="J141" s="53"/>
      <c r="K141" s="27"/>
      <c r="L141" s="27"/>
      <c r="M141" s="27"/>
      <c r="N141" s="27"/>
    </row>
    <row r="142" ht="15.75" customHeight="1">
      <c r="A142" s="46"/>
      <c r="B142" s="46"/>
      <c r="C142" s="46"/>
      <c r="D142" s="53"/>
      <c r="E142" s="53"/>
      <c r="F142" s="38" t="s">
        <v>11</v>
      </c>
      <c r="G142" s="49"/>
      <c r="H142" s="54">
        <f>VLOOKUP(F142,$A$21:$B$21,2,TRUE)</f>
        <v>1700</v>
      </c>
      <c r="I142" s="51">
        <f t="shared" si="1"/>
        <v>0</v>
      </c>
      <c r="J142" s="53"/>
      <c r="K142" s="27"/>
      <c r="L142" s="62"/>
      <c r="M142" s="27"/>
      <c r="N142" s="27"/>
    </row>
    <row r="143" ht="15.75" customHeight="1">
      <c r="A143" s="46"/>
      <c r="B143" s="46"/>
      <c r="C143" s="46"/>
      <c r="D143" s="53"/>
      <c r="E143" s="53"/>
      <c r="F143" s="38" t="s">
        <v>17</v>
      </c>
      <c r="G143" s="49"/>
      <c r="H143" s="54">
        <f>VLOOKUP(F142,$A$22:$B$22,2,TRUE)</f>
        <v>4500</v>
      </c>
      <c r="I143" s="51">
        <f t="shared" si="1"/>
        <v>0</v>
      </c>
      <c r="J143" s="53"/>
      <c r="K143" s="27"/>
      <c r="L143" s="62"/>
      <c r="M143" s="27"/>
      <c r="N143" s="27"/>
    </row>
    <row r="144" ht="15.75" customHeight="1">
      <c r="A144" s="46"/>
      <c r="B144" s="46"/>
      <c r="C144" s="46"/>
      <c r="D144" s="14"/>
      <c r="E144" s="14"/>
      <c r="F144" s="38" t="s">
        <v>56</v>
      </c>
      <c r="G144" s="49">
        <v>16.0</v>
      </c>
      <c r="H144" s="54">
        <f>VLOOKUP(F143,$A$23:$B$23,2,TRUE)</f>
        <v>0</v>
      </c>
      <c r="I144" s="51">
        <f t="shared" si="1"/>
        <v>0</v>
      </c>
      <c r="J144" s="14"/>
      <c r="K144" s="27"/>
      <c r="L144" s="27"/>
      <c r="M144" s="27"/>
      <c r="N144" s="27"/>
    </row>
    <row r="145" ht="15.75" customHeight="1">
      <c r="A145" s="46"/>
      <c r="B145" s="46"/>
      <c r="C145" s="46"/>
      <c r="D145" s="58" t="s">
        <v>59</v>
      </c>
      <c r="E145" s="63"/>
      <c r="F145" s="63"/>
      <c r="G145" s="63"/>
      <c r="H145" s="63"/>
      <c r="I145" s="51">
        <f t="shared" si="1"/>
        <v>0</v>
      </c>
      <c r="J145" s="59">
        <f>SUM(J5:J144)</f>
        <v>355200</v>
      </c>
      <c r="K145" s="27"/>
      <c r="L145" s="27"/>
      <c r="M145" s="27"/>
      <c r="N145" s="27"/>
    </row>
    <row r="146" ht="15.75" customHeight="1">
      <c r="A146" s="26"/>
      <c r="B146" s="26"/>
      <c r="C146" s="26"/>
      <c r="D146" s="26"/>
      <c r="E146" s="26"/>
      <c r="F146" s="27"/>
      <c r="G146" s="27"/>
      <c r="H146" s="27"/>
      <c r="I146" s="27"/>
      <c r="J146" s="28"/>
      <c r="K146" s="27"/>
      <c r="L146" s="27"/>
      <c r="M146" s="27"/>
      <c r="N146" s="27"/>
    </row>
    <row r="147" ht="15.75" customHeight="1">
      <c r="A147" s="26"/>
      <c r="B147" s="26"/>
      <c r="C147" s="26"/>
      <c r="D147" s="26"/>
      <c r="E147" s="26"/>
      <c r="F147" s="27"/>
      <c r="G147" s="27"/>
      <c r="H147" s="27"/>
      <c r="I147" s="27"/>
      <c r="J147" s="28"/>
      <c r="K147" s="27"/>
      <c r="L147" s="27"/>
      <c r="M147" s="27"/>
      <c r="N147" s="27"/>
    </row>
    <row r="148" ht="15.75" customHeight="1">
      <c r="A148" s="26"/>
      <c r="B148" s="26"/>
      <c r="C148" s="26"/>
      <c r="D148" s="26"/>
      <c r="E148" s="26"/>
      <c r="F148" s="27"/>
      <c r="G148" s="27"/>
      <c r="H148" s="27"/>
      <c r="I148" s="27"/>
      <c r="J148" s="28"/>
      <c r="K148" s="27"/>
      <c r="L148" s="27"/>
      <c r="M148" s="27"/>
      <c r="N148" s="27"/>
    </row>
    <row r="149" ht="15.75" customHeight="1">
      <c r="A149" s="26"/>
      <c r="B149" s="26"/>
      <c r="C149" s="26"/>
      <c r="D149" s="26"/>
      <c r="E149" s="26"/>
      <c r="F149" s="27"/>
      <c r="G149" s="27"/>
      <c r="H149" s="27"/>
      <c r="I149" s="27"/>
      <c r="J149" s="28"/>
      <c r="K149" s="27"/>
      <c r="L149" s="27"/>
      <c r="M149" s="27"/>
      <c r="N149" s="27"/>
    </row>
    <row r="150" ht="15.75" customHeight="1">
      <c r="A150" s="26"/>
      <c r="B150" s="26"/>
      <c r="C150" s="26"/>
      <c r="D150" s="26"/>
      <c r="E150" s="26"/>
      <c r="F150" s="27"/>
      <c r="G150" s="27"/>
      <c r="H150" s="27"/>
      <c r="I150" s="27"/>
      <c r="J150" s="28"/>
      <c r="K150" s="27"/>
      <c r="L150" s="27"/>
      <c r="M150" s="27"/>
      <c r="N150" s="27"/>
    </row>
    <row r="151" ht="15.75" customHeight="1">
      <c r="A151" s="26"/>
      <c r="B151" s="26"/>
      <c r="C151" s="26"/>
      <c r="D151" s="26"/>
      <c r="E151" s="26"/>
      <c r="F151" s="27"/>
      <c r="G151" s="27"/>
      <c r="H151" s="27"/>
      <c r="I151" s="27"/>
      <c r="J151" s="28"/>
      <c r="K151" s="27"/>
      <c r="L151" s="27"/>
      <c r="M151" s="27"/>
      <c r="N151" s="27"/>
    </row>
    <row r="152" ht="15.75" customHeight="1">
      <c r="A152" s="26"/>
      <c r="B152" s="26"/>
      <c r="C152" s="26"/>
      <c r="D152" s="26"/>
      <c r="E152" s="26"/>
      <c r="F152" s="27"/>
      <c r="G152" s="27"/>
      <c r="H152" s="27"/>
      <c r="I152" s="27"/>
      <c r="J152" s="28"/>
      <c r="K152" s="27"/>
      <c r="L152" s="27"/>
      <c r="M152" s="27"/>
      <c r="N152" s="27"/>
    </row>
    <row r="153" ht="15.75" customHeight="1">
      <c r="A153" s="26"/>
      <c r="B153" s="26"/>
      <c r="C153" s="26"/>
      <c r="D153" s="26"/>
      <c r="E153" s="26"/>
      <c r="F153" s="27"/>
      <c r="G153" s="27"/>
      <c r="H153" s="27"/>
      <c r="I153" s="27"/>
      <c r="J153" s="28"/>
      <c r="K153" s="27"/>
      <c r="L153" s="27"/>
      <c r="M153" s="27"/>
      <c r="N153" s="27"/>
    </row>
    <row r="154" ht="15.75" customHeight="1">
      <c r="A154" s="26"/>
      <c r="B154" s="26"/>
      <c r="C154" s="26"/>
      <c r="D154" s="26"/>
      <c r="E154" s="26"/>
      <c r="J154" s="28"/>
    </row>
    <row r="155" ht="15.75" customHeight="1">
      <c r="A155" s="26"/>
      <c r="B155" s="26"/>
      <c r="C155" s="26"/>
      <c r="D155" s="26"/>
      <c r="E155" s="26"/>
      <c r="J155" s="28"/>
    </row>
    <row r="156" ht="15.75" customHeight="1">
      <c r="A156" s="26"/>
      <c r="B156" s="26"/>
      <c r="C156" s="26"/>
      <c r="D156" s="26"/>
      <c r="E156" s="26"/>
      <c r="J156" s="28"/>
    </row>
    <row r="157" ht="15.75" customHeight="1">
      <c r="A157" s="26"/>
      <c r="B157" s="26"/>
      <c r="C157" s="26"/>
      <c r="D157" s="26"/>
      <c r="E157" s="26"/>
      <c r="J157" s="28"/>
    </row>
    <row r="158" ht="15.75" customHeight="1">
      <c r="A158" s="26"/>
      <c r="B158" s="26"/>
      <c r="C158" s="26"/>
      <c r="D158" s="26"/>
      <c r="E158" s="26"/>
      <c r="J158" s="28"/>
    </row>
    <row r="159" ht="15.75" customHeight="1">
      <c r="A159" s="26"/>
      <c r="B159" s="26"/>
      <c r="C159" s="26"/>
      <c r="D159" s="26"/>
      <c r="E159" s="26"/>
      <c r="J159" s="28"/>
    </row>
    <row r="160" ht="15.75" customHeight="1">
      <c r="A160" s="26"/>
      <c r="B160" s="26"/>
      <c r="C160" s="26"/>
      <c r="D160" s="26"/>
      <c r="E160" s="26"/>
      <c r="J160" s="28"/>
    </row>
    <row r="161" ht="15.75" customHeight="1">
      <c r="A161" s="26"/>
      <c r="B161" s="26"/>
      <c r="C161" s="26"/>
      <c r="D161" s="26"/>
      <c r="E161" s="26"/>
      <c r="J161" s="28"/>
    </row>
    <row r="162" ht="15.75" customHeight="1">
      <c r="A162" s="26"/>
      <c r="B162" s="26"/>
      <c r="C162" s="26"/>
      <c r="D162" s="26"/>
      <c r="E162" s="26"/>
      <c r="J162" s="28"/>
    </row>
    <row r="163" ht="15.75" customHeight="1">
      <c r="A163" s="26"/>
      <c r="B163" s="26"/>
      <c r="C163" s="26"/>
      <c r="D163" s="26"/>
      <c r="E163" s="26"/>
      <c r="J163" s="28"/>
    </row>
    <row r="164" ht="15.75" customHeight="1">
      <c r="A164" s="26"/>
      <c r="B164" s="26"/>
      <c r="C164" s="26"/>
      <c r="D164" s="26"/>
      <c r="E164" s="26"/>
      <c r="J164" s="28"/>
    </row>
    <row r="165" ht="15.75" customHeight="1">
      <c r="A165" s="26"/>
      <c r="B165" s="26"/>
      <c r="C165" s="26"/>
      <c r="D165" s="26"/>
      <c r="E165" s="26"/>
      <c r="J165" s="28"/>
    </row>
    <row r="166" ht="15.75" customHeight="1">
      <c r="A166" s="26"/>
      <c r="B166" s="26"/>
      <c r="C166" s="26"/>
      <c r="D166" s="26"/>
      <c r="E166" s="26"/>
      <c r="J166" s="28"/>
    </row>
    <row r="167" ht="15.75" customHeight="1">
      <c r="A167" s="26"/>
      <c r="B167" s="26"/>
      <c r="C167" s="26"/>
      <c r="D167" s="26"/>
      <c r="E167" s="26"/>
      <c r="J167" s="28"/>
    </row>
    <row r="168" ht="15.75" customHeight="1">
      <c r="A168" s="26"/>
      <c r="B168" s="26"/>
      <c r="C168" s="26"/>
      <c r="D168" s="26"/>
      <c r="E168" s="26"/>
      <c r="J168" s="28"/>
    </row>
    <row r="169" ht="15.75" customHeight="1">
      <c r="A169" s="26"/>
      <c r="B169" s="26"/>
      <c r="C169" s="26"/>
      <c r="D169" s="26"/>
      <c r="E169" s="26"/>
      <c r="J169" s="28"/>
    </row>
    <row r="170" ht="15.75" customHeight="1">
      <c r="A170" s="26"/>
      <c r="B170" s="26"/>
      <c r="C170" s="26"/>
      <c r="D170" s="26"/>
      <c r="E170" s="26"/>
      <c r="J170" s="28"/>
    </row>
    <row r="171" ht="15.75" customHeight="1">
      <c r="A171" s="26"/>
      <c r="B171" s="26"/>
      <c r="C171" s="26"/>
      <c r="D171" s="26"/>
      <c r="E171" s="26"/>
      <c r="J171" s="28"/>
    </row>
    <row r="172" ht="15.75" customHeight="1">
      <c r="A172" s="26"/>
      <c r="B172" s="26"/>
      <c r="C172" s="26"/>
      <c r="D172" s="26"/>
      <c r="E172" s="26"/>
      <c r="J172" s="28"/>
    </row>
    <row r="173" ht="15.75" customHeight="1">
      <c r="A173" s="26"/>
      <c r="B173" s="26"/>
      <c r="C173" s="26"/>
      <c r="D173" s="26"/>
      <c r="E173" s="26"/>
      <c r="J173" s="28"/>
    </row>
    <row r="174" ht="15.75" customHeight="1">
      <c r="A174" s="26"/>
      <c r="B174" s="26"/>
      <c r="C174" s="26"/>
      <c r="D174" s="26"/>
      <c r="E174" s="26"/>
      <c r="J174" s="28"/>
    </row>
    <row r="175" ht="15.75" customHeight="1">
      <c r="A175" s="26"/>
      <c r="B175" s="26"/>
      <c r="C175" s="26"/>
      <c r="D175" s="26"/>
      <c r="E175" s="26"/>
      <c r="J175" s="28"/>
    </row>
    <row r="176" ht="15.75" customHeight="1">
      <c r="A176" s="26"/>
      <c r="B176" s="26"/>
      <c r="C176" s="26"/>
      <c r="D176" s="26"/>
      <c r="E176" s="26"/>
      <c r="J176" s="28"/>
    </row>
    <row r="177" ht="15.75" customHeight="1">
      <c r="A177" s="26"/>
      <c r="B177" s="26"/>
      <c r="C177" s="26"/>
      <c r="D177" s="26"/>
      <c r="E177" s="26"/>
      <c r="J177" s="28"/>
    </row>
    <row r="178" ht="15.75" customHeight="1">
      <c r="A178" s="26"/>
      <c r="B178" s="26"/>
      <c r="C178" s="26"/>
      <c r="D178" s="26"/>
      <c r="E178" s="26"/>
      <c r="J178" s="28"/>
    </row>
    <row r="179" ht="15.75" customHeight="1">
      <c r="A179" s="26"/>
      <c r="B179" s="26"/>
      <c r="C179" s="26"/>
      <c r="D179" s="26"/>
      <c r="E179" s="26"/>
      <c r="J179" s="28"/>
    </row>
    <row r="180" ht="15.75" customHeight="1">
      <c r="A180" s="26"/>
      <c r="B180" s="26"/>
      <c r="C180" s="26"/>
      <c r="D180" s="26"/>
      <c r="E180" s="26"/>
      <c r="J180" s="28"/>
    </row>
    <row r="181" ht="15.75" customHeight="1">
      <c r="A181" s="26"/>
      <c r="B181" s="26"/>
      <c r="C181" s="26"/>
      <c r="D181" s="26"/>
      <c r="E181" s="26"/>
      <c r="J181" s="28"/>
    </row>
    <row r="182" ht="15.75" customHeight="1">
      <c r="A182" s="26"/>
      <c r="B182" s="26"/>
      <c r="C182" s="26"/>
      <c r="D182" s="26"/>
      <c r="E182" s="26"/>
      <c r="J182" s="28"/>
    </row>
    <row r="183" ht="15.75" customHeight="1">
      <c r="A183" s="26"/>
      <c r="B183" s="26"/>
      <c r="C183" s="26"/>
      <c r="D183" s="26"/>
      <c r="E183" s="26"/>
      <c r="J183" s="28"/>
    </row>
    <row r="184" ht="15.75" customHeight="1">
      <c r="A184" s="26"/>
      <c r="B184" s="26"/>
      <c r="C184" s="26"/>
      <c r="D184" s="26"/>
      <c r="E184" s="26"/>
      <c r="J184" s="28"/>
    </row>
    <row r="185" ht="15.75" customHeight="1">
      <c r="A185" s="26"/>
      <c r="B185" s="26"/>
      <c r="C185" s="26"/>
      <c r="D185" s="26"/>
      <c r="E185" s="26"/>
      <c r="J185" s="28"/>
    </row>
    <row r="186" ht="15.75" customHeight="1">
      <c r="A186" s="26"/>
      <c r="B186" s="26"/>
      <c r="C186" s="26"/>
      <c r="D186" s="26"/>
      <c r="E186" s="26"/>
      <c r="J186" s="28"/>
    </row>
    <row r="187" ht="15.75" customHeight="1">
      <c r="A187" s="26"/>
      <c r="B187" s="26"/>
      <c r="C187" s="26"/>
      <c r="D187" s="26"/>
      <c r="E187" s="26"/>
      <c r="J187" s="28"/>
    </row>
    <row r="188" ht="15.75" customHeight="1">
      <c r="A188" s="26"/>
      <c r="B188" s="26"/>
      <c r="C188" s="26"/>
      <c r="D188" s="26"/>
      <c r="E188" s="26"/>
      <c r="J188" s="28"/>
    </row>
    <row r="189" ht="15.75" customHeight="1">
      <c r="A189" s="26"/>
      <c r="B189" s="26"/>
      <c r="C189" s="26"/>
      <c r="D189" s="26"/>
      <c r="E189" s="26"/>
      <c r="J189" s="28"/>
    </row>
    <row r="190" ht="15.75" customHeight="1">
      <c r="A190" s="26"/>
      <c r="B190" s="26"/>
      <c r="C190" s="26"/>
      <c r="D190" s="26"/>
      <c r="E190" s="26"/>
      <c r="J190" s="28"/>
    </row>
    <row r="191" ht="15.75" customHeight="1">
      <c r="A191" s="26"/>
      <c r="B191" s="26"/>
      <c r="C191" s="26"/>
      <c r="D191" s="26"/>
      <c r="E191" s="26"/>
      <c r="J191" s="28"/>
    </row>
    <row r="192" ht="15.75" customHeight="1">
      <c r="A192" s="26"/>
      <c r="B192" s="26"/>
      <c r="C192" s="26"/>
      <c r="D192" s="26"/>
      <c r="E192" s="26"/>
      <c r="J192" s="28"/>
    </row>
    <row r="193" ht="15.75" customHeight="1">
      <c r="A193" s="26"/>
      <c r="B193" s="26"/>
      <c r="C193" s="26"/>
      <c r="D193" s="26"/>
      <c r="E193" s="26"/>
      <c r="J193" s="28"/>
    </row>
    <row r="194" ht="15.75" customHeight="1">
      <c r="A194" s="26"/>
      <c r="B194" s="26"/>
      <c r="C194" s="26"/>
      <c r="D194" s="26"/>
      <c r="E194" s="26"/>
      <c r="J194" s="28"/>
    </row>
    <row r="195" ht="15.75" customHeight="1">
      <c r="A195" s="26"/>
      <c r="B195" s="26"/>
      <c r="C195" s="26"/>
      <c r="D195" s="26"/>
      <c r="E195" s="26"/>
      <c r="J195" s="28"/>
    </row>
    <row r="196" ht="15.75" customHeight="1">
      <c r="A196" s="26"/>
      <c r="B196" s="26"/>
      <c r="C196" s="26"/>
      <c r="D196" s="26"/>
      <c r="E196" s="26"/>
      <c r="J196" s="28"/>
    </row>
    <row r="197" ht="15.75" customHeight="1">
      <c r="A197" s="26"/>
      <c r="B197" s="26"/>
      <c r="C197" s="26"/>
      <c r="D197" s="26"/>
      <c r="E197" s="26"/>
      <c r="J197" s="28"/>
    </row>
    <row r="198" ht="15.75" customHeight="1">
      <c r="A198" s="26"/>
      <c r="B198" s="26"/>
      <c r="C198" s="26"/>
      <c r="D198" s="26"/>
      <c r="E198" s="26"/>
      <c r="J198" s="28"/>
    </row>
    <row r="199" ht="15.75" customHeight="1">
      <c r="A199" s="26"/>
      <c r="B199" s="26"/>
      <c r="C199" s="26"/>
      <c r="D199" s="26"/>
      <c r="E199" s="26"/>
      <c r="J199" s="28"/>
    </row>
    <row r="200" ht="15.75" customHeight="1">
      <c r="A200" s="26"/>
      <c r="B200" s="26"/>
      <c r="C200" s="26"/>
      <c r="D200" s="26"/>
      <c r="E200" s="26"/>
      <c r="J200" s="28"/>
    </row>
    <row r="201" ht="15.75" customHeight="1">
      <c r="A201" s="26"/>
      <c r="B201" s="26"/>
      <c r="C201" s="26"/>
      <c r="D201" s="26"/>
      <c r="E201" s="26"/>
      <c r="J201" s="28"/>
    </row>
    <row r="202" ht="15.75" customHeight="1">
      <c r="A202" s="26"/>
      <c r="B202" s="26"/>
      <c r="C202" s="26"/>
      <c r="D202" s="26"/>
      <c r="E202" s="26"/>
      <c r="J202" s="28"/>
    </row>
    <row r="203" ht="15.75" customHeight="1">
      <c r="A203" s="26"/>
      <c r="B203" s="26"/>
      <c r="C203" s="26"/>
      <c r="D203" s="26"/>
      <c r="E203" s="26"/>
      <c r="J203" s="28"/>
    </row>
    <row r="204" ht="15.75" customHeight="1">
      <c r="A204" s="26"/>
      <c r="B204" s="26"/>
      <c r="C204" s="26"/>
      <c r="D204" s="26"/>
      <c r="E204" s="26"/>
      <c r="J204" s="28"/>
    </row>
    <row r="205" ht="15.75" customHeight="1">
      <c r="A205" s="26"/>
      <c r="B205" s="26"/>
      <c r="C205" s="26"/>
      <c r="D205" s="26"/>
      <c r="E205" s="26"/>
      <c r="J205" s="28"/>
    </row>
    <row r="206" ht="15.75" customHeight="1">
      <c r="A206" s="26"/>
      <c r="B206" s="26"/>
      <c r="C206" s="26"/>
      <c r="D206" s="26"/>
      <c r="E206" s="26"/>
      <c r="J206" s="28"/>
    </row>
    <row r="207" ht="15.75" customHeight="1">
      <c r="A207" s="26"/>
      <c r="B207" s="26"/>
      <c r="C207" s="26"/>
      <c r="D207" s="26"/>
      <c r="E207" s="26"/>
      <c r="J207" s="28"/>
    </row>
    <row r="208" ht="15.75" customHeight="1">
      <c r="A208" s="26"/>
      <c r="B208" s="26"/>
      <c r="C208" s="26"/>
      <c r="D208" s="26"/>
      <c r="E208" s="26"/>
      <c r="J208" s="28"/>
    </row>
    <row r="209" ht="15.75" customHeight="1">
      <c r="A209" s="26"/>
      <c r="B209" s="26"/>
      <c r="C209" s="26"/>
      <c r="D209" s="26"/>
      <c r="E209" s="26"/>
      <c r="J209" s="28"/>
    </row>
    <row r="210" ht="15.75" customHeight="1">
      <c r="A210" s="26"/>
      <c r="B210" s="26"/>
      <c r="C210" s="26"/>
      <c r="D210" s="26"/>
      <c r="E210" s="26"/>
      <c r="J210" s="28"/>
    </row>
    <row r="211" ht="15.75" customHeight="1">
      <c r="A211" s="26"/>
      <c r="B211" s="26"/>
      <c r="C211" s="26"/>
      <c r="D211" s="26"/>
      <c r="E211" s="26"/>
      <c r="J211" s="28"/>
    </row>
    <row r="212" ht="15.75" customHeight="1">
      <c r="A212" s="26"/>
      <c r="B212" s="26"/>
      <c r="C212" s="26"/>
      <c r="D212" s="26"/>
      <c r="E212" s="26"/>
      <c r="J212" s="28"/>
    </row>
    <row r="213" ht="15.75" customHeight="1">
      <c r="A213" s="26"/>
      <c r="B213" s="26"/>
      <c r="C213" s="26"/>
      <c r="D213" s="26"/>
      <c r="E213" s="26"/>
      <c r="J213" s="28"/>
    </row>
    <row r="214" ht="15.75" customHeight="1">
      <c r="A214" s="26"/>
      <c r="B214" s="26"/>
      <c r="C214" s="26"/>
      <c r="D214" s="26"/>
      <c r="E214" s="26"/>
      <c r="J214" s="28"/>
    </row>
    <row r="215" ht="15.75" customHeight="1">
      <c r="A215" s="26"/>
      <c r="B215" s="26"/>
      <c r="C215" s="26"/>
      <c r="D215" s="26"/>
      <c r="E215" s="26"/>
      <c r="J215" s="28"/>
    </row>
    <row r="216" ht="15.75" customHeight="1">
      <c r="A216" s="26"/>
      <c r="B216" s="26"/>
      <c r="C216" s="26"/>
      <c r="D216" s="26"/>
      <c r="E216" s="26"/>
      <c r="J216" s="28"/>
    </row>
    <row r="217" ht="15.75" customHeight="1">
      <c r="A217" s="26"/>
      <c r="B217" s="26"/>
      <c r="C217" s="26"/>
      <c r="D217" s="26"/>
      <c r="E217" s="26"/>
      <c r="J217" s="28"/>
    </row>
    <row r="218" ht="15.75" customHeight="1">
      <c r="A218" s="26"/>
      <c r="B218" s="26"/>
      <c r="C218" s="26"/>
      <c r="D218" s="26"/>
      <c r="E218" s="26"/>
      <c r="J218" s="28"/>
    </row>
    <row r="219" ht="15.75" customHeight="1">
      <c r="A219" s="26"/>
      <c r="B219" s="26"/>
      <c r="C219" s="26"/>
      <c r="D219" s="26"/>
      <c r="E219" s="26"/>
      <c r="J219" s="28"/>
    </row>
    <row r="220" ht="15.75" customHeight="1">
      <c r="A220" s="26"/>
      <c r="B220" s="26"/>
      <c r="C220" s="26"/>
      <c r="D220" s="26"/>
      <c r="E220" s="26"/>
      <c r="J220" s="28"/>
    </row>
    <row r="221" ht="15.75" customHeight="1">
      <c r="A221" s="26"/>
      <c r="B221" s="26"/>
      <c r="C221" s="26"/>
      <c r="D221" s="26"/>
      <c r="E221" s="26"/>
      <c r="J221" s="28"/>
    </row>
    <row r="222" ht="15.75" customHeight="1">
      <c r="A222" s="26"/>
      <c r="B222" s="26"/>
      <c r="C222" s="26"/>
      <c r="D222" s="26"/>
      <c r="E222" s="26"/>
      <c r="J222" s="28"/>
    </row>
    <row r="223" ht="15.75" customHeight="1">
      <c r="A223" s="26"/>
      <c r="B223" s="26"/>
      <c r="C223" s="26"/>
      <c r="D223" s="26"/>
      <c r="E223" s="26"/>
      <c r="J223" s="28"/>
    </row>
    <row r="224" ht="15.75" customHeight="1">
      <c r="A224" s="26"/>
      <c r="B224" s="26"/>
      <c r="C224" s="26"/>
      <c r="D224" s="26"/>
      <c r="E224" s="26"/>
      <c r="J224" s="28"/>
    </row>
    <row r="225" ht="15.75" customHeight="1">
      <c r="A225" s="26"/>
      <c r="B225" s="26"/>
      <c r="C225" s="26"/>
      <c r="D225" s="26"/>
      <c r="E225" s="26"/>
      <c r="J225" s="28"/>
    </row>
    <row r="226" ht="15.75" customHeight="1">
      <c r="A226" s="26"/>
      <c r="B226" s="26"/>
      <c r="C226" s="26"/>
      <c r="D226" s="26"/>
      <c r="E226" s="26"/>
      <c r="J226" s="28"/>
    </row>
    <row r="227" ht="15.75" customHeight="1">
      <c r="A227" s="26"/>
      <c r="B227" s="26"/>
      <c r="C227" s="26"/>
      <c r="D227" s="26"/>
      <c r="E227" s="26"/>
      <c r="J227" s="28"/>
    </row>
    <row r="228" ht="15.75" customHeight="1">
      <c r="A228" s="26"/>
      <c r="B228" s="26"/>
      <c r="C228" s="26"/>
      <c r="D228" s="26"/>
      <c r="E228" s="26"/>
      <c r="J228" s="28"/>
    </row>
    <row r="229" ht="15.75" customHeight="1">
      <c r="A229" s="26"/>
      <c r="B229" s="26"/>
      <c r="C229" s="26"/>
      <c r="D229" s="26"/>
      <c r="E229" s="26"/>
      <c r="J229" s="28"/>
    </row>
    <row r="230" ht="15.75" customHeight="1">
      <c r="A230" s="26"/>
      <c r="B230" s="26"/>
      <c r="C230" s="26"/>
      <c r="D230" s="26"/>
      <c r="E230" s="26"/>
      <c r="J230" s="28"/>
    </row>
    <row r="231" ht="15.75" customHeight="1">
      <c r="A231" s="26"/>
      <c r="B231" s="26"/>
      <c r="C231" s="26"/>
      <c r="D231" s="26"/>
      <c r="E231" s="26"/>
      <c r="J231" s="28"/>
    </row>
    <row r="232" ht="15.75" customHeight="1">
      <c r="A232" s="26"/>
      <c r="B232" s="26"/>
      <c r="C232" s="26"/>
      <c r="D232" s="26"/>
      <c r="E232" s="26"/>
      <c r="J232" s="28"/>
    </row>
    <row r="233" ht="15.75" customHeight="1">
      <c r="A233" s="26"/>
      <c r="B233" s="26"/>
      <c r="C233" s="26"/>
      <c r="D233" s="26"/>
      <c r="E233" s="26"/>
      <c r="J233" s="28"/>
    </row>
    <row r="234" ht="15.75" customHeight="1">
      <c r="A234" s="26"/>
      <c r="B234" s="26"/>
      <c r="C234" s="26"/>
      <c r="D234" s="26"/>
      <c r="E234" s="26"/>
      <c r="J234" s="28"/>
    </row>
    <row r="235" ht="15.75" customHeight="1">
      <c r="A235" s="26"/>
      <c r="B235" s="26"/>
      <c r="C235" s="26"/>
      <c r="D235" s="26"/>
      <c r="E235" s="26"/>
      <c r="J235" s="28"/>
    </row>
    <row r="236" ht="15.75" customHeight="1">
      <c r="A236" s="26"/>
      <c r="B236" s="26"/>
      <c r="C236" s="26"/>
      <c r="D236" s="26"/>
      <c r="E236" s="26"/>
      <c r="J236" s="28"/>
    </row>
    <row r="237" ht="15.75" customHeight="1">
      <c r="A237" s="26"/>
      <c r="B237" s="26"/>
      <c r="C237" s="26"/>
      <c r="D237" s="26"/>
      <c r="E237" s="26"/>
      <c r="J237" s="28"/>
    </row>
    <row r="238" ht="15.75" customHeight="1">
      <c r="A238" s="26"/>
      <c r="B238" s="26"/>
      <c r="C238" s="26"/>
      <c r="D238" s="26"/>
      <c r="E238" s="26"/>
      <c r="J238" s="28"/>
    </row>
    <row r="239" ht="15.75" customHeight="1">
      <c r="A239" s="26"/>
      <c r="B239" s="26"/>
      <c r="C239" s="26"/>
      <c r="D239" s="26"/>
      <c r="E239" s="26"/>
      <c r="J239" s="28"/>
    </row>
    <row r="240" ht="15.75" customHeight="1">
      <c r="A240" s="26"/>
      <c r="B240" s="26"/>
      <c r="C240" s="26"/>
      <c r="D240" s="26"/>
      <c r="E240" s="26"/>
      <c r="J240" s="28"/>
    </row>
    <row r="241" ht="15.75" customHeight="1">
      <c r="A241" s="26"/>
      <c r="B241" s="26"/>
      <c r="C241" s="26"/>
      <c r="D241" s="26"/>
      <c r="E241" s="26"/>
      <c r="J241" s="28"/>
    </row>
    <row r="242" ht="15.75" customHeight="1">
      <c r="A242" s="26"/>
      <c r="B242" s="26"/>
      <c r="C242" s="26"/>
      <c r="D242" s="26"/>
      <c r="E242" s="26"/>
      <c r="J242" s="28"/>
    </row>
    <row r="243" ht="15.75" customHeight="1">
      <c r="A243" s="26"/>
      <c r="B243" s="26"/>
      <c r="C243" s="26"/>
      <c r="D243" s="26"/>
      <c r="E243" s="26"/>
      <c r="J243" s="28"/>
    </row>
    <row r="244" ht="15.75" customHeight="1">
      <c r="A244" s="26"/>
      <c r="B244" s="26"/>
      <c r="C244" s="26"/>
      <c r="D244" s="26"/>
      <c r="E244" s="26"/>
      <c r="J244" s="28"/>
    </row>
    <row r="245" ht="15.75" customHeight="1">
      <c r="A245" s="26"/>
      <c r="B245" s="26"/>
      <c r="C245" s="26"/>
      <c r="D245" s="26"/>
      <c r="E245" s="26"/>
      <c r="J245" s="28"/>
    </row>
    <row r="246" ht="15.75" customHeight="1">
      <c r="A246" s="26"/>
      <c r="B246" s="26"/>
      <c r="C246" s="26"/>
      <c r="D246" s="26"/>
      <c r="E246" s="26"/>
      <c r="J246" s="28"/>
    </row>
    <row r="247" ht="15.75" customHeight="1">
      <c r="A247" s="26"/>
      <c r="B247" s="26"/>
      <c r="C247" s="26"/>
      <c r="D247" s="26"/>
      <c r="E247" s="26"/>
      <c r="J247" s="28"/>
    </row>
    <row r="248" ht="15.75" customHeight="1">
      <c r="A248" s="26"/>
      <c r="B248" s="26"/>
      <c r="C248" s="26"/>
      <c r="D248" s="26"/>
      <c r="E248" s="26"/>
      <c r="J248" s="28"/>
    </row>
    <row r="249" ht="15.75" customHeight="1">
      <c r="A249" s="26"/>
      <c r="B249" s="26"/>
      <c r="C249" s="26"/>
      <c r="D249" s="26"/>
      <c r="E249" s="26"/>
      <c r="J249" s="28"/>
    </row>
    <row r="250" ht="15.75" customHeight="1">
      <c r="A250" s="26"/>
      <c r="B250" s="26"/>
      <c r="C250" s="26"/>
      <c r="D250" s="26"/>
      <c r="E250" s="26"/>
      <c r="J250" s="28"/>
    </row>
    <row r="251" ht="15.75" customHeight="1">
      <c r="A251" s="26"/>
      <c r="B251" s="26"/>
      <c r="C251" s="26"/>
      <c r="D251" s="26"/>
      <c r="E251" s="26"/>
      <c r="J251" s="28"/>
    </row>
    <row r="252" ht="15.75" customHeight="1">
      <c r="A252" s="26"/>
      <c r="B252" s="26"/>
      <c r="C252" s="26"/>
      <c r="D252" s="26"/>
      <c r="E252" s="26"/>
      <c r="J252" s="28"/>
    </row>
    <row r="253" ht="15.75" customHeight="1">
      <c r="A253" s="26"/>
      <c r="B253" s="26"/>
      <c r="C253" s="26"/>
      <c r="D253" s="26"/>
      <c r="E253" s="26"/>
      <c r="J253" s="28"/>
    </row>
    <row r="254" ht="15.75" customHeight="1">
      <c r="A254" s="26"/>
      <c r="B254" s="26"/>
      <c r="C254" s="26"/>
      <c r="D254" s="26"/>
      <c r="E254" s="26"/>
      <c r="J254" s="28"/>
    </row>
    <row r="255" ht="15.75" customHeight="1">
      <c r="A255" s="26"/>
      <c r="B255" s="26"/>
      <c r="C255" s="26"/>
      <c r="D255" s="26"/>
      <c r="E255" s="26"/>
      <c r="J255" s="28"/>
    </row>
    <row r="256" ht="15.75" customHeight="1">
      <c r="A256" s="26"/>
      <c r="B256" s="26"/>
      <c r="C256" s="26"/>
      <c r="D256" s="26"/>
      <c r="E256" s="26"/>
      <c r="J256" s="28"/>
    </row>
    <row r="257" ht="15.75" customHeight="1">
      <c r="A257" s="26"/>
      <c r="B257" s="26"/>
      <c r="C257" s="26"/>
      <c r="D257" s="26"/>
      <c r="E257" s="26"/>
      <c r="J257" s="28"/>
    </row>
    <row r="258" ht="15.75" customHeight="1">
      <c r="A258" s="26"/>
      <c r="B258" s="26"/>
      <c r="C258" s="26"/>
      <c r="D258" s="26"/>
      <c r="E258" s="26"/>
      <c r="J258" s="28"/>
    </row>
    <row r="259" ht="15.75" customHeight="1">
      <c r="A259" s="26"/>
      <c r="B259" s="26"/>
      <c r="C259" s="26"/>
      <c r="D259" s="26"/>
      <c r="E259" s="26"/>
      <c r="J259" s="28"/>
    </row>
    <row r="260" ht="15.75" customHeight="1">
      <c r="A260" s="26"/>
      <c r="B260" s="26"/>
      <c r="C260" s="26"/>
      <c r="D260" s="26"/>
      <c r="E260" s="26"/>
      <c r="J260" s="28"/>
    </row>
    <row r="261" ht="15.75" customHeight="1">
      <c r="A261" s="26"/>
      <c r="B261" s="26"/>
      <c r="C261" s="26"/>
      <c r="D261" s="26"/>
      <c r="E261" s="26"/>
      <c r="J261" s="28"/>
    </row>
    <row r="262" ht="15.75" customHeight="1">
      <c r="A262" s="26"/>
      <c r="B262" s="26"/>
      <c r="C262" s="26"/>
      <c r="D262" s="26"/>
      <c r="E262" s="26"/>
      <c r="J262" s="28"/>
    </row>
    <row r="263" ht="15.75" customHeight="1">
      <c r="A263" s="26"/>
      <c r="B263" s="26"/>
      <c r="C263" s="26"/>
      <c r="D263" s="26"/>
      <c r="E263" s="26"/>
      <c r="J263" s="28"/>
    </row>
    <row r="264" ht="15.75" customHeight="1">
      <c r="A264" s="26"/>
      <c r="B264" s="26"/>
      <c r="C264" s="26"/>
      <c r="D264" s="26"/>
      <c r="E264" s="26"/>
      <c r="J264" s="28"/>
    </row>
    <row r="265" ht="15.75" customHeight="1">
      <c r="A265" s="26"/>
      <c r="B265" s="26"/>
      <c r="C265" s="26"/>
      <c r="D265" s="26"/>
      <c r="E265" s="26"/>
      <c r="J265" s="28"/>
    </row>
    <row r="266" ht="15.75" customHeight="1">
      <c r="A266" s="26"/>
      <c r="B266" s="26"/>
      <c r="C266" s="26"/>
      <c r="D266" s="26"/>
      <c r="E266" s="26"/>
      <c r="J266" s="28"/>
    </row>
    <row r="267" ht="15.75" customHeight="1">
      <c r="A267" s="26"/>
      <c r="B267" s="26"/>
      <c r="C267" s="26"/>
      <c r="D267" s="26"/>
      <c r="E267" s="26"/>
      <c r="J267" s="28"/>
    </row>
    <row r="268" ht="15.75" customHeight="1">
      <c r="A268" s="26"/>
      <c r="B268" s="26"/>
      <c r="C268" s="26"/>
      <c r="D268" s="26"/>
      <c r="E268" s="26"/>
      <c r="J268" s="28"/>
    </row>
    <row r="269" ht="15.75" customHeight="1">
      <c r="A269" s="26"/>
      <c r="B269" s="26"/>
      <c r="C269" s="26"/>
      <c r="D269" s="26"/>
      <c r="E269" s="26"/>
      <c r="J269" s="28"/>
    </row>
    <row r="270" ht="15.75" customHeight="1">
      <c r="A270" s="26"/>
      <c r="B270" s="26"/>
      <c r="C270" s="26"/>
      <c r="D270" s="26"/>
      <c r="E270" s="26"/>
      <c r="J270" s="28"/>
    </row>
    <row r="271" ht="15.75" customHeight="1">
      <c r="A271" s="26"/>
      <c r="B271" s="26"/>
      <c r="C271" s="26"/>
      <c r="D271" s="26"/>
      <c r="E271" s="26"/>
      <c r="J271" s="28"/>
    </row>
    <row r="272" ht="15.75" customHeight="1">
      <c r="A272" s="26"/>
      <c r="B272" s="26"/>
      <c r="C272" s="26"/>
      <c r="D272" s="26"/>
      <c r="E272" s="26"/>
      <c r="J272" s="28"/>
    </row>
    <row r="273" ht="15.75" customHeight="1">
      <c r="A273" s="26"/>
      <c r="B273" s="26"/>
      <c r="C273" s="26"/>
      <c r="D273" s="26"/>
      <c r="E273" s="26"/>
      <c r="J273" s="28"/>
    </row>
    <row r="274" ht="15.75" customHeight="1">
      <c r="A274" s="26"/>
      <c r="B274" s="26"/>
      <c r="C274" s="26"/>
      <c r="D274" s="26"/>
      <c r="E274" s="26"/>
      <c r="J274" s="28"/>
    </row>
    <row r="275" ht="15.75" customHeight="1">
      <c r="A275" s="26"/>
      <c r="B275" s="26"/>
      <c r="C275" s="26"/>
      <c r="D275" s="26"/>
      <c r="E275" s="26"/>
      <c r="J275" s="28"/>
    </row>
    <row r="276" ht="15.75" customHeight="1">
      <c r="A276" s="26"/>
      <c r="B276" s="26"/>
      <c r="C276" s="26"/>
      <c r="D276" s="26"/>
      <c r="E276" s="26"/>
      <c r="J276" s="28"/>
    </row>
    <row r="277" ht="15.75" customHeight="1">
      <c r="A277" s="26"/>
      <c r="B277" s="26"/>
      <c r="C277" s="26"/>
      <c r="D277" s="26"/>
      <c r="E277" s="26"/>
      <c r="J277" s="28"/>
    </row>
    <row r="278" ht="15.75" customHeight="1">
      <c r="A278" s="26"/>
      <c r="B278" s="26"/>
      <c r="C278" s="26"/>
      <c r="D278" s="26"/>
      <c r="E278" s="26"/>
      <c r="J278" s="28"/>
    </row>
    <row r="279" ht="15.75" customHeight="1">
      <c r="A279" s="26"/>
      <c r="B279" s="26"/>
      <c r="C279" s="26"/>
      <c r="D279" s="26"/>
      <c r="E279" s="26"/>
      <c r="J279" s="28"/>
    </row>
    <row r="280" ht="15.75" customHeight="1">
      <c r="A280" s="26"/>
      <c r="B280" s="26"/>
      <c r="C280" s="26"/>
      <c r="D280" s="26"/>
      <c r="E280" s="26"/>
      <c r="J280" s="28"/>
    </row>
    <row r="281" ht="15.75" customHeight="1">
      <c r="A281" s="26"/>
      <c r="B281" s="26"/>
      <c r="C281" s="26"/>
      <c r="D281" s="26"/>
      <c r="E281" s="26"/>
      <c r="J281" s="28"/>
    </row>
    <row r="282" ht="15.75" customHeight="1">
      <c r="A282" s="26"/>
      <c r="B282" s="26"/>
      <c r="C282" s="26"/>
      <c r="D282" s="26"/>
      <c r="E282" s="26"/>
      <c r="J282" s="28"/>
    </row>
    <row r="283" ht="15.75" customHeight="1">
      <c r="A283" s="26"/>
      <c r="B283" s="26"/>
      <c r="C283" s="26"/>
      <c r="D283" s="26"/>
      <c r="E283" s="26"/>
      <c r="J283" s="28"/>
    </row>
    <row r="284" ht="15.75" customHeight="1">
      <c r="A284" s="26"/>
      <c r="B284" s="26"/>
      <c r="C284" s="26"/>
      <c r="D284" s="26"/>
      <c r="E284" s="26"/>
      <c r="J284" s="28"/>
    </row>
    <row r="285" ht="15.75" customHeight="1">
      <c r="A285" s="26"/>
      <c r="B285" s="26"/>
      <c r="C285" s="26"/>
      <c r="D285" s="26"/>
      <c r="E285" s="26"/>
      <c r="J285" s="28"/>
    </row>
    <row r="286" ht="15.75" customHeight="1">
      <c r="A286" s="26"/>
      <c r="B286" s="26"/>
      <c r="C286" s="26"/>
      <c r="D286" s="26"/>
      <c r="E286" s="26"/>
      <c r="J286" s="28"/>
    </row>
    <row r="287" ht="15.75" customHeight="1">
      <c r="A287" s="26"/>
      <c r="B287" s="26"/>
      <c r="C287" s="26"/>
      <c r="D287" s="26"/>
      <c r="E287" s="26"/>
      <c r="J287" s="28"/>
    </row>
    <row r="288" ht="15.75" customHeight="1">
      <c r="A288" s="26"/>
      <c r="B288" s="26"/>
      <c r="C288" s="26"/>
      <c r="D288" s="26"/>
      <c r="E288" s="26"/>
      <c r="J288" s="28"/>
    </row>
    <row r="289" ht="15.75" customHeight="1">
      <c r="A289" s="26"/>
      <c r="B289" s="26"/>
      <c r="C289" s="26"/>
      <c r="D289" s="26"/>
      <c r="E289" s="26"/>
      <c r="J289" s="28"/>
    </row>
    <row r="290" ht="15.75" customHeight="1">
      <c r="A290" s="26"/>
      <c r="B290" s="26"/>
      <c r="C290" s="26"/>
      <c r="D290" s="26"/>
      <c r="E290" s="26"/>
      <c r="J290" s="28"/>
    </row>
    <row r="291" ht="15.75" customHeight="1">
      <c r="A291" s="26"/>
      <c r="B291" s="26"/>
      <c r="C291" s="26"/>
      <c r="D291" s="26"/>
      <c r="E291" s="26"/>
      <c r="J291" s="28"/>
    </row>
    <row r="292" ht="15.75" customHeight="1">
      <c r="A292" s="26"/>
      <c r="B292" s="26"/>
      <c r="C292" s="26"/>
      <c r="D292" s="26"/>
      <c r="E292" s="26"/>
      <c r="J292" s="28"/>
    </row>
    <row r="293" ht="15.75" customHeight="1">
      <c r="A293" s="26"/>
      <c r="B293" s="26"/>
      <c r="C293" s="26"/>
      <c r="D293" s="26"/>
      <c r="E293" s="26"/>
      <c r="J293" s="28"/>
    </row>
    <row r="294" ht="15.75" customHeight="1">
      <c r="A294" s="26"/>
      <c r="B294" s="26"/>
      <c r="C294" s="26"/>
      <c r="D294" s="26"/>
      <c r="E294" s="26"/>
      <c r="J294" s="28"/>
    </row>
    <row r="295" ht="15.75" customHeight="1">
      <c r="A295" s="26"/>
      <c r="B295" s="26"/>
      <c r="C295" s="26"/>
      <c r="D295" s="26"/>
      <c r="E295" s="26"/>
      <c r="J295" s="28"/>
    </row>
    <row r="296" ht="15.75" customHeight="1">
      <c r="A296" s="26"/>
      <c r="B296" s="26"/>
      <c r="C296" s="26"/>
      <c r="D296" s="26"/>
      <c r="E296" s="26"/>
      <c r="J296" s="28"/>
    </row>
    <row r="297" ht="15.75" customHeight="1">
      <c r="J297" s="28"/>
    </row>
    <row r="298" ht="15.75" customHeight="1">
      <c r="J298" s="28"/>
    </row>
    <row r="299" ht="15.75" customHeight="1">
      <c r="J299" s="28"/>
    </row>
    <row r="300" ht="15.75" customHeight="1">
      <c r="J300" s="60"/>
    </row>
    <row r="301" ht="15.75" customHeight="1">
      <c r="J301" s="60"/>
    </row>
    <row r="302" ht="15.75" customHeight="1">
      <c r="J302" s="60"/>
    </row>
    <row r="303" ht="15.75" customHeight="1">
      <c r="J303" s="60"/>
    </row>
    <row r="304" ht="15.75" customHeight="1">
      <c r="J304" s="60"/>
    </row>
    <row r="305" ht="15.75" customHeight="1">
      <c r="J305" s="60"/>
    </row>
    <row r="306" ht="15.75" customHeight="1">
      <c r="J306" s="60"/>
    </row>
    <row r="307" ht="15.75" customHeight="1">
      <c r="J307" s="60"/>
    </row>
    <row r="308" ht="15.75" customHeight="1">
      <c r="J308" s="60"/>
    </row>
    <row r="309" ht="15.75" customHeight="1">
      <c r="J309" s="60"/>
    </row>
    <row r="310" ht="15.75" customHeight="1">
      <c r="J310" s="60"/>
    </row>
    <row r="311" ht="15.75" customHeight="1">
      <c r="J311" s="60"/>
    </row>
    <row r="312" ht="15.75" customHeight="1">
      <c r="J312" s="60"/>
    </row>
    <row r="313" ht="15.75" customHeight="1">
      <c r="J313" s="60"/>
    </row>
    <row r="314" ht="15.75" customHeight="1">
      <c r="J314" s="60"/>
    </row>
    <row r="315" ht="15.75" customHeight="1">
      <c r="J315" s="60"/>
    </row>
    <row r="316" ht="15.75" customHeight="1">
      <c r="J316" s="60"/>
    </row>
    <row r="317" ht="15.75" customHeight="1">
      <c r="J317" s="60"/>
    </row>
    <row r="318" ht="15.75" customHeight="1">
      <c r="J318" s="60"/>
    </row>
    <row r="319" ht="15.75" customHeight="1">
      <c r="J319" s="60"/>
    </row>
    <row r="320" ht="15.75" customHeight="1">
      <c r="J320" s="60"/>
    </row>
    <row r="321" ht="15.75" customHeight="1">
      <c r="J321" s="60"/>
    </row>
    <row r="322" ht="15.75" customHeight="1">
      <c r="J322" s="60"/>
    </row>
    <row r="323" ht="15.75" customHeight="1">
      <c r="J323" s="60"/>
    </row>
    <row r="324" ht="15.75" customHeight="1">
      <c r="J324" s="60"/>
    </row>
    <row r="325" ht="15.75" customHeight="1">
      <c r="J325" s="60"/>
    </row>
    <row r="326" ht="15.75" customHeight="1">
      <c r="J326" s="60"/>
    </row>
    <row r="327" ht="15.75" customHeight="1">
      <c r="J327" s="60"/>
    </row>
    <row r="328" ht="15.75" customHeight="1">
      <c r="J328" s="60"/>
    </row>
    <row r="329" ht="15.75" customHeight="1">
      <c r="J329" s="60"/>
    </row>
  </sheetData>
  <mergeCells count="26">
    <mergeCell ref="A1:B1"/>
    <mergeCell ref="A2:B2"/>
    <mergeCell ref="D2:J2"/>
    <mergeCell ref="L2:M3"/>
    <mergeCell ref="D3:E3"/>
    <mergeCell ref="E5:E24"/>
    <mergeCell ref="J5:J24"/>
    <mergeCell ref="D5:D24"/>
    <mergeCell ref="D25:D44"/>
    <mergeCell ref="E25:E44"/>
    <mergeCell ref="J25:J44"/>
    <mergeCell ref="D45:D64"/>
    <mergeCell ref="E45:E64"/>
    <mergeCell ref="J45:J64"/>
    <mergeCell ref="J85:J104"/>
    <mergeCell ref="J105:J124"/>
    <mergeCell ref="J125:J144"/>
    <mergeCell ref="D125:D144"/>
    <mergeCell ref="E125:E144"/>
    <mergeCell ref="D65:D84"/>
    <mergeCell ref="E65:E84"/>
    <mergeCell ref="J65:J84"/>
    <mergeCell ref="D85:D104"/>
    <mergeCell ref="E85:E104"/>
    <mergeCell ref="D105:D124"/>
    <mergeCell ref="E105:E1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