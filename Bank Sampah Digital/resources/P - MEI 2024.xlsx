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Anyer Rt 1" sheetId="2" r:id="rId5"/>
    <sheet state="visible" name="Anyer Rt 3" sheetId="3" r:id="rId6"/>
    <sheet state="visible" name="Paku" sheetId="4" r:id="rId7"/>
    <sheet state="visible" name="cempaka " sheetId="5" r:id="rId8"/>
    <sheet state="visible" name="Kepuh Anyer" sheetId="6" r:id="rId9"/>
  </sheets>
  <definedNames/>
  <calcPr/>
  <extLst>
    <ext uri="GoogleSheetsCustomDataVersion2">
      <go:sheetsCustomData xmlns:go="http://customooxmlschemas.google.com/" r:id="rId10" roundtripDataChecksum="WBab9dPYg5EGsGTrl4VuSLoKuA8mqqAFjCnUoScavKg="/>
    </ext>
  </extLst>
</workbook>
</file>

<file path=xl/sharedStrings.xml><?xml version="1.0" encoding="utf-8"?>
<sst xmlns="http://schemas.openxmlformats.org/spreadsheetml/2006/main" count="946" uniqueCount="85">
  <si>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</si>
  <si>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</si>
  <si>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</si>
  <si>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</si>
  <si>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</si>
  <si>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</si>
  <si>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</si>
  <si>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03</t>
  </si>
  <si>
    <t>Kepuh</t>
  </si>
  <si>
    <t>Paku</t>
  </si>
  <si>
    <t>Cempaka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</si>
  <si>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</si>
  <si>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</si>
  <si>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</si>
  <si>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</si>
  <si>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</si>
  <si>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</si>
  <si>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</si>
  <si>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</si>
  <si>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</si>
  <si>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</si>
  <si>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</si>
  <si>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</si>
  <si>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</si>
  <si>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</si>
  <si>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</si>
  <si>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</si>
  <si>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</si>
  <si>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</si>
  <si>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</si>
  <si>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</si>
  <si>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0.5</t>
  </si>
  <si>
    <t>Stanless</t>
  </si>
  <si>
    <t>Tembaga</t>
  </si>
  <si>
    <t>Aki Motor</t>
  </si>
  <si>
    <t>Plastik Kresek</t>
  </si>
  <si>
    <t>Update Harga Mei 2024</t>
  </si>
  <si>
    <t>DAFTAR HARGA</t>
  </si>
  <si>
    <t>Data Penimbangan Bulan  2024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</si>
  <si>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</si>
  <si>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</si>
  <si>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</si>
  <si>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</si>
  <si>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</si>
  <si>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</si>
  <si>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</si>
  <si>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</si>
  <si>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</si>
  <si>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</si>
  <si>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</si>
  <si>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Juleha</t>
  </si>
  <si>
    <t>Botol warna</t>
  </si>
  <si>
    <t>Emberan/Atum</t>
  </si>
  <si>
    <t>Buku</t>
  </si>
  <si>
    <t>Buku/LKS</t>
  </si>
  <si>
    <t>Plastik Keresek</t>
  </si>
  <si>
    <t>Lainnya</t>
  </si>
  <si>
    <t>Aminah</t>
  </si>
  <si>
    <t>Ayi Nurhayati</t>
  </si>
  <si>
    <t>Ai Roheti</t>
  </si>
  <si>
    <t>Iin Sriroyanti</t>
  </si>
  <si>
    <t>Total Transaksi</t>
  </si>
  <si>
    <t>Mutmainah</t>
  </si>
  <si>
    <t>Sutilah</t>
  </si>
  <si>
    <t>Hadijah</t>
  </si>
  <si>
    <t>Hafifah</t>
  </si>
  <si>
    <t>Imam Hambali</t>
  </si>
  <si>
    <t>Asmawati</t>
  </si>
  <si>
    <t>Suanah</t>
  </si>
  <si>
    <t xml:space="preserve">Sumiyati </t>
  </si>
  <si>
    <t>Hamsatang</t>
  </si>
  <si>
    <t>Aulia</t>
  </si>
  <si>
    <t xml:space="preserve">Rukmana </t>
  </si>
  <si>
    <t>Fatimah</t>
  </si>
  <si>
    <t xml:space="preserve">Salawati </t>
  </si>
  <si>
    <t>Sanati</t>
  </si>
  <si>
    <t xml:space="preserve">Nuraeni </t>
  </si>
  <si>
    <t>udhiyah</t>
  </si>
  <si>
    <t>Masunah</t>
  </si>
  <si>
    <t xml:space="preserve">Kodiyah </t>
  </si>
  <si>
    <t xml:space="preserve">Sali Salbiah </t>
  </si>
  <si>
    <t xml:space="preserve">Subandiah </t>
  </si>
  <si>
    <t>Siti Maemunah</t>
  </si>
  <si>
    <t>Samiyah</t>
  </si>
  <si>
    <t>Nita Hendriyani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</si>
</sst>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6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Alignment="1" applyBorder="1" applyFont="1">
      <alignment vertical="bottom"/>
    </xf>
    <xf borderId="8" fillId="0" fontId="3" numFmtId="0" xfId="0" applyBorder="1" applyFont="1"/>
    <xf borderId="7" fillId="2" fontId="4" numFmtId="0" xfId="0" applyAlignment="1" applyBorder="1" applyFont="1">
      <alignment horizontal="center" readingOrder="0" shrinkToFit="0" vertical="bottom" wrapText="1"/>
    </xf>
    <xf borderId="7" fillId="2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9" fillId="4" fontId="7" numFmtId="0" xfId="0" applyAlignment="1" applyBorder="1" applyFill="1" applyFont="1">
      <alignment vertical="center"/>
    </xf>
    <xf borderId="10" fillId="0" fontId="3" numFmtId="0" xfId="0" applyBorder="1" applyFont="1"/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9" fillId="5" fontId="9" numFmtId="0" xfId="0" applyAlignment="1" applyBorder="1" applyFill="1" applyFont="1">
      <alignment horizontal="center"/>
    </xf>
    <xf borderId="0" fillId="0" fontId="9" numFmtId="0" xfId="0" applyAlignment="1" applyFont="1">
      <alignment horizontal="center" vertical="center"/>
    </xf>
    <xf borderId="11" fillId="4" fontId="10" numFmtId="0" xfId="0" applyAlignment="1" applyBorder="1" applyFont="1">
      <alignment horizontal="center" vertical="center"/>
    </xf>
    <xf borderId="12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3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5" fillId="3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4" fillId="0" fontId="14" numFmtId="0" xfId="0" applyAlignment="1" applyBorder="1" applyFont="1">
      <alignment horizontal="center"/>
    </xf>
    <xf borderId="16" fillId="0" fontId="15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0" fillId="0" fontId="14" numFmtId="0" xfId="0" applyAlignment="1" applyFont="1">
      <alignment horizontal="center" vertical="center"/>
    </xf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15" fillId="8" fontId="14" numFmtId="0" xfId="0" applyAlignment="1" applyBorder="1" applyFill="1" applyFont="1">
      <alignment horizontal="center" vertical="center"/>
    </xf>
    <xf borderId="15" fillId="4" fontId="14" numFmtId="0" xfId="0" applyAlignment="1" applyBorder="1" applyFont="1">
      <alignment horizontal="center" vertical="center"/>
    </xf>
    <xf borderId="1" fillId="7" fontId="16" numFmtId="3" xfId="0" applyAlignment="1" applyBorder="1" applyFont="1" applyNumberFormat="1">
      <alignment horizontal="center"/>
    </xf>
    <xf borderId="15" fillId="3" fontId="10" numFmtId="0" xfId="0" applyAlignment="1" applyBorder="1" applyFont="1">
      <alignment horizontal="center" vertical="center"/>
    </xf>
    <xf borderId="15" fillId="3" fontId="6" numFmtId="0" xfId="0" applyAlignment="1" applyBorder="1" applyFont="1">
      <alignment horizontal="center"/>
    </xf>
    <xf borderId="15" fillId="3" fontId="11" numFmtId="0" xfId="0" applyBorder="1" applyFont="1"/>
    <xf borderId="16" fillId="3" fontId="8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2" max="2" width="6.5"/>
    <col customWidth="1" min="3" max="3" width="17.0"/>
  </cols>
  <sheetData>
    <row r="3">
      <c r="B3" s="1"/>
      <c r="C3" s="2"/>
      <c r="D3" s="3" t="s">
        <v>0</v>
      </c>
      <c r="E3" s="4"/>
      <c r="F3" s="4"/>
      <c r="G3" s="4"/>
      <c r="H3" s="5"/>
      <c r="I3" s="2"/>
      <c r="J3" s="6"/>
      <c r="K3" s="7"/>
      <c r="L3" s="7"/>
      <c r="M3" s="7"/>
      <c r="N3" s="7"/>
      <c r="O3" s="7"/>
      <c r="P3" s="7"/>
    </row>
    <row r="4">
      <c r="B4" s="8" t="s">
        <v>1</v>
      </c>
      <c r="C4" s="9" t="s">
        <v>2</v>
      </c>
      <c r="D4" s="10" t="s">
        <v>3</v>
      </c>
      <c r="E4" s="11"/>
      <c r="F4" s="11"/>
      <c r="G4" s="11"/>
      <c r="H4" s="12"/>
      <c r="I4" s="9" t="s">
        <v>4</v>
      </c>
      <c r="J4" s="13"/>
      <c r="K4" s="10" t="s">
        <v>5</v>
      </c>
      <c r="L4" s="11"/>
      <c r="M4" s="11"/>
      <c r="N4" s="11"/>
      <c r="O4" s="11"/>
      <c r="P4" s="12"/>
    </row>
    <row r="5">
      <c r="B5" s="14"/>
      <c r="C5" s="12"/>
      <c r="D5" s="15" t="s">
        <v>6</v>
      </c>
      <c r="E5" s="16" t="s">
        <v>7</v>
      </c>
      <c r="F5" s="15" t="s">
        <v>8</v>
      </c>
      <c r="G5" s="15" t="s">
        <v>9</v>
      </c>
      <c r="H5" s="15" t="s">
        <v>10</v>
      </c>
      <c r="I5" s="12"/>
      <c r="J5" s="13"/>
      <c r="K5" s="17" t="s">
        <v>11</v>
      </c>
      <c r="L5" s="17" t="s">
        <v>12</v>
      </c>
      <c r="M5" s="17" t="s">
        <v>13</v>
      </c>
      <c r="N5" s="17" t="s">
        <v>14</v>
      </c>
      <c r="O5" s="17" t="s">
        <v>15</v>
      </c>
      <c r="P5" s="17" t="s">
        <v>16</v>
      </c>
    </row>
    <row r="6">
      <c r="B6" s="18">
        <v>1.0</v>
      </c>
      <c r="C6" s="19" t="s">
        <v>17</v>
      </c>
      <c r="D6" s="20">
        <v>0.0</v>
      </c>
      <c r="E6" s="20">
        <v>0.0</v>
      </c>
      <c r="F6" s="20">
        <v>3.5</v>
      </c>
      <c r="G6" s="20">
        <v>2.0</v>
      </c>
      <c r="H6" s="20">
        <v>2.0</v>
      </c>
      <c r="I6" s="21">
        <f t="shared" ref="I6:I27" si="1">sum(D6:H6)</f>
        <v>7.5</v>
      </c>
      <c r="J6" s="13"/>
      <c r="K6" s="22">
        <f>I6+I7+I8+I9+I10+I11+I23</f>
        <v>217</v>
      </c>
      <c r="L6" s="22">
        <f>I12+I13+I14+I15</f>
        <v>152.9</v>
      </c>
      <c r="M6" s="22">
        <f>I24</f>
        <v>44.5</v>
      </c>
      <c r="N6" s="22">
        <f>I18+I19+I20+I21+I25+I16+I17</f>
        <v>32</v>
      </c>
      <c r="O6" s="22">
        <f>I26</f>
        <v>25</v>
      </c>
      <c r="P6" s="22">
        <f>I27</f>
        <v>48</v>
      </c>
    </row>
    <row r="7">
      <c r="B7" s="18">
        <v>2.0</v>
      </c>
      <c r="C7" s="19" t="s">
        <v>18</v>
      </c>
      <c r="D7" s="20">
        <v>4.0</v>
      </c>
      <c r="E7" s="20">
        <v>4.0</v>
      </c>
      <c r="F7" s="20">
        <v>8.0</v>
      </c>
      <c r="G7" s="20">
        <v>20.0</v>
      </c>
      <c r="H7" s="20">
        <v>7.5</v>
      </c>
      <c r="I7" s="21">
        <f t="shared" si="1"/>
        <v>43.5</v>
      </c>
      <c r="J7" s="6"/>
      <c r="K7" s="6"/>
      <c r="L7" s="6"/>
      <c r="M7" s="6"/>
      <c r="N7" s="6"/>
      <c r="O7" s="6"/>
      <c r="P7" s="6"/>
    </row>
    <row r="8">
      <c r="B8" s="18">
        <v>3.0</v>
      </c>
      <c r="C8" s="19" t="s">
        <v>19</v>
      </c>
      <c r="D8" s="20">
        <v>0.0</v>
      </c>
      <c r="E8" s="20">
        <v>0.0</v>
      </c>
      <c r="F8" s="20">
        <v>0.0</v>
      </c>
      <c r="G8" s="20">
        <v>0.0</v>
      </c>
      <c r="H8" s="20">
        <v>0.0</v>
      </c>
      <c r="I8" s="21">
        <f t="shared" si="1"/>
        <v>0</v>
      </c>
      <c r="J8" s="6"/>
      <c r="K8" s="6"/>
      <c r="L8" s="6"/>
      <c r="M8" s="6"/>
      <c r="N8" s="6"/>
      <c r="O8" s="6"/>
      <c r="P8" s="6"/>
    </row>
    <row r="9">
      <c r="B9" s="18">
        <v>4.0</v>
      </c>
      <c r="C9" s="19" t="s">
        <v>20</v>
      </c>
      <c r="D9" s="20">
        <v>1.0</v>
      </c>
      <c r="E9" s="20">
        <v>1.5</v>
      </c>
      <c r="F9" s="20">
        <v>2.0</v>
      </c>
      <c r="G9" s="20">
        <v>0.0</v>
      </c>
      <c r="H9" s="20">
        <v>0.0</v>
      </c>
      <c r="I9" s="21">
        <f t="shared" si="1"/>
        <v>4.5</v>
      </c>
      <c r="J9" s="6"/>
      <c r="K9" s="6"/>
      <c r="L9" s="6"/>
      <c r="M9" s="6"/>
      <c r="N9" s="6"/>
      <c r="O9" s="6"/>
      <c r="P9" s="6"/>
    </row>
    <row r="10">
      <c r="B10" s="18">
        <v>5.0</v>
      </c>
      <c r="C10" s="19" t="s">
        <v>21</v>
      </c>
      <c r="D10" s="20">
        <v>1.0</v>
      </c>
      <c r="E10" s="20">
        <v>0.0</v>
      </c>
      <c r="F10" s="20">
        <v>0.0</v>
      </c>
      <c r="G10" s="20">
        <v>0.0</v>
      </c>
      <c r="H10" s="20">
        <v>0.5</v>
      </c>
      <c r="I10" s="21">
        <f t="shared" si="1"/>
        <v>1.5</v>
      </c>
      <c r="J10" s="6"/>
      <c r="K10" s="6"/>
      <c r="L10" s="6"/>
      <c r="M10" s="6"/>
      <c r="N10" s="6"/>
      <c r="O10" s="6"/>
      <c r="P10" s="23"/>
    </row>
    <row r="11">
      <c r="B11" s="18">
        <v>6.0</v>
      </c>
      <c r="C11" s="19" t="s">
        <v>22</v>
      </c>
      <c r="D11" s="20">
        <v>26.0</v>
      </c>
      <c r="E11" s="20">
        <v>48.5</v>
      </c>
      <c r="F11" s="20">
        <v>17.0</v>
      </c>
      <c r="G11" s="20">
        <v>37.0</v>
      </c>
      <c r="H11" s="20">
        <v>24.0</v>
      </c>
      <c r="I11" s="21">
        <f t="shared" si="1"/>
        <v>152.5</v>
      </c>
      <c r="J11" s="6"/>
      <c r="K11" s="6"/>
      <c r="L11" s="6"/>
      <c r="M11" s="6"/>
      <c r="N11" s="6"/>
      <c r="O11" s="6"/>
      <c r="P11" s="6"/>
    </row>
    <row r="12">
      <c r="B12" s="18">
        <v>7.0</v>
      </c>
      <c r="C12" s="19" t="s">
        <v>23</v>
      </c>
      <c r="D12" s="20">
        <v>13.0</v>
      </c>
      <c r="E12" s="20">
        <v>31.0</v>
      </c>
      <c r="F12" s="20">
        <v>0.0</v>
      </c>
      <c r="G12" s="20">
        <v>35.5</v>
      </c>
      <c r="H12" s="20">
        <v>47.5</v>
      </c>
      <c r="I12" s="21">
        <f t="shared" si="1"/>
        <v>127</v>
      </c>
      <c r="J12" s="6"/>
      <c r="K12" s="6"/>
      <c r="L12" s="6"/>
      <c r="M12" s="6"/>
      <c r="N12" s="6"/>
      <c r="O12" s="6"/>
      <c r="P12" s="6"/>
    </row>
    <row r="13">
      <c r="B13" s="18">
        <v>8.0</v>
      </c>
      <c r="C13" s="19" t="s">
        <v>24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1">
        <f t="shared" si="1"/>
        <v>0</v>
      </c>
      <c r="J13" s="6"/>
      <c r="K13" s="6"/>
      <c r="L13" s="6"/>
      <c r="M13" s="6"/>
      <c r="N13" s="6"/>
      <c r="O13" s="6"/>
      <c r="P13" s="6"/>
    </row>
    <row r="14">
      <c r="B14" s="18">
        <v>9.0</v>
      </c>
      <c r="C14" s="19" t="s">
        <v>25</v>
      </c>
      <c r="D14" s="20">
        <v>0.0</v>
      </c>
      <c r="E14" s="20">
        <v>0.0</v>
      </c>
      <c r="F14" s="20">
        <v>0.0</v>
      </c>
      <c r="G14" s="20">
        <v>0.0</v>
      </c>
      <c r="H14" s="20">
        <v>7.4</v>
      </c>
      <c r="I14" s="21">
        <f t="shared" si="1"/>
        <v>7.4</v>
      </c>
      <c r="J14" s="6"/>
      <c r="K14" s="6"/>
      <c r="L14" s="6"/>
      <c r="M14" s="6"/>
      <c r="N14" s="6"/>
      <c r="O14" s="6"/>
      <c r="P14" s="6"/>
    </row>
    <row r="15">
      <c r="B15" s="18">
        <v>10.0</v>
      </c>
      <c r="C15" s="19" t="s">
        <v>26</v>
      </c>
      <c r="D15" s="20">
        <v>6.0</v>
      </c>
      <c r="E15" s="20">
        <v>7.0</v>
      </c>
      <c r="F15" s="20">
        <v>1.0</v>
      </c>
      <c r="G15" s="20">
        <v>1.5</v>
      </c>
      <c r="H15" s="20">
        <v>3.0</v>
      </c>
      <c r="I15" s="21">
        <f t="shared" si="1"/>
        <v>18.5</v>
      </c>
      <c r="J15" s="6"/>
      <c r="K15" s="6"/>
      <c r="L15" s="6"/>
      <c r="M15" s="6"/>
      <c r="N15" s="6"/>
      <c r="O15" s="6"/>
      <c r="P15" s="6"/>
    </row>
    <row r="16">
      <c r="B16" s="18">
        <v>11.0</v>
      </c>
      <c r="C16" s="19" t="s">
        <v>27</v>
      </c>
      <c r="D16" s="20">
        <v>0.0</v>
      </c>
      <c r="E16" s="20">
        <v>0.0</v>
      </c>
      <c r="F16" s="24">
        <v>1.0</v>
      </c>
      <c r="G16" s="20">
        <v>0.0</v>
      </c>
      <c r="H16" s="20">
        <v>0.0</v>
      </c>
      <c r="I16" s="21">
        <f t="shared" si="1"/>
        <v>1</v>
      </c>
      <c r="J16" s="6"/>
      <c r="K16" s="6"/>
      <c r="L16" s="6"/>
      <c r="M16" s="6"/>
      <c r="N16" s="6"/>
      <c r="O16" s="6"/>
      <c r="P16" s="6"/>
    </row>
    <row r="17">
      <c r="B17" s="18">
        <v>12.0</v>
      </c>
      <c r="C17" s="19" t="s">
        <v>28</v>
      </c>
      <c r="D17" s="20">
        <v>2.0</v>
      </c>
      <c r="E17" s="20">
        <v>0.0</v>
      </c>
      <c r="F17" s="20">
        <v>0.0</v>
      </c>
      <c r="G17" s="20">
        <v>0.0</v>
      </c>
      <c r="H17" s="20">
        <v>19.5</v>
      </c>
      <c r="I17" s="21">
        <f t="shared" si="1"/>
        <v>21.5</v>
      </c>
      <c r="J17" s="6"/>
      <c r="K17" s="6"/>
      <c r="L17" s="6"/>
      <c r="M17" s="6"/>
      <c r="N17" s="6"/>
      <c r="O17" s="6"/>
      <c r="P17" s="6"/>
    </row>
    <row r="18">
      <c r="B18" s="18">
        <v>13.0</v>
      </c>
      <c r="C18" s="19" t="s">
        <v>29</v>
      </c>
      <c r="D18" s="20">
        <v>1.5</v>
      </c>
      <c r="E18" s="20">
        <v>0.0</v>
      </c>
      <c r="F18" s="20">
        <v>6.0</v>
      </c>
      <c r="G18" s="20">
        <v>0.0</v>
      </c>
      <c r="H18" s="20">
        <v>1.0</v>
      </c>
      <c r="I18" s="21">
        <f t="shared" si="1"/>
        <v>8.5</v>
      </c>
      <c r="J18" s="6"/>
      <c r="K18" s="6"/>
      <c r="L18" s="6"/>
      <c r="M18" s="6"/>
      <c r="N18" s="6"/>
      <c r="O18" s="6"/>
      <c r="P18" s="6"/>
    </row>
    <row r="19">
      <c r="B19" s="18">
        <v>14.0</v>
      </c>
      <c r="C19" s="19" t="s">
        <v>30</v>
      </c>
      <c r="D19" s="20">
        <v>0.0</v>
      </c>
      <c r="E19" s="20">
        <v>0.0</v>
      </c>
      <c r="F19" s="20" t="s">
        <v>31</v>
      </c>
      <c r="G19" s="20">
        <v>0.0</v>
      </c>
      <c r="H19" s="20">
        <v>0.0</v>
      </c>
      <c r="I19" s="21">
        <f t="shared" si="1"/>
        <v>0</v>
      </c>
      <c r="J19" s="6"/>
      <c r="K19" s="6"/>
      <c r="L19" s="6"/>
      <c r="M19" s="6"/>
      <c r="N19" s="6"/>
      <c r="O19" s="6"/>
      <c r="P19" s="6"/>
    </row>
    <row r="20">
      <c r="B20" s="18">
        <v>15.0</v>
      </c>
      <c r="C20" s="19" t="s">
        <v>32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1">
        <f t="shared" si="1"/>
        <v>0</v>
      </c>
      <c r="J20" s="6"/>
      <c r="K20" s="6"/>
      <c r="L20" s="6"/>
      <c r="M20" s="6"/>
      <c r="N20" s="6"/>
      <c r="O20" s="6"/>
      <c r="P20" s="6"/>
    </row>
    <row r="21">
      <c r="B21" s="18">
        <v>16.0</v>
      </c>
      <c r="C21" s="19" t="s">
        <v>33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1">
        <f t="shared" si="1"/>
        <v>0</v>
      </c>
      <c r="J21" s="6"/>
      <c r="K21" s="6"/>
      <c r="L21" s="6"/>
      <c r="M21" s="6"/>
      <c r="N21" s="6"/>
      <c r="O21" s="6"/>
      <c r="P21" s="6"/>
    </row>
    <row r="22">
      <c r="B22" s="18">
        <v>17.0</v>
      </c>
      <c r="C22" s="19" t="s">
        <v>34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1">
        <f t="shared" si="1"/>
        <v>0</v>
      </c>
      <c r="J22" s="6"/>
      <c r="K22" s="6"/>
      <c r="L22" s="6"/>
      <c r="M22" s="6"/>
      <c r="N22" s="6"/>
      <c r="O22" s="6"/>
      <c r="P22" s="6"/>
    </row>
    <row r="23">
      <c r="B23" s="18">
        <v>18.0</v>
      </c>
      <c r="C23" s="19" t="s">
        <v>35</v>
      </c>
      <c r="D23" s="20">
        <v>2.5</v>
      </c>
      <c r="E23" s="20">
        <v>1.0</v>
      </c>
      <c r="F23" s="20">
        <v>2.5</v>
      </c>
      <c r="G23" s="20">
        <v>0.0</v>
      </c>
      <c r="H23" s="20">
        <v>1.5</v>
      </c>
      <c r="I23" s="21">
        <f t="shared" si="1"/>
        <v>7.5</v>
      </c>
      <c r="J23" s="6"/>
      <c r="K23" s="6"/>
      <c r="L23" s="6"/>
      <c r="M23" s="6"/>
      <c r="N23" s="6"/>
      <c r="O23" s="6"/>
      <c r="P23" s="6"/>
    </row>
    <row r="24">
      <c r="B24" s="18">
        <v>19.0</v>
      </c>
      <c r="C24" s="19" t="s">
        <v>13</v>
      </c>
      <c r="D24" s="20">
        <v>0.0</v>
      </c>
      <c r="E24" s="20">
        <v>9.5</v>
      </c>
      <c r="F24" s="20">
        <v>3.5</v>
      </c>
      <c r="G24" s="20">
        <v>21.5</v>
      </c>
      <c r="H24" s="20">
        <v>10.0</v>
      </c>
      <c r="I24" s="21">
        <f t="shared" si="1"/>
        <v>44.5</v>
      </c>
      <c r="J24" s="6"/>
      <c r="K24" s="6"/>
      <c r="L24" s="6"/>
      <c r="M24" s="6"/>
      <c r="N24" s="6"/>
      <c r="O24" s="6"/>
      <c r="P24" s="6"/>
    </row>
    <row r="25">
      <c r="B25" s="18">
        <v>20.0</v>
      </c>
      <c r="C25" s="19" t="s">
        <v>9</v>
      </c>
      <c r="D25" s="20">
        <v>1.0</v>
      </c>
      <c r="E25" s="20">
        <v>0.0</v>
      </c>
      <c r="F25" s="20">
        <v>0.0</v>
      </c>
      <c r="G25" s="20">
        <v>0.0</v>
      </c>
      <c r="H25" s="20">
        <v>0.0</v>
      </c>
      <c r="I25" s="21">
        <f t="shared" si="1"/>
        <v>1</v>
      </c>
      <c r="J25" s="6"/>
      <c r="K25" s="6"/>
      <c r="L25" s="6"/>
      <c r="M25" s="6"/>
      <c r="N25" s="6"/>
      <c r="O25" s="6"/>
      <c r="P25" s="6"/>
    </row>
    <row r="26">
      <c r="B26" s="18">
        <v>21.0</v>
      </c>
      <c r="C26" s="19" t="s">
        <v>15</v>
      </c>
      <c r="D26" s="20">
        <v>0.0</v>
      </c>
      <c r="E26" s="20">
        <v>8.5</v>
      </c>
      <c r="F26" s="20">
        <v>1.0</v>
      </c>
      <c r="G26" s="20">
        <v>6.5</v>
      </c>
      <c r="H26" s="20">
        <v>9.0</v>
      </c>
      <c r="I26" s="21">
        <f t="shared" si="1"/>
        <v>25</v>
      </c>
      <c r="J26" s="6"/>
      <c r="K26" s="6"/>
      <c r="L26" s="6"/>
      <c r="M26" s="6"/>
      <c r="N26" s="6"/>
      <c r="O26" s="6"/>
      <c r="P26" s="6"/>
    </row>
    <row r="27">
      <c r="B27" s="18">
        <v>22.0</v>
      </c>
      <c r="C27" s="19" t="s">
        <v>16</v>
      </c>
      <c r="D27" s="20">
        <v>17.0</v>
      </c>
      <c r="E27" s="20">
        <v>13.5</v>
      </c>
      <c r="F27" s="20">
        <v>7.0</v>
      </c>
      <c r="G27" s="20">
        <v>8.5</v>
      </c>
      <c r="H27" s="20">
        <v>2.0</v>
      </c>
      <c r="I27" s="21">
        <f t="shared" si="1"/>
        <v>48</v>
      </c>
      <c r="J27" s="6"/>
      <c r="K27" s="6"/>
      <c r="L27" s="6"/>
      <c r="M27" s="6"/>
      <c r="N27" s="6"/>
      <c r="O27" s="6"/>
      <c r="P27" s="6"/>
    </row>
  </sheetData>
  <mergeCells count="6">
    <mergeCell ref="D3:H3"/>
    <mergeCell ref="B4:B5"/>
    <mergeCell ref="C4:C5"/>
    <mergeCell ref="D4:H4"/>
    <mergeCell ref="I4:I5"/>
    <mergeCell ref="K4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36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37</v>
      </c>
      <c r="B2" s="26"/>
      <c r="C2" s="31"/>
      <c r="D2" s="31" t="s">
        <v>38</v>
      </c>
      <c r="K2" s="28"/>
      <c r="L2" s="32" t="s">
        <v>39</v>
      </c>
      <c r="M2" s="33"/>
      <c r="N2" s="28"/>
    </row>
    <row r="3" ht="15.75" customHeight="1">
      <c r="A3" s="34" t="s">
        <v>40</v>
      </c>
      <c r="B3" s="35" t="s">
        <v>41</v>
      </c>
      <c r="C3" s="27"/>
      <c r="D3" s="27"/>
      <c r="E3" s="27"/>
      <c r="F3" s="28"/>
      <c r="G3" s="28"/>
      <c r="H3" s="28"/>
      <c r="I3" s="28"/>
      <c r="J3" s="36"/>
      <c r="K3" s="28"/>
      <c r="L3" s="37"/>
      <c r="M3" s="12"/>
      <c r="N3" s="28"/>
    </row>
    <row r="4" ht="15.75" customHeight="1">
      <c r="A4" s="38" t="s">
        <v>17</v>
      </c>
      <c r="B4" s="39">
        <v>3000.0</v>
      </c>
      <c r="C4" s="40"/>
      <c r="D4" s="41" t="s">
        <v>1</v>
      </c>
      <c r="E4" s="41" t="s">
        <v>42</v>
      </c>
      <c r="F4" s="42" t="s">
        <v>43</v>
      </c>
      <c r="G4" s="43" t="s">
        <v>44</v>
      </c>
      <c r="H4" s="43" t="s">
        <v>45</v>
      </c>
      <c r="I4" s="44" t="s">
        <v>46</v>
      </c>
      <c r="J4" s="45" t="s">
        <v>47</v>
      </c>
      <c r="K4" s="28"/>
      <c r="L4" s="46" t="s">
        <v>48</v>
      </c>
      <c r="M4" s="46" t="s">
        <v>44</v>
      </c>
      <c r="N4" s="28"/>
    </row>
    <row r="5" ht="15.75" customHeight="1">
      <c r="A5" s="38" t="s">
        <v>49</v>
      </c>
      <c r="B5" s="39">
        <v>3100.0</v>
      </c>
      <c r="C5" s="47"/>
      <c r="D5" s="48">
        <v>1.0</v>
      </c>
      <c r="E5" s="49" t="s">
        <v>50</v>
      </c>
      <c r="F5" s="38" t="s">
        <v>17</v>
      </c>
      <c r="G5" s="50"/>
      <c r="H5" s="51">
        <f>VLOOKUP(F5,$A$4:$B$4,2,TRUE)</f>
        <v>3000</v>
      </c>
      <c r="I5" s="52">
        <f t="shared" ref="I5:I109" si="1">G5*H5</f>
        <v>0</v>
      </c>
      <c r="J5" s="53">
        <f>SUM(I5:I25)</f>
        <v>15800</v>
      </c>
      <c r="K5" s="28"/>
      <c r="L5" s="38" t="s">
        <v>17</v>
      </c>
      <c r="M5" s="54">
        <f>SUMIF(F5:F109,"Gelas bersih",G5:G109)</f>
        <v>0</v>
      </c>
      <c r="N5" s="28"/>
    </row>
    <row r="6" ht="15.75" customHeight="1">
      <c r="A6" s="38" t="s">
        <v>51</v>
      </c>
      <c r="B6" s="39">
        <v>800.0</v>
      </c>
      <c r="C6" s="55"/>
      <c r="D6" s="56"/>
      <c r="E6" s="56"/>
      <c r="F6" s="38" t="s">
        <v>49</v>
      </c>
      <c r="G6" s="50">
        <v>3.0</v>
      </c>
      <c r="H6" s="57">
        <f>VLOOKUP(F6,$A$5:$B$5,2,TRUE)</f>
        <v>3100</v>
      </c>
      <c r="I6" s="52">
        <f t="shared" si="1"/>
        <v>9300</v>
      </c>
      <c r="J6" s="56"/>
      <c r="K6" s="28"/>
      <c r="L6" s="38" t="s">
        <v>49</v>
      </c>
      <c r="M6" s="54">
        <f>SUMIF(F6:F110,"Botol bersih",G6:G110)</f>
        <v>4</v>
      </c>
      <c r="N6" s="28"/>
    </row>
    <row r="7" ht="15.75" customHeight="1">
      <c r="A7" s="38" t="s">
        <v>20</v>
      </c>
      <c r="B7" s="39">
        <v>2100.0</v>
      </c>
      <c r="C7" s="55"/>
      <c r="D7" s="56"/>
      <c r="E7" s="56"/>
      <c r="F7" s="38" t="s">
        <v>51</v>
      </c>
      <c r="G7" s="50"/>
      <c r="H7" s="57">
        <f>VLOOKUP(F7,$A$6:$B$6,2,TRUE)</f>
        <v>800</v>
      </c>
      <c r="I7" s="52">
        <f t="shared" si="1"/>
        <v>0</v>
      </c>
      <c r="J7" s="56"/>
      <c r="K7" s="28"/>
      <c r="L7" s="38" t="s">
        <v>51</v>
      </c>
      <c r="M7" s="54">
        <f>SUMIF(F7:F110,"Botol Warna",G7:G110)</f>
        <v>0</v>
      </c>
      <c r="N7" s="28"/>
    </row>
    <row r="8" ht="15.75" customHeight="1">
      <c r="A8" s="38" t="s">
        <v>21</v>
      </c>
      <c r="B8" s="39">
        <v>2600.0</v>
      </c>
      <c r="C8" s="58"/>
      <c r="D8" s="56"/>
      <c r="E8" s="56"/>
      <c r="F8" s="38" t="s">
        <v>20</v>
      </c>
      <c r="G8" s="50">
        <v>1.0</v>
      </c>
      <c r="H8" s="57">
        <f>VLOOKUP(F8,$A$7:$B$7,2,TRUE)</f>
        <v>2100</v>
      </c>
      <c r="I8" s="52">
        <f t="shared" si="1"/>
        <v>2100</v>
      </c>
      <c r="J8" s="56"/>
      <c r="K8" s="28"/>
      <c r="L8" s="38" t="s">
        <v>20</v>
      </c>
      <c r="M8" s="54">
        <f>SUMIF(F8:F111,"Tutup botol",G8:G111)</f>
        <v>1</v>
      </c>
      <c r="N8" s="28"/>
    </row>
    <row r="9" ht="15.75" customHeight="1">
      <c r="A9" s="38" t="s">
        <v>52</v>
      </c>
      <c r="B9" s="39">
        <v>800.0</v>
      </c>
      <c r="C9" s="55"/>
      <c r="D9" s="56"/>
      <c r="E9" s="56"/>
      <c r="F9" s="38" t="s">
        <v>21</v>
      </c>
      <c r="G9" s="50">
        <v>1.0</v>
      </c>
      <c r="H9" s="57">
        <f>VLOOKUP(F9, $A$8:$B$8, 2, FALSE)</f>
        <v>2600</v>
      </c>
      <c r="I9" s="52">
        <f t="shared" si="1"/>
        <v>2600</v>
      </c>
      <c r="J9" s="56"/>
      <c r="K9" s="28"/>
      <c r="L9" s="38" t="s">
        <v>21</v>
      </c>
      <c r="M9" s="54">
        <f>SUMIF(F9:F112,"Tutup galon",G9:G112)</f>
        <v>1</v>
      </c>
      <c r="N9" s="28"/>
    </row>
    <row r="10" ht="15.75" customHeight="1">
      <c r="A10" s="38" t="s">
        <v>23</v>
      </c>
      <c r="B10" s="39">
        <v>1500.0</v>
      </c>
      <c r="C10" s="55"/>
      <c r="D10" s="56"/>
      <c r="E10" s="56"/>
      <c r="F10" s="38" t="s">
        <v>52</v>
      </c>
      <c r="G10" s="50"/>
      <c r="H10" s="57">
        <f>VLOOKUP(F10, $A$9:$B$9, 2, FALSE)</f>
        <v>800</v>
      </c>
      <c r="I10" s="52">
        <f t="shared" si="1"/>
        <v>0</v>
      </c>
      <c r="J10" s="56"/>
      <c r="K10" s="28"/>
      <c r="L10" s="38" t="s">
        <v>52</v>
      </c>
      <c r="M10" s="54">
        <f>SUMIF(F10:F114,"Emberan/Atum",G10:G114)</f>
        <v>26</v>
      </c>
      <c r="N10" s="28"/>
    </row>
    <row r="11" ht="15.75" customHeight="1">
      <c r="A11" s="38" t="s">
        <v>24</v>
      </c>
      <c r="B11" s="39">
        <v>1300.0</v>
      </c>
      <c r="C11" s="55"/>
      <c r="D11" s="56"/>
      <c r="E11" s="56"/>
      <c r="F11" s="38" t="s">
        <v>23</v>
      </c>
      <c r="G11" s="50"/>
      <c r="H11" s="57">
        <f>VLOOKUP(F11,$A$10:$B$10,2,TRUE)</f>
        <v>1500</v>
      </c>
      <c r="I11" s="52">
        <f t="shared" si="1"/>
        <v>0</v>
      </c>
      <c r="J11" s="56"/>
      <c r="K11" s="28"/>
      <c r="L11" s="38" t="s">
        <v>23</v>
      </c>
      <c r="M11" s="54">
        <f>SUMIF(F11:F115,"Kardus",G11:G115)</f>
        <v>13</v>
      </c>
      <c r="N11" s="28"/>
    </row>
    <row r="12" ht="15.75" customHeight="1">
      <c r="A12" s="38" t="s">
        <v>53</v>
      </c>
      <c r="B12" s="39">
        <v>1000.0</v>
      </c>
      <c r="C12" s="55"/>
      <c r="D12" s="56"/>
      <c r="E12" s="56"/>
      <c r="F12" s="38" t="s">
        <v>24</v>
      </c>
      <c r="G12" s="50"/>
      <c r="H12" s="57">
        <f>VLOOKUP(F12,$A$11:$B$11,2,TRUE)</f>
        <v>1300</v>
      </c>
      <c r="I12" s="52">
        <f t="shared" si="1"/>
        <v>0</v>
      </c>
      <c r="J12" s="56"/>
      <c r="K12" s="28"/>
      <c r="L12" s="38" t="s">
        <v>24</v>
      </c>
      <c r="M12" s="54">
        <f>SUMIF(F12:F116,"Kertas Putihan/ HVS",G12:G116)</f>
        <v>0</v>
      </c>
      <c r="N12" s="28"/>
    </row>
    <row r="13" ht="15.75" customHeight="1">
      <c r="A13" s="38" t="s">
        <v>26</v>
      </c>
      <c r="B13" s="39">
        <v>500.0</v>
      </c>
      <c r="C13" s="55"/>
      <c r="D13" s="56"/>
      <c r="E13" s="56"/>
      <c r="F13" s="38" t="s">
        <v>54</v>
      </c>
      <c r="G13" s="50"/>
      <c r="H13" s="57">
        <f>VLOOKUP(F13,$A$12:$B$12,2,TRUE)</f>
        <v>1000</v>
      </c>
      <c r="I13" s="52">
        <f t="shared" si="1"/>
        <v>0</v>
      </c>
      <c r="J13" s="56"/>
      <c r="K13" s="28"/>
      <c r="L13" s="38" t="s">
        <v>54</v>
      </c>
      <c r="M13" s="54">
        <f>SUMIF(F13:F118,"Buku/LKS",G13:G118)</f>
        <v>0</v>
      </c>
      <c r="N13" s="28"/>
    </row>
    <row r="14" ht="15.75" customHeight="1">
      <c r="A14" s="38" t="s">
        <v>27</v>
      </c>
      <c r="B14" s="39">
        <v>6500.0</v>
      </c>
      <c r="C14" s="47"/>
      <c r="D14" s="56"/>
      <c r="E14" s="56"/>
      <c r="F14" s="38" t="s">
        <v>26</v>
      </c>
      <c r="G14" s="50"/>
      <c r="H14" s="57">
        <f>VLOOKUP(F14,$A$13:$B$13,2,TRUE)</f>
        <v>500</v>
      </c>
      <c r="I14" s="52">
        <f t="shared" si="1"/>
        <v>0</v>
      </c>
      <c r="J14" s="56"/>
      <c r="K14" s="28"/>
      <c r="L14" s="38" t="s">
        <v>26</v>
      </c>
      <c r="M14" s="54">
        <f>SUMIF(F14:F119,"Duplex",G14:G119)</f>
        <v>6</v>
      </c>
      <c r="N14" s="28"/>
    </row>
    <row r="15" ht="15.75" customHeight="1">
      <c r="A15" s="38" t="s">
        <v>28</v>
      </c>
      <c r="B15" s="39">
        <v>1800.0</v>
      </c>
      <c r="C15" s="58"/>
      <c r="D15" s="56"/>
      <c r="E15" s="56"/>
      <c r="F15" s="38" t="s">
        <v>27</v>
      </c>
      <c r="G15" s="50"/>
      <c r="H15" s="57">
        <f>VLOOKUP(F15,$A$14:$B$14,2,TRUE)</f>
        <v>6500</v>
      </c>
      <c r="I15" s="52">
        <f t="shared" si="1"/>
        <v>0</v>
      </c>
      <c r="J15" s="56"/>
      <c r="K15" s="28"/>
      <c r="L15" s="38" t="s">
        <v>27</v>
      </c>
      <c r="M15" s="54">
        <f>SUMIF(F15:F120,"Alumunium",G15:G120)</f>
        <v>0</v>
      </c>
      <c r="N15" s="28"/>
    </row>
    <row r="16" ht="15.75" customHeight="1">
      <c r="A16" s="38" t="s">
        <v>29</v>
      </c>
      <c r="B16" s="39">
        <v>1300.0</v>
      </c>
      <c r="C16" s="55"/>
      <c r="D16" s="56"/>
      <c r="E16" s="56"/>
      <c r="F16" s="38" t="s">
        <v>28</v>
      </c>
      <c r="G16" s="50"/>
      <c r="H16" s="57">
        <f>VLOOKUP(F16,$A$15:$B$15,2,TRUE)</f>
        <v>1800</v>
      </c>
      <c r="I16" s="52">
        <f t="shared" si="1"/>
        <v>0</v>
      </c>
      <c r="J16" s="56"/>
      <c r="K16" s="28"/>
      <c r="L16" s="38" t="s">
        <v>28</v>
      </c>
      <c r="M16" s="54">
        <f>SUMIF(F16:F121,"Besi",G16:G121)</f>
        <v>2</v>
      </c>
      <c r="N16" s="28"/>
    </row>
    <row r="17" ht="15.75" customHeight="1">
      <c r="A17" s="38" t="s">
        <v>30</v>
      </c>
      <c r="B17" s="39">
        <v>5000.0</v>
      </c>
      <c r="C17" s="58"/>
      <c r="D17" s="56"/>
      <c r="E17" s="56"/>
      <c r="F17" s="38" t="s">
        <v>29</v>
      </c>
      <c r="G17" s="50"/>
      <c r="H17" s="57">
        <f>VLOOKUP(F17,$A$16:$B$16,2,TRUE)</f>
        <v>1300</v>
      </c>
      <c r="I17" s="52">
        <f t="shared" si="1"/>
        <v>0</v>
      </c>
      <c r="J17" s="56"/>
      <c r="K17" s="28"/>
      <c r="L17" s="38" t="s">
        <v>29</v>
      </c>
      <c r="M17" s="54">
        <f>SUMIF(F17:F122,"Kaleng kue/susu",G17:G122)</f>
        <v>1.5</v>
      </c>
      <c r="N17" s="28"/>
    </row>
    <row r="18" ht="15.75" customHeight="1">
      <c r="A18" s="38" t="s">
        <v>32</v>
      </c>
      <c r="B18" s="39">
        <v>2500.0</v>
      </c>
      <c r="C18" s="59"/>
      <c r="D18" s="56"/>
      <c r="E18" s="56"/>
      <c r="F18" s="38" t="s">
        <v>30</v>
      </c>
      <c r="G18" s="50"/>
      <c r="H18" s="57">
        <f>VLOOKUP(F18,$A$17:$B$17,2,TRUE)</f>
        <v>5000</v>
      </c>
      <c r="I18" s="52">
        <f t="shared" si="1"/>
        <v>0</v>
      </c>
      <c r="J18" s="56"/>
      <c r="K18" s="28"/>
      <c r="L18" s="38" t="s">
        <v>30</v>
      </c>
      <c r="M18" s="54">
        <f>SUMIF(F18:F123,"Kaleng Minuman",G18:G123)</f>
        <v>0</v>
      </c>
      <c r="N18" s="28"/>
    </row>
    <row r="19" ht="15.75" customHeight="1">
      <c r="A19" s="38" t="s">
        <v>34</v>
      </c>
      <c r="B19" s="39">
        <v>9000.0</v>
      </c>
      <c r="C19" s="47"/>
      <c r="D19" s="56"/>
      <c r="E19" s="56"/>
      <c r="F19" s="38" t="s">
        <v>32</v>
      </c>
      <c r="G19" s="50"/>
      <c r="H19" s="57">
        <f>VLOOKUP(F19,$A$18:$B$18,2,TRUE)</f>
        <v>2500</v>
      </c>
      <c r="I19" s="52">
        <f t="shared" si="1"/>
        <v>0</v>
      </c>
      <c r="J19" s="56"/>
      <c r="K19" s="28"/>
      <c r="L19" s="38" t="s">
        <v>32</v>
      </c>
      <c r="M19" s="54">
        <f>SUMIF(F19:F125,"Stanless",G19:G125)</f>
        <v>0</v>
      </c>
      <c r="N19" s="28"/>
    </row>
    <row r="20" ht="15.75" customHeight="1">
      <c r="A20" s="38" t="s">
        <v>55</v>
      </c>
      <c r="B20" s="39">
        <v>250.0</v>
      </c>
      <c r="C20" s="58"/>
      <c r="D20" s="56"/>
      <c r="E20" s="56"/>
      <c r="F20" s="38" t="s">
        <v>34</v>
      </c>
      <c r="G20" s="50"/>
      <c r="H20" s="57">
        <f>VLOOKUP(F20,$A$19:$B$19,2,TRUE)</f>
        <v>9000</v>
      </c>
      <c r="I20" s="52">
        <f t="shared" si="1"/>
        <v>0</v>
      </c>
      <c r="J20" s="56"/>
      <c r="K20" s="28"/>
      <c r="L20" s="38" t="s">
        <v>34</v>
      </c>
      <c r="M20" s="54">
        <f>SUMIF(F20:F126,"Aki Motor",G20:G126)</f>
        <v>0</v>
      </c>
      <c r="N20" s="28"/>
    </row>
    <row r="21" ht="15.75" customHeight="1">
      <c r="A21" s="38" t="s">
        <v>13</v>
      </c>
      <c r="B21" s="39">
        <v>300.0</v>
      </c>
      <c r="C21" s="55"/>
      <c r="D21" s="56"/>
      <c r="E21" s="56"/>
      <c r="F21" s="38" t="s">
        <v>55</v>
      </c>
      <c r="G21" s="50"/>
      <c r="H21" s="57">
        <f>VLOOKUP(F21,$A$20:$B$20,2,TRUE)</f>
        <v>250</v>
      </c>
      <c r="I21" s="52">
        <f t="shared" si="1"/>
        <v>0</v>
      </c>
      <c r="J21" s="56"/>
      <c r="K21" s="28"/>
      <c r="L21" s="38" t="s">
        <v>55</v>
      </c>
      <c r="M21" s="54">
        <f>SUMIF(F21:F129,"Plastik Keresek",G21:G129)</f>
        <v>2.5</v>
      </c>
      <c r="N21" s="28"/>
    </row>
    <row r="22" ht="15.75" customHeight="1">
      <c r="A22" s="38" t="s">
        <v>9</v>
      </c>
      <c r="B22" s="39">
        <v>1800.0</v>
      </c>
      <c r="C22" s="55"/>
      <c r="D22" s="56"/>
      <c r="E22" s="56"/>
      <c r="F22" s="38" t="s">
        <v>13</v>
      </c>
      <c r="G22" s="50"/>
      <c r="H22" s="57">
        <f>VLOOKUP(F22,$A$21:$B$21,2,TRUE)</f>
        <v>300</v>
      </c>
      <c r="I22" s="52">
        <f t="shared" si="1"/>
        <v>0</v>
      </c>
      <c r="J22" s="56"/>
      <c r="K22" s="28"/>
      <c r="L22" s="38" t="s">
        <v>13</v>
      </c>
      <c r="M22" s="54">
        <f>SUMIF(F22:F131,"Beling",G22:G131)</f>
        <v>0</v>
      </c>
      <c r="N22" s="28"/>
    </row>
    <row r="23" ht="15.75" customHeight="1">
      <c r="A23" s="38" t="s">
        <v>15</v>
      </c>
      <c r="B23" s="60">
        <v>4000.0</v>
      </c>
      <c r="C23" s="55"/>
      <c r="D23" s="56"/>
      <c r="E23" s="56"/>
      <c r="F23" s="38" t="s">
        <v>9</v>
      </c>
      <c r="G23" s="50">
        <v>1.0</v>
      </c>
      <c r="H23" s="57">
        <f>VLOOKUP(F23,$A$22:$B$22,2,TRUE)</f>
        <v>1800</v>
      </c>
      <c r="I23" s="52">
        <f t="shared" si="1"/>
        <v>1800</v>
      </c>
      <c r="J23" s="56"/>
      <c r="K23" s="28"/>
      <c r="L23" s="38" t="s">
        <v>9</v>
      </c>
      <c r="M23" s="54">
        <f>SUMIF(F23:F133,"Paku",G23:G133)</f>
        <v>1</v>
      </c>
      <c r="N23" s="28"/>
    </row>
    <row r="24" ht="15.75" customHeight="1">
      <c r="A24" s="38" t="s">
        <v>56</v>
      </c>
      <c r="B24" s="39">
        <v>0.0</v>
      </c>
      <c r="C24" s="55"/>
      <c r="D24" s="56"/>
      <c r="E24" s="56"/>
      <c r="F24" s="38" t="s">
        <v>15</v>
      </c>
      <c r="G24" s="50"/>
      <c r="H24" s="57">
        <f>VLOOKUP(F23,$A$23:$B$23,2,TRUE)</f>
        <v>4000</v>
      </c>
      <c r="I24" s="52">
        <f t="shared" si="1"/>
        <v>0</v>
      </c>
      <c r="J24" s="56"/>
      <c r="K24" s="28"/>
      <c r="L24" s="38" t="s">
        <v>15</v>
      </c>
      <c r="M24" s="54">
        <f>SUMIF(F24:F134,"Minyak Jelantah",G24:G134)</f>
        <v>0</v>
      </c>
      <c r="N24" s="28"/>
    </row>
    <row r="25" ht="15.75" customHeight="1">
      <c r="A25" s="55"/>
      <c r="B25" s="55"/>
      <c r="C25" s="55"/>
      <c r="D25" s="14"/>
      <c r="E25" s="14"/>
      <c r="F25" s="38" t="s">
        <v>56</v>
      </c>
      <c r="G25" s="50"/>
      <c r="H25" s="57">
        <f>VLOOKUP(F24,$A$24:$B$24,2,TRUE)</f>
        <v>0</v>
      </c>
      <c r="I25" s="52">
        <f t="shared" si="1"/>
        <v>0</v>
      </c>
      <c r="J25" s="14"/>
      <c r="K25" s="28"/>
      <c r="L25" s="38" t="s">
        <v>56</v>
      </c>
      <c r="M25" s="54">
        <f>SUMIF(F25:F135,"Lainnya",G25:G135)</f>
        <v>17</v>
      </c>
      <c r="N25" s="28"/>
    </row>
    <row r="26" ht="15.75" customHeight="1">
      <c r="A26" s="55"/>
      <c r="B26" s="55"/>
      <c r="C26" s="55"/>
      <c r="D26" s="48">
        <v>2.0</v>
      </c>
      <c r="E26" s="49" t="s">
        <v>57</v>
      </c>
      <c r="F26" s="38" t="s">
        <v>17</v>
      </c>
      <c r="G26" s="50"/>
      <c r="H26" s="51">
        <f>VLOOKUP(F26,$A$4:$B$4,2,TRUE)</f>
        <v>3000</v>
      </c>
      <c r="I26" s="52">
        <f t="shared" si="1"/>
        <v>0</v>
      </c>
      <c r="J26" s="53">
        <f>SUM(I26:I46)</f>
        <v>6750</v>
      </c>
      <c r="K26" s="28"/>
      <c r="L26" s="28"/>
      <c r="M26" s="28"/>
      <c r="N26" s="28"/>
    </row>
    <row r="27" ht="15.75" customHeight="1">
      <c r="A27" s="61"/>
      <c r="B27" s="61"/>
      <c r="C27" s="55"/>
      <c r="D27" s="56"/>
      <c r="E27" s="56"/>
      <c r="F27" s="38" t="s">
        <v>49</v>
      </c>
      <c r="G27" s="50"/>
      <c r="H27" s="57">
        <f>VLOOKUP(F27,$A$5:$B$5,2,TRUE)</f>
        <v>3100</v>
      </c>
      <c r="I27" s="52">
        <f t="shared" si="1"/>
        <v>0</v>
      </c>
      <c r="J27" s="56"/>
      <c r="K27" s="28"/>
      <c r="L27" s="28"/>
      <c r="M27" s="28"/>
      <c r="N27" s="28"/>
    </row>
    <row r="28" ht="15.75" customHeight="1">
      <c r="A28" s="61"/>
      <c r="B28" s="61"/>
      <c r="C28" s="55"/>
      <c r="D28" s="56"/>
      <c r="E28" s="56"/>
      <c r="F28" s="38" t="s">
        <v>51</v>
      </c>
      <c r="G28" s="50"/>
      <c r="H28" s="57">
        <f>VLOOKUP(F28,$A$6:$B$6,2,TRUE)</f>
        <v>800</v>
      </c>
      <c r="I28" s="52">
        <f t="shared" si="1"/>
        <v>0</v>
      </c>
      <c r="J28" s="56"/>
      <c r="K28" s="28"/>
      <c r="L28" s="28"/>
      <c r="M28" s="28"/>
      <c r="N28" s="28"/>
    </row>
    <row r="29" ht="15.75" customHeight="1">
      <c r="A29" s="62"/>
      <c r="B29" s="62"/>
      <c r="C29" s="55"/>
      <c r="D29" s="56"/>
      <c r="E29" s="56"/>
      <c r="F29" s="38" t="s">
        <v>20</v>
      </c>
      <c r="G29" s="50"/>
      <c r="H29" s="57">
        <f>VLOOKUP(F29,$A$7:$B$7,2,TRUE)</f>
        <v>2100</v>
      </c>
      <c r="I29" s="52">
        <f t="shared" si="1"/>
        <v>0</v>
      </c>
      <c r="J29" s="56"/>
      <c r="K29" s="28"/>
      <c r="L29" s="28"/>
      <c r="M29" s="28"/>
      <c r="N29" s="28"/>
    </row>
    <row r="30" ht="15.75" customHeight="1">
      <c r="A30" s="63"/>
      <c r="B30" s="62"/>
      <c r="C30" s="55"/>
      <c r="D30" s="56"/>
      <c r="E30" s="56"/>
      <c r="F30" s="38" t="s">
        <v>21</v>
      </c>
      <c r="G30" s="50"/>
      <c r="H30" s="57">
        <f>VLOOKUP(F30, $A$8:$B$8, 2, FALSE)</f>
        <v>2600</v>
      </c>
      <c r="I30" s="52">
        <f t="shared" si="1"/>
        <v>0</v>
      </c>
      <c r="J30" s="56"/>
      <c r="K30" s="28"/>
      <c r="L30" s="28"/>
      <c r="M30" s="28"/>
      <c r="N30" s="28"/>
    </row>
    <row r="31" ht="15.75" customHeight="1">
      <c r="A31" s="63"/>
      <c r="B31" s="62"/>
      <c r="C31" s="55"/>
      <c r="D31" s="56"/>
      <c r="E31" s="56"/>
      <c r="F31" s="38" t="s">
        <v>52</v>
      </c>
      <c r="G31" s="50">
        <v>6.0</v>
      </c>
      <c r="H31" s="57">
        <f>VLOOKUP(F31, $A$9:$B$9, 2, FALSE)</f>
        <v>800</v>
      </c>
      <c r="I31" s="52">
        <f t="shared" si="1"/>
        <v>4800</v>
      </c>
      <c r="J31" s="56"/>
      <c r="K31" s="28"/>
      <c r="L31" s="28"/>
      <c r="M31" s="28"/>
      <c r="N31" s="28"/>
    </row>
    <row r="32" ht="15.75" customHeight="1">
      <c r="A32" s="63"/>
      <c r="B32" s="62"/>
      <c r="C32" s="55"/>
      <c r="D32" s="56"/>
      <c r="E32" s="56"/>
      <c r="F32" s="38" t="s">
        <v>23</v>
      </c>
      <c r="G32" s="50"/>
      <c r="H32" s="57">
        <f>VLOOKUP(F32,$A$10:$B$10,2,TRUE)</f>
        <v>1500</v>
      </c>
      <c r="I32" s="52">
        <f t="shared" si="1"/>
        <v>0</v>
      </c>
      <c r="J32" s="56"/>
      <c r="K32" s="28"/>
      <c r="L32" s="28"/>
      <c r="M32" s="28"/>
      <c r="N32" s="28"/>
    </row>
    <row r="33" ht="15.75" customHeight="1">
      <c r="A33" s="63"/>
      <c r="B33" s="62"/>
      <c r="C33" s="55"/>
      <c r="D33" s="56"/>
      <c r="E33" s="56"/>
      <c r="F33" s="38" t="s">
        <v>24</v>
      </c>
      <c r="G33" s="50"/>
      <c r="H33" s="57">
        <f>VLOOKUP(F33,$A$11:$B$11,2,TRUE)</f>
        <v>1300</v>
      </c>
      <c r="I33" s="52">
        <f t="shared" si="1"/>
        <v>0</v>
      </c>
      <c r="J33" s="56"/>
      <c r="K33" s="28"/>
      <c r="L33" s="28"/>
      <c r="M33" s="28"/>
      <c r="N33" s="28"/>
    </row>
    <row r="34" ht="15.75" customHeight="1">
      <c r="A34" s="63"/>
      <c r="B34" s="62"/>
      <c r="C34" s="55"/>
      <c r="D34" s="56"/>
      <c r="E34" s="56"/>
      <c r="F34" s="38" t="s">
        <v>54</v>
      </c>
      <c r="G34" s="50"/>
      <c r="H34" s="57">
        <f>VLOOKUP(F34,$A$12:$B$12,2,TRUE)</f>
        <v>1000</v>
      </c>
      <c r="I34" s="52">
        <f t="shared" si="1"/>
        <v>0</v>
      </c>
      <c r="J34" s="56"/>
      <c r="K34" s="28"/>
      <c r="L34" s="28"/>
      <c r="M34" s="28"/>
      <c r="N34" s="28"/>
    </row>
    <row r="35" ht="15.75" customHeight="1">
      <c r="A35" s="63"/>
      <c r="B35" s="62"/>
      <c r="C35" s="55"/>
      <c r="D35" s="56"/>
      <c r="E35" s="56"/>
      <c r="F35" s="38" t="s">
        <v>26</v>
      </c>
      <c r="G35" s="50"/>
      <c r="H35" s="57">
        <f>VLOOKUP(F35,$A$13:$B$13,2,TRUE)</f>
        <v>500</v>
      </c>
      <c r="I35" s="52">
        <f t="shared" si="1"/>
        <v>0</v>
      </c>
      <c r="J35" s="56"/>
      <c r="K35" s="28"/>
      <c r="L35" s="28"/>
      <c r="M35" s="28"/>
      <c r="N35" s="28"/>
    </row>
    <row r="36" ht="15.75" customHeight="1">
      <c r="A36" s="63"/>
      <c r="B36" s="62"/>
      <c r="C36" s="55"/>
      <c r="D36" s="56"/>
      <c r="E36" s="56"/>
      <c r="F36" s="38" t="s">
        <v>27</v>
      </c>
      <c r="G36" s="50"/>
      <c r="H36" s="57">
        <f>VLOOKUP(F36,$A$14:$B$14,2,TRUE)</f>
        <v>6500</v>
      </c>
      <c r="I36" s="52">
        <f t="shared" si="1"/>
        <v>0</v>
      </c>
      <c r="J36" s="56"/>
      <c r="K36" s="28"/>
      <c r="L36" s="28"/>
      <c r="M36" s="28"/>
      <c r="N36" s="28"/>
    </row>
    <row r="37" ht="15.75" customHeight="1">
      <c r="A37" s="63"/>
      <c r="B37" s="62"/>
      <c r="C37" s="55"/>
      <c r="D37" s="56"/>
      <c r="E37" s="56"/>
      <c r="F37" s="38" t="s">
        <v>28</v>
      </c>
      <c r="G37" s="50"/>
      <c r="H37" s="57">
        <f>VLOOKUP(F37,$A$15:$B$15,2,TRUE)</f>
        <v>1800</v>
      </c>
      <c r="I37" s="52">
        <f t="shared" si="1"/>
        <v>0</v>
      </c>
      <c r="J37" s="56"/>
      <c r="K37" s="28"/>
      <c r="L37" s="28"/>
      <c r="M37" s="28"/>
      <c r="N37" s="28"/>
    </row>
    <row r="38" ht="15.75" customHeight="1">
      <c r="A38" s="63"/>
      <c r="B38" s="62"/>
      <c r="C38" s="55"/>
      <c r="D38" s="56"/>
      <c r="E38" s="56"/>
      <c r="F38" s="38" t="s">
        <v>29</v>
      </c>
      <c r="G38" s="50">
        <v>1.5</v>
      </c>
      <c r="H38" s="57">
        <f>VLOOKUP(F38,$A$16:$B$16,2,TRUE)</f>
        <v>1300</v>
      </c>
      <c r="I38" s="52">
        <f t="shared" si="1"/>
        <v>1950</v>
      </c>
      <c r="J38" s="56"/>
      <c r="K38" s="28"/>
      <c r="L38" s="28"/>
      <c r="M38" s="28"/>
      <c r="N38" s="28"/>
    </row>
    <row r="39" ht="15.75" customHeight="1">
      <c r="A39" s="63"/>
      <c r="B39" s="62"/>
      <c r="C39" s="55"/>
      <c r="D39" s="56"/>
      <c r="E39" s="56"/>
      <c r="F39" s="38" t="s">
        <v>30</v>
      </c>
      <c r="G39" s="50"/>
      <c r="H39" s="57">
        <f>VLOOKUP(F39,$A$17:$B$17,2,TRUE)</f>
        <v>5000</v>
      </c>
      <c r="I39" s="52">
        <f t="shared" si="1"/>
        <v>0</v>
      </c>
      <c r="J39" s="56"/>
      <c r="K39" s="28"/>
      <c r="L39" s="28"/>
      <c r="M39" s="28"/>
      <c r="N39" s="28"/>
    </row>
    <row r="40" ht="15.75" customHeight="1">
      <c r="A40" s="63"/>
      <c r="B40" s="62"/>
      <c r="C40" s="55"/>
      <c r="D40" s="56"/>
      <c r="E40" s="56"/>
      <c r="F40" s="38" t="s">
        <v>32</v>
      </c>
      <c r="G40" s="50"/>
      <c r="H40" s="57">
        <f>VLOOKUP(F40,$A$18:$B$18,2,TRUE)</f>
        <v>2500</v>
      </c>
      <c r="I40" s="52">
        <f t="shared" si="1"/>
        <v>0</v>
      </c>
      <c r="J40" s="56"/>
      <c r="K40" s="28"/>
      <c r="L40" s="28"/>
      <c r="M40" s="28"/>
      <c r="N40" s="28"/>
    </row>
    <row r="41" ht="15.75" customHeight="1">
      <c r="A41" s="63"/>
      <c r="B41" s="62"/>
      <c r="C41" s="55"/>
      <c r="D41" s="56"/>
      <c r="E41" s="56"/>
      <c r="F41" s="38" t="s">
        <v>34</v>
      </c>
      <c r="G41" s="50"/>
      <c r="H41" s="57">
        <f>VLOOKUP(F41,$A$19:$B$19,2,TRUE)</f>
        <v>9000</v>
      </c>
      <c r="I41" s="52">
        <f t="shared" si="1"/>
        <v>0</v>
      </c>
      <c r="J41" s="56"/>
      <c r="K41" s="28"/>
      <c r="L41" s="28"/>
      <c r="M41" s="28"/>
      <c r="N41" s="28"/>
    </row>
    <row r="42" ht="15.75" customHeight="1">
      <c r="A42" s="63"/>
      <c r="B42" s="62"/>
      <c r="C42" s="55"/>
      <c r="D42" s="56"/>
      <c r="E42" s="56"/>
      <c r="F42" s="38" t="s">
        <v>55</v>
      </c>
      <c r="G42" s="50"/>
      <c r="H42" s="57">
        <f>VLOOKUP(F42,$A$20:$B$20,2,TRUE)</f>
        <v>250</v>
      </c>
      <c r="I42" s="52">
        <f t="shared" si="1"/>
        <v>0</v>
      </c>
      <c r="J42" s="56"/>
      <c r="K42" s="28"/>
      <c r="L42" s="28"/>
      <c r="M42" s="28"/>
      <c r="N42" s="28"/>
    </row>
    <row r="43" ht="15.75" customHeight="1">
      <c r="A43" s="63"/>
      <c r="B43" s="62"/>
      <c r="C43" s="55"/>
      <c r="D43" s="56"/>
      <c r="E43" s="56"/>
      <c r="F43" s="38" t="s">
        <v>13</v>
      </c>
      <c r="G43" s="50"/>
      <c r="H43" s="57">
        <f>VLOOKUP(F43,$A$21:$B$21,2,TRUE)</f>
        <v>300</v>
      </c>
      <c r="I43" s="52">
        <f t="shared" si="1"/>
        <v>0</v>
      </c>
      <c r="J43" s="56"/>
      <c r="K43" s="28"/>
      <c r="L43" s="28"/>
      <c r="M43" s="28"/>
      <c r="N43" s="28"/>
    </row>
    <row r="44" ht="15.75" customHeight="1">
      <c r="A44" s="63"/>
      <c r="B44" s="62"/>
      <c r="C44" s="55"/>
      <c r="D44" s="56"/>
      <c r="E44" s="56"/>
      <c r="F44" s="38" t="s">
        <v>9</v>
      </c>
      <c r="G44" s="50"/>
      <c r="H44" s="57">
        <f>VLOOKUP(F44,$A$22:$B$22,2,TRUE)</f>
        <v>1800</v>
      </c>
      <c r="I44" s="52">
        <f t="shared" si="1"/>
        <v>0</v>
      </c>
      <c r="J44" s="56"/>
      <c r="K44" s="28"/>
      <c r="L44" s="28"/>
      <c r="M44" s="28"/>
      <c r="N44" s="28"/>
    </row>
    <row r="45" ht="15.75" customHeight="1">
      <c r="A45" s="63"/>
      <c r="B45" s="62"/>
      <c r="C45" s="55"/>
      <c r="D45" s="56"/>
      <c r="E45" s="56"/>
      <c r="F45" s="38" t="s">
        <v>15</v>
      </c>
      <c r="G45" s="50"/>
      <c r="H45" s="57">
        <f>VLOOKUP(F44,$A$23:$B$23,2,TRUE)</f>
        <v>4000</v>
      </c>
      <c r="I45" s="52">
        <f t="shared" si="1"/>
        <v>0</v>
      </c>
      <c r="J45" s="56"/>
      <c r="K45" s="28"/>
      <c r="L45" s="28"/>
      <c r="M45" s="28"/>
      <c r="N45" s="28"/>
    </row>
    <row r="46" ht="15.75" customHeight="1">
      <c r="A46" s="63"/>
      <c r="B46" s="62"/>
      <c r="C46" s="55"/>
      <c r="D46" s="14"/>
      <c r="E46" s="14"/>
      <c r="F46" s="38" t="s">
        <v>56</v>
      </c>
      <c r="G46" s="50"/>
      <c r="H46" s="57">
        <f>VLOOKUP(F45,$A$24:$B$24,2,TRUE)</f>
        <v>0</v>
      </c>
      <c r="I46" s="52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5"/>
      <c r="D47" s="48">
        <v>3.0</v>
      </c>
      <c r="E47" s="64" t="s">
        <v>58</v>
      </c>
      <c r="F47" s="38" t="s">
        <v>17</v>
      </c>
      <c r="G47" s="50"/>
      <c r="H47" s="51">
        <f>VLOOKUP(F47,$A$4:$B$4,2,TRUE)</f>
        <v>3000</v>
      </c>
      <c r="I47" s="52">
        <f t="shared" si="1"/>
        <v>0</v>
      </c>
      <c r="J47" s="53">
        <f>SUM(I47:I67)</f>
        <v>36700</v>
      </c>
      <c r="K47" s="28"/>
      <c r="L47" s="28"/>
      <c r="M47" s="28"/>
      <c r="N47" s="28"/>
    </row>
    <row r="48" ht="15.75" customHeight="1">
      <c r="A48" s="63"/>
      <c r="B48" s="62"/>
      <c r="C48" s="55"/>
      <c r="D48" s="56"/>
      <c r="E48" s="56"/>
      <c r="F48" s="38" t="s">
        <v>49</v>
      </c>
      <c r="G48" s="50"/>
      <c r="H48" s="57">
        <f>VLOOKUP(F48,$A$5:$B$5,2,TRUE)</f>
        <v>3100</v>
      </c>
      <c r="I48" s="52">
        <f t="shared" si="1"/>
        <v>0</v>
      </c>
      <c r="J48" s="56"/>
      <c r="K48" s="28"/>
      <c r="L48" s="28"/>
      <c r="M48" s="28"/>
      <c r="N48" s="28"/>
    </row>
    <row r="49" ht="15.75" customHeight="1">
      <c r="A49" s="63"/>
      <c r="B49" s="62"/>
      <c r="C49" s="55"/>
      <c r="D49" s="56"/>
      <c r="E49" s="56"/>
      <c r="F49" s="38" t="s">
        <v>51</v>
      </c>
      <c r="G49" s="50"/>
      <c r="H49" s="57">
        <f>VLOOKUP(F49,$A$6:$B$6,2,TRUE)</f>
        <v>800</v>
      </c>
      <c r="I49" s="52">
        <f t="shared" si="1"/>
        <v>0</v>
      </c>
      <c r="J49" s="56"/>
      <c r="K49" s="28"/>
      <c r="L49" s="28"/>
      <c r="M49" s="28"/>
      <c r="N49" s="28"/>
    </row>
    <row r="50" ht="15.75" customHeight="1">
      <c r="A50" s="63"/>
      <c r="B50" s="62"/>
      <c r="C50" s="55"/>
      <c r="D50" s="56"/>
      <c r="E50" s="56"/>
      <c r="F50" s="38" t="s">
        <v>20</v>
      </c>
      <c r="G50" s="50"/>
      <c r="H50" s="57">
        <f>VLOOKUP(F50,$A$7:$B$7,2,TRUE)</f>
        <v>2100</v>
      </c>
      <c r="I50" s="52">
        <f t="shared" si="1"/>
        <v>0</v>
      </c>
      <c r="J50" s="56"/>
      <c r="K50" s="28"/>
      <c r="L50" s="28"/>
      <c r="M50" s="28"/>
      <c r="N50" s="28"/>
    </row>
    <row r="51" ht="15.75" customHeight="1">
      <c r="A51" s="47"/>
      <c r="B51" s="47"/>
      <c r="C51" s="55"/>
      <c r="D51" s="56"/>
      <c r="E51" s="56"/>
      <c r="F51" s="38" t="s">
        <v>21</v>
      </c>
      <c r="G51" s="50"/>
      <c r="H51" s="57">
        <f>VLOOKUP(F51, $A$8:$B$8, 2, FALSE)</f>
        <v>2600</v>
      </c>
      <c r="I51" s="52">
        <f t="shared" si="1"/>
        <v>0</v>
      </c>
      <c r="J51" s="56"/>
      <c r="K51" s="28"/>
      <c r="L51" s="28"/>
      <c r="M51" s="28"/>
      <c r="N51" s="28"/>
    </row>
    <row r="52" ht="15.75" customHeight="1">
      <c r="A52" s="47"/>
      <c r="B52" s="47"/>
      <c r="C52" s="55"/>
      <c r="D52" s="56"/>
      <c r="E52" s="56"/>
      <c r="F52" s="38" t="s">
        <v>52</v>
      </c>
      <c r="G52" s="50">
        <f>15+2</f>
        <v>17</v>
      </c>
      <c r="H52" s="57">
        <f>VLOOKUP(F52, $A$9:$B$9, 2, FALSE)</f>
        <v>800</v>
      </c>
      <c r="I52" s="52">
        <f t="shared" si="1"/>
        <v>13600</v>
      </c>
      <c r="J52" s="56"/>
      <c r="K52" s="28"/>
      <c r="L52" s="28"/>
      <c r="M52" s="28"/>
      <c r="N52" s="28"/>
    </row>
    <row r="53" ht="15.75" customHeight="1">
      <c r="A53" s="47"/>
      <c r="B53" s="47"/>
      <c r="C53" s="55"/>
      <c r="D53" s="56"/>
      <c r="E53" s="56"/>
      <c r="F53" s="38" t="s">
        <v>23</v>
      </c>
      <c r="G53" s="50">
        <f>4+5+2+2</f>
        <v>13</v>
      </c>
      <c r="H53" s="57">
        <f>VLOOKUP(F53,$A$10:$B$10,2,TRUE)</f>
        <v>1500</v>
      </c>
      <c r="I53" s="52">
        <f t="shared" si="1"/>
        <v>19500</v>
      </c>
      <c r="J53" s="56"/>
      <c r="K53" s="28"/>
      <c r="L53" s="28"/>
      <c r="M53" s="28"/>
      <c r="N53" s="28"/>
    </row>
    <row r="54" ht="15.75" customHeight="1">
      <c r="A54" s="47"/>
      <c r="B54" s="47"/>
      <c r="C54" s="55"/>
      <c r="D54" s="56"/>
      <c r="E54" s="56"/>
      <c r="F54" s="38" t="s">
        <v>24</v>
      </c>
      <c r="G54" s="50"/>
      <c r="H54" s="57">
        <f>VLOOKUP(F54,$A$11:$B$11,2,TRUE)</f>
        <v>1300</v>
      </c>
      <c r="I54" s="52">
        <f t="shared" si="1"/>
        <v>0</v>
      </c>
      <c r="J54" s="56"/>
      <c r="K54" s="28"/>
      <c r="L54" s="28"/>
      <c r="M54" s="28"/>
      <c r="N54" s="28"/>
    </row>
    <row r="55" ht="15.75" customHeight="1">
      <c r="A55" s="47"/>
      <c r="B55" s="47"/>
      <c r="C55" s="55"/>
      <c r="D55" s="56"/>
      <c r="E55" s="56"/>
      <c r="F55" s="38" t="s">
        <v>54</v>
      </c>
      <c r="G55" s="50"/>
      <c r="H55" s="57">
        <f>VLOOKUP(F55,$A$12:$B$12,2,TRUE)</f>
        <v>1000</v>
      </c>
      <c r="I55" s="52">
        <f t="shared" si="1"/>
        <v>0</v>
      </c>
      <c r="J55" s="56"/>
      <c r="K55" s="28"/>
      <c r="L55" s="28"/>
      <c r="M55" s="28"/>
      <c r="N55" s="28"/>
    </row>
    <row r="56" ht="15.75" customHeight="1">
      <c r="A56" s="47"/>
      <c r="B56" s="47"/>
      <c r="C56" s="55"/>
      <c r="D56" s="56"/>
      <c r="E56" s="56"/>
      <c r="F56" s="38" t="s">
        <v>26</v>
      </c>
      <c r="G56" s="50"/>
      <c r="H56" s="57">
        <f>VLOOKUP(F56,$A$13:$B$13,2,TRUE)</f>
        <v>500</v>
      </c>
      <c r="I56" s="52">
        <f t="shared" si="1"/>
        <v>0</v>
      </c>
      <c r="J56" s="56"/>
      <c r="K56" s="28"/>
      <c r="L56" s="28"/>
      <c r="M56" s="28"/>
      <c r="N56" s="28"/>
    </row>
    <row r="57" ht="15.75" customHeight="1">
      <c r="A57" s="47"/>
      <c r="B57" s="47"/>
      <c r="C57" s="55"/>
      <c r="D57" s="56"/>
      <c r="E57" s="56"/>
      <c r="F57" s="38" t="s">
        <v>27</v>
      </c>
      <c r="G57" s="50"/>
      <c r="H57" s="57">
        <f>VLOOKUP(F57,$A$14:$B$14,2,TRUE)</f>
        <v>6500</v>
      </c>
      <c r="I57" s="52">
        <f t="shared" si="1"/>
        <v>0</v>
      </c>
      <c r="J57" s="56"/>
      <c r="K57" s="28"/>
      <c r="L57" s="28"/>
      <c r="M57" s="28"/>
      <c r="N57" s="28"/>
    </row>
    <row r="58" ht="15.75" customHeight="1">
      <c r="A58" s="55"/>
      <c r="B58" s="55"/>
      <c r="C58" s="55"/>
      <c r="D58" s="56"/>
      <c r="E58" s="56"/>
      <c r="F58" s="38" t="s">
        <v>28</v>
      </c>
      <c r="G58" s="50">
        <v>2.0</v>
      </c>
      <c r="H58" s="57">
        <f>VLOOKUP(F58,$A$15:$B$15,2,TRUE)</f>
        <v>1800</v>
      </c>
      <c r="I58" s="52">
        <f t="shared" si="1"/>
        <v>3600</v>
      </c>
      <c r="J58" s="56"/>
      <c r="K58" s="28"/>
      <c r="L58" s="28"/>
      <c r="M58" s="28"/>
      <c r="N58" s="28"/>
    </row>
    <row r="59" ht="15.75" customHeight="1">
      <c r="A59" s="55"/>
      <c r="B59" s="55"/>
      <c r="C59" s="55"/>
      <c r="D59" s="56"/>
      <c r="E59" s="56"/>
      <c r="F59" s="38" t="s">
        <v>29</v>
      </c>
      <c r="G59" s="50"/>
      <c r="H59" s="57">
        <f>VLOOKUP(F59,$A$16:$B$16,2,TRUE)</f>
        <v>1300</v>
      </c>
      <c r="I59" s="52">
        <f t="shared" si="1"/>
        <v>0</v>
      </c>
      <c r="J59" s="56"/>
      <c r="K59" s="28"/>
      <c r="L59" s="28"/>
      <c r="M59" s="28"/>
      <c r="N59" s="28"/>
    </row>
    <row r="60" ht="15.75" customHeight="1">
      <c r="A60" s="55"/>
      <c r="B60" s="55"/>
      <c r="C60" s="55"/>
      <c r="D60" s="56"/>
      <c r="E60" s="56"/>
      <c r="F60" s="38" t="s">
        <v>30</v>
      </c>
      <c r="G60" s="50"/>
      <c r="H60" s="57">
        <f>VLOOKUP(F60,$A$17:$B$17,2,TRUE)</f>
        <v>5000</v>
      </c>
      <c r="I60" s="52">
        <f t="shared" si="1"/>
        <v>0</v>
      </c>
      <c r="J60" s="56"/>
      <c r="K60" s="28"/>
      <c r="L60" s="28"/>
      <c r="M60" s="28"/>
      <c r="N60" s="28"/>
    </row>
    <row r="61" ht="15.75" customHeight="1">
      <c r="A61" s="55"/>
      <c r="B61" s="55"/>
      <c r="C61" s="55"/>
      <c r="D61" s="56"/>
      <c r="E61" s="56"/>
      <c r="F61" s="38" t="s">
        <v>32</v>
      </c>
      <c r="G61" s="50"/>
      <c r="H61" s="57">
        <f>VLOOKUP(F61,$A$18:$B$18,2,TRUE)</f>
        <v>2500</v>
      </c>
      <c r="I61" s="52">
        <f t="shared" si="1"/>
        <v>0</v>
      </c>
      <c r="J61" s="56"/>
      <c r="K61" s="28"/>
      <c r="L61" s="28"/>
      <c r="M61" s="28"/>
      <c r="N61" s="28"/>
    </row>
    <row r="62" ht="15.75" customHeight="1">
      <c r="A62" s="55"/>
      <c r="B62" s="55"/>
      <c r="C62" s="55"/>
      <c r="D62" s="56"/>
      <c r="E62" s="56"/>
      <c r="F62" s="38" t="s">
        <v>34</v>
      </c>
      <c r="G62" s="50"/>
      <c r="H62" s="57">
        <f>VLOOKUP(F62,$A$19:$B$19,2,TRUE)</f>
        <v>9000</v>
      </c>
      <c r="I62" s="52">
        <f t="shared" si="1"/>
        <v>0</v>
      </c>
      <c r="J62" s="56"/>
      <c r="K62" s="28"/>
      <c r="L62" s="28"/>
      <c r="M62" s="28"/>
      <c r="N62" s="28"/>
    </row>
    <row r="63" ht="15.75" customHeight="1">
      <c r="A63" s="55"/>
      <c r="B63" s="55"/>
      <c r="C63" s="55"/>
      <c r="D63" s="56"/>
      <c r="E63" s="56"/>
      <c r="F63" s="38" t="s">
        <v>55</v>
      </c>
      <c r="G63" s="50"/>
      <c r="H63" s="57">
        <f>VLOOKUP(F63,$A$20:$B$20,2,TRUE)</f>
        <v>250</v>
      </c>
      <c r="I63" s="52">
        <f t="shared" si="1"/>
        <v>0</v>
      </c>
      <c r="J63" s="56"/>
      <c r="K63" s="28"/>
      <c r="L63" s="28"/>
      <c r="M63" s="28"/>
      <c r="N63" s="28"/>
    </row>
    <row r="64" ht="15.75" customHeight="1">
      <c r="A64" s="55"/>
      <c r="B64" s="55"/>
      <c r="C64" s="55"/>
      <c r="D64" s="56"/>
      <c r="E64" s="56"/>
      <c r="F64" s="38" t="s">
        <v>13</v>
      </c>
      <c r="G64" s="50"/>
      <c r="H64" s="57">
        <f>VLOOKUP(F64,$A$21:$B$21,2,TRUE)</f>
        <v>300</v>
      </c>
      <c r="I64" s="52">
        <f t="shared" si="1"/>
        <v>0</v>
      </c>
      <c r="J64" s="56"/>
      <c r="K64" s="28"/>
      <c r="L64" s="28"/>
      <c r="M64" s="28"/>
      <c r="N64" s="28"/>
    </row>
    <row r="65" ht="15.75" customHeight="1">
      <c r="A65" s="55"/>
      <c r="B65" s="55"/>
      <c r="C65" s="55"/>
      <c r="D65" s="56"/>
      <c r="E65" s="56"/>
      <c r="F65" s="38" t="s">
        <v>9</v>
      </c>
      <c r="G65" s="50"/>
      <c r="H65" s="57">
        <f>VLOOKUP(F65,$A$22:$B$22,2,TRUE)</f>
        <v>1800</v>
      </c>
      <c r="I65" s="52">
        <f t="shared" si="1"/>
        <v>0</v>
      </c>
      <c r="J65" s="56"/>
      <c r="K65" s="28"/>
      <c r="L65" s="28"/>
      <c r="M65" s="28"/>
      <c r="N65" s="28"/>
    </row>
    <row r="66" ht="15.75" customHeight="1">
      <c r="A66" s="55"/>
      <c r="B66" s="55"/>
      <c r="C66" s="55"/>
      <c r="D66" s="56"/>
      <c r="E66" s="56"/>
      <c r="F66" s="38" t="s">
        <v>15</v>
      </c>
      <c r="G66" s="50"/>
      <c r="H66" s="57">
        <f>VLOOKUP(F65,$A$23:$B$23,2,TRUE)</f>
        <v>4000</v>
      </c>
      <c r="I66" s="52">
        <f t="shared" si="1"/>
        <v>0</v>
      </c>
      <c r="J66" s="56"/>
      <c r="K66" s="28"/>
      <c r="L66" s="28"/>
      <c r="M66" s="28"/>
      <c r="N66" s="28"/>
    </row>
    <row r="67" ht="15.75" customHeight="1">
      <c r="A67" s="55"/>
      <c r="B67" s="55"/>
      <c r="C67" s="55"/>
      <c r="D67" s="14"/>
      <c r="E67" s="14"/>
      <c r="F67" s="38" t="s">
        <v>56</v>
      </c>
      <c r="G67" s="50">
        <f>3+3+1+3+4+1</f>
        <v>15</v>
      </c>
      <c r="H67" s="57">
        <f>VLOOKUP(F66,$A$24:$B$24,2,TRUE)</f>
        <v>0</v>
      </c>
      <c r="I67" s="52">
        <f t="shared" si="1"/>
        <v>0</v>
      </c>
      <c r="J67" s="14"/>
      <c r="K67" s="28"/>
      <c r="L67" s="28"/>
      <c r="M67" s="28"/>
      <c r="N67" s="28"/>
    </row>
    <row r="68" ht="15.75" customHeight="1">
      <c r="A68" s="55"/>
      <c r="B68" s="55"/>
      <c r="C68" s="55"/>
      <c r="D68" s="48">
        <v>4.0</v>
      </c>
      <c r="E68" s="49" t="s">
        <v>59</v>
      </c>
      <c r="F68" s="38" t="s">
        <v>17</v>
      </c>
      <c r="G68" s="50"/>
      <c r="H68" s="51">
        <f>VLOOKUP(F68,$A$4:$B$4,2,TRUE)</f>
        <v>3000</v>
      </c>
      <c r="I68" s="52">
        <f t="shared" si="1"/>
        <v>0</v>
      </c>
      <c r="J68" s="53">
        <f>SUM(I68:I88)</f>
        <v>800</v>
      </c>
      <c r="K68" s="28"/>
      <c r="L68" s="28"/>
      <c r="M68" s="28"/>
      <c r="N68" s="28"/>
    </row>
    <row r="69" ht="15.75" customHeight="1">
      <c r="A69" s="55"/>
      <c r="B69" s="55"/>
      <c r="C69" s="55"/>
      <c r="D69" s="56"/>
      <c r="E69" s="56"/>
      <c r="F69" s="38" t="s">
        <v>49</v>
      </c>
      <c r="G69" s="50"/>
      <c r="H69" s="57">
        <f>VLOOKUP(F69,$A$5:$B$5,2,TRUE)</f>
        <v>3100</v>
      </c>
      <c r="I69" s="52">
        <f t="shared" si="1"/>
        <v>0</v>
      </c>
      <c r="J69" s="56"/>
      <c r="K69" s="28"/>
      <c r="L69" s="28"/>
      <c r="M69" s="28"/>
      <c r="N69" s="28"/>
    </row>
    <row r="70" ht="15.75" customHeight="1">
      <c r="A70" s="55"/>
      <c r="B70" s="55"/>
      <c r="C70" s="55"/>
      <c r="D70" s="56"/>
      <c r="E70" s="56"/>
      <c r="F70" s="38" t="s">
        <v>51</v>
      </c>
      <c r="G70" s="50"/>
      <c r="H70" s="57">
        <f>VLOOKUP(F70,$A$6:$B$6,2,TRUE)</f>
        <v>800</v>
      </c>
      <c r="I70" s="52">
        <f t="shared" si="1"/>
        <v>0</v>
      </c>
      <c r="J70" s="56"/>
      <c r="K70" s="28"/>
      <c r="L70" s="28"/>
      <c r="M70" s="28"/>
      <c r="N70" s="28"/>
    </row>
    <row r="71" ht="15.75" customHeight="1">
      <c r="A71" s="55"/>
      <c r="B71" s="55"/>
      <c r="C71" s="55"/>
      <c r="D71" s="56"/>
      <c r="E71" s="56"/>
      <c r="F71" s="38" t="s">
        <v>20</v>
      </c>
      <c r="G71" s="50"/>
      <c r="H71" s="57">
        <f>VLOOKUP(F71,$A$7:$B$7,2,TRUE)</f>
        <v>2100</v>
      </c>
      <c r="I71" s="52">
        <f t="shared" si="1"/>
        <v>0</v>
      </c>
      <c r="J71" s="56"/>
      <c r="K71" s="28"/>
      <c r="L71" s="28"/>
      <c r="M71" s="28"/>
      <c r="N71" s="28"/>
    </row>
    <row r="72" ht="15.75" customHeight="1">
      <c r="A72" s="55"/>
      <c r="B72" s="55"/>
      <c r="C72" s="55"/>
      <c r="D72" s="56"/>
      <c r="E72" s="56"/>
      <c r="F72" s="38" t="s">
        <v>21</v>
      </c>
      <c r="G72" s="50"/>
      <c r="H72" s="57">
        <f>VLOOKUP(F72, $A$8:$B$8, 2, FALSE)</f>
        <v>2600</v>
      </c>
      <c r="I72" s="52">
        <f t="shared" si="1"/>
        <v>0</v>
      </c>
      <c r="J72" s="56"/>
      <c r="K72" s="28"/>
      <c r="L72" s="28"/>
      <c r="M72" s="28"/>
      <c r="N72" s="28"/>
    </row>
    <row r="73" ht="15.75" customHeight="1">
      <c r="A73" s="55"/>
      <c r="B73" s="55"/>
      <c r="C73" s="55"/>
      <c r="D73" s="56"/>
      <c r="E73" s="56"/>
      <c r="F73" s="38" t="s">
        <v>52</v>
      </c>
      <c r="G73" s="50">
        <v>1.0</v>
      </c>
      <c r="H73" s="57">
        <f>VLOOKUP(F73, $A$9:$B$9, 2, FALSE)</f>
        <v>800</v>
      </c>
      <c r="I73" s="52">
        <f t="shared" si="1"/>
        <v>800</v>
      </c>
      <c r="J73" s="56"/>
      <c r="K73" s="28"/>
      <c r="L73" s="28"/>
      <c r="M73" s="28"/>
      <c r="N73" s="28"/>
    </row>
    <row r="74" ht="15.75" customHeight="1">
      <c r="A74" s="55"/>
      <c r="B74" s="55"/>
      <c r="C74" s="55"/>
      <c r="D74" s="56"/>
      <c r="E74" s="56"/>
      <c r="F74" s="38" t="s">
        <v>23</v>
      </c>
      <c r="G74" s="50"/>
      <c r="H74" s="57">
        <f>VLOOKUP(F74,$A$10:$B$10,2,TRUE)</f>
        <v>1500</v>
      </c>
      <c r="I74" s="52">
        <f t="shared" si="1"/>
        <v>0</v>
      </c>
      <c r="J74" s="56"/>
      <c r="K74" s="28"/>
      <c r="L74" s="28"/>
      <c r="M74" s="28"/>
      <c r="N74" s="28"/>
    </row>
    <row r="75" ht="15.75" customHeight="1">
      <c r="A75" s="55"/>
      <c r="B75" s="55"/>
      <c r="C75" s="55"/>
      <c r="D75" s="56"/>
      <c r="E75" s="56"/>
      <c r="F75" s="38" t="s">
        <v>24</v>
      </c>
      <c r="G75" s="50"/>
      <c r="H75" s="57">
        <f>VLOOKUP(F75,$A$11:$B$11,2,TRUE)</f>
        <v>1300</v>
      </c>
      <c r="I75" s="52">
        <f t="shared" si="1"/>
        <v>0</v>
      </c>
      <c r="J75" s="56"/>
      <c r="K75" s="28"/>
      <c r="L75" s="28"/>
      <c r="M75" s="28"/>
      <c r="N75" s="28"/>
    </row>
    <row r="76" ht="15.75" customHeight="1">
      <c r="A76" s="55"/>
      <c r="B76" s="55"/>
      <c r="C76" s="55"/>
      <c r="D76" s="56"/>
      <c r="E76" s="56"/>
      <c r="F76" s="38" t="s">
        <v>54</v>
      </c>
      <c r="G76" s="50"/>
      <c r="H76" s="57">
        <f>VLOOKUP(F76,$A$12:$B$12,2,TRUE)</f>
        <v>1000</v>
      </c>
      <c r="I76" s="52">
        <f t="shared" si="1"/>
        <v>0</v>
      </c>
      <c r="J76" s="56"/>
      <c r="K76" s="28"/>
      <c r="L76" s="28"/>
      <c r="M76" s="28"/>
      <c r="N76" s="28"/>
    </row>
    <row r="77" ht="15.75" customHeight="1">
      <c r="A77" s="55"/>
      <c r="B77" s="55"/>
      <c r="C77" s="55"/>
      <c r="D77" s="56"/>
      <c r="E77" s="56"/>
      <c r="F77" s="38" t="s">
        <v>26</v>
      </c>
      <c r="G77" s="50"/>
      <c r="H77" s="57">
        <f>VLOOKUP(F77,$A$13:$B$13,2,TRUE)</f>
        <v>500</v>
      </c>
      <c r="I77" s="52">
        <f t="shared" si="1"/>
        <v>0</v>
      </c>
      <c r="J77" s="56"/>
      <c r="K77" s="28"/>
      <c r="L77" s="28"/>
      <c r="M77" s="28"/>
      <c r="N77" s="28"/>
    </row>
    <row r="78" ht="15.75" customHeight="1">
      <c r="A78" s="55"/>
      <c r="B78" s="55"/>
      <c r="C78" s="55"/>
      <c r="D78" s="56"/>
      <c r="E78" s="56"/>
      <c r="F78" s="38" t="s">
        <v>27</v>
      </c>
      <c r="G78" s="50"/>
      <c r="H78" s="57">
        <f>VLOOKUP(F78,$A$14:$B$14,2,TRUE)</f>
        <v>6500</v>
      </c>
      <c r="I78" s="52">
        <f t="shared" si="1"/>
        <v>0</v>
      </c>
      <c r="J78" s="56"/>
      <c r="K78" s="28"/>
      <c r="L78" s="28"/>
      <c r="M78" s="28"/>
      <c r="N78" s="28"/>
    </row>
    <row r="79" ht="15.75" customHeight="1">
      <c r="A79" s="55"/>
      <c r="B79" s="55"/>
      <c r="C79" s="55"/>
      <c r="D79" s="56"/>
      <c r="E79" s="56"/>
      <c r="F79" s="38" t="s">
        <v>28</v>
      </c>
      <c r="G79" s="50"/>
      <c r="H79" s="57">
        <f>VLOOKUP(F79,$A$15:$B$15,2,TRUE)</f>
        <v>1800</v>
      </c>
      <c r="I79" s="52">
        <f t="shared" si="1"/>
        <v>0</v>
      </c>
      <c r="J79" s="56"/>
      <c r="K79" s="28"/>
      <c r="L79" s="28"/>
      <c r="M79" s="28"/>
      <c r="N79" s="28"/>
    </row>
    <row r="80" ht="15.75" customHeight="1">
      <c r="A80" s="55"/>
      <c r="B80" s="55"/>
      <c r="C80" s="55"/>
      <c r="D80" s="56"/>
      <c r="E80" s="56"/>
      <c r="F80" s="38" t="s">
        <v>29</v>
      </c>
      <c r="G80" s="50"/>
      <c r="H80" s="57">
        <f>VLOOKUP(F80,$A$16:$B$16,2,TRUE)</f>
        <v>1300</v>
      </c>
      <c r="I80" s="52">
        <f t="shared" si="1"/>
        <v>0</v>
      </c>
      <c r="J80" s="56"/>
      <c r="K80" s="28"/>
      <c r="L80" s="28"/>
      <c r="M80" s="28"/>
      <c r="N80" s="28"/>
    </row>
    <row r="81" ht="15.75" customHeight="1">
      <c r="A81" s="55"/>
      <c r="B81" s="55"/>
      <c r="C81" s="55"/>
      <c r="D81" s="56"/>
      <c r="E81" s="56"/>
      <c r="F81" s="38" t="s">
        <v>30</v>
      </c>
      <c r="G81" s="50"/>
      <c r="H81" s="57">
        <f>VLOOKUP(F81,$A$17:$B$17,2,TRUE)</f>
        <v>5000</v>
      </c>
      <c r="I81" s="52">
        <f t="shared" si="1"/>
        <v>0</v>
      </c>
      <c r="J81" s="56"/>
      <c r="K81" s="28"/>
      <c r="L81" s="28"/>
      <c r="M81" s="28"/>
      <c r="N81" s="28"/>
    </row>
    <row r="82" ht="15.75" customHeight="1">
      <c r="A82" s="55"/>
      <c r="B82" s="55"/>
      <c r="C82" s="55"/>
      <c r="D82" s="56"/>
      <c r="E82" s="56"/>
      <c r="F82" s="38" t="s">
        <v>32</v>
      </c>
      <c r="G82" s="50"/>
      <c r="H82" s="57">
        <f>VLOOKUP(F82,$A$18:$B$18,2,TRUE)</f>
        <v>2500</v>
      </c>
      <c r="I82" s="52">
        <f t="shared" si="1"/>
        <v>0</v>
      </c>
      <c r="J82" s="56"/>
      <c r="K82" s="28"/>
      <c r="L82" s="28"/>
      <c r="M82" s="28"/>
      <c r="N82" s="28"/>
    </row>
    <row r="83" ht="15.75" customHeight="1">
      <c r="A83" s="55"/>
      <c r="B83" s="55"/>
      <c r="C83" s="55"/>
      <c r="D83" s="56"/>
      <c r="E83" s="56"/>
      <c r="F83" s="38" t="s">
        <v>34</v>
      </c>
      <c r="G83" s="50"/>
      <c r="H83" s="57">
        <f>VLOOKUP(F83,$A$19:$B$19,2,TRUE)</f>
        <v>9000</v>
      </c>
      <c r="I83" s="52">
        <f t="shared" si="1"/>
        <v>0</v>
      </c>
      <c r="J83" s="56"/>
      <c r="K83" s="28"/>
      <c r="L83" s="28"/>
      <c r="M83" s="28"/>
      <c r="N83" s="28"/>
    </row>
    <row r="84" ht="15.75" customHeight="1">
      <c r="A84" s="55"/>
      <c r="B84" s="55"/>
      <c r="C84" s="55"/>
      <c r="D84" s="56"/>
      <c r="E84" s="56"/>
      <c r="F84" s="38" t="s">
        <v>55</v>
      </c>
      <c r="G84" s="50"/>
      <c r="H84" s="57">
        <f>VLOOKUP(F84,$A$20:$B$20,2,TRUE)</f>
        <v>250</v>
      </c>
      <c r="I84" s="52">
        <f t="shared" si="1"/>
        <v>0</v>
      </c>
      <c r="J84" s="56"/>
      <c r="K84" s="28"/>
      <c r="L84" s="28"/>
      <c r="M84" s="28"/>
      <c r="N84" s="28"/>
    </row>
    <row r="85" ht="15.75" customHeight="1">
      <c r="A85" s="55"/>
      <c r="B85" s="55"/>
      <c r="C85" s="55"/>
      <c r="D85" s="56"/>
      <c r="E85" s="56"/>
      <c r="F85" s="38" t="s">
        <v>13</v>
      </c>
      <c r="G85" s="50"/>
      <c r="H85" s="57">
        <f>VLOOKUP(F85,$A$21:$B$21,2,TRUE)</f>
        <v>300</v>
      </c>
      <c r="I85" s="52">
        <f t="shared" si="1"/>
        <v>0</v>
      </c>
      <c r="J85" s="56"/>
      <c r="K85" s="28"/>
      <c r="L85" s="28"/>
      <c r="M85" s="28"/>
      <c r="N85" s="28"/>
    </row>
    <row r="86" ht="15.75" customHeight="1">
      <c r="A86" s="55"/>
      <c r="B86" s="55"/>
      <c r="C86" s="55"/>
      <c r="D86" s="56"/>
      <c r="E86" s="56"/>
      <c r="F86" s="38" t="s">
        <v>9</v>
      </c>
      <c r="G86" s="50"/>
      <c r="H86" s="57">
        <f>VLOOKUP(F86,$A$22:$B$22,2,TRUE)</f>
        <v>1800</v>
      </c>
      <c r="I86" s="52">
        <f t="shared" si="1"/>
        <v>0</v>
      </c>
      <c r="J86" s="56"/>
      <c r="K86" s="28"/>
      <c r="L86" s="28"/>
      <c r="M86" s="28"/>
      <c r="N86" s="28"/>
    </row>
    <row r="87" ht="15.75" customHeight="1">
      <c r="A87" s="55"/>
      <c r="B87" s="55"/>
      <c r="C87" s="55"/>
      <c r="D87" s="56"/>
      <c r="E87" s="56"/>
      <c r="F87" s="38" t="s">
        <v>15</v>
      </c>
      <c r="G87" s="50"/>
      <c r="H87" s="57">
        <f>VLOOKUP(F86,$A$23:$B$23,2,TRUE)</f>
        <v>4000</v>
      </c>
      <c r="I87" s="52">
        <f t="shared" si="1"/>
        <v>0</v>
      </c>
      <c r="J87" s="56"/>
      <c r="K87" s="28"/>
      <c r="L87" s="28"/>
      <c r="M87" s="28"/>
      <c r="N87" s="28"/>
    </row>
    <row r="88" ht="15.75" customHeight="1">
      <c r="A88" s="55"/>
      <c r="B88" s="55"/>
      <c r="C88" s="55"/>
      <c r="D88" s="14"/>
      <c r="E88" s="14"/>
      <c r="F88" s="38" t="s">
        <v>56</v>
      </c>
      <c r="G88" s="50"/>
      <c r="H88" s="57">
        <f>VLOOKUP(F87,$A$24:$B$24,2,TRUE)</f>
        <v>0</v>
      </c>
      <c r="I88" s="52">
        <f t="shared" si="1"/>
        <v>0</v>
      </c>
      <c r="J88" s="14"/>
      <c r="K88" s="28"/>
      <c r="L88" s="28"/>
      <c r="M88" s="28"/>
      <c r="N88" s="28"/>
    </row>
    <row r="89" ht="15.75" customHeight="1">
      <c r="A89" s="55"/>
      <c r="B89" s="55"/>
      <c r="C89" s="55"/>
      <c r="D89" s="48">
        <v>5.0</v>
      </c>
      <c r="E89" s="49" t="s">
        <v>60</v>
      </c>
      <c r="F89" s="38" t="s">
        <v>17</v>
      </c>
      <c r="G89" s="50"/>
      <c r="H89" s="51">
        <f>VLOOKUP(F89,$A$4:$B$4,2,TRUE)</f>
        <v>3000</v>
      </c>
      <c r="I89" s="52">
        <f t="shared" si="1"/>
        <v>0</v>
      </c>
      <c r="J89" s="53">
        <f>SUM(I89:I109)</f>
        <v>8325</v>
      </c>
      <c r="K89" s="28"/>
      <c r="L89" s="28"/>
      <c r="M89" s="28"/>
      <c r="N89" s="28"/>
    </row>
    <row r="90" ht="15.75" customHeight="1">
      <c r="A90" s="55"/>
      <c r="B90" s="55"/>
      <c r="C90" s="55"/>
      <c r="D90" s="56"/>
      <c r="E90" s="56"/>
      <c r="F90" s="38" t="s">
        <v>49</v>
      </c>
      <c r="G90" s="50">
        <v>1.0</v>
      </c>
      <c r="H90" s="57">
        <f>VLOOKUP(F90,$A$5:$B$5,2,TRUE)</f>
        <v>3100</v>
      </c>
      <c r="I90" s="52">
        <f t="shared" si="1"/>
        <v>3100</v>
      </c>
      <c r="J90" s="56"/>
      <c r="K90" s="28"/>
      <c r="L90" s="28"/>
      <c r="M90" s="28"/>
      <c r="N90" s="28"/>
    </row>
    <row r="91" ht="15.75" customHeight="1">
      <c r="A91" s="55"/>
      <c r="B91" s="55"/>
      <c r="C91" s="55"/>
      <c r="D91" s="56"/>
      <c r="E91" s="56"/>
      <c r="F91" s="38" t="s">
        <v>51</v>
      </c>
      <c r="G91" s="50"/>
      <c r="H91" s="57">
        <f>VLOOKUP(F91,$A$6:$B$6,2,TRUE)</f>
        <v>800</v>
      </c>
      <c r="I91" s="52">
        <f t="shared" si="1"/>
        <v>0</v>
      </c>
      <c r="J91" s="56"/>
      <c r="K91" s="28"/>
      <c r="L91" s="28"/>
      <c r="M91" s="28"/>
      <c r="N91" s="28"/>
    </row>
    <row r="92" ht="15.75" customHeight="1">
      <c r="A92" s="55"/>
      <c r="B92" s="55"/>
      <c r="C92" s="55"/>
      <c r="D92" s="56"/>
      <c r="E92" s="56"/>
      <c r="F92" s="38" t="s">
        <v>20</v>
      </c>
      <c r="G92" s="50"/>
      <c r="H92" s="57">
        <f>VLOOKUP(F92,$A$7:$B$7,2,TRUE)</f>
        <v>2100</v>
      </c>
      <c r="I92" s="52">
        <f t="shared" si="1"/>
        <v>0</v>
      </c>
      <c r="J92" s="56"/>
      <c r="K92" s="28"/>
      <c r="L92" s="28"/>
      <c r="M92" s="28"/>
      <c r="N92" s="28"/>
    </row>
    <row r="93" ht="15.75" customHeight="1">
      <c r="A93" s="55"/>
      <c r="B93" s="55"/>
      <c r="C93" s="55"/>
      <c r="D93" s="56"/>
      <c r="E93" s="56"/>
      <c r="F93" s="38" t="s">
        <v>21</v>
      </c>
      <c r="G93" s="50"/>
      <c r="H93" s="57">
        <f>VLOOKUP(F93, $A$8:$B$8, 2, FALSE)</f>
        <v>2600</v>
      </c>
      <c r="I93" s="52">
        <f t="shared" si="1"/>
        <v>0</v>
      </c>
      <c r="J93" s="56"/>
      <c r="K93" s="28"/>
      <c r="L93" s="28"/>
      <c r="M93" s="28"/>
      <c r="N93" s="28"/>
    </row>
    <row r="94" ht="15.75" customHeight="1">
      <c r="A94" s="55"/>
      <c r="B94" s="55"/>
      <c r="C94" s="55"/>
      <c r="D94" s="56"/>
      <c r="E94" s="56"/>
      <c r="F94" s="38" t="s">
        <v>52</v>
      </c>
      <c r="G94" s="50">
        <v>2.0</v>
      </c>
      <c r="H94" s="57">
        <f>VLOOKUP(F94, $A$9:$B$9, 2, FALSE)</f>
        <v>800</v>
      </c>
      <c r="I94" s="52">
        <f t="shared" si="1"/>
        <v>1600</v>
      </c>
      <c r="J94" s="56"/>
      <c r="K94" s="28"/>
      <c r="L94" s="28"/>
      <c r="M94" s="28"/>
      <c r="N94" s="28"/>
    </row>
    <row r="95" ht="15.75" customHeight="1">
      <c r="A95" s="55"/>
      <c r="B95" s="55"/>
      <c r="C95" s="55"/>
      <c r="D95" s="56"/>
      <c r="E95" s="56"/>
      <c r="F95" s="38" t="s">
        <v>23</v>
      </c>
      <c r="G95" s="50"/>
      <c r="H95" s="57">
        <f>VLOOKUP(F95,$A$10:$B$10,2,TRUE)</f>
        <v>1500</v>
      </c>
      <c r="I95" s="52">
        <f t="shared" si="1"/>
        <v>0</v>
      </c>
      <c r="J95" s="56"/>
      <c r="K95" s="28"/>
      <c r="L95" s="28"/>
      <c r="M95" s="28"/>
      <c r="N95" s="28"/>
    </row>
    <row r="96" ht="15.75" customHeight="1">
      <c r="A96" s="55"/>
      <c r="B96" s="55"/>
      <c r="C96" s="55"/>
      <c r="D96" s="56"/>
      <c r="E96" s="56"/>
      <c r="F96" s="38" t="s">
        <v>24</v>
      </c>
      <c r="G96" s="50"/>
      <c r="H96" s="57">
        <f>VLOOKUP(F96,$A$11:$B$11,2,TRUE)</f>
        <v>1300</v>
      </c>
      <c r="I96" s="52">
        <f t="shared" si="1"/>
        <v>0</v>
      </c>
      <c r="J96" s="56"/>
      <c r="K96" s="28"/>
      <c r="L96" s="28"/>
      <c r="M96" s="28"/>
      <c r="N96" s="28"/>
    </row>
    <row r="97" ht="15.75" customHeight="1">
      <c r="A97" s="55"/>
      <c r="B97" s="55"/>
      <c r="C97" s="55"/>
      <c r="D97" s="56"/>
      <c r="E97" s="56"/>
      <c r="F97" s="38" t="s">
        <v>54</v>
      </c>
      <c r="G97" s="50"/>
      <c r="H97" s="57">
        <f>VLOOKUP(F97,$A$12:$B$12,2,TRUE)</f>
        <v>1000</v>
      </c>
      <c r="I97" s="52">
        <f t="shared" si="1"/>
        <v>0</v>
      </c>
      <c r="J97" s="56"/>
      <c r="K97" s="28"/>
      <c r="L97" s="28"/>
      <c r="M97" s="28"/>
      <c r="N97" s="28"/>
    </row>
    <row r="98" ht="15.75" customHeight="1">
      <c r="A98" s="55"/>
      <c r="B98" s="55"/>
      <c r="C98" s="55"/>
      <c r="D98" s="56"/>
      <c r="E98" s="56"/>
      <c r="F98" s="38" t="s">
        <v>26</v>
      </c>
      <c r="G98" s="50">
        <v>6.0</v>
      </c>
      <c r="H98" s="57">
        <f>VLOOKUP(F98,$A$13:$B$13,2,TRUE)</f>
        <v>500</v>
      </c>
      <c r="I98" s="52">
        <f t="shared" si="1"/>
        <v>3000</v>
      </c>
      <c r="J98" s="56"/>
      <c r="K98" s="28"/>
      <c r="L98" s="28"/>
      <c r="M98" s="28"/>
      <c r="N98" s="28"/>
    </row>
    <row r="99" ht="15.75" customHeight="1">
      <c r="A99" s="55"/>
      <c r="B99" s="55"/>
      <c r="C99" s="55"/>
      <c r="D99" s="56"/>
      <c r="E99" s="56"/>
      <c r="F99" s="38" t="s">
        <v>27</v>
      </c>
      <c r="G99" s="50"/>
      <c r="H99" s="57">
        <f>VLOOKUP(F99,$A$14:$B$14,2,TRUE)</f>
        <v>6500</v>
      </c>
      <c r="I99" s="52">
        <f t="shared" si="1"/>
        <v>0</v>
      </c>
      <c r="J99" s="56"/>
      <c r="K99" s="28"/>
      <c r="L99" s="28"/>
      <c r="M99" s="28"/>
      <c r="N99" s="28"/>
    </row>
    <row r="100" ht="15.75" customHeight="1">
      <c r="A100" s="55"/>
      <c r="B100" s="55"/>
      <c r="C100" s="55"/>
      <c r="D100" s="56"/>
      <c r="E100" s="56"/>
      <c r="F100" s="38" t="s">
        <v>28</v>
      </c>
      <c r="G100" s="50"/>
      <c r="H100" s="57">
        <f>VLOOKUP(F100,$A$15:$B$15,2,TRUE)</f>
        <v>1800</v>
      </c>
      <c r="I100" s="52">
        <f t="shared" si="1"/>
        <v>0</v>
      </c>
      <c r="J100" s="56"/>
      <c r="K100" s="28"/>
      <c r="L100" s="28"/>
      <c r="M100" s="28"/>
      <c r="N100" s="28"/>
    </row>
    <row r="101" ht="15.75" customHeight="1">
      <c r="A101" s="55"/>
      <c r="B101" s="55"/>
      <c r="C101" s="55"/>
      <c r="D101" s="56"/>
      <c r="E101" s="56"/>
      <c r="F101" s="38" t="s">
        <v>29</v>
      </c>
      <c r="G101" s="50"/>
      <c r="H101" s="57">
        <f>VLOOKUP(F101,$A$16:$B$16,2,TRUE)</f>
        <v>1300</v>
      </c>
      <c r="I101" s="52">
        <f t="shared" si="1"/>
        <v>0</v>
      </c>
      <c r="J101" s="56"/>
      <c r="K101" s="28"/>
      <c r="L101" s="28"/>
      <c r="M101" s="28"/>
      <c r="N101" s="28"/>
    </row>
    <row r="102" ht="15.75" customHeight="1">
      <c r="A102" s="55"/>
      <c r="B102" s="55"/>
      <c r="C102" s="55"/>
      <c r="D102" s="56"/>
      <c r="E102" s="56"/>
      <c r="F102" s="38" t="s">
        <v>30</v>
      </c>
      <c r="G102" s="50"/>
      <c r="H102" s="57">
        <f>VLOOKUP(F102,$A$17:$B$17,2,TRUE)</f>
        <v>5000</v>
      </c>
      <c r="I102" s="52">
        <f t="shared" si="1"/>
        <v>0</v>
      </c>
      <c r="J102" s="56"/>
      <c r="K102" s="28"/>
      <c r="L102" s="28"/>
      <c r="M102" s="28"/>
      <c r="N102" s="28"/>
    </row>
    <row r="103" ht="15.75" customHeight="1">
      <c r="A103" s="55"/>
      <c r="B103" s="55"/>
      <c r="C103" s="55"/>
      <c r="D103" s="56"/>
      <c r="E103" s="56"/>
      <c r="F103" s="38" t="s">
        <v>32</v>
      </c>
      <c r="G103" s="50"/>
      <c r="H103" s="57">
        <f>VLOOKUP(F103,$A$18:$B$18,2,TRUE)</f>
        <v>2500</v>
      </c>
      <c r="I103" s="52">
        <f t="shared" si="1"/>
        <v>0</v>
      </c>
      <c r="J103" s="56"/>
      <c r="K103" s="28"/>
      <c r="L103" s="28"/>
      <c r="M103" s="28"/>
      <c r="N103" s="28"/>
    </row>
    <row r="104" ht="15.75" customHeight="1">
      <c r="A104" s="55"/>
      <c r="B104" s="55"/>
      <c r="C104" s="55"/>
      <c r="D104" s="56"/>
      <c r="E104" s="56"/>
      <c r="F104" s="38" t="s">
        <v>34</v>
      </c>
      <c r="G104" s="50"/>
      <c r="H104" s="57">
        <f>VLOOKUP(F104,$A$19:$B$19,2,TRUE)</f>
        <v>9000</v>
      </c>
      <c r="I104" s="52">
        <f t="shared" si="1"/>
        <v>0</v>
      </c>
      <c r="J104" s="56"/>
      <c r="K104" s="28"/>
      <c r="L104" s="28"/>
      <c r="M104" s="28"/>
      <c r="N104" s="28"/>
    </row>
    <row r="105" ht="15.75" customHeight="1">
      <c r="A105" s="55"/>
      <c r="B105" s="55"/>
      <c r="C105" s="55"/>
      <c r="D105" s="56"/>
      <c r="E105" s="56"/>
      <c r="F105" s="38" t="s">
        <v>55</v>
      </c>
      <c r="G105" s="50">
        <v>2.5</v>
      </c>
      <c r="H105" s="57">
        <f>VLOOKUP(F105,$A$20:$B$20,2,TRUE)</f>
        <v>250</v>
      </c>
      <c r="I105" s="52">
        <f t="shared" si="1"/>
        <v>625</v>
      </c>
      <c r="J105" s="56"/>
      <c r="K105" s="28"/>
      <c r="L105" s="28"/>
      <c r="M105" s="28"/>
      <c r="N105" s="28"/>
    </row>
    <row r="106" ht="15.75" customHeight="1">
      <c r="A106" s="55"/>
      <c r="B106" s="55"/>
      <c r="C106" s="55"/>
      <c r="D106" s="56"/>
      <c r="E106" s="56"/>
      <c r="F106" s="38" t="s">
        <v>13</v>
      </c>
      <c r="G106" s="50"/>
      <c r="H106" s="57">
        <f>VLOOKUP(F106,$A$21:$B$21,2,TRUE)</f>
        <v>300</v>
      </c>
      <c r="I106" s="52">
        <f t="shared" si="1"/>
        <v>0</v>
      </c>
      <c r="J106" s="56"/>
      <c r="K106" s="28"/>
      <c r="L106" s="28"/>
      <c r="M106" s="28"/>
      <c r="N106" s="28"/>
    </row>
    <row r="107" ht="15.75" customHeight="1">
      <c r="A107" s="55"/>
      <c r="B107" s="55"/>
      <c r="C107" s="55"/>
      <c r="D107" s="56"/>
      <c r="E107" s="56"/>
      <c r="F107" s="38" t="s">
        <v>9</v>
      </c>
      <c r="G107" s="50"/>
      <c r="H107" s="57">
        <f>VLOOKUP(F107,$A$22:$B$22,2,TRUE)</f>
        <v>1800</v>
      </c>
      <c r="I107" s="52">
        <f t="shared" si="1"/>
        <v>0</v>
      </c>
      <c r="J107" s="56"/>
      <c r="K107" s="28"/>
      <c r="L107" s="28"/>
      <c r="M107" s="28"/>
      <c r="N107" s="28"/>
    </row>
    <row r="108" ht="15.75" customHeight="1">
      <c r="A108" s="55"/>
      <c r="B108" s="55"/>
      <c r="C108" s="55"/>
      <c r="D108" s="56"/>
      <c r="E108" s="56"/>
      <c r="F108" s="38" t="s">
        <v>15</v>
      </c>
      <c r="G108" s="50"/>
      <c r="H108" s="57">
        <f>VLOOKUP(F107,$A$23:$B$23,2,TRUE)</f>
        <v>4000</v>
      </c>
      <c r="I108" s="52">
        <f t="shared" si="1"/>
        <v>0</v>
      </c>
      <c r="J108" s="56"/>
      <c r="K108" s="28"/>
      <c r="L108" s="28"/>
      <c r="M108" s="28"/>
      <c r="N108" s="28"/>
    </row>
    <row r="109" ht="15.75" customHeight="1">
      <c r="A109" s="55"/>
      <c r="B109" s="55"/>
      <c r="C109" s="55"/>
      <c r="D109" s="14"/>
      <c r="E109" s="14"/>
      <c r="F109" s="38" t="s">
        <v>56</v>
      </c>
      <c r="G109" s="50">
        <v>2.0</v>
      </c>
      <c r="H109" s="57">
        <f>VLOOKUP(F108,$A$24:$B$24,2,TRUE)</f>
        <v>0</v>
      </c>
      <c r="I109" s="52">
        <f t="shared" si="1"/>
        <v>0</v>
      </c>
      <c r="J109" s="14"/>
      <c r="K109" s="28"/>
      <c r="L109" s="28"/>
      <c r="M109" s="28"/>
      <c r="N109" s="28"/>
    </row>
    <row r="110" ht="15.75" customHeight="1">
      <c r="A110" s="55"/>
      <c r="B110" s="55"/>
      <c r="C110" s="55"/>
      <c r="D110" s="65" t="s">
        <v>61</v>
      </c>
      <c r="E110" s="4"/>
      <c r="F110" s="4"/>
      <c r="G110" s="4"/>
      <c r="H110" s="4"/>
      <c r="I110" s="5"/>
      <c r="J110" s="66">
        <f>SUM(J5:J109)</f>
        <v>68375</v>
      </c>
      <c r="K110" s="28"/>
      <c r="L110" s="28"/>
      <c r="M110" s="28"/>
      <c r="N110" s="28"/>
    </row>
    <row r="111" ht="15.75" customHeight="1">
      <c r="A111" s="27"/>
      <c r="B111" s="27"/>
      <c r="C111" s="27"/>
      <c r="D111" s="27"/>
      <c r="E111" s="27"/>
      <c r="F111" s="28"/>
      <c r="G111" s="28"/>
      <c r="H111" s="28"/>
      <c r="I111" s="28"/>
      <c r="J111" s="29"/>
      <c r="K111" s="28"/>
      <c r="L111" s="28"/>
      <c r="M111" s="28"/>
      <c r="N111" s="28"/>
    </row>
    <row r="112" ht="15.75" customHeight="1">
      <c r="A112" s="27"/>
      <c r="B112" s="27"/>
      <c r="C112" s="27"/>
      <c r="D112" s="27"/>
      <c r="E112" s="27"/>
      <c r="F112" s="28"/>
      <c r="G112" s="28"/>
      <c r="H112" s="28"/>
      <c r="I112" s="28"/>
      <c r="J112" s="29"/>
      <c r="K112" s="28"/>
      <c r="L112" s="28"/>
      <c r="M112" s="28"/>
      <c r="N112" s="28"/>
    </row>
    <row r="113" ht="15.75" customHeight="1">
      <c r="A113" s="27"/>
      <c r="B113" s="27"/>
      <c r="C113" s="27"/>
      <c r="D113" s="27"/>
      <c r="E113" s="27"/>
      <c r="F113" s="28"/>
      <c r="G113" s="28"/>
      <c r="H113" s="28"/>
      <c r="I113" s="28"/>
      <c r="J113" s="29"/>
      <c r="K113" s="28"/>
      <c r="L113" s="28"/>
      <c r="M113" s="28"/>
      <c r="N113" s="28"/>
    </row>
    <row r="114" ht="15.75" customHeight="1">
      <c r="A114" s="27"/>
      <c r="B114" s="27"/>
      <c r="C114" s="27"/>
      <c r="D114" s="27"/>
      <c r="E114" s="27"/>
      <c r="F114" s="28"/>
      <c r="G114" s="28"/>
      <c r="H114" s="28"/>
      <c r="I114" s="28"/>
      <c r="J114" s="29"/>
      <c r="K114" s="28"/>
      <c r="L114" s="28"/>
      <c r="M114" s="28"/>
      <c r="N114" s="28"/>
    </row>
    <row r="115" ht="15.75" customHeight="1">
      <c r="A115" s="27"/>
      <c r="B115" s="27"/>
      <c r="C115" s="27"/>
      <c r="D115" s="27"/>
      <c r="E115" s="27"/>
      <c r="F115" s="28"/>
      <c r="G115" s="28"/>
      <c r="H115" s="28"/>
      <c r="I115" s="28"/>
      <c r="J115" s="29"/>
      <c r="K115" s="28"/>
      <c r="L115" s="28"/>
      <c r="M115" s="28"/>
      <c r="N115" s="28"/>
    </row>
    <row r="116" ht="15.75" customHeight="1">
      <c r="A116" s="27"/>
      <c r="B116" s="27"/>
      <c r="C116" s="27"/>
      <c r="D116" s="27"/>
      <c r="E116" s="27"/>
      <c r="F116" s="28"/>
      <c r="G116" s="28"/>
      <c r="H116" s="28"/>
      <c r="I116" s="28"/>
      <c r="J116" s="29"/>
      <c r="K116" s="28"/>
      <c r="L116" s="28"/>
      <c r="M116" s="28"/>
      <c r="N116" s="28"/>
    </row>
    <row r="117" ht="15.75" customHeight="1">
      <c r="A117" s="27"/>
      <c r="B117" s="27"/>
      <c r="C117" s="27"/>
      <c r="D117" s="27"/>
      <c r="E117" s="27"/>
      <c r="F117" s="28"/>
      <c r="G117" s="28"/>
      <c r="H117" s="28"/>
      <c r="I117" s="28"/>
      <c r="J117" s="29"/>
      <c r="K117" s="28"/>
      <c r="L117" s="28"/>
      <c r="M117" s="28"/>
      <c r="N117" s="28"/>
    </row>
    <row r="118" ht="15.75" customHeight="1">
      <c r="A118" s="27"/>
      <c r="B118" s="27"/>
      <c r="C118" s="27"/>
      <c r="D118" s="27"/>
      <c r="E118" s="27"/>
      <c r="F118" s="28"/>
      <c r="G118" s="28"/>
      <c r="H118" s="28"/>
      <c r="I118" s="28"/>
      <c r="J118" s="29"/>
      <c r="K118" s="28"/>
      <c r="L118" s="28"/>
      <c r="M118" s="28"/>
      <c r="N118" s="28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J262" s="29"/>
    </row>
    <row r="263" ht="15.75" customHeight="1">
      <c r="J263" s="29"/>
    </row>
    <row r="264" ht="15.75" customHeight="1">
      <c r="J264" s="29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</sheetData>
  <mergeCells count="20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D89:D109"/>
    <mergeCell ref="E89:E109"/>
    <mergeCell ref="D110:I110"/>
    <mergeCell ref="D26:D46"/>
    <mergeCell ref="E26:E46"/>
    <mergeCell ref="J26:J46"/>
    <mergeCell ref="D47:D67"/>
    <mergeCell ref="E47:E67"/>
    <mergeCell ref="D68:D88"/>
    <mergeCell ref="E68:E8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36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37</v>
      </c>
      <c r="B2" s="26"/>
      <c r="C2" s="31"/>
      <c r="D2" s="31" t="s">
        <v>38</v>
      </c>
      <c r="K2" s="28"/>
      <c r="L2" s="32" t="s">
        <v>39</v>
      </c>
      <c r="M2" s="33"/>
      <c r="N2" s="28"/>
    </row>
    <row r="3" ht="15.75" customHeight="1">
      <c r="A3" s="34" t="s">
        <v>40</v>
      </c>
      <c r="B3" s="35" t="s">
        <v>41</v>
      </c>
      <c r="C3" s="27"/>
      <c r="D3" s="27"/>
      <c r="E3" s="27"/>
      <c r="F3" s="28"/>
      <c r="G3" s="28"/>
      <c r="H3" s="28"/>
      <c r="I3" s="28"/>
      <c r="J3" s="36"/>
      <c r="K3" s="28"/>
      <c r="L3" s="37"/>
      <c r="M3" s="12"/>
      <c r="N3" s="28"/>
    </row>
    <row r="4" ht="15.75" customHeight="1">
      <c r="A4" s="38" t="s">
        <v>17</v>
      </c>
      <c r="B4" s="39">
        <v>3000.0</v>
      </c>
      <c r="C4" s="40"/>
      <c r="D4" s="41" t="s">
        <v>1</v>
      </c>
      <c r="E4" s="41" t="s">
        <v>42</v>
      </c>
      <c r="F4" s="42" t="s">
        <v>43</v>
      </c>
      <c r="G4" s="43" t="s">
        <v>44</v>
      </c>
      <c r="H4" s="43" t="s">
        <v>45</v>
      </c>
      <c r="I4" s="44" t="s">
        <v>46</v>
      </c>
      <c r="J4" s="45" t="s">
        <v>47</v>
      </c>
      <c r="K4" s="28"/>
      <c r="L4" s="46" t="s">
        <v>48</v>
      </c>
      <c r="M4" s="46" t="s">
        <v>44</v>
      </c>
      <c r="N4" s="28"/>
    </row>
    <row r="5" ht="15.75" customHeight="1">
      <c r="A5" s="38" t="s">
        <v>49</v>
      </c>
      <c r="B5" s="39">
        <v>3100.0</v>
      </c>
      <c r="C5" s="47"/>
      <c r="D5" s="48">
        <v>1.0</v>
      </c>
      <c r="E5" s="49" t="s">
        <v>62</v>
      </c>
      <c r="F5" s="38" t="s">
        <v>17</v>
      </c>
      <c r="G5" s="50"/>
      <c r="H5" s="51">
        <f>VLOOKUP(F5,$A$4:$B$4,2,TRUE)</f>
        <v>3000</v>
      </c>
      <c r="I5" s="52">
        <f t="shared" ref="I5:I130" si="1">G5*H5</f>
        <v>0</v>
      </c>
      <c r="J5" s="53">
        <f>SUM(I5:I25)</f>
        <v>19200</v>
      </c>
      <c r="K5" s="28"/>
      <c r="L5" s="38" t="s">
        <v>17</v>
      </c>
      <c r="M5" s="54">
        <f>SUMIF(F5:F130,"Gelas bersih",G5:G130)</f>
        <v>0</v>
      </c>
      <c r="N5" s="28"/>
    </row>
    <row r="6" ht="15.75" customHeight="1">
      <c r="A6" s="38" t="s">
        <v>51</v>
      </c>
      <c r="B6" s="39">
        <v>800.0</v>
      </c>
      <c r="C6" s="55"/>
      <c r="D6" s="56"/>
      <c r="E6" s="56"/>
      <c r="F6" s="38" t="s">
        <v>49</v>
      </c>
      <c r="G6" s="50"/>
      <c r="H6" s="57">
        <f>VLOOKUP(F6,$A$5:$B$5,2,TRUE)</f>
        <v>3100</v>
      </c>
      <c r="I6" s="52">
        <f t="shared" si="1"/>
        <v>0</v>
      </c>
      <c r="J6" s="56"/>
      <c r="K6" s="28"/>
      <c r="L6" s="38" t="s">
        <v>49</v>
      </c>
      <c r="M6" s="54">
        <f>SUMIF(F6:F131,"Botol bersih",G6:G131)</f>
        <v>4</v>
      </c>
      <c r="N6" s="28"/>
    </row>
    <row r="7" ht="15.75" customHeight="1">
      <c r="A7" s="38" t="s">
        <v>20</v>
      </c>
      <c r="B7" s="39">
        <v>2100.0</v>
      </c>
      <c r="C7" s="55"/>
      <c r="D7" s="56"/>
      <c r="E7" s="56"/>
      <c r="F7" s="38" t="s">
        <v>51</v>
      </c>
      <c r="G7" s="50"/>
      <c r="H7" s="57">
        <f>VLOOKUP(F7,$A$6:$B$6,2,TRUE)</f>
        <v>800</v>
      </c>
      <c r="I7" s="52">
        <f t="shared" si="1"/>
        <v>0</v>
      </c>
      <c r="J7" s="56"/>
      <c r="K7" s="28"/>
      <c r="L7" s="38" t="s">
        <v>51</v>
      </c>
      <c r="M7" s="54">
        <f>SUMIF(F7:F131,"Botol Warna",G7:G131)</f>
        <v>0</v>
      </c>
      <c r="N7" s="28"/>
    </row>
    <row r="8" ht="15.75" customHeight="1">
      <c r="A8" s="38" t="s">
        <v>21</v>
      </c>
      <c r="B8" s="39">
        <v>2600.0</v>
      </c>
      <c r="C8" s="58"/>
      <c r="D8" s="56"/>
      <c r="E8" s="56"/>
      <c r="F8" s="38" t="s">
        <v>20</v>
      </c>
      <c r="G8" s="50"/>
      <c r="H8" s="57">
        <f>VLOOKUP(F8,$A$7:$B$7,2,TRUE)</f>
        <v>2100</v>
      </c>
      <c r="I8" s="52">
        <f t="shared" si="1"/>
        <v>0</v>
      </c>
      <c r="J8" s="56"/>
      <c r="K8" s="28"/>
      <c r="L8" s="38" t="s">
        <v>20</v>
      </c>
      <c r="M8" s="54">
        <f>SUMIF(F8:F132,"Tutup botol",G8:G132)</f>
        <v>1.5</v>
      </c>
      <c r="N8" s="28"/>
    </row>
    <row r="9" ht="15.75" customHeight="1">
      <c r="A9" s="38" t="s">
        <v>52</v>
      </c>
      <c r="B9" s="39">
        <v>800.0</v>
      </c>
      <c r="C9" s="55"/>
      <c r="D9" s="56"/>
      <c r="E9" s="56"/>
      <c r="F9" s="38" t="s">
        <v>21</v>
      </c>
      <c r="G9" s="50"/>
      <c r="H9" s="57">
        <f>VLOOKUP(F9, $A$8:$B$8, 2, FALSE)</f>
        <v>2600</v>
      </c>
      <c r="I9" s="52">
        <f t="shared" si="1"/>
        <v>0</v>
      </c>
      <c r="J9" s="56"/>
      <c r="K9" s="28"/>
      <c r="L9" s="38" t="s">
        <v>21</v>
      </c>
      <c r="M9" s="54">
        <f>SUMIF(F9:F133,"Tutup galon",G9:G133)</f>
        <v>0</v>
      </c>
      <c r="N9" s="28"/>
    </row>
    <row r="10" ht="15.75" customHeight="1">
      <c r="A10" s="38" t="s">
        <v>23</v>
      </c>
      <c r="B10" s="39">
        <v>1500.0</v>
      </c>
      <c r="C10" s="55"/>
      <c r="D10" s="56"/>
      <c r="E10" s="56"/>
      <c r="F10" s="38" t="s">
        <v>52</v>
      </c>
      <c r="G10" s="50">
        <v>4.0</v>
      </c>
      <c r="H10" s="57">
        <f>VLOOKUP(F10, $A$9:$B$9, 2, FALSE)</f>
        <v>800</v>
      </c>
      <c r="I10" s="52">
        <f t="shared" si="1"/>
        <v>3200</v>
      </c>
      <c r="J10" s="56"/>
      <c r="K10" s="28"/>
      <c r="L10" s="38" t="s">
        <v>52</v>
      </c>
      <c r="M10" s="54">
        <f>SUMIF(F10:F135,"Emberan/Atum",G10:G135)</f>
        <v>48.5</v>
      </c>
      <c r="N10" s="28"/>
    </row>
    <row r="11" ht="15.75" customHeight="1">
      <c r="A11" s="38" t="s">
        <v>24</v>
      </c>
      <c r="B11" s="39">
        <v>1300.0</v>
      </c>
      <c r="C11" s="55"/>
      <c r="D11" s="56"/>
      <c r="E11" s="56"/>
      <c r="F11" s="38" t="s">
        <v>23</v>
      </c>
      <c r="G11" s="50"/>
      <c r="H11" s="57">
        <f>VLOOKUP(F11,$A$10:$B$10,2,TRUE)</f>
        <v>1500</v>
      </c>
      <c r="I11" s="52">
        <f t="shared" si="1"/>
        <v>0</v>
      </c>
      <c r="J11" s="56"/>
      <c r="K11" s="28"/>
      <c r="L11" s="38" t="s">
        <v>23</v>
      </c>
      <c r="M11" s="54">
        <f>SUMIF(F11:F136,"Kardus",G11:G136)</f>
        <v>31</v>
      </c>
      <c r="N11" s="28"/>
    </row>
    <row r="12" ht="15.75" customHeight="1">
      <c r="A12" s="38" t="s">
        <v>53</v>
      </c>
      <c r="B12" s="39">
        <v>1000.0</v>
      </c>
      <c r="C12" s="55"/>
      <c r="D12" s="56"/>
      <c r="E12" s="56"/>
      <c r="F12" s="38" t="s">
        <v>24</v>
      </c>
      <c r="G12" s="50"/>
      <c r="H12" s="57">
        <f>VLOOKUP(F12,$A$11:$B$11,2,TRUE)</f>
        <v>1300</v>
      </c>
      <c r="I12" s="52">
        <f t="shared" si="1"/>
        <v>0</v>
      </c>
      <c r="J12" s="56"/>
      <c r="K12" s="28"/>
      <c r="L12" s="38" t="s">
        <v>24</v>
      </c>
      <c r="M12" s="54">
        <f>SUMIF(F12:F137,"Kertas Putihan/ HVS",G12:G137)</f>
        <v>0</v>
      </c>
      <c r="N12" s="28"/>
    </row>
    <row r="13" ht="15.75" customHeight="1">
      <c r="A13" s="38" t="s">
        <v>26</v>
      </c>
      <c r="B13" s="39">
        <v>500.0</v>
      </c>
      <c r="C13" s="55"/>
      <c r="D13" s="56"/>
      <c r="E13" s="56"/>
      <c r="F13" s="38" t="s">
        <v>54</v>
      </c>
      <c r="G13" s="50"/>
      <c r="H13" s="57">
        <f>VLOOKUP(F13,$A$12:$B$12,2,TRUE)</f>
        <v>1000</v>
      </c>
      <c r="I13" s="52">
        <f t="shared" si="1"/>
        <v>0</v>
      </c>
      <c r="J13" s="56"/>
      <c r="K13" s="28"/>
      <c r="L13" s="38" t="s">
        <v>54</v>
      </c>
      <c r="M13" s="54">
        <f>SUMIF(F13:F139,"Buku/LKS",G13:G139)</f>
        <v>0</v>
      </c>
      <c r="N13" s="28"/>
    </row>
    <row r="14" ht="15.75" customHeight="1">
      <c r="A14" s="38" t="s">
        <v>27</v>
      </c>
      <c r="B14" s="39">
        <v>6500.0</v>
      </c>
      <c r="C14" s="47"/>
      <c r="D14" s="56"/>
      <c r="E14" s="56"/>
      <c r="F14" s="38" t="s">
        <v>26</v>
      </c>
      <c r="G14" s="50"/>
      <c r="H14" s="57">
        <f>VLOOKUP(F14,$A$13:$B$13,2,TRUE)</f>
        <v>500</v>
      </c>
      <c r="I14" s="52">
        <f t="shared" si="1"/>
        <v>0</v>
      </c>
      <c r="J14" s="56"/>
      <c r="K14" s="28"/>
      <c r="L14" s="38" t="s">
        <v>26</v>
      </c>
      <c r="M14" s="54">
        <f>SUMIF(F14:F140,"Duplex",G14:G140)</f>
        <v>7</v>
      </c>
      <c r="N14" s="28"/>
    </row>
    <row r="15" ht="15.75" customHeight="1">
      <c r="A15" s="38" t="s">
        <v>28</v>
      </c>
      <c r="B15" s="39">
        <v>1800.0</v>
      </c>
      <c r="C15" s="58"/>
      <c r="D15" s="56"/>
      <c r="E15" s="56"/>
      <c r="F15" s="38" t="s">
        <v>27</v>
      </c>
      <c r="G15" s="50"/>
      <c r="H15" s="57">
        <f>VLOOKUP(F15,$A$14:$B$14,2,TRUE)</f>
        <v>6500</v>
      </c>
      <c r="I15" s="52">
        <f t="shared" si="1"/>
        <v>0</v>
      </c>
      <c r="J15" s="56"/>
      <c r="K15" s="28"/>
      <c r="L15" s="38" t="s">
        <v>27</v>
      </c>
      <c r="M15" s="54">
        <f>SUMIF(F15:F141,"Alumunium",G15:G141)</f>
        <v>0</v>
      </c>
      <c r="N15" s="28"/>
    </row>
    <row r="16" ht="15.75" customHeight="1">
      <c r="A16" s="38" t="s">
        <v>29</v>
      </c>
      <c r="B16" s="39">
        <v>1300.0</v>
      </c>
      <c r="C16" s="55"/>
      <c r="D16" s="56"/>
      <c r="E16" s="56"/>
      <c r="F16" s="38" t="s">
        <v>28</v>
      </c>
      <c r="G16" s="50"/>
      <c r="H16" s="57">
        <f>VLOOKUP(F16,$A$15:$B$15,2,TRUE)</f>
        <v>1800</v>
      </c>
      <c r="I16" s="52">
        <f t="shared" si="1"/>
        <v>0</v>
      </c>
      <c r="J16" s="56"/>
      <c r="K16" s="28"/>
      <c r="L16" s="38" t="s">
        <v>28</v>
      </c>
      <c r="M16" s="54">
        <f>SUMIF(F16:F142,"Besi",G16:G142)</f>
        <v>0</v>
      </c>
      <c r="N16" s="28"/>
    </row>
    <row r="17" ht="15.75" customHeight="1">
      <c r="A17" s="38" t="s">
        <v>30</v>
      </c>
      <c r="B17" s="39">
        <v>5000.0</v>
      </c>
      <c r="C17" s="58"/>
      <c r="D17" s="56"/>
      <c r="E17" s="56"/>
      <c r="F17" s="38" t="s">
        <v>29</v>
      </c>
      <c r="G17" s="50"/>
      <c r="H17" s="57">
        <f>VLOOKUP(F17,$A$16:$B$16,2,TRUE)</f>
        <v>1300</v>
      </c>
      <c r="I17" s="52">
        <f t="shared" si="1"/>
        <v>0</v>
      </c>
      <c r="J17" s="56"/>
      <c r="K17" s="28"/>
      <c r="L17" s="38" t="s">
        <v>29</v>
      </c>
      <c r="M17" s="54">
        <f>SUMIF(F17:F143,"Kaleng kue/susu",G17:G143)</f>
        <v>0</v>
      </c>
      <c r="N17" s="28"/>
    </row>
    <row r="18" ht="15.75" customHeight="1">
      <c r="A18" s="38" t="s">
        <v>32</v>
      </c>
      <c r="B18" s="39">
        <v>2500.0</v>
      </c>
      <c r="C18" s="59"/>
      <c r="D18" s="56"/>
      <c r="E18" s="56"/>
      <c r="F18" s="38" t="s">
        <v>30</v>
      </c>
      <c r="G18" s="50"/>
      <c r="H18" s="57">
        <f>VLOOKUP(F18,$A$17:$B$17,2,TRUE)</f>
        <v>5000</v>
      </c>
      <c r="I18" s="52">
        <f t="shared" si="1"/>
        <v>0</v>
      </c>
      <c r="J18" s="56"/>
      <c r="K18" s="28"/>
      <c r="L18" s="38" t="s">
        <v>30</v>
      </c>
      <c r="M18" s="54">
        <f>SUMIF(F18:F144,"Kaleng Minuman",G18:G144)</f>
        <v>0</v>
      </c>
      <c r="N18" s="28"/>
    </row>
    <row r="19" ht="15.75" customHeight="1">
      <c r="A19" s="38" t="s">
        <v>34</v>
      </c>
      <c r="B19" s="39">
        <v>9000.0</v>
      </c>
      <c r="C19" s="47"/>
      <c r="D19" s="56"/>
      <c r="E19" s="56"/>
      <c r="F19" s="38" t="s">
        <v>32</v>
      </c>
      <c r="G19" s="50"/>
      <c r="H19" s="57">
        <f>VLOOKUP(F19,$A$18:$B$18,2,TRUE)</f>
        <v>2500</v>
      </c>
      <c r="I19" s="52">
        <f t="shared" si="1"/>
        <v>0</v>
      </c>
      <c r="J19" s="56"/>
      <c r="K19" s="28"/>
      <c r="L19" s="38" t="s">
        <v>32</v>
      </c>
      <c r="M19" s="54">
        <f>SUMIF(F19:F146,"Stanless",G19:G146)</f>
        <v>0</v>
      </c>
      <c r="N19" s="28"/>
    </row>
    <row r="20" ht="15.75" customHeight="1">
      <c r="A20" s="38" t="s">
        <v>55</v>
      </c>
      <c r="B20" s="39">
        <v>250.0</v>
      </c>
      <c r="C20" s="58"/>
      <c r="D20" s="56"/>
      <c r="E20" s="56"/>
      <c r="F20" s="38" t="s">
        <v>34</v>
      </c>
      <c r="G20" s="50"/>
      <c r="H20" s="57">
        <f>VLOOKUP(F20,$A$19:$B$19,2,TRUE)</f>
        <v>9000</v>
      </c>
      <c r="I20" s="52">
        <f t="shared" si="1"/>
        <v>0</v>
      </c>
      <c r="J20" s="56"/>
      <c r="K20" s="28"/>
      <c r="L20" s="38" t="s">
        <v>34</v>
      </c>
      <c r="M20" s="54">
        <f>SUMIF(F20:F147,"Aki Motor",G20:G147)</f>
        <v>0</v>
      </c>
      <c r="N20" s="28"/>
    </row>
    <row r="21" ht="15.75" customHeight="1">
      <c r="A21" s="38" t="s">
        <v>13</v>
      </c>
      <c r="B21" s="39">
        <v>300.0</v>
      </c>
      <c r="C21" s="55"/>
      <c r="D21" s="56"/>
      <c r="E21" s="56"/>
      <c r="F21" s="38" t="s">
        <v>55</v>
      </c>
      <c r="G21" s="50"/>
      <c r="H21" s="57">
        <f>VLOOKUP(F21,$A$20:$B$20,2,TRUE)</f>
        <v>250</v>
      </c>
      <c r="I21" s="52">
        <f t="shared" si="1"/>
        <v>0</v>
      </c>
      <c r="J21" s="56"/>
      <c r="K21" s="28"/>
      <c r="L21" s="38" t="s">
        <v>55</v>
      </c>
      <c r="M21" s="54">
        <f>SUMIF(F21:F150,"Plastik Keresek",G21:G150)</f>
        <v>1</v>
      </c>
      <c r="N21" s="28"/>
    </row>
    <row r="22" ht="15.75" customHeight="1">
      <c r="A22" s="38" t="s">
        <v>9</v>
      </c>
      <c r="B22" s="39">
        <v>1800.0</v>
      </c>
      <c r="C22" s="55"/>
      <c r="D22" s="56"/>
      <c r="E22" s="56"/>
      <c r="F22" s="38" t="s">
        <v>13</v>
      </c>
      <c r="G22" s="50"/>
      <c r="H22" s="57">
        <f>VLOOKUP(F22,$A$21:$B$21,2,TRUE)</f>
        <v>300</v>
      </c>
      <c r="I22" s="52">
        <f t="shared" si="1"/>
        <v>0</v>
      </c>
      <c r="J22" s="56"/>
      <c r="K22" s="28"/>
      <c r="L22" s="38" t="s">
        <v>13</v>
      </c>
      <c r="M22" s="54">
        <f>SUMIF(F22:F152,"Beling",G22:G152)</f>
        <v>9.5</v>
      </c>
      <c r="N22" s="28"/>
    </row>
    <row r="23" ht="15.75" customHeight="1">
      <c r="A23" s="38" t="s">
        <v>15</v>
      </c>
      <c r="B23" s="60">
        <v>4000.0</v>
      </c>
      <c r="C23" s="55"/>
      <c r="D23" s="56"/>
      <c r="E23" s="56"/>
      <c r="F23" s="38" t="s">
        <v>9</v>
      </c>
      <c r="G23" s="50"/>
      <c r="H23" s="57">
        <f>VLOOKUP(F23,$A$22:$B$22,2,TRUE)</f>
        <v>1800</v>
      </c>
      <c r="I23" s="52">
        <f t="shared" si="1"/>
        <v>0</v>
      </c>
      <c r="J23" s="56"/>
      <c r="K23" s="28"/>
      <c r="L23" s="38" t="s">
        <v>9</v>
      </c>
      <c r="M23" s="54">
        <f>SUMIF(F23:F154,"Paku",G23:G154)</f>
        <v>0</v>
      </c>
      <c r="N23" s="28"/>
    </row>
    <row r="24" ht="15.75" customHeight="1">
      <c r="A24" s="38" t="s">
        <v>56</v>
      </c>
      <c r="B24" s="39">
        <v>0.0</v>
      </c>
      <c r="C24" s="55"/>
      <c r="D24" s="56"/>
      <c r="E24" s="56"/>
      <c r="F24" s="38" t="s">
        <v>15</v>
      </c>
      <c r="G24" s="50">
        <v>4.0</v>
      </c>
      <c r="H24" s="57">
        <f>VLOOKUP(F23,$A$23:$B$23,2,TRUE)</f>
        <v>4000</v>
      </c>
      <c r="I24" s="52">
        <f t="shared" si="1"/>
        <v>16000</v>
      </c>
      <c r="J24" s="56"/>
      <c r="K24" s="28"/>
      <c r="L24" s="38" t="s">
        <v>15</v>
      </c>
      <c r="M24" s="54">
        <f>SUMIF(F24:F155,"Minyak Jelantah",G24:G155)</f>
        <v>8.5</v>
      </c>
      <c r="N24" s="28"/>
    </row>
    <row r="25" ht="15.75" customHeight="1">
      <c r="A25" s="55"/>
      <c r="B25" s="55"/>
      <c r="C25" s="55"/>
      <c r="D25" s="14"/>
      <c r="E25" s="14"/>
      <c r="F25" s="38" t="s">
        <v>56</v>
      </c>
      <c r="G25" s="50">
        <v>3.0</v>
      </c>
      <c r="H25" s="57">
        <f>VLOOKUP(F24,$A$24:$B$24,2,TRUE)</f>
        <v>0</v>
      </c>
      <c r="I25" s="52">
        <f t="shared" si="1"/>
        <v>0</v>
      </c>
      <c r="J25" s="14"/>
      <c r="K25" s="28"/>
      <c r="L25" s="38" t="s">
        <v>56</v>
      </c>
      <c r="M25" s="54">
        <f>SUMIF(F25:F156,"Lainnya",G25:G156)</f>
        <v>13.5</v>
      </c>
      <c r="N25" s="28"/>
    </row>
    <row r="26" ht="15.75" customHeight="1">
      <c r="A26" s="55"/>
      <c r="B26" s="55"/>
      <c r="C26" s="55"/>
      <c r="D26" s="48">
        <v>2.0</v>
      </c>
      <c r="E26" s="49" t="s">
        <v>63</v>
      </c>
      <c r="F26" s="38" t="s">
        <v>17</v>
      </c>
      <c r="G26" s="50"/>
      <c r="H26" s="51">
        <f>VLOOKUP(F26,$A$4:$B$4,2,TRUE)</f>
        <v>3000</v>
      </c>
      <c r="I26" s="52">
        <f t="shared" si="1"/>
        <v>0</v>
      </c>
      <c r="J26" s="53">
        <f>SUM(I26:I46)</f>
        <v>5850</v>
      </c>
      <c r="K26" s="28"/>
      <c r="L26" s="28"/>
      <c r="M26" s="28"/>
      <c r="N26" s="28"/>
    </row>
    <row r="27" ht="15.75" customHeight="1">
      <c r="A27" s="61"/>
      <c r="B27" s="61"/>
      <c r="C27" s="55"/>
      <c r="D27" s="56"/>
      <c r="E27" s="56"/>
      <c r="F27" s="38" t="s">
        <v>49</v>
      </c>
      <c r="G27" s="50"/>
      <c r="H27" s="57">
        <f>VLOOKUP(F27,$A$5:$B$5,2,TRUE)</f>
        <v>3100</v>
      </c>
      <c r="I27" s="52">
        <f t="shared" si="1"/>
        <v>0</v>
      </c>
      <c r="J27" s="56"/>
      <c r="K27" s="28"/>
      <c r="L27" s="28"/>
      <c r="M27" s="28"/>
      <c r="N27" s="28"/>
    </row>
    <row r="28" ht="15.75" customHeight="1">
      <c r="A28" s="61"/>
      <c r="B28" s="61"/>
      <c r="C28" s="55"/>
      <c r="D28" s="56"/>
      <c r="E28" s="56"/>
      <c r="F28" s="38" t="s">
        <v>51</v>
      </c>
      <c r="G28" s="50"/>
      <c r="H28" s="57">
        <f>VLOOKUP(F28,$A$6:$B$6,2,TRUE)</f>
        <v>800</v>
      </c>
      <c r="I28" s="52">
        <f t="shared" si="1"/>
        <v>0</v>
      </c>
      <c r="J28" s="56"/>
      <c r="K28" s="28"/>
      <c r="L28" s="28"/>
      <c r="M28" s="28"/>
      <c r="N28" s="28"/>
    </row>
    <row r="29" ht="15.75" customHeight="1">
      <c r="A29" s="62"/>
      <c r="B29" s="62"/>
      <c r="C29" s="55"/>
      <c r="D29" s="56"/>
      <c r="E29" s="56"/>
      <c r="F29" s="38" t="s">
        <v>20</v>
      </c>
      <c r="G29" s="50"/>
      <c r="H29" s="57">
        <f>VLOOKUP(F29,$A$7:$B$7,2,TRUE)</f>
        <v>2100</v>
      </c>
      <c r="I29" s="52">
        <f t="shared" si="1"/>
        <v>0</v>
      </c>
      <c r="J29" s="56"/>
      <c r="K29" s="28"/>
      <c r="L29" s="28"/>
      <c r="M29" s="28"/>
      <c r="N29" s="28"/>
    </row>
    <row r="30" ht="15.75" customHeight="1">
      <c r="A30" s="63"/>
      <c r="B30" s="62"/>
      <c r="C30" s="55"/>
      <c r="D30" s="56"/>
      <c r="E30" s="56"/>
      <c r="F30" s="38" t="s">
        <v>21</v>
      </c>
      <c r="G30" s="50"/>
      <c r="H30" s="57">
        <f>VLOOKUP(F30, $A$8:$B$8, 2, FALSE)</f>
        <v>2600</v>
      </c>
      <c r="I30" s="52">
        <f t="shared" si="1"/>
        <v>0</v>
      </c>
      <c r="J30" s="56"/>
      <c r="K30" s="28"/>
      <c r="L30" s="28"/>
      <c r="M30" s="28"/>
      <c r="N30" s="28"/>
    </row>
    <row r="31" ht="15.75" customHeight="1">
      <c r="A31" s="63"/>
      <c r="B31" s="62"/>
      <c r="C31" s="55"/>
      <c r="D31" s="56"/>
      <c r="E31" s="56"/>
      <c r="F31" s="38" t="s">
        <v>52</v>
      </c>
      <c r="G31" s="50">
        <v>7.0</v>
      </c>
      <c r="H31" s="57">
        <f>VLOOKUP(F31, $A$9:$B$9, 2, FALSE)</f>
        <v>800</v>
      </c>
      <c r="I31" s="52">
        <f t="shared" si="1"/>
        <v>5600</v>
      </c>
      <c r="J31" s="56"/>
      <c r="K31" s="28"/>
      <c r="L31" s="28"/>
      <c r="M31" s="28"/>
      <c r="N31" s="28"/>
    </row>
    <row r="32" ht="15.75" customHeight="1">
      <c r="A32" s="63"/>
      <c r="B32" s="62"/>
      <c r="C32" s="55"/>
      <c r="D32" s="56"/>
      <c r="E32" s="56"/>
      <c r="F32" s="38" t="s">
        <v>23</v>
      </c>
      <c r="G32" s="50"/>
      <c r="H32" s="57">
        <f>VLOOKUP(F32,$A$10:$B$10,2,TRUE)</f>
        <v>1500</v>
      </c>
      <c r="I32" s="52">
        <f t="shared" si="1"/>
        <v>0</v>
      </c>
      <c r="J32" s="56"/>
      <c r="K32" s="28"/>
      <c r="L32" s="28"/>
      <c r="M32" s="28"/>
      <c r="N32" s="28"/>
    </row>
    <row r="33" ht="15.75" customHeight="1">
      <c r="A33" s="63"/>
      <c r="B33" s="62"/>
      <c r="C33" s="55"/>
      <c r="D33" s="56"/>
      <c r="E33" s="56"/>
      <c r="F33" s="38" t="s">
        <v>24</v>
      </c>
      <c r="G33" s="50"/>
      <c r="H33" s="57">
        <f>VLOOKUP(F33,$A$11:$B$11,2,TRUE)</f>
        <v>1300</v>
      </c>
      <c r="I33" s="52">
        <f t="shared" si="1"/>
        <v>0</v>
      </c>
      <c r="J33" s="56"/>
      <c r="K33" s="28"/>
      <c r="L33" s="28"/>
      <c r="M33" s="28"/>
      <c r="N33" s="28"/>
    </row>
    <row r="34" ht="15.75" customHeight="1">
      <c r="A34" s="63"/>
      <c r="B34" s="62"/>
      <c r="C34" s="55"/>
      <c r="D34" s="56"/>
      <c r="E34" s="56"/>
      <c r="F34" s="38" t="s">
        <v>54</v>
      </c>
      <c r="G34" s="50"/>
      <c r="H34" s="57">
        <f>VLOOKUP(F34,$A$12:$B$12,2,TRUE)</f>
        <v>1000</v>
      </c>
      <c r="I34" s="52">
        <f t="shared" si="1"/>
        <v>0</v>
      </c>
      <c r="J34" s="56"/>
      <c r="K34" s="28"/>
      <c r="L34" s="28"/>
      <c r="M34" s="28"/>
      <c r="N34" s="28"/>
    </row>
    <row r="35" ht="15.75" customHeight="1">
      <c r="A35" s="63"/>
      <c r="B35" s="62"/>
      <c r="C35" s="55"/>
      <c r="D35" s="56"/>
      <c r="E35" s="56"/>
      <c r="F35" s="38" t="s">
        <v>26</v>
      </c>
      <c r="G35" s="50"/>
      <c r="H35" s="57">
        <f>VLOOKUP(F35,$A$13:$B$13,2,TRUE)</f>
        <v>500</v>
      </c>
      <c r="I35" s="52">
        <f t="shared" si="1"/>
        <v>0</v>
      </c>
      <c r="J35" s="56"/>
      <c r="K35" s="28"/>
      <c r="L35" s="28"/>
      <c r="M35" s="28"/>
      <c r="N35" s="28"/>
    </row>
    <row r="36" ht="15.75" customHeight="1">
      <c r="A36" s="63"/>
      <c r="B36" s="62"/>
      <c r="C36" s="55"/>
      <c r="D36" s="56"/>
      <c r="E36" s="56"/>
      <c r="F36" s="38" t="s">
        <v>27</v>
      </c>
      <c r="G36" s="50"/>
      <c r="H36" s="57">
        <f>VLOOKUP(F36,$A$14:$B$14,2,TRUE)</f>
        <v>6500</v>
      </c>
      <c r="I36" s="52">
        <f t="shared" si="1"/>
        <v>0</v>
      </c>
      <c r="J36" s="56"/>
      <c r="K36" s="28"/>
      <c r="L36" s="28"/>
      <c r="M36" s="28"/>
      <c r="N36" s="28"/>
    </row>
    <row r="37" ht="15.75" customHeight="1">
      <c r="A37" s="63"/>
      <c r="B37" s="62"/>
      <c r="C37" s="55"/>
      <c r="D37" s="56"/>
      <c r="E37" s="56"/>
      <c r="F37" s="38" t="s">
        <v>28</v>
      </c>
      <c r="G37" s="50"/>
      <c r="H37" s="57">
        <f>VLOOKUP(F37,$A$15:$B$15,2,TRUE)</f>
        <v>1800</v>
      </c>
      <c r="I37" s="52">
        <f t="shared" si="1"/>
        <v>0</v>
      </c>
      <c r="J37" s="56"/>
      <c r="K37" s="28"/>
      <c r="L37" s="28"/>
      <c r="M37" s="28"/>
      <c r="N37" s="28"/>
    </row>
    <row r="38" ht="15.75" customHeight="1">
      <c r="A38" s="63"/>
      <c r="B38" s="62"/>
      <c r="C38" s="55"/>
      <c r="D38" s="56"/>
      <c r="E38" s="56"/>
      <c r="F38" s="38" t="s">
        <v>29</v>
      </c>
      <c r="G38" s="50"/>
      <c r="H38" s="57">
        <f>VLOOKUP(F38,$A$16:$B$16,2,TRUE)</f>
        <v>1300</v>
      </c>
      <c r="I38" s="52">
        <f t="shared" si="1"/>
        <v>0</v>
      </c>
      <c r="J38" s="56"/>
      <c r="K38" s="28"/>
      <c r="L38" s="28"/>
      <c r="M38" s="28"/>
      <c r="N38" s="28"/>
    </row>
    <row r="39" ht="15.75" customHeight="1">
      <c r="A39" s="63"/>
      <c r="B39" s="62"/>
      <c r="C39" s="55"/>
      <c r="D39" s="56"/>
      <c r="E39" s="56"/>
      <c r="F39" s="38" t="s">
        <v>30</v>
      </c>
      <c r="G39" s="50"/>
      <c r="H39" s="57">
        <f>VLOOKUP(F39,$A$17:$B$17,2,TRUE)</f>
        <v>5000</v>
      </c>
      <c r="I39" s="52">
        <f t="shared" si="1"/>
        <v>0</v>
      </c>
      <c r="J39" s="56"/>
      <c r="K39" s="28"/>
      <c r="L39" s="28"/>
      <c r="M39" s="28"/>
      <c r="N39" s="28"/>
    </row>
    <row r="40" ht="15.75" customHeight="1">
      <c r="A40" s="63"/>
      <c r="B40" s="62"/>
      <c r="C40" s="55"/>
      <c r="D40" s="56"/>
      <c r="E40" s="56"/>
      <c r="F40" s="38" t="s">
        <v>32</v>
      </c>
      <c r="G40" s="50"/>
      <c r="H40" s="57">
        <f>VLOOKUP(F40,$A$18:$B$18,2,TRUE)</f>
        <v>2500</v>
      </c>
      <c r="I40" s="52">
        <f t="shared" si="1"/>
        <v>0</v>
      </c>
      <c r="J40" s="56"/>
      <c r="K40" s="28"/>
      <c r="L40" s="28"/>
      <c r="M40" s="28"/>
      <c r="N40" s="28"/>
    </row>
    <row r="41" ht="15.75" customHeight="1">
      <c r="A41" s="63"/>
      <c r="B41" s="62"/>
      <c r="C41" s="55"/>
      <c r="D41" s="56"/>
      <c r="E41" s="56"/>
      <c r="F41" s="38" t="s">
        <v>34</v>
      </c>
      <c r="G41" s="50"/>
      <c r="H41" s="57">
        <f>VLOOKUP(F41,$A$19:$B$19,2,TRUE)</f>
        <v>9000</v>
      </c>
      <c r="I41" s="52">
        <f t="shared" si="1"/>
        <v>0</v>
      </c>
      <c r="J41" s="56"/>
      <c r="K41" s="28"/>
      <c r="L41" s="28"/>
      <c r="M41" s="28"/>
      <c r="N41" s="28"/>
    </row>
    <row r="42" ht="15.75" customHeight="1">
      <c r="A42" s="63"/>
      <c r="B42" s="62"/>
      <c r="C42" s="55"/>
      <c r="D42" s="56"/>
      <c r="E42" s="56"/>
      <c r="F42" s="38" t="s">
        <v>55</v>
      </c>
      <c r="G42" s="50">
        <v>1.0</v>
      </c>
      <c r="H42" s="57">
        <f>VLOOKUP(F42,$A$20:$B$20,2,TRUE)</f>
        <v>250</v>
      </c>
      <c r="I42" s="52">
        <f t="shared" si="1"/>
        <v>250</v>
      </c>
      <c r="J42" s="56"/>
      <c r="K42" s="28"/>
      <c r="L42" s="28"/>
      <c r="M42" s="28"/>
      <c r="N42" s="28"/>
    </row>
    <row r="43" ht="15.75" customHeight="1">
      <c r="A43" s="63"/>
      <c r="B43" s="62"/>
      <c r="C43" s="55"/>
      <c r="D43" s="56"/>
      <c r="E43" s="56"/>
      <c r="F43" s="38" t="s">
        <v>13</v>
      </c>
      <c r="G43" s="50"/>
      <c r="H43" s="57">
        <f>VLOOKUP(F43,$A$21:$B$21,2,TRUE)</f>
        <v>300</v>
      </c>
      <c r="I43" s="52">
        <f t="shared" si="1"/>
        <v>0</v>
      </c>
      <c r="J43" s="56"/>
      <c r="K43" s="28"/>
      <c r="L43" s="28"/>
      <c r="M43" s="28"/>
      <c r="N43" s="28"/>
    </row>
    <row r="44" ht="15.75" customHeight="1">
      <c r="A44" s="63"/>
      <c r="B44" s="62"/>
      <c r="C44" s="55"/>
      <c r="D44" s="56"/>
      <c r="E44" s="56"/>
      <c r="F44" s="38" t="s">
        <v>9</v>
      </c>
      <c r="G44" s="50"/>
      <c r="H44" s="57">
        <f>VLOOKUP(F44,$A$22:$B$22,2,TRUE)</f>
        <v>1800</v>
      </c>
      <c r="I44" s="52">
        <f t="shared" si="1"/>
        <v>0</v>
      </c>
      <c r="J44" s="56"/>
      <c r="K44" s="28"/>
      <c r="L44" s="28"/>
      <c r="M44" s="28"/>
      <c r="N44" s="28"/>
    </row>
    <row r="45" ht="15.75" customHeight="1">
      <c r="A45" s="63"/>
      <c r="B45" s="62"/>
      <c r="C45" s="55"/>
      <c r="D45" s="56"/>
      <c r="E45" s="56"/>
      <c r="F45" s="38" t="s">
        <v>15</v>
      </c>
      <c r="G45" s="50"/>
      <c r="H45" s="57">
        <f>VLOOKUP(F44,$A$23:$B$23,2,TRUE)</f>
        <v>4000</v>
      </c>
      <c r="I45" s="52">
        <f t="shared" si="1"/>
        <v>0</v>
      </c>
      <c r="J45" s="56"/>
      <c r="K45" s="28"/>
      <c r="L45" s="28"/>
      <c r="M45" s="28"/>
      <c r="N45" s="28"/>
    </row>
    <row r="46" ht="15.75" customHeight="1">
      <c r="A46" s="63"/>
      <c r="B46" s="62"/>
      <c r="C46" s="55"/>
      <c r="D46" s="14"/>
      <c r="E46" s="14"/>
      <c r="F46" s="38" t="s">
        <v>56</v>
      </c>
      <c r="G46" s="50"/>
      <c r="H46" s="57">
        <f>VLOOKUP(F45,$A$24:$B$24,2,TRUE)</f>
        <v>0</v>
      </c>
      <c r="I46" s="52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5"/>
      <c r="D47" s="48">
        <v>3.0</v>
      </c>
      <c r="E47" s="64" t="s">
        <v>64</v>
      </c>
      <c r="F47" s="38" t="s">
        <v>17</v>
      </c>
      <c r="G47" s="50"/>
      <c r="H47" s="51">
        <f>VLOOKUP(F47,$A$4:$B$4,2,TRUE)</f>
        <v>3000</v>
      </c>
      <c r="I47" s="52">
        <f t="shared" si="1"/>
        <v>0</v>
      </c>
      <c r="J47" s="53">
        <f>SUM(I47:I67)</f>
        <v>20600</v>
      </c>
      <c r="K47" s="28"/>
      <c r="L47" s="28"/>
      <c r="M47" s="28"/>
      <c r="N47" s="28"/>
    </row>
    <row r="48" ht="15.75" customHeight="1">
      <c r="A48" s="63"/>
      <c r="B48" s="62"/>
      <c r="C48" s="55"/>
      <c r="D48" s="56"/>
      <c r="E48" s="56"/>
      <c r="F48" s="38" t="s">
        <v>49</v>
      </c>
      <c r="G48" s="50"/>
      <c r="H48" s="57">
        <f>VLOOKUP(F48,$A$5:$B$5,2,TRUE)</f>
        <v>3100</v>
      </c>
      <c r="I48" s="52">
        <f t="shared" si="1"/>
        <v>0</v>
      </c>
      <c r="J48" s="56"/>
      <c r="K48" s="28"/>
      <c r="L48" s="28"/>
      <c r="M48" s="28"/>
      <c r="N48" s="28"/>
    </row>
    <row r="49" ht="15.75" customHeight="1">
      <c r="A49" s="63"/>
      <c r="B49" s="62"/>
      <c r="C49" s="55"/>
      <c r="D49" s="56"/>
      <c r="E49" s="56"/>
      <c r="F49" s="38" t="s">
        <v>51</v>
      </c>
      <c r="G49" s="50"/>
      <c r="H49" s="57">
        <f>VLOOKUP(F49,$A$6:$B$6,2,TRUE)</f>
        <v>800</v>
      </c>
      <c r="I49" s="52">
        <f t="shared" si="1"/>
        <v>0</v>
      </c>
      <c r="J49" s="56"/>
      <c r="K49" s="28"/>
      <c r="L49" s="28"/>
      <c r="M49" s="28"/>
      <c r="N49" s="28"/>
    </row>
    <row r="50" ht="15.75" customHeight="1">
      <c r="A50" s="63"/>
      <c r="B50" s="62"/>
      <c r="C50" s="55"/>
      <c r="D50" s="56"/>
      <c r="E50" s="56"/>
      <c r="F50" s="38" t="s">
        <v>20</v>
      </c>
      <c r="G50" s="50"/>
      <c r="H50" s="57">
        <f>VLOOKUP(F50,$A$7:$B$7,2,TRUE)</f>
        <v>2100</v>
      </c>
      <c r="I50" s="52">
        <f t="shared" si="1"/>
        <v>0</v>
      </c>
      <c r="J50" s="56"/>
      <c r="K50" s="28"/>
      <c r="L50" s="28"/>
      <c r="M50" s="28"/>
      <c r="N50" s="28"/>
    </row>
    <row r="51" ht="15.75" customHeight="1">
      <c r="A51" s="47"/>
      <c r="B51" s="47"/>
      <c r="C51" s="55"/>
      <c r="D51" s="56"/>
      <c r="E51" s="56"/>
      <c r="F51" s="38" t="s">
        <v>21</v>
      </c>
      <c r="G51" s="50"/>
      <c r="H51" s="57">
        <f>VLOOKUP(F51, $A$8:$B$8, 2, FALSE)</f>
        <v>2600</v>
      </c>
      <c r="I51" s="52">
        <f t="shared" si="1"/>
        <v>0</v>
      </c>
      <c r="J51" s="56"/>
      <c r="K51" s="28"/>
      <c r="L51" s="28"/>
      <c r="M51" s="28"/>
      <c r="N51" s="28"/>
    </row>
    <row r="52" ht="15.75" customHeight="1">
      <c r="A52" s="47"/>
      <c r="B52" s="47"/>
      <c r="C52" s="55"/>
      <c r="D52" s="56"/>
      <c r="E52" s="56"/>
      <c r="F52" s="38" t="s">
        <v>52</v>
      </c>
      <c r="G52" s="50">
        <v>1.0</v>
      </c>
      <c r="H52" s="57">
        <f>VLOOKUP(F52, $A$9:$B$9, 2, FALSE)</f>
        <v>800</v>
      </c>
      <c r="I52" s="52">
        <f t="shared" si="1"/>
        <v>800</v>
      </c>
      <c r="J52" s="56"/>
      <c r="K52" s="28"/>
      <c r="L52" s="28"/>
      <c r="M52" s="28"/>
      <c r="N52" s="28"/>
    </row>
    <row r="53" ht="15.75" customHeight="1">
      <c r="A53" s="47"/>
      <c r="B53" s="47"/>
      <c r="C53" s="55"/>
      <c r="D53" s="56"/>
      <c r="E53" s="56"/>
      <c r="F53" s="38" t="s">
        <v>23</v>
      </c>
      <c r="G53" s="50">
        <v>4.0</v>
      </c>
      <c r="H53" s="57">
        <f>VLOOKUP(F53,$A$10:$B$10,2,TRUE)</f>
        <v>1500</v>
      </c>
      <c r="I53" s="52">
        <f t="shared" si="1"/>
        <v>6000</v>
      </c>
      <c r="J53" s="56"/>
      <c r="K53" s="28"/>
      <c r="L53" s="28"/>
      <c r="M53" s="28"/>
      <c r="N53" s="28"/>
    </row>
    <row r="54" ht="15.75" customHeight="1">
      <c r="A54" s="47"/>
      <c r="B54" s="47"/>
      <c r="C54" s="55"/>
      <c r="D54" s="56"/>
      <c r="E54" s="56"/>
      <c r="F54" s="38" t="s">
        <v>24</v>
      </c>
      <c r="G54" s="50"/>
      <c r="H54" s="57">
        <f>VLOOKUP(F54,$A$11:$B$11,2,TRUE)</f>
        <v>1300</v>
      </c>
      <c r="I54" s="52">
        <f t="shared" si="1"/>
        <v>0</v>
      </c>
      <c r="J54" s="56"/>
      <c r="K54" s="28"/>
      <c r="L54" s="28"/>
      <c r="M54" s="28"/>
      <c r="N54" s="28"/>
    </row>
    <row r="55" ht="15.75" customHeight="1">
      <c r="A55" s="47"/>
      <c r="B55" s="47"/>
      <c r="C55" s="55"/>
      <c r="D55" s="56"/>
      <c r="E55" s="56"/>
      <c r="F55" s="38" t="s">
        <v>54</v>
      </c>
      <c r="G55" s="50"/>
      <c r="H55" s="57">
        <f>VLOOKUP(F55,$A$12:$B$12,2,TRUE)</f>
        <v>1000</v>
      </c>
      <c r="I55" s="52">
        <f t="shared" si="1"/>
        <v>0</v>
      </c>
      <c r="J55" s="56"/>
      <c r="K55" s="28"/>
      <c r="L55" s="28"/>
      <c r="M55" s="28"/>
      <c r="N55" s="28"/>
    </row>
    <row r="56" ht="15.75" customHeight="1">
      <c r="A56" s="47"/>
      <c r="B56" s="47"/>
      <c r="C56" s="55"/>
      <c r="D56" s="56"/>
      <c r="E56" s="56"/>
      <c r="F56" s="38" t="s">
        <v>26</v>
      </c>
      <c r="G56" s="50"/>
      <c r="H56" s="57">
        <f>VLOOKUP(F56,$A$13:$B$13,2,TRUE)</f>
        <v>500</v>
      </c>
      <c r="I56" s="52">
        <f t="shared" si="1"/>
        <v>0</v>
      </c>
      <c r="J56" s="56"/>
      <c r="K56" s="28"/>
      <c r="L56" s="28"/>
      <c r="M56" s="28"/>
      <c r="N56" s="28"/>
    </row>
    <row r="57" ht="15.75" customHeight="1">
      <c r="A57" s="47"/>
      <c r="B57" s="47"/>
      <c r="C57" s="55"/>
      <c r="D57" s="56"/>
      <c r="E57" s="56"/>
      <c r="F57" s="38" t="s">
        <v>27</v>
      </c>
      <c r="G57" s="50"/>
      <c r="H57" s="57">
        <f>VLOOKUP(F57,$A$14:$B$14,2,TRUE)</f>
        <v>6500</v>
      </c>
      <c r="I57" s="52">
        <f t="shared" si="1"/>
        <v>0</v>
      </c>
      <c r="J57" s="56"/>
      <c r="K57" s="28"/>
      <c r="L57" s="28"/>
      <c r="M57" s="28"/>
      <c r="N57" s="28"/>
    </row>
    <row r="58" ht="15.75" customHeight="1">
      <c r="A58" s="55"/>
      <c r="B58" s="55"/>
      <c r="C58" s="55"/>
      <c r="D58" s="56"/>
      <c r="E58" s="56"/>
      <c r="F58" s="38" t="s">
        <v>28</v>
      </c>
      <c r="G58" s="50"/>
      <c r="H58" s="57">
        <f>VLOOKUP(F58,$A$15:$B$15,2,TRUE)</f>
        <v>1800</v>
      </c>
      <c r="I58" s="52">
        <f t="shared" si="1"/>
        <v>0</v>
      </c>
      <c r="J58" s="56"/>
      <c r="K58" s="28"/>
      <c r="L58" s="28"/>
      <c r="M58" s="28"/>
      <c r="N58" s="28"/>
    </row>
    <row r="59" ht="15.75" customHeight="1">
      <c r="A59" s="55"/>
      <c r="B59" s="55"/>
      <c r="C59" s="55"/>
      <c r="D59" s="56"/>
      <c r="E59" s="56"/>
      <c r="F59" s="38" t="s">
        <v>29</v>
      </c>
      <c r="G59" s="50"/>
      <c r="H59" s="57">
        <f>VLOOKUP(F59,$A$16:$B$16,2,TRUE)</f>
        <v>1300</v>
      </c>
      <c r="I59" s="52">
        <f t="shared" si="1"/>
        <v>0</v>
      </c>
      <c r="J59" s="56"/>
      <c r="K59" s="28"/>
      <c r="L59" s="28"/>
      <c r="M59" s="28"/>
      <c r="N59" s="28"/>
    </row>
    <row r="60" ht="15.75" customHeight="1">
      <c r="A60" s="55"/>
      <c r="B60" s="55"/>
      <c r="C60" s="55"/>
      <c r="D60" s="56"/>
      <c r="E60" s="56"/>
      <c r="F60" s="38" t="s">
        <v>30</v>
      </c>
      <c r="G60" s="50"/>
      <c r="H60" s="57">
        <f>VLOOKUP(F60,$A$17:$B$17,2,TRUE)</f>
        <v>5000</v>
      </c>
      <c r="I60" s="52">
        <f t="shared" si="1"/>
        <v>0</v>
      </c>
      <c r="J60" s="56"/>
      <c r="K60" s="28"/>
      <c r="L60" s="28"/>
      <c r="M60" s="28"/>
      <c r="N60" s="28"/>
    </row>
    <row r="61" ht="15.75" customHeight="1">
      <c r="A61" s="55"/>
      <c r="B61" s="55"/>
      <c r="C61" s="55"/>
      <c r="D61" s="56"/>
      <c r="E61" s="56"/>
      <c r="F61" s="38" t="s">
        <v>32</v>
      </c>
      <c r="G61" s="50"/>
      <c r="H61" s="57">
        <f>VLOOKUP(F61,$A$18:$B$18,2,TRUE)</f>
        <v>2500</v>
      </c>
      <c r="I61" s="52">
        <f t="shared" si="1"/>
        <v>0</v>
      </c>
      <c r="J61" s="56"/>
      <c r="K61" s="28"/>
      <c r="L61" s="28"/>
      <c r="M61" s="28"/>
      <c r="N61" s="28"/>
    </row>
    <row r="62" ht="15.75" customHeight="1">
      <c r="A62" s="55"/>
      <c r="B62" s="55"/>
      <c r="C62" s="55"/>
      <c r="D62" s="56"/>
      <c r="E62" s="56"/>
      <c r="F62" s="38" t="s">
        <v>34</v>
      </c>
      <c r="G62" s="50"/>
      <c r="H62" s="57">
        <f>VLOOKUP(F62,$A$19:$B$19,2,TRUE)</f>
        <v>9000</v>
      </c>
      <c r="I62" s="52">
        <f t="shared" si="1"/>
        <v>0</v>
      </c>
      <c r="J62" s="56"/>
      <c r="K62" s="28"/>
      <c r="L62" s="28"/>
      <c r="M62" s="28"/>
      <c r="N62" s="28"/>
    </row>
    <row r="63" ht="15.75" customHeight="1">
      <c r="A63" s="55"/>
      <c r="B63" s="55"/>
      <c r="C63" s="55"/>
      <c r="D63" s="56"/>
      <c r="E63" s="56"/>
      <c r="F63" s="38" t="s">
        <v>55</v>
      </c>
      <c r="G63" s="50"/>
      <c r="H63" s="57">
        <f>VLOOKUP(F63,$A$20:$B$20,2,TRUE)</f>
        <v>250</v>
      </c>
      <c r="I63" s="52">
        <f t="shared" si="1"/>
        <v>0</v>
      </c>
      <c r="J63" s="56"/>
      <c r="K63" s="28"/>
      <c r="L63" s="28"/>
      <c r="M63" s="28"/>
      <c r="N63" s="28"/>
    </row>
    <row r="64" ht="15.75" customHeight="1">
      <c r="A64" s="55"/>
      <c r="B64" s="55"/>
      <c r="C64" s="55"/>
      <c r="D64" s="56"/>
      <c r="E64" s="56"/>
      <c r="F64" s="38" t="s">
        <v>13</v>
      </c>
      <c r="G64" s="50">
        <v>6.0</v>
      </c>
      <c r="H64" s="57">
        <f>VLOOKUP(F64,$A$21:$B$21,2,TRUE)</f>
        <v>300</v>
      </c>
      <c r="I64" s="52">
        <f t="shared" si="1"/>
        <v>1800</v>
      </c>
      <c r="J64" s="56"/>
      <c r="K64" s="28"/>
      <c r="L64" s="28"/>
      <c r="M64" s="28"/>
      <c r="N64" s="28"/>
    </row>
    <row r="65" ht="15.75" customHeight="1">
      <c r="A65" s="55"/>
      <c r="B65" s="55"/>
      <c r="C65" s="55"/>
      <c r="D65" s="56"/>
      <c r="E65" s="56"/>
      <c r="F65" s="38" t="s">
        <v>9</v>
      </c>
      <c r="G65" s="50"/>
      <c r="H65" s="57">
        <f>VLOOKUP(F65,$A$22:$B$22,2,TRUE)</f>
        <v>1800</v>
      </c>
      <c r="I65" s="52">
        <f t="shared" si="1"/>
        <v>0</v>
      </c>
      <c r="J65" s="56"/>
      <c r="K65" s="28"/>
      <c r="L65" s="28"/>
      <c r="M65" s="28"/>
      <c r="N65" s="28"/>
    </row>
    <row r="66" ht="15.75" customHeight="1">
      <c r="A66" s="55"/>
      <c r="B66" s="55"/>
      <c r="C66" s="55"/>
      <c r="D66" s="56"/>
      <c r="E66" s="56"/>
      <c r="F66" s="38" t="s">
        <v>15</v>
      </c>
      <c r="G66" s="50">
        <v>3.0</v>
      </c>
      <c r="H66" s="57">
        <f>VLOOKUP(F65,$A$23:$B$23,2,TRUE)</f>
        <v>4000</v>
      </c>
      <c r="I66" s="52">
        <f t="shared" si="1"/>
        <v>12000</v>
      </c>
      <c r="J66" s="56"/>
      <c r="K66" s="28"/>
      <c r="L66" s="28"/>
      <c r="M66" s="28"/>
      <c r="N66" s="28"/>
    </row>
    <row r="67" ht="15.75" customHeight="1">
      <c r="A67" s="55"/>
      <c r="B67" s="55"/>
      <c r="C67" s="55"/>
      <c r="D67" s="14"/>
      <c r="E67" s="14"/>
      <c r="F67" s="38" t="s">
        <v>56</v>
      </c>
      <c r="G67" s="50">
        <v>0.5</v>
      </c>
      <c r="H67" s="57">
        <f>VLOOKUP(F66,$A$24:$B$24,2,TRUE)</f>
        <v>0</v>
      </c>
      <c r="I67" s="52">
        <f t="shared" si="1"/>
        <v>0</v>
      </c>
      <c r="J67" s="14"/>
      <c r="K67" s="28"/>
      <c r="L67" s="28"/>
      <c r="M67" s="28"/>
      <c r="N67" s="28"/>
    </row>
    <row r="68" ht="15.75" customHeight="1">
      <c r="A68" s="55"/>
      <c r="B68" s="55"/>
      <c r="C68" s="55"/>
      <c r="D68" s="48">
        <v>4.0</v>
      </c>
      <c r="E68" s="49" t="s">
        <v>65</v>
      </c>
      <c r="F68" s="38" t="s">
        <v>17</v>
      </c>
      <c r="G68" s="50"/>
      <c r="H68" s="51">
        <f>VLOOKUP(F68,$A$4:$B$4,2,TRUE)</f>
        <v>3000</v>
      </c>
      <c r="I68" s="52">
        <f t="shared" si="1"/>
        <v>0</v>
      </c>
      <c r="J68" s="53">
        <f>SUM(I68:I88)</f>
        <v>13900</v>
      </c>
      <c r="K68" s="28"/>
      <c r="L68" s="28"/>
      <c r="M68" s="28"/>
      <c r="N68" s="28"/>
    </row>
    <row r="69" ht="15.75" customHeight="1">
      <c r="A69" s="55"/>
      <c r="B69" s="55"/>
      <c r="C69" s="55"/>
      <c r="D69" s="56"/>
      <c r="E69" s="56"/>
      <c r="F69" s="38" t="s">
        <v>49</v>
      </c>
      <c r="G69" s="50"/>
      <c r="H69" s="57">
        <f>VLOOKUP(F69,$A$5:$B$5,2,TRUE)</f>
        <v>3100</v>
      </c>
      <c r="I69" s="52">
        <f t="shared" si="1"/>
        <v>0</v>
      </c>
      <c r="J69" s="56"/>
      <c r="K69" s="28"/>
      <c r="L69" s="28"/>
      <c r="M69" s="28"/>
      <c r="N69" s="28"/>
    </row>
    <row r="70" ht="15.75" customHeight="1">
      <c r="A70" s="55"/>
      <c r="B70" s="55"/>
      <c r="C70" s="55"/>
      <c r="D70" s="56"/>
      <c r="E70" s="56"/>
      <c r="F70" s="38" t="s">
        <v>51</v>
      </c>
      <c r="G70" s="50"/>
      <c r="H70" s="57">
        <f>VLOOKUP(F70,$A$6:$B$6,2,TRUE)</f>
        <v>800</v>
      </c>
      <c r="I70" s="52">
        <f t="shared" si="1"/>
        <v>0</v>
      </c>
      <c r="J70" s="56"/>
      <c r="K70" s="28"/>
      <c r="L70" s="28"/>
      <c r="M70" s="28"/>
      <c r="N70" s="28"/>
    </row>
    <row r="71" ht="15.75" customHeight="1">
      <c r="A71" s="55"/>
      <c r="B71" s="55"/>
      <c r="C71" s="55"/>
      <c r="D71" s="56"/>
      <c r="E71" s="56"/>
      <c r="F71" s="38" t="s">
        <v>20</v>
      </c>
      <c r="G71" s="50"/>
      <c r="H71" s="57">
        <f>VLOOKUP(F71,$A$7:$B$7,2,TRUE)</f>
        <v>2100</v>
      </c>
      <c r="I71" s="52">
        <f t="shared" si="1"/>
        <v>0</v>
      </c>
      <c r="J71" s="56"/>
      <c r="K71" s="28"/>
      <c r="L71" s="28"/>
      <c r="M71" s="28"/>
      <c r="N71" s="28"/>
    </row>
    <row r="72" ht="15.75" customHeight="1">
      <c r="A72" s="55"/>
      <c r="B72" s="55"/>
      <c r="C72" s="55"/>
      <c r="D72" s="56"/>
      <c r="E72" s="56"/>
      <c r="F72" s="38" t="s">
        <v>21</v>
      </c>
      <c r="G72" s="50"/>
      <c r="H72" s="57">
        <f>VLOOKUP(F72, $A$8:$B$8, 2, FALSE)</f>
        <v>2600</v>
      </c>
      <c r="I72" s="52">
        <f t="shared" si="1"/>
        <v>0</v>
      </c>
      <c r="J72" s="56"/>
      <c r="K72" s="28"/>
      <c r="L72" s="28"/>
      <c r="M72" s="28"/>
      <c r="N72" s="28"/>
    </row>
    <row r="73" ht="15.75" customHeight="1">
      <c r="A73" s="55"/>
      <c r="B73" s="55"/>
      <c r="C73" s="55"/>
      <c r="D73" s="56"/>
      <c r="E73" s="56"/>
      <c r="F73" s="38" t="s">
        <v>52</v>
      </c>
      <c r="G73" s="50">
        <f>5+5+3</f>
        <v>13</v>
      </c>
      <c r="H73" s="57">
        <f>VLOOKUP(F73, $A$9:$B$9, 2, FALSE)</f>
        <v>800</v>
      </c>
      <c r="I73" s="52">
        <f t="shared" si="1"/>
        <v>10400</v>
      </c>
      <c r="J73" s="56"/>
      <c r="K73" s="28"/>
      <c r="L73" s="28"/>
      <c r="M73" s="28"/>
      <c r="N73" s="28"/>
    </row>
    <row r="74" ht="15.75" customHeight="1">
      <c r="A74" s="55"/>
      <c r="B74" s="55"/>
      <c r="C74" s="55"/>
      <c r="D74" s="56"/>
      <c r="E74" s="56"/>
      <c r="F74" s="38" t="s">
        <v>23</v>
      </c>
      <c r="G74" s="50"/>
      <c r="H74" s="57">
        <f>VLOOKUP(F74,$A$10:$B$10,2,TRUE)</f>
        <v>1500</v>
      </c>
      <c r="I74" s="52">
        <f t="shared" si="1"/>
        <v>0</v>
      </c>
      <c r="J74" s="56"/>
      <c r="K74" s="28"/>
      <c r="L74" s="28"/>
      <c r="M74" s="28"/>
      <c r="N74" s="28"/>
    </row>
    <row r="75" ht="15.75" customHeight="1">
      <c r="A75" s="55"/>
      <c r="B75" s="55"/>
      <c r="C75" s="55"/>
      <c r="D75" s="56"/>
      <c r="E75" s="56"/>
      <c r="F75" s="38" t="s">
        <v>24</v>
      </c>
      <c r="G75" s="50"/>
      <c r="H75" s="57">
        <f>VLOOKUP(F75,$A$11:$B$11,2,TRUE)</f>
        <v>1300</v>
      </c>
      <c r="I75" s="52">
        <f t="shared" si="1"/>
        <v>0</v>
      </c>
      <c r="J75" s="56"/>
      <c r="K75" s="28"/>
      <c r="L75" s="28"/>
      <c r="M75" s="28"/>
      <c r="N75" s="28"/>
    </row>
    <row r="76" ht="15.75" customHeight="1">
      <c r="A76" s="55"/>
      <c r="B76" s="55"/>
      <c r="C76" s="55"/>
      <c r="D76" s="56"/>
      <c r="E76" s="56"/>
      <c r="F76" s="38" t="s">
        <v>54</v>
      </c>
      <c r="G76" s="50"/>
      <c r="H76" s="57">
        <f>VLOOKUP(F76,$A$12:$B$12,2,TRUE)</f>
        <v>1000</v>
      </c>
      <c r="I76" s="52">
        <f t="shared" si="1"/>
        <v>0</v>
      </c>
      <c r="J76" s="56"/>
      <c r="K76" s="28"/>
      <c r="L76" s="28"/>
      <c r="M76" s="28"/>
      <c r="N76" s="28"/>
    </row>
    <row r="77" ht="15.75" customHeight="1">
      <c r="A77" s="55"/>
      <c r="B77" s="55"/>
      <c r="C77" s="55"/>
      <c r="D77" s="56"/>
      <c r="E77" s="56"/>
      <c r="F77" s="38" t="s">
        <v>26</v>
      </c>
      <c r="G77" s="50">
        <v>7.0</v>
      </c>
      <c r="H77" s="57">
        <f>VLOOKUP(F77,$A$13:$B$13,2,TRUE)</f>
        <v>500</v>
      </c>
      <c r="I77" s="52">
        <f t="shared" si="1"/>
        <v>3500</v>
      </c>
      <c r="J77" s="56"/>
      <c r="K77" s="28"/>
      <c r="L77" s="28"/>
      <c r="M77" s="28"/>
      <c r="N77" s="28"/>
    </row>
    <row r="78" ht="15.75" customHeight="1">
      <c r="A78" s="55"/>
      <c r="B78" s="55"/>
      <c r="C78" s="55"/>
      <c r="D78" s="56"/>
      <c r="E78" s="56"/>
      <c r="F78" s="38" t="s">
        <v>27</v>
      </c>
      <c r="G78" s="50"/>
      <c r="H78" s="57">
        <f>VLOOKUP(F78,$A$14:$B$14,2,TRUE)</f>
        <v>6500</v>
      </c>
      <c r="I78" s="52">
        <f t="shared" si="1"/>
        <v>0</v>
      </c>
      <c r="J78" s="56"/>
      <c r="K78" s="28"/>
      <c r="L78" s="28"/>
      <c r="M78" s="28"/>
      <c r="N78" s="28"/>
    </row>
    <row r="79" ht="15.75" customHeight="1">
      <c r="A79" s="55"/>
      <c r="B79" s="55"/>
      <c r="C79" s="55"/>
      <c r="D79" s="56"/>
      <c r="E79" s="56"/>
      <c r="F79" s="38" t="s">
        <v>28</v>
      </c>
      <c r="G79" s="50"/>
      <c r="H79" s="57">
        <f>VLOOKUP(F79,$A$15:$B$15,2,TRUE)</f>
        <v>1800</v>
      </c>
      <c r="I79" s="52">
        <f t="shared" si="1"/>
        <v>0</v>
      </c>
      <c r="J79" s="56"/>
      <c r="K79" s="28"/>
      <c r="L79" s="28"/>
      <c r="M79" s="28"/>
      <c r="N79" s="28"/>
    </row>
    <row r="80" ht="15.75" customHeight="1">
      <c r="A80" s="55"/>
      <c r="B80" s="55"/>
      <c r="C80" s="55"/>
      <c r="D80" s="56"/>
      <c r="E80" s="56"/>
      <c r="F80" s="38" t="s">
        <v>29</v>
      </c>
      <c r="G80" s="50"/>
      <c r="H80" s="57">
        <f>VLOOKUP(F80,$A$16:$B$16,2,TRUE)</f>
        <v>1300</v>
      </c>
      <c r="I80" s="52">
        <f t="shared" si="1"/>
        <v>0</v>
      </c>
      <c r="J80" s="56"/>
      <c r="K80" s="28"/>
      <c r="L80" s="28"/>
      <c r="M80" s="28"/>
      <c r="N80" s="28"/>
    </row>
    <row r="81" ht="15.75" customHeight="1">
      <c r="A81" s="55"/>
      <c r="B81" s="55"/>
      <c r="C81" s="55"/>
      <c r="D81" s="56"/>
      <c r="E81" s="56"/>
      <c r="F81" s="38" t="s">
        <v>30</v>
      </c>
      <c r="G81" s="50"/>
      <c r="H81" s="57">
        <f>VLOOKUP(F81,$A$17:$B$17,2,TRUE)</f>
        <v>5000</v>
      </c>
      <c r="I81" s="52">
        <f t="shared" si="1"/>
        <v>0</v>
      </c>
      <c r="J81" s="56"/>
      <c r="K81" s="28"/>
      <c r="L81" s="28"/>
      <c r="M81" s="28"/>
      <c r="N81" s="28"/>
    </row>
    <row r="82" ht="15.75" customHeight="1">
      <c r="A82" s="55"/>
      <c r="B82" s="55"/>
      <c r="C82" s="55"/>
      <c r="D82" s="56"/>
      <c r="E82" s="56"/>
      <c r="F82" s="38" t="s">
        <v>32</v>
      </c>
      <c r="G82" s="50"/>
      <c r="H82" s="57">
        <f>VLOOKUP(F82,$A$18:$B$18,2,TRUE)</f>
        <v>2500</v>
      </c>
      <c r="I82" s="52">
        <f t="shared" si="1"/>
        <v>0</v>
      </c>
      <c r="J82" s="56"/>
      <c r="K82" s="28"/>
      <c r="L82" s="28"/>
      <c r="M82" s="28"/>
      <c r="N82" s="28"/>
    </row>
    <row r="83" ht="15.75" customHeight="1">
      <c r="A83" s="55"/>
      <c r="B83" s="55"/>
      <c r="C83" s="55"/>
      <c r="D83" s="56"/>
      <c r="E83" s="56"/>
      <c r="F83" s="38" t="s">
        <v>34</v>
      </c>
      <c r="G83" s="50"/>
      <c r="H83" s="57">
        <f>VLOOKUP(F83,$A$19:$B$19,2,TRUE)</f>
        <v>9000</v>
      </c>
      <c r="I83" s="52">
        <f t="shared" si="1"/>
        <v>0</v>
      </c>
      <c r="J83" s="56"/>
      <c r="K83" s="28"/>
      <c r="L83" s="28"/>
      <c r="M83" s="28"/>
      <c r="N83" s="28"/>
    </row>
    <row r="84" ht="15.75" customHeight="1">
      <c r="A84" s="55"/>
      <c r="B84" s="55"/>
      <c r="C84" s="55"/>
      <c r="D84" s="56"/>
      <c r="E84" s="56"/>
      <c r="F84" s="38" t="s">
        <v>55</v>
      </c>
      <c r="G84" s="50"/>
      <c r="H84" s="57">
        <f>VLOOKUP(F84,$A$20:$B$20,2,TRUE)</f>
        <v>250</v>
      </c>
      <c r="I84" s="52">
        <f t="shared" si="1"/>
        <v>0</v>
      </c>
      <c r="J84" s="56"/>
      <c r="K84" s="28"/>
      <c r="L84" s="28"/>
      <c r="M84" s="28"/>
      <c r="N84" s="28"/>
    </row>
    <row r="85" ht="15.75" customHeight="1">
      <c r="A85" s="55"/>
      <c r="B85" s="55"/>
      <c r="C85" s="55"/>
      <c r="D85" s="56"/>
      <c r="E85" s="56"/>
      <c r="F85" s="38" t="s">
        <v>13</v>
      </c>
      <c r="G85" s="50"/>
      <c r="H85" s="57">
        <f>VLOOKUP(F85,$A$21:$B$21,2,TRUE)</f>
        <v>300</v>
      </c>
      <c r="I85" s="52">
        <f t="shared" si="1"/>
        <v>0</v>
      </c>
      <c r="J85" s="56"/>
      <c r="K85" s="28"/>
      <c r="L85" s="28"/>
      <c r="M85" s="28"/>
      <c r="N85" s="28"/>
    </row>
    <row r="86" ht="15.75" customHeight="1">
      <c r="A86" s="55"/>
      <c r="B86" s="55"/>
      <c r="C86" s="55"/>
      <c r="D86" s="56"/>
      <c r="E86" s="56"/>
      <c r="F86" s="38" t="s">
        <v>9</v>
      </c>
      <c r="G86" s="50"/>
      <c r="H86" s="57">
        <f>VLOOKUP(F86,$A$22:$B$22,2,TRUE)</f>
        <v>1800</v>
      </c>
      <c r="I86" s="52">
        <f t="shared" si="1"/>
        <v>0</v>
      </c>
      <c r="J86" s="56"/>
      <c r="K86" s="28"/>
      <c r="L86" s="28"/>
      <c r="M86" s="28"/>
      <c r="N86" s="28"/>
    </row>
    <row r="87" ht="15.75" customHeight="1">
      <c r="A87" s="55"/>
      <c r="B87" s="55"/>
      <c r="C87" s="55"/>
      <c r="D87" s="56"/>
      <c r="E87" s="56"/>
      <c r="F87" s="38" t="s">
        <v>15</v>
      </c>
      <c r="G87" s="50"/>
      <c r="H87" s="57">
        <f>VLOOKUP(F86,$A$23:$B$23,2,TRUE)</f>
        <v>4000</v>
      </c>
      <c r="I87" s="52">
        <f t="shared" si="1"/>
        <v>0</v>
      </c>
      <c r="J87" s="56"/>
      <c r="K87" s="28"/>
      <c r="L87" s="28"/>
      <c r="M87" s="28"/>
      <c r="N87" s="28"/>
    </row>
    <row r="88" ht="15.75" customHeight="1">
      <c r="A88" s="55"/>
      <c r="B88" s="55"/>
      <c r="C88" s="55"/>
      <c r="D88" s="14"/>
      <c r="E88" s="14"/>
      <c r="F88" s="38" t="s">
        <v>56</v>
      </c>
      <c r="G88" s="50"/>
      <c r="H88" s="57">
        <f>VLOOKUP(F87,$A$24:$B$24,2,TRUE)</f>
        <v>0</v>
      </c>
      <c r="I88" s="52">
        <f t="shared" si="1"/>
        <v>0</v>
      </c>
      <c r="J88" s="14"/>
      <c r="K88" s="28"/>
      <c r="L88" s="28"/>
      <c r="M88" s="28"/>
      <c r="N88" s="28"/>
    </row>
    <row r="89" ht="15.75" customHeight="1">
      <c r="A89" s="55"/>
      <c r="B89" s="55"/>
      <c r="C89" s="55"/>
      <c r="D89" s="48">
        <v>5.0</v>
      </c>
      <c r="E89" s="49" t="s">
        <v>66</v>
      </c>
      <c r="F89" s="38" t="s">
        <v>17</v>
      </c>
      <c r="G89" s="50"/>
      <c r="H89" s="51">
        <f>VLOOKUP(F89,$A$4:$B$4,2,TRUE)</f>
        <v>3000</v>
      </c>
      <c r="I89" s="52">
        <f t="shared" si="1"/>
        <v>0</v>
      </c>
      <c r="J89" s="53">
        <f>SUM(I89:I109)</f>
        <v>55600</v>
      </c>
      <c r="K89" s="28"/>
      <c r="L89" s="28"/>
      <c r="M89" s="28"/>
      <c r="N89" s="28"/>
    </row>
    <row r="90" ht="15.75" customHeight="1">
      <c r="A90" s="55"/>
      <c r="B90" s="55"/>
      <c r="C90" s="55"/>
      <c r="D90" s="56"/>
      <c r="E90" s="56"/>
      <c r="F90" s="38" t="s">
        <v>49</v>
      </c>
      <c r="G90" s="50">
        <v>4.0</v>
      </c>
      <c r="H90" s="57">
        <f>VLOOKUP(F90,$A$5:$B$5,2,TRUE)</f>
        <v>3100</v>
      </c>
      <c r="I90" s="52">
        <f t="shared" si="1"/>
        <v>12400</v>
      </c>
      <c r="J90" s="56"/>
      <c r="K90" s="28"/>
      <c r="L90" s="28"/>
      <c r="M90" s="28"/>
      <c r="N90" s="28"/>
    </row>
    <row r="91" ht="15.75" customHeight="1">
      <c r="A91" s="55"/>
      <c r="B91" s="55"/>
      <c r="C91" s="55"/>
      <c r="D91" s="56"/>
      <c r="E91" s="56"/>
      <c r="F91" s="38" t="s">
        <v>51</v>
      </c>
      <c r="G91" s="50"/>
      <c r="H91" s="57">
        <f>VLOOKUP(F91,$A$6:$B$6,2,TRUE)</f>
        <v>800</v>
      </c>
      <c r="I91" s="52">
        <f t="shared" si="1"/>
        <v>0</v>
      </c>
      <c r="J91" s="56"/>
      <c r="K91" s="28"/>
      <c r="L91" s="28"/>
      <c r="M91" s="28"/>
      <c r="N91" s="28"/>
    </row>
    <row r="92" ht="15.75" customHeight="1">
      <c r="A92" s="55"/>
      <c r="B92" s="55"/>
      <c r="C92" s="55"/>
      <c r="D92" s="56"/>
      <c r="E92" s="56"/>
      <c r="F92" s="38" t="s">
        <v>20</v>
      </c>
      <c r="G92" s="50">
        <v>1.5</v>
      </c>
      <c r="H92" s="57">
        <f>VLOOKUP(F92,$A$7:$B$7,2,TRUE)</f>
        <v>2100</v>
      </c>
      <c r="I92" s="52">
        <f t="shared" si="1"/>
        <v>3150</v>
      </c>
      <c r="J92" s="56"/>
      <c r="K92" s="28"/>
      <c r="L92" s="28"/>
      <c r="M92" s="28"/>
      <c r="N92" s="28"/>
    </row>
    <row r="93" ht="15.75" customHeight="1">
      <c r="A93" s="55"/>
      <c r="B93" s="55"/>
      <c r="C93" s="55"/>
      <c r="D93" s="56"/>
      <c r="E93" s="56"/>
      <c r="F93" s="38" t="s">
        <v>21</v>
      </c>
      <c r="G93" s="50"/>
      <c r="H93" s="57">
        <f>VLOOKUP(F93, $A$8:$B$8, 2, FALSE)</f>
        <v>2600</v>
      </c>
      <c r="I93" s="52">
        <f t="shared" si="1"/>
        <v>0</v>
      </c>
      <c r="J93" s="56"/>
      <c r="K93" s="28"/>
      <c r="L93" s="28"/>
      <c r="M93" s="28"/>
      <c r="N93" s="28"/>
    </row>
    <row r="94" ht="15.75" customHeight="1">
      <c r="A94" s="55"/>
      <c r="B94" s="55"/>
      <c r="C94" s="55"/>
      <c r="D94" s="56"/>
      <c r="E94" s="56"/>
      <c r="F94" s="38" t="s">
        <v>52</v>
      </c>
      <c r="G94" s="50">
        <f>2.5+3+2+1+2.5+4</f>
        <v>15</v>
      </c>
      <c r="H94" s="57">
        <f>VLOOKUP(F94, $A$9:$B$9, 2, FALSE)</f>
        <v>800</v>
      </c>
      <c r="I94" s="52">
        <f t="shared" si="1"/>
        <v>12000</v>
      </c>
      <c r="J94" s="56"/>
      <c r="K94" s="28"/>
      <c r="L94" s="28"/>
      <c r="M94" s="28"/>
      <c r="N94" s="28"/>
    </row>
    <row r="95" ht="15.75" customHeight="1">
      <c r="A95" s="55"/>
      <c r="B95" s="55"/>
      <c r="C95" s="55"/>
      <c r="D95" s="56"/>
      <c r="E95" s="56"/>
      <c r="F95" s="38" t="s">
        <v>23</v>
      </c>
      <c r="G95" s="50">
        <v>18.0</v>
      </c>
      <c r="H95" s="57">
        <f>VLOOKUP(F95,$A$10:$B$10,2,TRUE)</f>
        <v>1500</v>
      </c>
      <c r="I95" s="52">
        <f t="shared" si="1"/>
        <v>27000</v>
      </c>
      <c r="J95" s="56"/>
      <c r="K95" s="28"/>
      <c r="L95" s="28"/>
      <c r="M95" s="28"/>
      <c r="N95" s="28"/>
    </row>
    <row r="96" ht="15.75" customHeight="1">
      <c r="A96" s="55"/>
      <c r="B96" s="55"/>
      <c r="C96" s="55"/>
      <c r="D96" s="56"/>
      <c r="E96" s="56"/>
      <c r="F96" s="38" t="s">
        <v>24</v>
      </c>
      <c r="G96" s="50"/>
      <c r="H96" s="57">
        <f>VLOOKUP(F96,$A$11:$B$11,2,TRUE)</f>
        <v>1300</v>
      </c>
      <c r="I96" s="52">
        <f t="shared" si="1"/>
        <v>0</v>
      </c>
      <c r="J96" s="56"/>
      <c r="K96" s="28"/>
      <c r="L96" s="28"/>
      <c r="M96" s="28"/>
      <c r="N96" s="28"/>
    </row>
    <row r="97" ht="15.75" customHeight="1">
      <c r="A97" s="55"/>
      <c r="B97" s="55"/>
      <c r="C97" s="55"/>
      <c r="D97" s="56"/>
      <c r="E97" s="56"/>
      <c r="F97" s="38" t="s">
        <v>54</v>
      </c>
      <c r="G97" s="50"/>
      <c r="H97" s="57">
        <f>VLOOKUP(F97,$A$12:$B$12,2,TRUE)</f>
        <v>1000</v>
      </c>
      <c r="I97" s="52">
        <f t="shared" si="1"/>
        <v>0</v>
      </c>
      <c r="J97" s="56"/>
      <c r="K97" s="28"/>
      <c r="L97" s="28"/>
      <c r="M97" s="28"/>
      <c r="N97" s="28"/>
    </row>
    <row r="98" ht="15.75" customHeight="1">
      <c r="A98" s="55"/>
      <c r="B98" s="55"/>
      <c r="C98" s="55"/>
      <c r="D98" s="56"/>
      <c r="E98" s="56"/>
      <c r="F98" s="38" t="s">
        <v>26</v>
      </c>
      <c r="G98" s="50"/>
      <c r="H98" s="57">
        <f>VLOOKUP(F98,$A$13:$B$13,2,TRUE)</f>
        <v>500</v>
      </c>
      <c r="I98" s="52">
        <f t="shared" si="1"/>
        <v>0</v>
      </c>
      <c r="J98" s="56"/>
      <c r="K98" s="28"/>
      <c r="L98" s="28"/>
      <c r="M98" s="28"/>
      <c r="N98" s="28"/>
    </row>
    <row r="99" ht="15.75" customHeight="1">
      <c r="A99" s="55"/>
      <c r="B99" s="55"/>
      <c r="C99" s="55"/>
      <c r="D99" s="56"/>
      <c r="E99" s="56"/>
      <c r="F99" s="38" t="s">
        <v>27</v>
      </c>
      <c r="G99" s="50"/>
      <c r="H99" s="57">
        <f>VLOOKUP(F99,$A$14:$B$14,2,TRUE)</f>
        <v>6500</v>
      </c>
      <c r="I99" s="52">
        <f t="shared" si="1"/>
        <v>0</v>
      </c>
      <c r="J99" s="56"/>
      <c r="K99" s="28"/>
      <c r="L99" s="28"/>
      <c r="M99" s="28"/>
      <c r="N99" s="28"/>
    </row>
    <row r="100" ht="15.75" customHeight="1">
      <c r="A100" s="55"/>
      <c r="B100" s="55"/>
      <c r="C100" s="55"/>
      <c r="D100" s="56"/>
      <c r="E100" s="56"/>
      <c r="F100" s="38" t="s">
        <v>28</v>
      </c>
      <c r="G100" s="50"/>
      <c r="H100" s="57">
        <f>VLOOKUP(F100,$A$15:$B$15,2,TRUE)</f>
        <v>1800</v>
      </c>
      <c r="I100" s="52">
        <f t="shared" si="1"/>
        <v>0</v>
      </c>
      <c r="J100" s="56"/>
      <c r="K100" s="28"/>
      <c r="L100" s="28"/>
      <c r="M100" s="28"/>
      <c r="N100" s="28"/>
    </row>
    <row r="101" ht="15.75" customHeight="1">
      <c r="A101" s="55"/>
      <c r="B101" s="55"/>
      <c r="C101" s="55"/>
      <c r="D101" s="56"/>
      <c r="E101" s="56"/>
      <c r="F101" s="38" t="s">
        <v>29</v>
      </c>
      <c r="G101" s="50"/>
      <c r="H101" s="57">
        <f>VLOOKUP(F101,$A$16:$B$16,2,TRUE)</f>
        <v>1300</v>
      </c>
      <c r="I101" s="52">
        <f t="shared" si="1"/>
        <v>0</v>
      </c>
      <c r="J101" s="56"/>
      <c r="K101" s="28"/>
      <c r="L101" s="28"/>
      <c r="M101" s="28"/>
      <c r="N101" s="28"/>
    </row>
    <row r="102" ht="15.75" customHeight="1">
      <c r="A102" s="55"/>
      <c r="B102" s="55"/>
      <c r="C102" s="55"/>
      <c r="D102" s="56"/>
      <c r="E102" s="56"/>
      <c r="F102" s="38" t="s">
        <v>30</v>
      </c>
      <c r="G102" s="50"/>
      <c r="H102" s="57">
        <f>VLOOKUP(F102,$A$17:$B$17,2,TRUE)</f>
        <v>5000</v>
      </c>
      <c r="I102" s="52">
        <f t="shared" si="1"/>
        <v>0</v>
      </c>
      <c r="J102" s="56"/>
      <c r="K102" s="28"/>
      <c r="L102" s="28"/>
      <c r="M102" s="28"/>
      <c r="N102" s="28"/>
    </row>
    <row r="103" ht="15.75" customHeight="1">
      <c r="A103" s="55"/>
      <c r="B103" s="55"/>
      <c r="C103" s="55"/>
      <c r="D103" s="56"/>
      <c r="E103" s="56"/>
      <c r="F103" s="38" t="s">
        <v>32</v>
      </c>
      <c r="G103" s="50"/>
      <c r="H103" s="57">
        <f>VLOOKUP(F103,$A$18:$B$18,2,TRUE)</f>
        <v>2500</v>
      </c>
      <c r="I103" s="52">
        <f t="shared" si="1"/>
        <v>0</v>
      </c>
      <c r="J103" s="56"/>
      <c r="K103" s="28"/>
      <c r="L103" s="28"/>
      <c r="M103" s="28"/>
      <c r="N103" s="28"/>
    </row>
    <row r="104" ht="15.75" customHeight="1">
      <c r="A104" s="55"/>
      <c r="B104" s="55"/>
      <c r="C104" s="55"/>
      <c r="D104" s="56"/>
      <c r="E104" s="56"/>
      <c r="F104" s="38" t="s">
        <v>34</v>
      </c>
      <c r="G104" s="50"/>
      <c r="H104" s="57">
        <f>VLOOKUP(F104,$A$19:$B$19,2,TRUE)</f>
        <v>9000</v>
      </c>
      <c r="I104" s="52">
        <f t="shared" si="1"/>
        <v>0</v>
      </c>
      <c r="J104" s="56"/>
      <c r="K104" s="28"/>
      <c r="L104" s="28"/>
      <c r="M104" s="28"/>
      <c r="N104" s="28"/>
    </row>
    <row r="105" ht="15.75" customHeight="1">
      <c r="A105" s="55"/>
      <c r="B105" s="55"/>
      <c r="C105" s="55"/>
      <c r="D105" s="56"/>
      <c r="E105" s="56"/>
      <c r="F105" s="38" t="s">
        <v>55</v>
      </c>
      <c r="G105" s="50"/>
      <c r="H105" s="57">
        <f>VLOOKUP(F105,$A$20:$B$20,2,TRUE)</f>
        <v>250</v>
      </c>
      <c r="I105" s="52">
        <f t="shared" si="1"/>
        <v>0</v>
      </c>
      <c r="J105" s="56"/>
      <c r="K105" s="28"/>
      <c r="L105" s="28"/>
      <c r="M105" s="28"/>
      <c r="N105" s="28"/>
    </row>
    <row r="106" ht="15.75" customHeight="1">
      <c r="A106" s="55"/>
      <c r="B106" s="55"/>
      <c r="C106" s="55"/>
      <c r="D106" s="56"/>
      <c r="E106" s="56"/>
      <c r="F106" s="38" t="s">
        <v>13</v>
      </c>
      <c r="G106" s="50">
        <v>3.5</v>
      </c>
      <c r="H106" s="57">
        <f>VLOOKUP(F106,$A$21:$B$21,2,TRUE)</f>
        <v>300</v>
      </c>
      <c r="I106" s="52">
        <f t="shared" si="1"/>
        <v>1050</v>
      </c>
      <c r="J106" s="56"/>
      <c r="K106" s="28"/>
      <c r="L106" s="28"/>
      <c r="M106" s="28"/>
      <c r="N106" s="28"/>
    </row>
    <row r="107" ht="15.75" customHeight="1">
      <c r="A107" s="55"/>
      <c r="B107" s="55"/>
      <c r="C107" s="55"/>
      <c r="D107" s="56"/>
      <c r="E107" s="56"/>
      <c r="F107" s="38" t="s">
        <v>9</v>
      </c>
      <c r="G107" s="50"/>
      <c r="H107" s="57">
        <f>VLOOKUP(F107,$A$22:$B$22,2,TRUE)</f>
        <v>1800</v>
      </c>
      <c r="I107" s="52">
        <f t="shared" si="1"/>
        <v>0</v>
      </c>
      <c r="J107" s="56"/>
      <c r="K107" s="28"/>
      <c r="L107" s="28"/>
      <c r="M107" s="28"/>
      <c r="N107" s="28"/>
    </row>
    <row r="108" ht="15.75" customHeight="1">
      <c r="A108" s="55"/>
      <c r="B108" s="55"/>
      <c r="C108" s="55"/>
      <c r="D108" s="56"/>
      <c r="E108" s="56"/>
      <c r="F108" s="38" t="s">
        <v>15</v>
      </c>
      <c r="G108" s="50"/>
      <c r="H108" s="57">
        <f>VLOOKUP(F107,$A$23:$B$23,2,TRUE)</f>
        <v>4000</v>
      </c>
      <c r="I108" s="52">
        <f t="shared" si="1"/>
        <v>0</v>
      </c>
      <c r="J108" s="56"/>
      <c r="K108" s="28"/>
      <c r="L108" s="28"/>
      <c r="M108" s="28"/>
      <c r="N108" s="28"/>
    </row>
    <row r="109" ht="15.75" customHeight="1">
      <c r="A109" s="55"/>
      <c r="B109" s="55"/>
      <c r="C109" s="55"/>
      <c r="D109" s="14"/>
      <c r="E109" s="14"/>
      <c r="F109" s="38" t="s">
        <v>56</v>
      </c>
      <c r="G109" s="50">
        <v>10.0</v>
      </c>
      <c r="H109" s="57">
        <f>VLOOKUP(F108,$A$24:$B$24,2,TRUE)</f>
        <v>0</v>
      </c>
      <c r="I109" s="52">
        <f t="shared" si="1"/>
        <v>0</v>
      </c>
      <c r="J109" s="14"/>
      <c r="K109" s="28"/>
      <c r="L109" s="28"/>
      <c r="M109" s="28"/>
      <c r="N109" s="28"/>
    </row>
    <row r="110" ht="15.75" customHeight="1">
      <c r="A110" s="55"/>
      <c r="B110" s="55"/>
      <c r="C110" s="55"/>
      <c r="D110" s="48">
        <v>6.0</v>
      </c>
      <c r="E110" s="49" t="s">
        <v>67</v>
      </c>
      <c r="F110" s="38" t="s">
        <v>17</v>
      </c>
      <c r="G110" s="50"/>
      <c r="H110" s="51">
        <f>VLOOKUP(F110,$A$4:$B$4,2,TRUE)</f>
        <v>3000</v>
      </c>
      <c r="I110" s="52">
        <f t="shared" si="1"/>
        <v>0</v>
      </c>
      <c r="J110" s="53">
        <f>SUM(I110:I130)</f>
        <v>26300</v>
      </c>
      <c r="K110" s="28"/>
      <c r="L110" s="28"/>
      <c r="M110" s="28"/>
      <c r="N110" s="28"/>
    </row>
    <row r="111" ht="15.75" customHeight="1">
      <c r="A111" s="55"/>
      <c r="B111" s="55"/>
      <c r="C111" s="55"/>
      <c r="D111" s="56"/>
      <c r="E111" s="56"/>
      <c r="F111" s="38" t="s">
        <v>49</v>
      </c>
      <c r="G111" s="50"/>
      <c r="H111" s="57">
        <f>VLOOKUP(F111,$A$5:$B$5,2,TRUE)</f>
        <v>3100</v>
      </c>
      <c r="I111" s="52">
        <f t="shared" si="1"/>
        <v>0</v>
      </c>
      <c r="J111" s="56"/>
      <c r="K111" s="28"/>
      <c r="L111" s="28"/>
      <c r="M111" s="28"/>
      <c r="N111" s="28"/>
    </row>
    <row r="112" ht="15.75" customHeight="1">
      <c r="A112" s="55"/>
      <c r="B112" s="55"/>
      <c r="C112" s="55"/>
      <c r="D112" s="56"/>
      <c r="E112" s="56"/>
      <c r="F112" s="38" t="s">
        <v>51</v>
      </c>
      <c r="G112" s="50"/>
      <c r="H112" s="57">
        <f>VLOOKUP(F112,$A$6:$B$6,2,TRUE)</f>
        <v>800</v>
      </c>
      <c r="I112" s="52">
        <f t="shared" si="1"/>
        <v>0</v>
      </c>
      <c r="J112" s="56"/>
      <c r="K112" s="28"/>
      <c r="L112" s="28"/>
      <c r="M112" s="28"/>
      <c r="N112" s="28"/>
    </row>
    <row r="113" ht="15.75" customHeight="1">
      <c r="A113" s="55"/>
      <c r="B113" s="55"/>
      <c r="C113" s="55"/>
      <c r="D113" s="56"/>
      <c r="E113" s="56"/>
      <c r="F113" s="38" t="s">
        <v>20</v>
      </c>
      <c r="G113" s="50"/>
      <c r="H113" s="57">
        <f>VLOOKUP(F113,$A$7:$B$7,2,TRUE)</f>
        <v>2100</v>
      </c>
      <c r="I113" s="52">
        <f t="shared" si="1"/>
        <v>0</v>
      </c>
      <c r="J113" s="56"/>
      <c r="K113" s="28"/>
      <c r="L113" s="28"/>
      <c r="M113" s="28"/>
      <c r="N113" s="28"/>
    </row>
    <row r="114" ht="15.75" customHeight="1">
      <c r="A114" s="55"/>
      <c r="B114" s="55"/>
      <c r="C114" s="55"/>
      <c r="D114" s="56"/>
      <c r="E114" s="56"/>
      <c r="F114" s="38" t="s">
        <v>21</v>
      </c>
      <c r="G114" s="50"/>
      <c r="H114" s="57">
        <f>VLOOKUP(F114, $A$8:$B$8, 2, FALSE)</f>
        <v>2600</v>
      </c>
      <c r="I114" s="52">
        <f t="shared" si="1"/>
        <v>0</v>
      </c>
      <c r="J114" s="56"/>
      <c r="K114" s="28"/>
      <c r="L114" s="28"/>
      <c r="M114" s="28"/>
      <c r="N114" s="28"/>
    </row>
    <row r="115" ht="15.75" customHeight="1">
      <c r="A115" s="55"/>
      <c r="B115" s="55"/>
      <c r="C115" s="55"/>
      <c r="D115" s="56"/>
      <c r="E115" s="56"/>
      <c r="F115" s="38" t="s">
        <v>52</v>
      </c>
      <c r="G115" s="50">
        <f>3.5+2.5+2.5</f>
        <v>8.5</v>
      </c>
      <c r="H115" s="57">
        <f>VLOOKUP(F115, $A$9:$B$9, 2, FALSE)</f>
        <v>800</v>
      </c>
      <c r="I115" s="52">
        <f t="shared" si="1"/>
        <v>6800</v>
      </c>
      <c r="J115" s="56"/>
      <c r="K115" s="28"/>
      <c r="L115" s="28"/>
      <c r="M115" s="28"/>
      <c r="N115" s="28"/>
    </row>
    <row r="116" ht="15.75" customHeight="1">
      <c r="A116" s="55"/>
      <c r="B116" s="55"/>
      <c r="C116" s="55"/>
      <c r="D116" s="56"/>
      <c r="E116" s="56"/>
      <c r="F116" s="38" t="s">
        <v>23</v>
      </c>
      <c r="G116" s="50">
        <f>2+7</f>
        <v>9</v>
      </c>
      <c r="H116" s="57">
        <f>VLOOKUP(F116,$A$10:$B$10,2,TRUE)</f>
        <v>1500</v>
      </c>
      <c r="I116" s="52">
        <f t="shared" si="1"/>
        <v>13500</v>
      </c>
      <c r="J116" s="56"/>
      <c r="K116" s="28"/>
      <c r="L116" s="28"/>
      <c r="M116" s="28"/>
      <c r="N116" s="28"/>
    </row>
    <row r="117" ht="15.75" customHeight="1">
      <c r="A117" s="55"/>
      <c r="B117" s="55"/>
      <c r="C117" s="55"/>
      <c r="D117" s="56"/>
      <c r="E117" s="56"/>
      <c r="F117" s="38" t="s">
        <v>24</v>
      </c>
      <c r="G117" s="50"/>
      <c r="H117" s="57">
        <f>VLOOKUP(F117,$A$11:$B$11,2,TRUE)</f>
        <v>1300</v>
      </c>
      <c r="I117" s="52">
        <f t="shared" si="1"/>
        <v>0</v>
      </c>
      <c r="J117" s="56"/>
      <c r="K117" s="28"/>
      <c r="L117" s="28"/>
      <c r="M117" s="28"/>
      <c r="N117" s="28"/>
    </row>
    <row r="118" ht="15.75" customHeight="1">
      <c r="A118" s="55"/>
      <c r="B118" s="55"/>
      <c r="C118" s="55"/>
      <c r="D118" s="56"/>
      <c r="E118" s="56"/>
      <c r="F118" s="38" t="s">
        <v>54</v>
      </c>
      <c r="G118" s="50"/>
      <c r="H118" s="57">
        <f>VLOOKUP(F118,$A$12:$B$12,2,TRUE)</f>
        <v>1000</v>
      </c>
      <c r="I118" s="52">
        <f t="shared" si="1"/>
        <v>0</v>
      </c>
      <c r="J118" s="56"/>
      <c r="K118" s="28"/>
      <c r="L118" s="28"/>
      <c r="M118" s="28"/>
      <c r="N118" s="28"/>
    </row>
    <row r="119" ht="15.75" customHeight="1">
      <c r="A119" s="55"/>
      <c r="B119" s="55"/>
      <c r="C119" s="55"/>
      <c r="D119" s="56"/>
      <c r="E119" s="56"/>
      <c r="F119" s="38" t="s">
        <v>26</v>
      </c>
      <c r="G119" s="50"/>
      <c r="H119" s="57">
        <f>VLOOKUP(F119,$A$13:$B$13,2,TRUE)</f>
        <v>500</v>
      </c>
      <c r="I119" s="52">
        <f t="shared" si="1"/>
        <v>0</v>
      </c>
      <c r="J119" s="56"/>
      <c r="K119" s="28"/>
      <c r="L119" s="28"/>
      <c r="M119" s="28"/>
      <c r="N119" s="28"/>
    </row>
    <row r="120" ht="15.75" customHeight="1">
      <c r="A120" s="55"/>
      <c r="B120" s="55"/>
      <c r="C120" s="55"/>
      <c r="D120" s="56"/>
      <c r="E120" s="56"/>
      <c r="F120" s="38" t="s">
        <v>27</v>
      </c>
      <c r="G120" s="50"/>
      <c r="H120" s="57">
        <f>VLOOKUP(F120,$A$14:$B$14,2,TRUE)</f>
        <v>6500</v>
      </c>
      <c r="I120" s="52">
        <f t="shared" si="1"/>
        <v>0</v>
      </c>
      <c r="J120" s="56"/>
      <c r="K120" s="28"/>
      <c r="L120" s="28"/>
      <c r="M120" s="28"/>
      <c r="N120" s="28"/>
    </row>
    <row r="121" ht="15.75" customHeight="1">
      <c r="A121" s="55"/>
      <c r="B121" s="55"/>
      <c r="C121" s="55"/>
      <c r="D121" s="56"/>
      <c r="E121" s="56"/>
      <c r="F121" s="38" t="s">
        <v>28</v>
      </c>
      <c r="G121" s="50"/>
      <c r="H121" s="57">
        <f>VLOOKUP(F121,$A$15:$B$15,2,TRUE)</f>
        <v>1800</v>
      </c>
      <c r="I121" s="52">
        <f t="shared" si="1"/>
        <v>0</v>
      </c>
      <c r="J121" s="56"/>
      <c r="K121" s="28"/>
      <c r="L121" s="28"/>
      <c r="M121" s="28"/>
      <c r="N121" s="28"/>
    </row>
    <row r="122" ht="15.75" customHeight="1">
      <c r="A122" s="55"/>
      <c r="B122" s="55"/>
      <c r="C122" s="55"/>
      <c r="D122" s="56"/>
      <c r="E122" s="56"/>
      <c r="F122" s="38" t="s">
        <v>29</v>
      </c>
      <c r="G122" s="50"/>
      <c r="H122" s="57">
        <f>VLOOKUP(F122,$A$16:$B$16,2,TRUE)</f>
        <v>1300</v>
      </c>
      <c r="I122" s="52">
        <f t="shared" si="1"/>
        <v>0</v>
      </c>
      <c r="J122" s="56"/>
      <c r="K122" s="28"/>
      <c r="L122" s="28"/>
      <c r="M122" s="28"/>
      <c r="N122" s="28"/>
    </row>
    <row r="123" ht="15.75" customHeight="1">
      <c r="A123" s="55"/>
      <c r="B123" s="55"/>
      <c r="C123" s="55"/>
      <c r="D123" s="56"/>
      <c r="E123" s="56"/>
      <c r="F123" s="38" t="s">
        <v>30</v>
      </c>
      <c r="G123" s="50"/>
      <c r="H123" s="57">
        <f>VLOOKUP(F123,$A$17:$B$17,2,TRUE)</f>
        <v>5000</v>
      </c>
      <c r="I123" s="52">
        <f t="shared" si="1"/>
        <v>0</v>
      </c>
      <c r="J123" s="56"/>
      <c r="K123" s="28"/>
      <c r="L123" s="28"/>
      <c r="M123" s="28"/>
      <c r="N123" s="28"/>
    </row>
    <row r="124" ht="15.75" customHeight="1">
      <c r="A124" s="55"/>
      <c r="B124" s="55"/>
      <c r="C124" s="55"/>
      <c r="D124" s="56"/>
      <c r="E124" s="56"/>
      <c r="F124" s="38" t="s">
        <v>32</v>
      </c>
      <c r="G124" s="50"/>
      <c r="H124" s="57">
        <f>VLOOKUP(F124,$A$18:$B$18,2,TRUE)</f>
        <v>2500</v>
      </c>
      <c r="I124" s="52">
        <f t="shared" si="1"/>
        <v>0</v>
      </c>
      <c r="J124" s="56"/>
      <c r="K124" s="28"/>
      <c r="L124" s="28"/>
      <c r="M124" s="28"/>
      <c r="N124" s="28"/>
    </row>
    <row r="125" ht="15.75" customHeight="1">
      <c r="A125" s="55"/>
      <c r="B125" s="55"/>
      <c r="C125" s="55"/>
      <c r="D125" s="56"/>
      <c r="E125" s="56"/>
      <c r="F125" s="38" t="s">
        <v>34</v>
      </c>
      <c r="G125" s="50"/>
      <c r="H125" s="57">
        <f>VLOOKUP(F125,$A$19:$B$19,2,TRUE)</f>
        <v>9000</v>
      </c>
      <c r="I125" s="52">
        <f t="shared" si="1"/>
        <v>0</v>
      </c>
      <c r="J125" s="56"/>
      <c r="K125" s="28"/>
      <c r="L125" s="28"/>
      <c r="M125" s="28"/>
      <c r="N125" s="28"/>
    </row>
    <row r="126" ht="15.75" customHeight="1">
      <c r="A126" s="55"/>
      <c r="B126" s="55"/>
      <c r="C126" s="55"/>
      <c r="D126" s="56"/>
      <c r="E126" s="56"/>
      <c r="F126" s="38" t="s">
        <v>55</v>
      </c>
      <c r="G126" s="50"/>
      <c r="H126" s="57">
        <f>VLOOKUP(F126,$A$20:$B$20,2,TRUE)</f>
        <v>250</v>
      </c>
      <c r="I126" s="52">
        <f t="shared" si="1"/>
        <v>0</v>
      </c>
      <c r="J126" s="56"/>
      <c r="K126" s="28"/>
      <c r="L126" s="28"/>
      <c r="M126" s="28"/>
      <c r="N126" s="28"/>
    </row>
    <row r="127" ht="15.75" customHeight="1">
      <c r="A127" s="55"/>
      <c r="B127" s="55"/>
      <c r="C127" s="55"/>
      <c r="D127" s="56"/>
      <c r="E127" s="56"/>
      <c r="F127" s="38" t="s">
        <v>13</v>
      </c>
      <c r="G127" s="50"/>
      <c r="H127" s="57">
        <f>VLOOKUP(F127,$A$21:$B$21,2,TRUE)</f>
        <v>300</v>
      </c>
      <c r="I127" s="52">
        <f t="shared" si="1"/>
        <v>0</v>
      </c>
      <c r="J127" s="56"/>
      <c r="K127" s="28"/>
      <c r="L127" s="28"/>
      <c r="M127" s="28"/>
      <c r="N127" s="28"/>
    </row>
    <row r="128" ht="15.75" customHeight="1">
      <c r="A128" s="55"/>
      <c r="B128" s="55"/>
      <c r="C128" s="55"/>
      <c r="D128" s="56"/>
      <c r="E128" s="56"/>
      <c r="F128" s="38" t="s">
        <v>9</v>
      </c>
      <c r="G128" s="50"/>
      <c r="H128" s="57">
        <f>VLOOKUP(F128,$A$22:$B$22,2,TRUE)</f>
        <v>1800</v>
      </c>
      <c r="I128" s="52">
        <f t="shared" si="1"/>
        <v>0</v>
      </c>
      <c r="J128" s="56"/>
      <c r="K128" s="28"/>
      <c r="L128" s="28"/>
      <c r="M128" s="28"/>
      <c r="N128" s="28"/>
    </row>
    <row r="129" ht="15.75" customHeight="1">
      <c r="A129" s="55"/>
      <c r="B129" s="55"/>
      <c r="C129" s="55"/>
      <c r="D129" s="56"/>
      <c r="E129" s="56"/>
      <c r="F129" s="38" t="s">
        <v>15</v>
      </c>
      <c r="G129" s="50">
        <v>1.5</v>
      </c>
      <c r="H129" s="57">
        <f>VLOOKUP(F128,$A$23:$B$23,2,TRUE)</f>
        <v>4000</v>
      </c>
      <c r="I129" s="52">
        <f t="shared" si="1"/>
        <v>6000</v>
      </c>
      <c r="J129" s="56"/>
      <c r="K129" s="28"/>
      <c r="L129" s="28"/>
      <c r="M129" s="28"/>
      <c r="N129" s="28"/>
    </row>
    <row r="130" ht="15.75" customHeight="1">
      <c r="A130" s="55"/>
      <c r="B130" s="55"/>
      <c r="C130" s="55"/>
      <c r="D130" s="14"/>
      <c r="E130" s="14"/>
      <c r="F130" s="38" t="s">
        <v>56</v>
      </c>
      <c r="G130" s="50"/>
      <c r="H130" s="57">
        <f>VLOOKUP(F129,$A$24:$B$24,2,TRUE)</f>
        <v>0</v>
      </c>
      <c r="I130" s="52">
        <f t="shared" si="1"/>
        <v>0</v>
      </c>
      <c r="J130" s="14"/>
      <c r="K130" s="28"/>
      <c r="L130" s="28"/>
      <c r="M130" s="28"/>
      <c r="N130" s="28"/>
    </row>
    <row r="131" ht="15.75" customHeight="1">
      <c r="A131" s="55"/>
      <c r="B131" s="55"/>
      <c r="C131" s="55"/>
      <c r="D131" s="65" t="s">
        <v>61</v>
      </c>
      <c r="E131" s="4"/>
      <c r="F131" s="4"/>
      <c r="G131" s="4"/>
      <c r="H131" s="4"/>
      <c r="I131" s="5"/>
      <c r="J131" s="66">
        <f>SUM(J5:J130)</f>
        <v>141450</v>
      </c>
      <c r="K131" s="28"/>
      <c r="L131" s="28"/>
      <c r="M131" s="28"/>
      <c r="N131" s="28"/>
    </row>
    <row r="132" ht="15.75" customHeight="1">
      <c r="A132" s="27"/>
      <c r="B132" s="27"/>
      <c r="C132" s="27"/>
      <c r="D132" s="27"/>
      <c r="E132" s="27"/>
      <c r="F132" s="28"/>
      <c r="G132" s="28"/>
      <c r="H132" s="28"/>
      <c r="I132" s="28"/>
      <c r="J132" s="29"/>
      <c r="K132" s="28"/>
      <c r="L132" s="28"/>
      <c r="M132" s="28"/>
      <c r="N132" s="28"/>
    </row>
    <row r="133" ht="15.75" customHeight="1">
      <c r="A133" s="27"/>
      <c r="B133" s="27"/>
      <c r="C133" s="27"/>
      <c r="D133" s="27"/>
      <c r="E133" s="27"/>
      <c r="F133" s="28"/>
      <c r="G133" s="28"/>
      <c r="H133" s="28"/>
      <c r="I133" s="28"/>
      <c r="J133" s="29"/>
      <c r="K133" s="28"/>
      <c r="L133" s="28"/>
      <c r="M133" s="28"/>
      <c r="N133" s="28"/>
    </row>
    <row r="134" ht="15.75" customHeight="1">
      <c r="A134" s="27"/>
      <c r="B134" s="27"/>
      <c r="C134" s="27"/>
      <c r="D134" s="27"/>
      <c r="E134" s="27"/>
      <c r="F134" s="28"/>
      <c r="G134" s="28"/>
      <c r="H134" s="28"/>
      <c r="I134" s="28"/>
      <c r="J134" s="29"/>
      <c r="K134" s="28"/>
      <c r="L134" s="28"/>
      <c r="M134" s="28"/>
      <c r="N134" s="28"/>
    </row>
    <row r="135" ht="15.75" customHeight="1">
      <c r="A135" s="27"/>
      <c r="B135" s="27"/>
      <c r="C135" s="27"/>
      <c r="D135" s="27"/>
      <c r="E135" s="27"/>
      <c r="F135" s="28"/>
      <c r="G135" s="28"/>
      <c r="H135" s="28"/>
      <c r="I135" s="28"/>
      <c r="J135" s="29"/>
      <c r="K135" s="28"/>
      <c r="L135" s="28"/>
      <c r="M135" s="28"/>
      <c r="N135" s="28"/>
    </row>
    <row r="136" ht="15.75" customHeight="1">
      <c r="A136" s="27"/>
      <c r="B136" s="27"/>
      <c r="C136" s="27"/>
      <c r="D136" s="27"/>
      <c r="E136" s="27"/>
      <c r="F136" s="28"/>
      <c r="G136" s="28"/>
      <c r="H136" s="28"/>
      <c r="I136" s="28"/>
      <c r="J136" s="29"/>
      <c r="K136" s="28"/>
      <c r="L136" s="28"/>
      <c r="M136" s="28"/>
      <c r="N136" s="28"/>
    </row>
    <row r="137" ht="15.75" customHeight="1">
      <c r="A137" s="27"/>
      <c r="B137" s="27"/>
      <c r="C137" s="27"/>
      <c r="D137" s="27"/>
      <c r="E137" s="27"/>
      <c r="F137" s="28"/>
      <c r="G137" s="28"/>
      <c r="H137" s="28"/>
      <c r="I137" s="28"/>
      <c r="J137" s="29"/>
      <c r="K137" s="28"/>
      <c r="L137" s="28"/>
      <c r="M137" s="28"/>
      <c r="N137" s="28"/>
    </row>
    <row r="138" ht="15.75" customHeight="1">
      <c r="A138" s="27"/>
      <c r="B138" s="27"/>
      <c r="C138" s="27"/>
      <c r="D138" s="27"/>
      <c r="E138" s="27"/>
      <c r="F138" s="28"/>
      <c r="G138" s="28"/>
      <c r="H138" s="28"/>
      <c r="I138" s="28"/>
      <c r="J138" s="29"/>
      <c r="K138" s="28"/>
      <c r="L138" s="28"/>
      <c r="M138" s="28"/>
      <c r="N138" s="28"/>
    </row>
    <row r="139" ht="15.75" customHeight="1">
      <c r="A139" s="27"/>
      <c r="B139" s="27"/>
      <c r="C139" s="27"/>
      <c r="D139" s="27"/>
      <c r="E139" s="27"/>
      <c r="F139" s="28"/>
      <c r="G139" s="28"/>
      <c r="H139" s="28"/>
      <c r="I139" s="28"/>
      <c r="J139" s="29"/>
      <c r="K139" s="28"/>
      <c r="L139" s="28"/>
      <c r="M139" s="28"/>
      <c r="N139" s="28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J283" s="29"/>
    </row>
    <row r="284" ht="15.75" customHeight="1">
      <c r="J284" s="29"/>
    </row>
    <row r="285" ht="15.75" customHeight="1">
      <c r="J285" s="2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</sheetData>
  <mergeCells count="23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J110:J130"/>
    <mergeCell ref="D89:D109"/>
    <mergeCell ref="E89:E109"/>
    <mergeCell ref="D110:D130"/>
    <mergeCell ref="E110:E130"/>
    <mergeCell ref="D131:I131"/>
    <mergeCell ref="D26:D46"/>
    <mergeCell ref="E26:E46"/>
    <mergeCell ref="J26:J46"/>
    <mergeCell ref="D47:D67"/>
    <mergeCell ref="E47:E67"/>
    <mergeCell ref="D68:D88"/>
    <mergeCell ref="E68:E8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36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37</v>
      </c>
      <c r="B2" s="26"/>
      <c r="C2" s="31"/>
      <c r="D2" s="31" t="s">
        <v>38</v>
      </c>
      <c r="K2" s="28"/>
      <c r="L2" s="32" t="s">
        <v>39</v>
      </c>
      <c r="M2" s="33"/>
      <c r="N2" s="28"/>
    </row>
    <row r="3" ht="15.75" customHeight="1">
      <c r="A3" s="34" t="s">
        <v>40</v>
      </c>
      <c r="B3" s="35" t="s">
        <v>41</v>
      </c>
      <c r="C3" s="27"/>
      <c r="D3" s="27"/>
      <c r="E3" s="27"/>
      <c r="F3" s="28"/>
      <c r="G3" s="28"/>
      <c r="H3" s="28"/>
      <c r="I3" s="28"/>
      <c r="J3" s="36"/>
      <c r="K3" s="28"/>
      <c r="L3" s="37"/>
      <c r="M3" s="12"/>
      <c r="N3" s="28"/>
    </row>
    <row r="4" ht="15.75" customHeight="1">
      <c r="A4" s="38" t="s">
        <v>17</v>
      </c>
      <c r="B4" s="39">
        <v>3000.0</v>
      </c>
      <c r="C4" s="40"/>
      <c r="D4" s="41" t="s">
        <v>1</v>
      </c>
      <c r="E4" s="41" t="s">
        <v>42</v>
      </c>
      <c r="F4" s="42" t="s">
        <v>43</v>
      </c>
      <c r="G4" s="43" t="s">
        <v>44</v>
      </c>
      <c r="H4" s="43" t="s">
        <v>45</v>
      </c>
      <c r="I4" s="44" t="s">
        <v>46</v>
      </c>
      <c r="J4" s="45" t="s">
        <v>47</v>
      </c>
      <c r="K4" s="28"/>
      <c r="L4" s="46" t="s">
        <v>48</v>
      </c>
      <c r="M4" s="46" t="s">
        <v>44</v>
      </c>
      <c r="N4" s="28"/>
    </row>
    <row r="5" ht="15.75" customHeight="1">
      <c r="A5" s="38" t="s">
        <v>49</v>
      </c>
      <c r="B5" s="39">
        <v>3100.0</v>
      </c>
      <c r="C5" s="47"/>
      <c r="D5" s="48">
        <v>1.0</v>
      </c>
      <c r="E5" s="49" t="s">
        <v>68</v>
      </c>
      <c r="F5" s="38" t="s">
        <v>17</v>
      </c>
      <c r="G5" s="50"/>
      <c r="H5" s="51">
        <f>VLOOKUP(F5,$A$4:$B$4,2,TRUE)</f>
        <v>3000</v>
      </c>
      <c r="I5" s="52">
        <f t="shared" ref="I5:I193" si="1">G5*H5</f>
        <v>0</v>
      </c>
      <c r="J5" s="53">
        <f>SUM(I5:I25)</f>
        <v>4350</v>
      </c>
      <c r="K5" s="28"/>
      <c r="L5" s="38" t="s">
        <v>17</v>
      </c>
      <c r="M5" s="54">
        <f>SUMIF(F5:F193,"Gelas bersih",G5:G193)</f>
        <v>2</v>
      </c>
      <c r="N5" s="28"/>
    </row>
    <row r="6" ht="15.75" customHeight="1">
      <c r="A6" s="38" t="s">
        <v>51</v>
      </c>
      <c r="B6" s="39">
        <v>800.0</v>
      </c>
      <c r="C6" s="55"/>
      <c r="D6" s="56"/>
      <c r="E6" s="56"/>
      <c r="F6" s="38" t="s">
        <v>49</v>
      </c>
      <c r="G6" s="50"/>
      <c r="H6" s="57">
        <f>VLOOKUP(F6,$A$5:$B$5,2,TRUE)</f>
        <v>3100</v>
      </c>
      <c r="I6" s="52">
        <f t="shared" si="1"/>
        <v>0</v>
      </c>
      <c r="J6" s="56"/>
      <c r="K6" s="28"/>
      <c r="L6" s="38" t="s">
        <v>49</v>
      </c>
      <c r="M6" s="54">
        <f>SUMIF(F6:F194,"Botol bersih",G6:G194)</f>
        <v>20</v>
      </c>
      <c r="N6" s="28"/>
    </row>
    <row r="7" ht="15.75" customHeight="1">
      <c r="A7" s="38" t="s">
        <v>20</v>
      </c>
      <c r="B7" s="39">
        <v>2100.0</v>
      </c>
      <c r="C7" s="55"/>
      <c r="D7" s="56"/>
      <c r="E7" s="56"/>
      <c r="F7" s="38" t="s">
        <v>51</v>
      </c>
      <c r="G7" s="50"/>
      <c r="H7" s="57">
        <f>VLOOKUP(F7,$A$6:$B$6,2,TRUE)</f>
        <v>800</v>
      </c>
      <c r="I7" s="52">
        <f t="shared" si="1"/>
        <v>0</v>
      </c>
      <c r="J7" s="56"/>
      <c r="K7" s="28"/>
      <c r="L7" s="38" t="s">
        <v>51</v>
      </c>
      <c r="M7" s="54">
        <f>SUMIF(F7:F194,"Botol Warna",G7:G194)</f>
        <v>0</v>
      </c>
      <c r="N7" s="28"/>
    </row>
    <row r="8" ht="15.75" customHeight="1">
      <c r="A8" s="38" t="s">
        <v>21</v>
      </c>
      <c r="B8" s="39">
        <v>2600.0</v>
      </c>
      <c r="C8" s="58"/>
      <c r="D8" s="56"/>
      <c r="E8" s="56"/>
      <c r="F8" s="38" t="s">
        <v>20</v>
      </c>
      <c r="G8" s="50"/>
      <c r="H8" s="57">
        <f>VLOOKUP(F8,$A$7:$B$7,2,TRUE)</f>
        <v>2100</v>
      </c>
      <c r="I8" s="52">
        <f t="shared" si="1"/>
        <v>0</v>
      </c>
      <c r="J8" s="56"/>
      <c r="K8" s="28"/>
      <c r="L8" s="38" t="s">
        <v>20</v>
      </c>
      <c r="M8" s="54">
        <f>SUMIF(F8:F195,"Tutup botol",G8:G195)</f>
        <v>0</v>
      </c>
      <c r="N8" s="28"/>
    </row>
    <row r="9" ht="15.75" customHeight="1">
      <c r="A9" s="38" t="s">
        <v>52</v>
      </c>
      <c r="B9" s="39">
        <v>800.0</v>
      </c>
      <c r="C9" s="55"/>
      <c r="D9" s="56"/>
      <c r="E9" s="56"/>
      <c r="F9" s="38" t="s">
        <v>21</v>
      </c>
      <c r="G9" s="50"/>
      <c r="H9" s="57">
        <f>VLOOKUP(F9, $A$8:$B$8, 2, FALSE)</f>
        <v>2600</v>
      </c>
      <c r="I9" s="52">
        <f t="shared" si="1"/>
        <v>0</v>
      </c>
      <c r="J9" s="56"/>
      <c r="K9" s="28"/>
      <c r="L9" s="38" t="s">
        <v>21</v>
      </c>
      <c r="M9" s="54">
        <f>SUMIF(F9:F196,"Tutup galon",G9:G196)</f>
        <v>0</v>
      </c>
      <c r="N9" s="28"/>
    </row>
    <row r="10" ht="15.75" customHeight="1">
      <c r="A10" s="38" t="s">
        <v>23</v>
      </c>
      <c r="B10" s="39">
        <v>1500.0</v>
      </c>
      <c r="C10" s="55"/>
      <c r="D10" s="56"/>
      <c r="E10" s="56"/>
      <c r="F10" s="38" t="s">
        <v>52</v>
      </c>
      <c r="G10" s="50"/>
      <c r="H10" s="57">
        <f>VLOOKUP(F10, $A$9:$B$9, 2, FALSE)</f>
        <v>800</v>
      </c>
      <c r="I10" s="52">
        <f t="shared" si="1"/>
        <v>0</v>
      </c>
      <c r="J10" s="56"/>
      <c r="K10" s="28"/>
      <c r="L10" s="38" t="s">
        <v>52</v>
      </c>
      <c r="M10" s="54">
        <f>SUMIF(F10:F198,"Emberan/Atum",G10:G198)</f>
        <v>37</v>
      </c>
      <c r="N10" s="28"/>
    </row>
    <row r="11" ht="15.75" customHeight="1">
      <c r="A11" s="38" t="s">
        <v>24</v>
      </c>
      <c r="B11" s="39">
        <v>1300.0</v>
      </c>
      <c r="C11" s="55"/>
      <c r="D11" s="56"/>
      <c r="E11" s="56"/>
      <c r="F11" s="38" t="s">
        <v>23</v>
      </c>
      <c r="G11" s="50"/>
      <c r="H11" s="57">
        <f>VLOOKUP(F11,$A$10:$B$10,2,TRUE)</f>
        <v>1500</v>
      </c>
      <c r="I11" s="52">
        <f t="shared" si="1"/>
        <v>0</v>
      </c>
      <c r="J11" s="56"/>
      <c r="K11" s="28"/>
      <c r="L11" s="38" t="s">
        <v>23</v>
      </c>
      <c r="M11" s="54">
        <f>SUMIF(F11:F199,"Kardus",G11:G199)</f>
        <v>35.5</v>
      </c>
      <c r="N11" s="28"/>
    </row>
    <row r="12" ht="15.75" customHeight="1">
      <c r="A12" s="38" t="s">
        <v>53</v>
      </c>
      <c r="B12" s="39">
        <v>1000.0</v>
      </c>
      <c r="C12" s="55"/>
      <c r="D12" s="56"/>
      <c r="E12" s="56"/>
      <c r="F12" s="38" t="s">
        <v>24</v>
      </c>
      <c r="G12" s="50"/>
      <c r="H12" s="57">
        <f>VLOOKUP(F12,$A$11:$B$11,2,TRUE)</f>
        <v>1300</v>
      </c>
      <c r="I12" s="52">
        <f t="shared" si="1"/>
        <v>0</v>
      </c>
      <c r="J12" s="56"/>
      <c r="K12" s="28"/>
      <c r="L12" s="38" t="s">
        <v>24</v>
      </c>
      <c r="M12" s="54">
        <f>SUMIF(F12:F200,"Kertas Putihan/ HVS",G12:G200)</f>
        <v>0</v>
      </c>
      <c r="N12" s="28"/>
    </row>
    <row r="13" ht="15.75" customHeight="1">
      <c r="A13" s="38" t="s">
        <v>26</v>
      </c>
      <c r="B13" s="39">
        <v>500.0</v>
      </c>
      <c r="C13" s="55"/>
      <c r="D13" s="56"/>
      <c r="E13" s="56"/>
      <c r="F13" s="38" t="s">
        <v>54</v>
      </c>
      <c r="G13" s="50"/>
      <c r="H13" s="57">
        <f>VLOOKUP(F13,$A$12:$B$12,2,TRUE)</f>
        <v>1000</v>
      </c>
      <c r="I13" s="52">
        <f t="shared" si="1"/>
        <v>0</v>
      </c>
      <c r="J13" s="56"/>
      <c r="K13" s="28"/>
      <c r="L13" s="38" t="s">
        <v>54</v>
      </c>
      <c r="M13" s="54">
        <f>SUMIF(F13:F202,"Buku/LKS",G13:G202)</f>
        <v>0</v>
      </c>
      <c r="N13" s="28"/>
    </row>
    <row r="14" ht="15.75" customHeight="1">
      <c r="A14" s="38" t="s">
        <v>27</v>
      </c>
      <c r="B14" s="39">
        <v>6500.0</v>
      </c>
      <c r="C14" s="47"/>
      <c r="D14" s="56"/>
      <c r="E14" s="56"/>
      <c r="F14" s="38" t="s">
        <v>26</v>
      </c>
      <c r="G14" s="50"/>
      <c r="H14" s="57">
        <f>VLOOKUP(F14,$A$13:$B$13,2,TRUE)</f>
        <v>500</v>
      </c>
      <c r="I14" s="52">
        <f t="shared" si="1"/>
        <v>0</v>
      </c>
      <c r="J14" s="56"/>
      <c r="K14" s="28"/>
      <c r="L14" s="38" t="s">
        <v>26</v>
      </c>
      <c r="M14" s="54">
        <f>SUMIF(F14:F203,"Duplex",G14:G203)</f>
        <v>1.5</v>
      </c>
      <c r="N14" s="28"/>
    </row>
    <row r="15" ht="15.75" customHeight="1">
      <c r="A15" s="38" t="s">
        <v>28</v>
      </c>
      <c r="B15" s="39">
        <v>1800.0</v>
      </c>
      <c r="C15" s="58"/>
      <c r="D15" s="56"/>
      <c r="E15" s="56"/>
      <c r="F15" s="38" t="s">
        <v>27</v>
      </c>
      <c r="G15" s="50"/>
      <c r="H15" s="57">
        <f>VLOOKUP(F15,$A$14:$B$14,2,TRUE)</f>
        <v>6500</v>
      </c>
      <c r="I15" s="52">
        <f t="shared" si="1"/>
        <v>0</v>
      </c>
      <c r="J15" s="56"/>
      <c r="K15" s="28"/>
      <c r="L15" s="38" t="s">
        <v>27</v>
      </c>
      <c r="M15" s="54">
        <f>SUMIF(F15:F204,"Alumunium",G15:G204)</f>
        <v>0</v>
      </c>
      <c r="N15" s="28"/>
    </row>
    <row r="16" ht="15.75" customHeight="1">
      <c r="A16" s="38" t="s">
        <v>29</v>
      </c>
      <c r="B16" s="39">
        <v>1300.0</v>
      </c>
      <c r="C16" s="55"/>
      <c r="D16" s="56"/>
      <c r="E16" s="56"/>
      <c r="F16" s="38" t="s">
        <v>28</v>
      </c>
      <c r="G16" s="50"/>
      <c r="H16" s="57">
        <f>VLOOKUP(F16,$A$15:$B$15,2,TRUE)</f>
        <v>1800</v>
      </c>
      <c r="I16" s="52">
        <f t="shared" si="1"/>
        <v>0</v>
      </c>
      <c r="J16" s="56"/>
      <c r="K16" s="28"/>
      <c r="L16" s="38" t="s">
        <v>28</v>
      </c>
      <c r="M16" s="54">
        <f>SUMIF(F16:F205,"Besi",G16:G205)</f>
        <v>0</v>
      </c>
      <c r="N16" s="28"/>
    </row>
    <row r="17" ht="15.75" customHeight="1">
      <c r="A17" s="38" t="s">
        <v>30</v>
      </c>
      <c r="B17" s="39">
        <v>5000.0</v>
      </c>
      <c r="C17" s="58"/>
      <c r="D17" s="56"/>
      <c r="E17" s="56"/>
      <c r="F17" s="38" t="s">
        <v>29</v>
      </c>
      <c r="G17" s="50"/>
      <c r="H17" s="57">
        <f>VLOOKUP(F17,$A$16:$B$16,2,TRUE)</f>
        <v>1300</v>
      </c>
      <c r="I17" s="52">
        <f t="shared" si="1"/>
        <v>0</v>
      </c>
      <c r="J17" s="56"/>
      <c r="K17" s="28"/>
      <c r="L17" s="38" t="s">
        <v>29</v>
      </c>
      <c r="M17" s="54">
        <f>SUMIF(F17:F206,"Kaleng kue/susu",G17:G206)</f>
        <v>0</v>
      </c>
      <c r="N17" s="28"/>
    </row>
    <row r="18" ht="15.75" customHeight="1">
      <c r="A18" s="38" t="s">
        <v>32</v>
      </c>
      <c r="B18" s="39">
        <v>2500.0</v>
      </c>
      <c r="C18" s="59"/>
      <c r="D18" s="56"/>
      <c r="E18" s="56"/>
      <c r="F18" s="38" t="s">
        <v>30</v>
      </c>
      <c r="G18" s="50"/>
      <c r="H18" s="57">
        <f>VLOOKUP(F18,$A$17:$B$17,2,TRUE)</f>
        <v>5000</v>
      </c>
      <c r="I18" s="52">
        <f t="shared" si="1"/>
        <v>0</v>
      </c>
      <c r="J18" s="56"/>
      <c r="K18" s="28"/>
      <c r="L18" s="38" t="s">
        <v>30</v>
      </c>
      <c r="M18" s="54">
        <f>SUMIF(F18:F207,"Kaleng Minuman",G18:G207)</f>
        <v>0</v>
      </c>
      <c r="N18" s="28"/>
    </row>
    <row r="19" ht="15.75" customHeight="1">
      <c r="A19" s="38" t="s">
        <v>34</v>
      </c>
      <c r="B19" s="39">
        <v>9000.0</v>
      </c>
      <c r="C19" s="47"/>
      <c r="D19" s="56"/>
      <c r="E19" s="56"/>
      <c r="F19" s="38" t="s">
        <v>32</v>
      </c>
      <c r="G19" s="50"/>
      <c r="H19" s="57">
        <f>VLOOKUP(F19,$A$18:$B$18,2,TRUE)</f>
        <v>2500</v>
      </c>
      <c r="I19" s="52">
        <f t="shared" si="1"/>
        <v>0</v>
      </c>
      <c r="J19" s="56"/>
      <c r="K19" s="28"/>
      <c r="L19" s="38" t="s">
        <v>32</v>
      </c>
      <c r="M19" s="54">
        <f>SUMIF(F19:F209,"Stanless",G19:G209)</f>
        <v>0</v>
      </c>
      <c r="N19" s="28"/>
    </row>
    <row r="20" ht="15.75" customHeight="1">
      <c r="A20" s="38" t="s">
        <v>55</v>
      </c>
      <c r="B20" s="39">
        <v>250.0</v>
      </c>
      <c r="C20" s="58"/>
      <c r="D20" s="56"/>
      <c r="E20" s="56"/>
      <c r="F20" s="38" t="s">
        <v>34</v>
      </c>
      <c r="G20" s="50"/>
      <c r="H20" s="57">
        <f>VLOOKUP(F20,$A$19:$B$19,2,TRUE)</f>
        <v>9000</v>
      </c>
      <c r="I20" s="52">
        <f t="shared" si="1"/>
        <v>0</v>
      </c>
      <c r="J20" s="56"/>
      <c r="K20" s="28"/>
      <c r="L20" s="38" t="s">
        <v>34</v>
      </c>
      <c r="M20" s="54">
        <f>SUMIF(F20:F210,"Aki Motor",G20:G210)</f>
        <v>0</v>
      </c>
      <c r="N20" s="28"/>
    </row>
    <row r="21" ht="15.75" customHeight="1">
      <c r="A21" s="38" t="s">
        <v>13</v>
      </c>
      <c r="B21" s="39">
        <v>300.0</v>
      </c>
      <c r="C21" s="55"/>
      <c r="D21" s="56"/>
      <c r="E21" s="56"/>
      <c r="F21" s="38" t="s">
        <v>55</v>
      </c>
      <c r="G21" s="50"/>
      <c r="H21" s="57">
        <f>VLOOKUP(F21,$A$20:$B$20,2,TRUE)</f>
        <v>250</v>
      </c>
      <c r="I21" s="52">
        <f t="shared" si="1"/>
        <v>0</v>
      </c>
      <c r="J21" s="56"/>
      <c r="K21" s="28"/>
      <c r="L21" s="38" t="s">
        <v>55</v>
      </c>
      <c r="M21" s="54">
        <f>SUMIF(F21:F213,"Plastik Keresek",G21:G213)</f>
        <v>0</v>
      </c>
      <c r="N21" s="28"/>
    </row>
    <row r="22" ht="15.75" customHeight="1">
      <c r="A22" s="38" t="s">
        <v>9</v>
      </c>
      <c r="B22" s="39">
        <v>1800.0</v>
      </c>
      <c r="C22" s="55"/>
      <c r="D22" s="56"/>
      <c r="E22" s="56"/>
      <c r="F22" s="38" t="s">
        <v>13</v>
      </c>
      <c r="G22" s="50">
        <f>6.5+8</f>
        <v>14.5</v>
      </c>
      <c r="H22" s="57">
        <f>VLOOKUP(F22,$A$21:$B$21,2,TRUE)</f>
        <v>300</v>
      </c>
      <c r="I22" s="52">
        <f t="shared" si="1"/>
        <v>4350</v>
      </c>
      <c r="J22" s="56"/>
      <c r="K22" s="28"/>
      <c r="L22" s="38" t="s">
        <v>13</v>
      </c>
      <c r="M22" s="54">
        <f>SUMIF(F22:F215,"Beling",G22:G215)</f>
        <v>21.5</v>
      </c>
      <c r="N22" s="28"/>
    </row>
    <row r="23" ht="15.75" customHeight="1">
      <c r="A23" s="38" t="s">
        <v>15</v>
      </c>
      <c r="B23" s="60">
        <v>4000.0</v>
      </c>
      <c r="C23" s="55"/>
      <c r="D23" s="56"/>
      <c r="E23" s="56"/>
      <c r="F23" s="38" t="s">
        <v>9</v>
      </c>
      <c r="G23" s="50"/>
      <c r="H23" s="57">
        <f>VLOOKUP(F23,$A$22:$B$22,2,TRUE)</f>
        <v>1800</v>
      </c>
      <c r="I23" s="52">
        <f t="shared" si="1"/>
        <v>0</v>
      </c>
      <c r="J23" s="56"/>
      <c r="K23" s="28"/>
      <c r="L23" s="38" t="s">
        <v>9</v>
      </c>
      <c r="M23" s="54">
        <f>SUMIF(F23:F217,"Paku",G23:G217)</f>
        <v>0</v>
      </c>
      <c r="N23" s="28"/>
    </row>
    <row r="24" ht="15.75" customHeight="1">
      <c r="A24" s="38" t="s">
        <v>56</v>
      </c>
      <c r="B24" s="39">
        <v>500.0</v>
      </c>
      <c r="C24" s="55"/>
      <c r="D24" s="56"/>
      <c r="E24" s="56"/>
      <c r="F24" s="38" t="s">
        <v>15</v>
      </c>
      <c r="G24" s="50"/>
      <c r="H24" s="57">
        <f>VLOOKUP(F23,$A$23:$B$23,2,TRUE)</f>
        <v>4000</v>
      </c>
      <c r="I24" s="52">
        <f t="shared" si="1"/>
        <v>0</v>
      </c>
      <c r="J24" s="56"/>
      <c r="K24" s="28"/>
      <c r="L24" s="38" t="s">
        <v>15</v>
      </c>
      <c r="M24" s="54">
        <f>SUMIF(F24:F218,"Minyak Jelantah",G24:G218)</f>
        <v>6.5</v>
      </c>
      <c r="N24" s="28"/>
    </row>
    <row r="25" ht="15.75" customHeight="1">
      <c r="A25" s="55"/>
      <c r="B25" s="55"/>
      <c r="C25" s="55"/>
      <c r="D25" s="14"/>
      <c r="E25" s="14"/>
      <c r="F25" s="38" t="s">
        <v>56</v>
      </c>
      <c r="G25" s="50"/>
      <c r="H25" s="57">
        <f>VLOOKUP(F24,$A$24:$B$24,2,TRUE)</f>
        <v>500</v>
      </c>
      <c r="I25" s="52">
        <f t="shared" si="1"/>
        <v>0</v>
      </c>
      <c r="J25" s="14"/>
      <c r="K25" s="28"/>
      <c r="L25" s="38" t="s">
        <v>56</v>
      </c>
      <c r="M25" s="54">
        <f>SUMIF(F25:F219,"Lainnya",G25:G219)</f>
        <v>8.5</v>
      </c>
      <c r="N25" s="28"/>
    </row>
    <row r="26" ht="15.75" customHeight="1">
      <c r="A26" s="55"/>
      <c r="B26" s="55"/>
      <c r="C26" s="55"/>
      <c r="D26" s="48">
        <v>2.0</v>
      </c>
      <c r="E26" s="49" t="s">
        <v>69</v>
      </c>
      <c r="F26" s="38" t="s">
        <v>17</v>
      </c>
      <c r="G26" s="50"/>
      <c r="H26" s="51">
        <f>VLOOKUP(F26,$A$4:$B$4,2,TRUE)</f>
        <v>3000</v>
      </c>
      <c r="I26" s="52">
        <f t="shared" si="1"/>
        <v>0</v>
      </c>
      <c r="J26" s="53">
        <f>SUM(I26:I46)</f>
        <v>15500</v>
      </c>
      <c r="K26" s="28"/>
      <c r="L26" s="28"/>
      <c r="M26" s="28"/>
      <c r="N26" s="28"/>
    </row>
    <row r="27" ht="15.75" customHeight="1">
      <c r="A27" s="61"/>
      <c r="B27" s="61"/>
      <c r="C27" s="55"/>
      <c r="D27" s="56"/>
      <c r="E27" s="56"/>
      <c r="F27" s="38" t="s">
        <v>49</v>
      </c>
      <c r="G27" s="50">
        <v>5.0</v>
      </c>
      <c r="H27" s="57">
        <f>VLOOKUP(F27,$A$5:$B$5,2,TRUE)</f>
        <v>3100</v>
      </c>
      <c r="I27" s="52">
        <f t="shared" si="1"/>
        <v>15500</v>
      </c>
      <c r="J27" s="56"/>
      <c r="K27" s="28"/>
      <c r="L27" s="28"/>
      <c r="M27" s="28"/>
      <c r="N27" s="28"/>
    </row>
    <row r="28" ht="15.75" customHeight="1">
      <c r="A28" s="61"/>
      <c r="B28" s="61"/>
      <c r="C28" s="55"/>
      <c r="D28" s="56"/>
      <c r="E28" s="56"/>
      <c r="F28" s="38" t="s">
        <v>51</v>
      </c>
      <c r="G28" s="50"/>
      <c r="H28" s="57">
        <f>VLOOKUP(F28,$A$6:$B$6,2,TRUE)</f>
        <v>800</v>
      </c>
      <c r="I28" s="52">
        <f t="shared" si="1"/>
        <v>0</v>
      </c>
      <c r="J28" s="56"/>
      <c r="K28" s="28"/>
      <c r="L28" s="28"/>
      <c r="M28" s="28"/>
      <c r="N28" s="28"/>
    </row>
    <row r="29" ht="15.75" customHeight="1">
      <c r="A29" s="62"/>
      <c r="B29" s="62"/>
      <c r="C29" s="55"/>
      <c r="D29" s="56"/>
      <c r="E29" s="56"/>
      <c r="F29" s="38" t="s">
        <v>20</v>
      </c>
      <c r="G29" s="50"/>
      <c r="H29" s="57">
        <f>VLOOKUP(F29,$A$7:$B$7,2,TRUE)</f>
        <v>2100</v>
      </c>
      <c r="I29" s="52">
        <f t="shared" si="1"/>
        <v>0</v>
      </c>
      <c r="J29" s="56"/>
      <c r="K29" s="28"/>
      <c r="L29" s="28"/>
      <c r="M29" s="28"/>
      <c r="N29" s="28"/>
    </row>
    <row r="30" ht="15.75" customHeight="1">
      <c r="A30" s="63"/>
      <c r="B30" s="62"/>
      <c r="C30" s="55"/>
      <c r="D30" s="56"/>
      <c r="E30" s="56"/>
      <c r="F30" s="38" t="s">
        <v>21</v>
      </c>
      <c r="G30" s="50"/>
      <c r="H30" s="57">
        <f>VLOOKUP(F30, $A$8:$B$8, 2, FALSE)</f>
        <v>2600</v>
      </c>
      <c r="I30" s="52">
        <f t="shared" si="1"/>
        <v>0</v>
      </c>
      <c r="J30" s="56"/>
      <c r="K30" s="28"/>
      <c r="L30" s="28"/>
      <c r="M30" s="28"/>
      <c r="N30" s="28"/>
    </row>
    <row r="31" ht="15.75" customHeight="1">
      <c r="A31" s="63"/>
      <c r="B31" s="62"/>
      <c r="C31" s="55"/>
      <c r="D31" s="56"/>
      <c r="E31" s="56"/>
      <c r="F31" s="38" t="s">
        <v>52</v>
      </c>
      <c r="G31" s="50"/>
      <c r="H31" s="57">
        <f>VLOOKUP(F31, $A$9:$B$9, 2, FALSE)</f>
        <v>800</v>
      </c>
      <c r="I31" s="52">
        <f t="shared" si="1"/>
        <v>0</v>
      </c>
      <c r="J31" s="56"/>
      <c r="K31" s="28"/>
      <c r="L31" s="28"/>
      <c r="M31" s="28"/>
      <c r="N31" s="28"/>
    </row>
    <row r="32" ht="15.75" customHeight="1">
      <c r="A32" s="63"/>
      <c r="B32" s="62"/>
      <c r="C32" s="55"/>
      <c r="D32" s="56"/>
      <c r="E32" s="56"/>
      <c r="F32" s="38" t="s">
        <v>23</v>
      </c>
      <c r="G32" s="50"/>
      <c r="H32" s="57">
        <f>VLOOKUP(F32,$A$10:$B$10,2,TRUE)</f>
        <v>1500</v>
      </c>
      <c r="I32" s="52">
        <f t="shared" si="1"/>
        <v>0</v>
      </c>
      <c r="J32" s="56"/>
      <c r="K32" s="28"/>
      <c r="L32" s="28"/>
      <c r="M32" s="28"/>
      <c r="N32" s="28"/>
    </row>
    <row r="33" ht="15.75" customHeight="1">
      <c r="A33" s="63"/>
      <c r="B33" s="62"/>
      <c r="C33" s="55"/>
      <c r="D33" s="56"/>
      <c r="E33" s="56"/>
      <c r="F33" s="38" t="s">
        <v>24</v>
      </c>
      <c r="G33" s="50"/>
      <c r="H33" s="57">
        <f>VLOOKUP(F33,$A$11:$B$11,2,TRUE)</f>
        <v>1300</v>
      </c>
      <c r="I33" s="52">
        <f t="shared" si="1"/>
        <v>0</v>
      </c>
      <c r="J33" s="56"/>
      <c r="K33" s="28"/>
      <c r="L33" s="28"/>
      <c r="M33" s="28"/>
      <c r="N33" s="28"/>
    </row>
    <row r="34" ht="15.75" customHeight="1">
      <c r="A34" s="63"/>
      <c r="B34" s="62"/>
      <c r="C34" s="55"/>
      <c r="D34" s="56"/>
      <c r="E34" s="56"/>
      <c r="F34" s="38" t="s">
        <v>54</v>
      </c>
      <c r="G34" s="50"/>
      <c r="H34" s="57">
        <f>VLOOKUP(F34,$A$12:$B$12,2,TRUE)</f>
        <v>1000</v>
      </c>
      <c r="I34" s="52">
        <f t="shared" si="1"/>
        <v>0</v>
      </c>
      <c r="J34" s="56"/>
      <c r="K34" s="28"/>
      <c r="L34" s="28"/>
      <c r="M34" s="28"/>
      <c r="N34" s="28"/>
    </row>
    <row r="35" ht="15.75" customHeight="1">
      <c r="A35" s="63"/>
      <c r="B35" s="62"/>
      <c r="C35" s="55"/>
      <c r="D35" s="56"/>
      <c r="E35" s="56"/>
      <c r="F35" s="38" t="s">
        <v>26</v>
      </c>
      <c r="G35" s="50"/>
      <c r="H35" s="57">
        <f>VLOOKUP(F35,$A$13:$B$13,2,TRUE)</f>
        <v>500</v>
      </c>
      <c r="I35" s="52">
        <f t="shared" si="1"/>
        <v>0</v>
      </c>
      <c r="J35" s="56"/>
      <c r="K35" s="28"/>
      <c r="L35" s="28"/>
      <c r="M35" s="28"/>
      <c r="N35" s="28"/>
    </row>
    <row r="36" ht="15.75" customHeight="1">
      <c r="A36" s="63"/>
      <c r="B36" s="62"/>
      <c r="C36" s="55"/>
      <c r="D36" s="56"/>
      <c r="E36" s="56"/>
      <c r="F36" s="38" t="s">
        <v>27</v>
      </c>
      <c r="G36" s="50"/>
      <c r="H36" s="57">
        <f>VLOOKUP(F36,$A$14:$B$14,2,TRUE)</f>
        <v>6500</v>
      </c>
      <c r="I36" s="52">
        <f t="shared" si="1"/>
        <v>0</v>
      </c>
      <c r="J36" s="56"/>
      <c r="K36" s="28"/>
      <c r="L36" s="28"/>
      <c r="M36" s="28"/>
      <c r="N36" s="28"/>
    </row>
    <row r="37" ht="15.75" customHeight="1">
      <c r="A37" s="63"/>
      <c r="B37" s="62"/>
      <c r="C37" s="55"/>
      <c r="D37" s="56"/>
      <c r="E37" s="56"/>
      <c r="F37" s="38" t="s">
        <v>28</v>
      </c>
      <c r="G37" s="50"/>
      <c r="H37" s="57">
        <f>VLOOKUP(F37,$A$15:$B$15,2,TRUE)</f>
        <v>1800</v>
      </c>
      <c r="I37" s="52">
        <f t="shared" si="1"/>
        <v>0</v>
      </c>
      <c r="J37" s="56"/>
      <c r="K37" s="28"/>
      <c r="L37" s="28"/>
      <c r="M37" s="28"/>
      <c r="N37" s="28"/>
    </row>
    <row r="38" ht="15.75" customHeight="1">
      <c r="A38" s="63"/>
      <c r="B38" s="62"/>
      <c r="C38" s="55"/>
      <c r="D38" s="56"/>
      <c r="E38" s="56"/>
      <c r="F38" s="38" t="s">
        <v>29</v>
      </c>
      <c r="G38" s="50"/>
      <c r="H38" s="57">
        <f>VLOOKUP(F38,$A$16:$B$16,2,TRUE)</f>
        <v>1300</v>
      </c>
      <c r="I38" s="52">
        <f t="shared" si="1"/>
        <v>0</v>
      </c>
      <c r="J38" s="56"/>
      <c r="K38" s="28"/>
      <c r="L38" s="28"/>
      <c r="M38" s="28"/>
      <c r="N38" s="28"/>
    </row>
    <row r="39" ht="15.75" customHeight="1">
      <c r="A39" s="63"/>
      <c r="B39" s="62"/>
      <c r="C39" s="55"/>
      <c r="D39" s="56"/>
      <c r="E39" s="56"/>
      <c r="F39" s="38" t="s">
        <v>30</v>
      </c>
      <c r="G39" s="50"/>
      <c r="H39" s="57">
        <f>VLOOKUP(F39,$A$17:$B$17,2,TRUE)</f>
        <v>5000</v>
      </c>
      <c r="I39" s="52">
        <f t="shared" si="1"/>
        <v>0</v>
      </c>
      <c r="J39" s="56"/>
      <c r="K39" s="28"/>
      <c r="L39" s="28"/>
      <c r="M39" s="28"/>
      <c r="N39" s="28"/>
    </row>
    <row r="40" ht="15.75" customHeight="1">
      <c r="A40" s="63"/>
      <c r="B40" s="62"/>
      <c r="C40" s="55"/>
      <c r="D40" s="56"/>
      <c r="E40" s="56"/>
      <c r="F40" s="38" t="s">
        <v>32</v>
      </c>
      <c r="G40" s="50"/>
      <c r="H40" s="57">
        <f>VLOOKUP(F40,$A$18:$B$18,2,TRUE)</f>
        <v>2500</v>
      </c>
      <c r="I40" s="52">
        <f t="shared" si="1"/>
        <v>0</v>
      </c>
      <c r="J40" s="56"/>
      <c r="K40" s="28"/>
      <c r="L40" s="28"/>
      <c r="M40" s="28"/>
      <c r="N40" s="28"/>
    </row>
    <row r="41" ht="15.75" customHeight="1">
      <c r="A41" s="63"/>
      <c r="B41" s="62"/>
      <c r="C41" s="55"/>
      <c r="D41" s="56"/>
      <c r="E41" s="56"/>
      <c r="F41" s="38" t="s">
        <v>34</v>
      </c>
      <c r="G41" s="50"/>
      <c r="H41" s="57">
        <f>VLOOKUP(F41,$A$19:$B$19,2,TRUE)</f>
        <v>9000</v>
      </c>
      <c r="I41" s="52">
        <f t="shared" si="1"/>
        <v>0</v>
      </c>
      <c r="J41" s="56"/>
      <c r="K41" s="28"/>
      <c r="L41" s="28"/>
      <c r="M41" s="28"/>
      <c r="N41" s="28"/>
    </row>
    <row r="42" ht="15.75" customHeight="1">
      <c r="A42" s="63"/>
      <c r="B42" s="62"/>
      <c r="C42" s="55"/>
      <c r="D42" s="56"/>
      <c r="E42" s="56"/>
      <c r="F42" s="38" t="s">
        <v>55</v>
      </c>
      <c r="G42" s="50"/>
      <c r="H42" s="57">
        <f>VLOOKUP(F42,$A$20:$B$20,2,TRUE)</f>
        <v>250</v>
      </c>
      <c r="I42" s="52">
        <f t="shared" si="1"/>
        <v>0</v>
      </c>
      <c r="J42" s="56"/>
      <c r="K42" s="28"/>
      <c r="L42" s="28"/>
      <c r="M42" s="28"/>
      <c r="N42" s="28"/>
    </row>
    <row r="43" ht="15.75" customHeight="1">
      <c r="A43" s="63"/>
      <c r="B43" s="62"/>
      <c r="C43" s="55"/>
      <c r="D43" s="56"/>
      <c r="E43" s="56"/>
      <c r="F43" s="38" t="s">
        <v>13</v>
      </c>
      <c r="G43" s="50"/>
      <c r="H43" s="57">
        <f>VLOOKUP(F43,$A$21:$B$21,2,TRUE)</f>
        <v>300</v>
      </c>
      <c r="I43" s="52">
        <f t="shared" si="1"/>
        <v>0</v>
      </c>
      <c r="J43" s="56"/>
      <c r="K43" s="28"/>
      <c r="L43" s="28"/>
      <c r="M43" s="28"/>
      <c r="N43" s="28"/>
    </row>
    <row r="44" ht="15.75" customHeight="1">
      <c r="A44" s="63"/>
      <c r="B44" s="62"/>
      <c r="C44" s="55"/>
      <c r="D44" s="56"/>
      <c r="E44" s="56"/>
      <c r="F44" s="38" t="s">
        <v>9</v>
      </c>
      <c r="G44" s="50"/>
      <c r="H44" s="57">
        <f>VLOOKUP(F44,$A$22:$B$22,2,TRUE)</f>
        <v>1800</v>
      </c>
      <c r="I44" s="52">
        <f t="shared" si="1"/>
        <v>0</v>
      </c>
      <c r="J44" s="56"/>
      <c r="K44" s="28"/>
      <c r="L44" s="28"/>
      <c r="M44" s="28"/>
      <c r="N44" s="28"/>
    </row>
    <row r="45" ht="15.75" customHeight="1">
      <c r="A45" s="63"/>
      <c r="B45" s="62"/>
      <c r="C45" s="55"/>
      <c r="D45" s="56"/>
      <c r="E45" s="56"/>
      <c r="F45" s="38" t="s">
        <v>15</v>
      </c>
      <c r="G45" s="50"/>
      <c r="H45" s="57">
        <f>VLOOKUP(F44,$A$23:$B$23,2,TRUE)</f>
        <v>4000</v>
      </c>
      <c r="I45" s="52">
        <f t="shared" si="1"/>
        <v>0</v>
      </c>
      <c r="J45" s="56"/>
      <c r="K45" s="28"/>
      <c r="L45" s="28"/>
      <c r="M45" s="28"/>
      <c r="N45" s="28"/>
    </row>
    <row r="46" ht="15.75" customHeight="1">
      <c r="A46" s="63"/>
      <c r="B46" s="62"/>
      <c r="C46" s="55"/>
      <c r="D46" s="14"/>
      <c r="E46" s="14"/>
      <c r="F46" s="38" t="s">
        <v>56</v>
      </c>
      <c r="G46" s="50"/>
      <c r="H46" s="57">
        <f>VLOOKUP(F45,$A$24:$B$24,2,TRUE)</f>
        <v>500</v>
      </c>
      <c r="I46" s="52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5"/>
      <c r="D47" s="48">
        <v>3.0</v>
      </c>
      <c r="E47" s="64" t="s">
        <v>70</v>
      </c>
      <c r="F47" s="38" t="s">
        <v>17</v>
      </c>
      <c r="G47" s="50"/>
      <c r="H47" s="51">
        <f>VLOOKUP(F47,$A$4:$B$4,2,TRUE)</f>
        <v>3000</v>
      </c>
      <c r="I47" s="52">
        <f t="shared" si="1"/>
        <v>0</v>
      </c>
      <c r="J47" s="53">
        <f>SUM(I47:I67)</f>
        <v>10200</v>
      </c>
      <c r="K47" s="28"/>
      <c r="L47" s="28"/>
      <c r="M47" s="28"/>
      <c r="N47" s="28"/>
    </row>
    <row r="48" ht="15.75" customHeight="1">
      <c r="A48" s="63"/>
      <c r="B48" s="62"/>
      <c r="C48" s="55"/>
      <c r="D48" s="56"/>
      <c r="E48" s="56"/>
      <c r="F48" s="38" t="s">
        <v>49</v>
      </c>
      <c r="G48" s="50"/>
      <c r="H48" s="57">
        <f>VLOOKUP(F48,$A$5:$B$5,2,TRUE)</f>
        <v>3100</v>
      </c>
      <c r="I48" s="52">
        <f t="shared" si="1"/>
        <v>0</v>
      </c>
      <c r="J48" s="56"/>
      <c r="K48" s="28"/>
      <c r="L48" s="28"/>
      <c r="M48" s="28"/>
      <c r="N48" s="28"/>
    </row>
    <row r="49" ht="15.75" customHeight="1">
      <c r="A49" s="63"/>
      <c r="B49" s="62"/>
      <c r="C49" s="55"/>
      <c r="D49" s="56"/>
      <c r="E49" s="56"/>
      <c r="F49" s="38" t="s">
        <v>51</v>
      </c>
      <c r="G49" s="50"/>
      <c r="H49" s="57">
        <f>VLOOKUP(F49,$A$6:$B$6,2,TRUE)</f>
        <v>800</v>
      </c>
      <c r="I49" s="52">
        <f t="shared" si="1"/>
        <v>0</v>
      </c>
      <c r="J49" s="56"/>
      <c r="K49" s="28"/>
      <c r="L49" s="28"/>
      <c r="M49" s="28"/>
      <c r="N49" s="28"/>
    </row>
    <row r="50" ht="15.75" customHeight="1">
      <c r="A50" s="63"/>
      <c r="B50" s="62"/>
      <c r="C50" s="55"/>
      <c r="D50" s="56"/>
      <c r="E50" s="56"/>
      <c r="F50" s="38" t="s">
        <v>20</v>
      </c>
      <c r="G50" s="50"/>
      <c r="H50" s="57">
        <f>VLOOKUP(F50,$A$7:$B$7,2,TRUE)</f>
        <v>2100</v>
      </c>
      <c r="I50" s="52">
        <f t="shared" si="1"/>
        <v>0</v>
      </c>
      <c r="J50" s="56"/>
      <c r="K50" s="28"/>
      <c r="L50" s="28"/>
      <c r="M50" s="28"/>
      <c r="N50" s="28"/>
    </row>
    <row r="51" ht="15.75" customHeight="1">
      <c r="A51" s="47"/>
      <c r="B51" s="47"/>
      <c r="C51" s="55"/>
      <c r="D51" s="56"/>
      <c r="E51" s="56"/>
      <c r="F51" s="38" t="s">
        <v>21</v>
      </c>
      <c r="G51" s="50"/>
      <c r="H51" s="57">
        <f>VLOOKUP(F51, $A$8:$B$8, 2, FALSE)</f>
        <v>2600</v>
      </c>
      <c r="I51" s="52">
        <f t="shared" si="1"/>
        <v>0</v>
      </c>
      <c r="J51" s="56"/>
      <c r="K51" s="28"/>
      <c r="L51" s="28"/>
      <c r="M51" s="28"/>
      <c r="N51" s="28"/>
    </row>
    <row r="52" ht="15.75" customHeight="1">
      <c r="A52" s="47"/>
      <c r="B52" s="47"/>
      <c r="C52" s="55"/>
      <c r="D52" s="56"/>
      <c r="E52" s="56"/>
      <c r="F52" s="38" t="s">
        <v>52</v>
      </c>
      <c r="G52" s="50">
        <f>3+6</f>
        <v>9</v>
      </c>
      <c r="H52" s="57">
        <f>VLOOKUP(F52, $A$9:$B$9, 2, FALSE)</f>
        <v>800</v>
      </c>
      <c r="I52" s="52">
        <f t="shared" si="1"/>
        <v>7200</v>
      </c>
      <c r="J52" s="56"/>
      <c r="K52" s="28"/>
      <c r="L52" s="28"/>
      <c r="M52" s="28"/>
      <c r="N52" s="28"/>
    </row>
    <row r="53" ht="15.75" customHeight="1">
      <c r="A53" s="47"/>
      <c r="B53" s="47"/>
      <c r="C53" s="55"/>
      <c r="D53" s="56"/>
      <c r="E53" s="56"/>
      <c r="F53" s="38" t="s">
        <v>23</v>
      </c>
      <c r="G53" s="50">
        <v>2.0</v>
      </c>
      <c r="H53" s="57">
        <f>VLOOKUP(F53,$A$10:$B$10,2,TRUE)</f>
        <v>1500</v>
      </c>
      <c r="I53" s="52">
        <f t="shared" si="1"/>
        <v>3000</v>
      </c>
      <c r="J53" s="56"/>
      <c r="K53" s="28"/>
      <c r="L53" s="28"/>
      <c r="M53" s="28"/>
      <c r="N53" s="28"/>
    </row>
    <row r="54" ht="15.75" customHeight="1">
      <c r="A54" s="47"/>
      <c r="B54" s="47"/>
      <c r="C54" s="55"/>
      <c r="D54" s="56"/>
      <c r="E54" s="56"/>
      <c r="F54" s="38" t="s">
        <v>24</v>
      </c>
      <c r="G54" s="50"/>
      <c r="H54" s="57">
        <f>VLOOKUP(F54,$A$11:$B$11,2,TRUE)</f>
        <v>1300</v>
      </c>
      <c r="I54" s="52">
        <f t="shared" si="1"/>
        <v>0</v>
      </c>
      <c r="J54" s="56"/>
      <c r="K54" s="28"/>
      <c r="L54" s="28"/>
      <c r="M54" s="28"/>
      <c r="N54" s="28"/>
    </row>
    <row r="55" ht="15.75" customHeight="1">
      <c r="A55" s="47"/>
      <c r="B55" s="47"/>
      <c r="C55" s="55"/>
      <c r="D55" s="56"/>
      <c r="E55" s="56"/>
      <c r="F55" s="38" t="s">
        <v>54</v>
      </c>
      <c r="G55" s="50"/>
      <c r="H55" s="57">
        <f>VLOOKUP(F55,$A$12:$B$12,2,TRUE)</f>
        <v>1000</v>
      </c>
      <c r="I55" s="52">
        <f t="shared" si="1"/>
        <v>0</v>
      </c>
      <c r="J55" s="56"/>
      <c r="K55" s="28"/>
      <c r="L55" s="28"/>
      <c r="M55" s="28"/>
      <c r="N55" s="28"/>
    </row>
    <row r="56" ht="15.75" customHeight="1">
      <c r="A56" s="47"/>
      <c r="B56" s="47"/>
      <c r="C56" s="55"/>
      <c r="D56" s="56"/>
      <c r="E56" s="56"/>
      <c r="F56" s="38" t="s">
        <v>26</v>
      </c>
      <c r="G56" s="50"/>
      <c r="H56" s="57">
        <f>VLOOKUP(F56,$A$13:$B$13,2,TRUE)</f>
        <v>500</v>
      </c>
      <c r="I56" s="52">
        <f t="shared" si="1"/>
        <v>0</v>
      </c>
      <c r="J56" s="56"/>
      <c r="K56" s="28"/>
      <c r="L56" s="28"/>
      <c r="M56" s="28"/>
      <c r="N56" s="28"/>
    </row>
    <row r="57" ht="15.75" customHeight="1">
      <c r="A57" s="47"/>
      <c r="B57" s="47"/>
      <c r="C57" s="55"/>
      <c r="D57" s="56"/>
      <c r="E57" s="56"/>
      <c r="F57" s="38" t="s">
        <v>27</v>
      </c>
      <c r="G57" s="50"/>
      <c r="H57" s="57">
        <f>VLOOKUP(F57,$A$14:$B$14,2,TRUE)</f>
        <v>6500</v>
      </c>
      <c r="I57" s="52">
        <f t="shared" si="1"/>
        <v>0</v>
      </c>
      <c r="J57" s="56"/>
      <c r="K57" s="28"/>
      <c r="L57" s="28"/>
      <c r="M57" s="28"/>
      <c r="N57" s="28"/>
    </row>
    <row r="58" ht="15.75" customHeight="1">
      <c r="A58" s="55"/>
      <c r="B58" s="55"/>
      <c r="C58" s="55"/>
      <c r="D58" s="56"/>
      <c r="E58" s="56"/>
      <c r="F58" s="38" t="s">
        <v>28</v>
      </c>
      <c r="G58" s="50"/>
      <c r="H58" s="57">
        <f>VLOOKUP(F58,$A$15:$B$15,2,TRUE)</f>
        <v>1800</v>
      </c>
      <c r="I58" s="52">
        <f t="shared" si="1"/>
        <v>0</v>
      </c>
      <c r="J58" s="56"/>
      <c r="K58" s="28"/>
      <c r="L58" s="28"/>
      <c r="M58" s="28"/>
      <c r="N58" s="28"/>
    </row>
    <row r="59" ht="15.75" customHeight="1">
      <c r="A59" s="55"/>
      <c r="B59" s="55"/>
      <c r="C59" s="55"/>
      <c r="D59" s="56"/>
      <c r="E59" s="56"/>
      <c r="F59" s="38" t="s">
        <v>29</v>
      </c>
      <c r="G59" s="50"/>
      <c r="H59" s="57">
        <f>VLOOKUP(F59,$A$16:$B$16,2,TRUE)</f>
        <v>1300</v>
      </c>
      <c r="I59" s="52">
        <f t="shared" si="1"/>
        <v>0</v>
      </c>
      <c r="J59" s="56"/>
      <c r="K59" s="28"/>
      <c r="L59" s="28"/>
      <c r="M59" s="28"/>
      <c r="N59" s="28"/>
    </row>
    <row r="60" ht="15.75" customHeight="1">
      <c r="A60" s="55"/>
      <c r="B60" s="55"/>
      <c r="C60" s="55"/>
      <c r="D60" s="56"/>
      <c r="E60" s="56"/>
      <c r="F60" s="38" t="s">
        <v>30</v>
      </c>
      <c r="G60" s="50"/>
      <c r="H60" s="57">
        <f>VLOOKUP(F60,$A$17:$B$17,2,TRUE)</f>
        <v>5000</v>
      </c>
      <c r="I60" s="52">
        <f t="shared" si="1"/>
        <v>0</v>
      </c>
      <c r="J60" s="56"/>
      <c r="K60" s="28"/>
      <c r="L60" s="28"/>
      <c r="M60" s="28"/>
      <c r="N60" s="28"/>
    </row>
    <row r="61" ht="15.75" customHeight="1">
      <c r="A61" s="55"/>
      <c r="B61" s="55"/>
      <c r="C61" s="55"/>
      <c r="D61" s="56"/>
      <c r="E61" s="56"/>
      <c r="F61" s="38" t="s">
        <v>32</v>
      </c>
      <c r="G61" s="50"/>
      <c r="H61" s="57">
        <f>VLOOKUP(F61,$A$18:$B$18,2,TRUE)</f>
        <v>2500</v>
      </c>
      <c r="I61" s="52">
        <f t="shared" si="1"/>
        <v>0</v>
      </c>
      <c r="J61" s="56"/>
      <c r="K61" s="28"/>
      <c r="L61" s="28"/>
      <c r="M61" s="28"/>
      <c r="N61" s="28"/>
    </row>
    <row r="62" ht="15.75" customHeight="1">
      <c r="A62" s="55"/>
      <c r="B62" s="55"/>
      <c r="C62" s="55"/>
      <c r="D62" s="56"/>
      <c r="E62" s="56"/>
      <c r="F62" s="38" t="s">
        <v>34</v>
      </c>
      <c r="G62" s="50"/>
      <c r="H62" s="57">
        <f>VLOOKUP(F62,$A$19:$B$19,2,TRUE)</f>
        <v>9000</v>
      </c>
      <c r="I62" s="52">
        <f t="shared" si="1"/>
        <v>0</v>
      </c>
      <c r="J62" s="56"/>
      <c r="K62" s="28"/>
      <c r="L62" s="28"/>
      <c r="M62" s="28"/>
      <c r="N62" s="28"/>
    </row>
    <row r="63" ht="15.75" customHeight="1">
      <c r="A63" s="55"/>
      <c r="B63" s="55"/>
      <c r="C63" s="55"/>
      <c r="D63" s="56"/>
      <c r="E63" s="56"/>
      <c r="F63" s="38" t="s">
        <v>55</v>
      </c>
      <c r="G63" s="50"/>
      <c r="H63" s="57">
        <f>VLOOKUP(F63,$A$20:$B$20,2,TRUE)</f>
        <v>250</v>
      </c>
      <c r="I63" s="52">
        <f t="shared" si="1"/>
        <v>0</v>
      </c>
      <c r="J63" s="56"/>
      <c r="K63" s="28"/>
      <c r="L63" s="28"/>
      <c r="M63" s="28"/>
      <c r="N63" s="28"/>
    </row>
    <row r="64" ht="15.75" customHeight="1">
      <c r="A64" s="55"/>
      <c r="B64" s="55"/>
      <c r="C64" s="55"/>
      <c r="D64" s="56"/>
      <c r="E64" s="56"/>
      <c r="F64" s="38" t="s">
        <v>13</v>
      </c>
      <c r="G64" s="50"/>
      <c r="H64" s="57">
        <f>VLOOKUP(F64,$A$21:$B$21,2,TRUE)</f>
        <v>300</v>
      </c>
      <c r="I64" s="52">
        <f t="shared" si="1"/>
        <v>0</v>
      </c>
      <c r="J64" s="56"/>
      <c r="K64" s="28"/>
      <c r="L64" s="28"/>
      <c r="M64" s="28"/>
      <c r="N64" s="28"/>
    </row>
    <row r="65" ht="15.75" customHeight="1">
      <c r="A65" s="55"/>
      <c r="B65" s="55"/>
      <c r="C65" s="55"/>
      <c r="D65" s="56"/>
      <c r="E65" s="56"/>
      <c r="F65" s="38" t="s">
        <v>9</v>
      </c>
      <c r="G65" s="50"/>
      <c r="H65" s="57">
        <f>VLOOKUP(F65,$A$22:$B$22,2,TRUE)</f>
        <v>1800</v>
      </c>
      <c r="I65" s="52">
        <f t="shared" si="1"/>
        <v>0</v>
      </c>
      <c r="J65" s="56"/>
      <c r="K65" s="28"/>
      <c r="L65" s="28"/>
      <c r="M65" s="28"/>
      <c r="N65" s="28"/>
    </row>
    <row r="66" ht="15.75" customHeight="1">
      <c r="A66" s="55"/>
      <c r="B66" s="55"/>
      <c r="C66" s="55"/>
      <c r="D66" s="56"/>
      <c r="E66" s="56"/>
      <c r="F66" s="38" t="s">
        <v>15</v>
      </c>
      <c r="G66" s="50"/>
      <c r="H66" s="57">
        <f>VLOOKUP(F65,$A$23:$B$23,2,TRUE)</f>
        <v>4000</v>
      </c>
      <c r="I66" s="52">
        <f t="shared" si="1"/>
        <v>0</v>
      </c>
      <c r="J66" s="56"/>
      <c r="K66" s="28"/>
      <c r="L66" s="28"/>
      <c r="M66" s="28"/>
      <c r="N66" s="28"/>
    </row>
    <row r="67" ht="15.75" customHeight="1">
      <c r="A67" s="55"/>
      <c r="B67" s="55"/>
      <c r="C67" s="55"/>
      <c r="D67" s="14"/>
      <c r="E67" s="14"/>
      <c r="F67" s="38" t="s">
        <v>56</v>
      </c>
      <c r="G67" s="50"/>
      <c r="H67" s="57">
        <f>VLOOKUP(F66,$A$24:$B$24,2,TRUE)</f>
        <v>500</v>
      </c>
      <c r="I67" s="52">
        <f t="shared" si="1"/>
        <v>0</v>
      </c>
      <c r="J67" s="14"/>
      <c r="K67" s="28"/>
      <c r="L67" s="28"/>
      <c r="M67" s="28"/>
      <c r="N67" s="28"/>
    </row>
    <row r="68" ht="15.75" customHeight="1">
      <c r="A68" s="55"/>
      <c r="B68" s="55"/>
      <c r="C68" s="55"/>
      <c r="D68" s="48">
        <v>4.0</v>
      </c>
      <c r="E68" s="49" t="s">
        <v>71</v>
      </c>
      <c r="F68" s="38" t="s">
        <v>17</v>
      </c>
      <c r="G68" s="50"/>
      <c r="H68" s="51">
        <f>VLOOKUP(F68,$A$4:$B$4,2,TRUE)</f>
        <v>3000</v>
      </c>
      <c r="I68" s="52">
        <f t="shared" si="1"/>
        <v>0</v>
      </c>
      <c r="J68" s="53">
        <f>SUM(I68:I88)</f>
        <v>27950</v>
      </c>
      <c r="K68" s="28"/>
      <c r="L68" s="28"/>
      <c r="M68" s="28"/>
      <c r="N68" s="28"/>
    </row>
    <row r="69" ht="15.75" customHeight="1">
      <c r="A69" s="55"/>
      <c r="B69" s="55"/>
      <c r="C69" s="55"/>
      <c r="D69" s="56"/>
      <c r="E69" s="56"/>
      <c r="F69" s="38" t="s">
        <v>49</v>
      </c>
      <c r="G69" s="50">
        <v>8.5</v>
      </c>
      <c r="H69" s="57">
        <f>VLOOKUP(F69,$A$5:$B$5,2,TRUE)</f>
        <v>3100</v>
      </c>
      <c r="I69" s="52">
        <f t="shared" si="1"/>
        <v>26350</v>
      </c>
      <c r="J69" s="56"/>
      <c r="K69" s="28"/>
      <c r="L69" s="28"/>
      <c r="M69" s="28"/>
      <c r="N69" s="28"/>
    </row>
    <row r="70" ht="15.75" customHeight="1">
      <c r="A70" s="55"/>
      <c r="B70" s="55"/>
      <c r="C70" s="55"/>
      <c r="D70" s="56"/>
      <c r="E70" s="56"/>
      <c r="F70" s="38" t="s">
        <v>51</v>
      </c>
      <c r="G70" s="50"/>
      <c r="H70" s="57">
        <f>VLOOKUP(F70,$A$6:$B$6,2,TRUE)</f>
        <v>800</v>
      </c>
      <c r="I70" s="52">
        <f t="shared" si="1"/>
        <v>0</v>
      </c>
      <c r="J70" s="56"/>
      <c r="K70" s="28"/>
      <c r="L70" s="28"/>
      <c r="M70" s="28"/>
      <c r="N70" s="28"/>
    </row>
    <row r="71" ht="15.75" customHeight="1">
      <c r="A71" s="55"/>
      <c r="B71" s="55"/>
      <c r="C71" s="55"/>
      <c r="D71" s="56"/>
      <c r="E71" s="56"/>
      <c r="F71" s="38" t="s">
        <v>20</v>
      </c>
      <c r="G71" s="50"/>
      <c r="H71" s="57">
        <f>VLOOKUP(F71,$A$7:$B$7,2,TRUE)</f>
        <v>2100</v>
      </c>
      <c r="I71" s="52">
        <f t="shared" si="1"/>
        <v>0</v>
      </c>
      <c r="J71" s="56"/>
      <c r="K71" s="28"/>
      <c r="L71" s="28"/>
      <c r="M71" s="28"/>
      <c r="N71" s="28"/>
    </row>
    <row r="72" ht="15.75" customHeight="1">
      <c r="A72" s="55"/>
      <c r="B72" s="55"/>
      <c r="C72" s="55"/>
      <c r="D72" s="56"/>
      <c r="E72" s="56"/>
      <c r="F72" s="38" t="s">
        <v>21</v>
      </c>
      <c r="G72" s="50"/>
      <c r="H72" s="57">
        <f>VLOOKUP(F72, $A$8:$B$8, 2, FALSE)</f>
        <v>2600</v>
      </c>
      <c r="I72" s="52">
        <f t="shared" si="1"/>
        <v>0</v>
      </c>
      <c r="J72" s="56"/>
      <c r="K72" s="28"/>
      <c r="L72" s="28"/>
      <c r="M72" s="28"/>
      <c r="N72" s="28"/>
    </row>
    <row r="73" ht="15.75" customHeight="1">
      <c r="A73" s="55"/>
      <c r="B73" s="55"/>
      <c r="C73" s="55"/>
      <c r="D73" s="56"/>
      <c r="E73" s="56"/>
      <c r="F73" s="38" t="s">
        <v>52</v>
      </c>
      <c r="G73" s="50">
        <v>2.0</v>
      </c>
      <c r="H73" s="57">
        <f>VLOOKUP(F73, $A$9:$B$9, 2, FALSE)</f>
        <v>800</v>
      </c>
      <c r="I73" s="52">
        <f t="shared" si="1"/>
        <v>1600</v>
      </c>
      <c r="J73" s="56"/>
      <c r="K73" s="28"/>
      <c r="L73" s="28"/>
      <c r="M73" s="28"/>
      <c r="N73" s="28"/>
    </row>
    <row r="74" ht="15.75" customHeight="1">
      <c r="A74" s="55"/>
      <c r="B74" s="55"/>
      <c r="C74" s="55"/>
      <c r="D74" s="56"/>
      <c r="E74" s="56"/>
      <c r="F74" s="38" t="s">
        <v>23</v>
      </c>
      <c r="G74" s="50"/>
      <c r="H74" s="57">
        <f>VLOOKUP(F74,$A$10:$B$10,2,TRUE)</f>
        <v>1500</v>
      </c>
      <c r="I74" s="52">
        <f t="shared" si="1"/>
        <v>0</v>
      </c>
      <c r="J74" s="56"/>
      <c r="K74" s="28"/>
      <c r="L74" s="28"/>
      <c r="M74" s="28"/>
      <c r="N74" s="28"/>
    </row>
    <row r="75" ht="15.75" customHeight="1">
      <c r="A75" s="55"/>
      <c r="B75" s="55"/>
      <c r="C75" s="55"/>
      <c r="D75" s="56"/>
      <c r="E75" s="56"/>
      <c r="F75" s="38" t="s">
        <v>24</v>
      </c>
      <c r="G75" s="50"/>
      <c r="H75" s="57">
        <f>VLOOKUP(F75,$A$11:$B$11,2,TRUE)</f>
        <v>1300</v>
      </c>
      <c r="I75" s="52">
        <f t="shared" si="1"/>
        <v>0</v>
      </c>
      <c r="J75" s="56"/>
      <c r="K75" s="28"/>
      <c r="L75" s="28"/>
      <c r="M75" s="28"/>
      <c r="N75" s="28"/>
    </row>
    <row r="76" ht="15.75" customHeight="1">
      <c r="A76" s="55"/>
      <c r="B76" s="55"/>
      <c r="C76" s="55"/>
      <c r="D76" s="56"/>
      <c r="E76" s="56"/>
      <c r="F76" s="38" t="s">
        <v>54</v>
      </c>
      <c r="G76" s="50"/>
      <c r="H76" s="57">
        <f>VLOOKUP(F76,$A$12:$B$12,2,TRUE)</f>
        <v>1000</v>
      </c>
      <c r="I76" s="52">
        <f t="shared" si="1"/>
        <v>0</v>
      </c>
      <c r="J76" s="56"/>
      <c r="K76" s="28"/>
      <c r="L76" s="28"/>
      <c r="M76" s="28"/>
      <c r="N76" s="28"/>
    </row>
    <row r="77" ht="15.75" customHeight="1">
      <c r="A77" s="55"/>
      <c r="B77" s="55"/>
      <c r="C77" s="55"/>
      <c r="D77" s="56"/>
      <c r="E77" s="56"/>
      <c r="F77" s="38" t="s">
        <v>26</v>
      </c>
      <c r="G77" s="50"/>
      <c r="H77" s="57">
        <f>VLOOKUP(F77,$A$13:$B$13,2,TRUE)</f>
        <v>500</v>
      </c>
      <c r="I77" s="52">
        <f t="shared" si="1"/>
        <v>0</v>
      </c>
      <c r="J77" s="56"/>
      <c r="K77" s="28"/>
      <c r="L77" s="28"/>
      <c r="M77" s="28"/>
      <c r="N77" s="28"/>
    </row>
    <row r="78" ht="15.75" customHeight="1">
      <c r="A78" s="55"/>
      <c r="B78" s="55"/>
      <c r="C78" s="55"/>
      <c r="D78" s="56"/>
      <c r="E78" s="56"/>
      <c r="F78" s="38" t="s">
        <v>27</v>
      </c>
      <c r="G78" s="50"/>
      <c r="H78" s="57">
        <f>VLOOKUP(F78,$A$14:$B$14,2,TRUE)</f>
        <v>6500</v>
      </c>
      <c r="I78" s="52">
        <f t="shared" si="1"/>
        <v>0</v>
      </c>
      <c r="J78" s="56"/>
      <c r="K78" s="28"/>
      <c r="L78" s="28"/>
      <c r="M78" s="28"/>
      <c r="N78" s="28"/>
    </row>
    <row r="79" ht="15.75" customHeight="1">
      <c r="A79" s="55"/>
      <c r="B79" s="55"/>
      <c r="C79" s="55"/>
      <c r="D79" s="56"/>
      <c r="E79" s="56"/>
      <c r="F79" s="38" t="s">
        <v>28</v>
      </c>
      <c r="G79" s="50"/>
      <c r="H79" s="57">
        <f>VLOOKUP(F79,$A$15:$B$15,2,TRUE)</f>
        <v>1800</v>
      </c>
      <c r="I79" s="52">
        <f t="shared" si="1"/>
        <v>0</v>
      </c>
      <c r="J79" s="56"/>
      <c r="K79" s="28"/>
      <c r="L79" s="28"/>
      <c r="M79" s="28"/>
      <c r="N79" s="28"/>
    </row>
    <row r="80" ht="15.75" customHeight="1">
      <c r="A80" s="55"/>
      <c r="B80" s="55"/>
      <c r="C80" s="55"/>
      <c r="D80" s="56"/>
      <c r="E80" s="56"/>
      <c r="F80" s="38" t="s">
        <v>29</v>
      </c>
      <c r="G80" s="50"/>
      <c r="H80" s="57">
        <f>VLOOKUP(F80,$A$16:$B$16,2,TRUE)</f>
        <v>1300</v>
      </c>
      <c r="I80" s="52">
        <f t="shared" si="1"/>
        <v>0</v>
      </c>
      <c r="J80" s="56"/>
      <c r="K80" s="28"/>
      <c r="L80" s="28"/>
      <c r="M80" s="28"/>
      <c r="N80" s="28"/>
    </row>
    <row r="81" ht="15.75" customHeight="1">
      <c r="A81" s="55"/>
      <c r="B81" s="55"/>
      <c r="C81" s="55"/>
      <c r="D81" s="56"/>
      <c r="E81" s="56"/>
      <c r="F81" s="38" t="s">
        <v>30</v>
      </c>
      <c r="G81" s="50"/>
      <c r="H81" s="57">
        <f>VLOOKUP(F81,$A$17:$B$17,2,TRUE)</f>
        <v>5000</v>
      </c>
      <c r="I81" s="52">
        <f t="shared" si="1"/>
        <v>0</v>
      </c>
      <c r="J81" s="56"/>
      <c r="K81" s="28"/>
      <c r="L81" s="28"/>
      <c r="M81" s="28"/>
      <c r="N81" s="28"/>
    </row>
    <row r="82" ht="15.75" customHeight="1">
      <c r="A82" s="55"/>
      <c r="B82" s="55"/>
      <c r="C82" s="55"/>
      <c r="D82" s="56"/>
      <c r="E82" s="56"/>
      <c r="F82" s="38" t="s">
        <v>32</v>
      </c>
      <c r="G82" s="50"/>
      <c r="H82" s="57">
        <f>VLOOKUP(F82,$A$18:$B$18,2,TRUE)</f>
        <v>2500</v>
      </c>
      <c r="I82" s="52">
        <f t="shared" si="1"/>
        <v>0</v>
      </c>
      <c r="J82" s="56"/>
      <c r="K82" s="28"/>
      <c r="L82" s="28"/>
      <c r="M82" s="28"/>
      <c r="N82" s="28"/>
    </row>
    <row r="83" ht="15.75" customHeight="1">
      <c r="A83" s="55"/>
      <c r="B83" s="55"/>
      <c r="C83" s="55"/>
      <c r="D83" s="56"/>
      <c r="E83" s="56"/>
      <c r="F83" s="38" t="s">
        <v>34</v>
      </c>
      <c r="G83" s="50"/>
      <c r="H83" s="57">
        <f>VLOOKUP(F83,$A$19:$B$19,2,TRUE)</f>
        <v>9000</v>
      </c>
      <c r="I83" s="52">
        <f t="shared" si="1"/>
        <v>0</v>
      </c>
      <c r="J83" s="56"/>
      <c r="K83" s="28"/>
      <c r="L83" s="28"/>
      <c r="M83" s="28"/>
      <c r="N83" s="28"/>
    </row>
    <row r="84" ht="15.75" customHeight="1">
      <c r="A84" s="55"/>
      <c r="B84" s="55"/>
      <c r="C84" s="55"/>
      <c r="D84" s="56"/>
      <c r="E84" s="56"/>
      <c r="F84" s="38" t="s">
        <v>55</v>
      </c>
      <c r="G84" s="50"/>
      <c r="H84" s="57">
        <f>VLOOKUP(F84,$A$20:$B$20,2,TRUE)</f>
        <v>250</v>
      </c>
      <c r="I84" s="52">
        <f t="shared" si="1"/>
        <v>0</v>
      </c>
      <c r="J84" s="56"/>
      <c r="K84" s="28"/>
      <c r="L84" s="28"/>
      <c r="M84" s="28"/>
      <c r="N84" s="28"/>
    </row>
    <row r="85" ht="15.75" customHeight="1">
      <c r="A85" s="55"/>
      <c r="B85" s="55"/>
      <c r="C85" s="55"/>
      <c r="D85" s="56"/>
      <c r="E85" s="56"/>
      <c r="F85" s="38" t="s">
        <v>13</v>
      </c>
      <c r="G85" s="50"/>
      <c r="H85" s="57">
        <f>VLOOKUP(F85,$A$21:$B$21,2,TRUE)</f>
        <v>300</v>
      </c>
      <c r="I85" s="52">
        <f t="shared" si="1"/>
        <v>0</v>
      </c>
      <c r="J85" s="56"/>
      <c r="K85" s="28"/>
      <c r="L85" s="28"/>
      <c r="M85" s="28"/>
      <c r="N85" s="28"/>
    </row>
    <row r="86" ht="15.75" customHeight="1">
      <c r="A86" s="55"/>
      <c r="B86" s="55"/>
      <c r="C86" s="55"/>
      <c r="D86" s="56"/>
      <c r="E86" s="56"/>
      <c r="F86" s="38" t="s">
        <v>9</v>
      </c>
      <c r="G86" s="50"/>
      <c r="H86" s="57">
        <f>VLOOKUP(F86,$A$22:$B$22,2,TRUE)</f>
        <v>1800</v>
      </c>
      <c r="I86" s="52">
        <f t="shared" si="1"/>
        <v>0</v>
      </c>
      <c r="J86" s="56"/>
      <c r="K86" s="28"/>
      <c r="L86" s="28"/>
      <c r="M86" s="28"/>
      <c r="N86" s="28"/>
    </row>
    <row r="87" ht="15.75" customHeight="1">
      <c r="A87" s="55"/>
      <c r="B87" s="55"/>
      <c r="C87" s="55"/>
      <c r="D87" s="56"/>
      <c r="E87" s="56"/>
      <c r="F87" s="38" t="s">
        <v>15</v>
      </c>
      <c r="G87" s="50"/>
      <c r="H87" s="57">
        <f>VLOOKUP(F86,$A$23:$B$23,2,TRUE)</f>
        <v>4000</v>
      </c>
      <c r="I87" s="52">
        <f t="shared" si="1"/>
        <v>0</v>
      </c>
      <c r="J87" s="56"/>
      <c r="K87" s="28"/>
      <c r="L87" s="28"/>
      <c r="M87" s="28"/>
      <c r="N87" s="28"/>
    </row>
    <row r="88" ht="15.75" customHeight="1">
      <c r="A88" s="55"/>
      <c r="B88" s="55"/>
      <c r="C88" s="55"/>
      <c r="D88" s="14"/>
      <c r="E88" s="14"/>
      <c r="F88" s="38" t="s">
        <v>56</v>
      </c>
      <c r="G88" s="50"/>
      <c r="H88" s="57">
        <f>VLOOKUP(F87,$A$24:$B$24,2,TRUE)</f>
        <v>500</v>
      </c>
      <c r="I88" s="52">
        <f t="shared" si="1"/>
        <v>0</v>
      </c>
      <c r="J88" s="14"/>
      <c r="K88" s="28"/>
      <c r="L88" s="28"/>
      <c r="M88" s="28"/>
      <c r="N88" s="28"/>
    </row>
    <row r="89" ht="15.75" customHeight="1">
      <c r="A89" s="55"/>
      <c r="B89" s="55"/>
      <c r="C89" s="55"/>
      <c r="D89" s="48">
        <v>5.0</v>
      </c>
      <c r="E89" s="49" t="s">
        <v>72</v>
      </c>
      <c r="F89" s="38" t="s">
        <v>17</v>
      </c>
      <c r="G89" s="50"/>
      <c r="H89" s="51">
        <f>VLOOKUP(F89,$A$4:$B$4,2,TRUE)</f>
        <v>3000</v>
      </c>
      <c r="I89" s="52">
        <f t="shared" si="1"/>
        <v>0</v>
      </c>
      <c r="J89" s="53">
        <f>SUM(I89:I109)</f>
        <v>24350</v>
      </c>
      <c r="K89" s="28"/>
      <c r="L89" s="28"/>
      <c r="M89" s="28"/>
      <c r="N89" s="28"/>
    </row>
    <row r="90" ht="15.75" customHeight="1">
      <c r="A90" s="55"/>
      <c r="B90" s="55"/>
      <c r="C90" s="55"/>
      <c r="D90" s="56"/>
      <c r="E90" s="56"/>
      <c r="F90" s="38" t="s">
        <v>49</v>
      </c>
      <c r="G90" s="50"/>
      <c r="H90" s="57">
        <f>VLOOKUP(F90,$A$5:$B$5,2,TRUE)</f>
        <v>3100</v>
      </c>
      <c r="I90" s="52">
        <f t="shared" si="1"/>
        <v>0</v>
      </c>
      <c r="J90" s="56"/>
      <c r="K90" s="28"/>
      <c r="L90" s="28"/>
      <c r="M90" s="28"/>
      <c r="N90" s="28"/>
    </row>
    <row r="91" ht="15.75" customHeight="1">
      <c r="A91" s="55"/>
      <c r="B91" s="55"/>
      <c r="C91" s="55"/>
      <c r="D91" s="56"/>
      <c r="E91" s="56"/>
      <c r="F91" s="38" t="s">
        <v>51</v>
      </c>
      <c r="G91" s="50"/>
      <c r="H91" s="57">
        <f>VLOOKUP(F91,$A$6:$B$6,2,TRUE)</f>
        <v>800</v>
      </c>
      <c r="I91" s="52">
        <f t="shared" si="1"/>
        <v>0</v>
      </c>
      <c r="J91" s="56"/>
      <c r="K91" s="28"/>
      <c r="L91" s="28"/>
      <c r="M91" s="28"/>
      <c r="N91" s="28"/>
    </row>
    <row r="92" ht="15.75" customHeight="1">
      <c r="A92" s="55"/>
      <c r="B92" s="55"/>
      <c r="C92" s="55"/>
      <c r="D92" s="56"/>
      <c r="E92" s="56"/>
      <c r="F92" s="38" t="s">
        <v>20</v>
      </c>
      <c r="G92" s="50"/>
      <c r="H92" s="57">
        <f>VLOOKUP(F92,$A$7:$B$7,2,TRUE)</f>
        <v>2100</v>
      </c>
      <c r="I92" s="52">
        <f t="shared" si="1"/>
        <v>0</v>
      </c>
      <c r="J92" s="56"/>
      <c r="K92" s="28"/>
      <c r="L92" s="28"/>
      <c r="M92" s="28"/>
      <c r="N92" s="28"/>
    </row>
    <row r="93" ht="15.75" customHeight="1">
      <c r="A93" s="55"/>
      <c r="B93" s="55"/>
      <c r="C93" s="55"/>
      <c r="D93" s="56"/>
      <c r="E93" s="56"/>
      <c r="F93" s="38" t="s">
        <v>21</v>
      </c>
      <c r="G93" s="50"/>
      <c r="H93" s="57">
        <f>VLOOKUP(F93, $A$8:$B$8, 2, FALSE)</f>
        <v>2600</v>
      </c>
      <c r="I93" s="52">
        <f t="shared" si="1"/>
        <v>0</v>
      </c>
      <c r="J93" s="56"/>
      <c r="K93" s="28"/>
      <c r="L93" s="28"/>
      <c r="M93" s="28"/>
      <c r="N93" s="28"/>
    </row>
    <row r="94" ht="15.75" customHeight="1">
      <c r="A94" s="55"/>
      <c r="B94" s="55"/>
      <c r="C94" s="55"/>
      <c r="D94" s="56"/>
      <c r="E94" s="56"/>
      <c r="F94" s="38" t="s">
        <v>52</v>
      </c>
      <c r="G94" s="50">
        <v>7.0</v>
      </c>
      <c r="H94" s="57">
        <f>VLOOKUP(F94, $A$9:$B$9, 2, FALSE)</f>
        <v>800</v>
      </c>
      <c r="I94" s="52">
        <f t="shared" si="1"/>
        <v>5600</v>
      </c>
      <c r="J94" s="56"/>
      <c r="K94" s="28"/>
      <c r="L94" s="28"/>
      <c r="M94" s="28"/>
      <c r="N94" s="28"/>
    </row>
    <row r="95" ht="15.75" customHeight="1">
      <c r="A95" s="55"/>
      <c r="B95" s="55"/>
      <c r="C95" s="55"/>
      <c r="D95" s="56"/>
      <c r="E95" s="56"/>
      <c r="F95" s="38" t="s">
        <v>23</v>
      </c>
      <c r="G95" s="50">
        <v>12.5</v>
      </c>
      <c r="H95" s="57">
        <f>VLOOKUP(F95,$A$10:$B$10,2,TRUE)</f>
        <v>1500</v>
      </c>
      <c r="I95" s="52">
        <f t="shared" si="1"/>
        <v>18750</v>
      </c>
      <c r="J95" s="56"/>
      <c r="K95" s="28"/>
      <c r="L95" s="28"/>
      <c r="M95" s="28"/>
      <c r="N95" s="28"/>
    </row>
    <row r="96" ht="15.75" customHeight="1">
      <c r="A96" s="55"/>
      <c r="B96" s="55"/>
      <c r="C96" s="55"/>
      <c r="D96" s="56"/>
      <c r="E96" s="56"/>
      <c r="F96" s="38" t="s">
        <v>24</v>
      </c>
      <c r="G96" s="50"/>
      <c r="H96" s="57">
        <f>VLOOKUP(F96,$A$11:$B$11,2,TRUE)</f>
        <v>1300</v>
      </c>
      <c r="I96" s="52">
        <f t="shared" si="1"/>
        <v>0</v>
      </c>
      <c r="J96" s="56"/>
      <c r="K96" s="28"/>
      <c r="L96" s="28"/>
      <c r="M96" s="28"/>
      <c r="N96" s="28"/>
    </row>
    <row r="97" ht="15.75" customHeight="1">
      <c r="A97" s="55"/>
      <c r="B97" s="55"/>
      <c r="C97" s="55"/>
      <c r="D97" s="56"/>
      <c r="E97" s="56"/>
      <c r="F97" s="38" t="s">
        <v>54</v>
      </c>
      <c r="G97" s="50"/>
      <c r="H97" s="57">
        <f>VLOOKUP(F97,$A$12:$B$12,2,TRUE)</f>
        <v>1000</v>
      </c>
      <c r="I97" s="52">
        <f t="shared" si="1"/>
        <v>0</v>
      </c>
      <c r="J97" s="56"/>
      <c r="K97" s="28"/>
      <c r="L97" s="28"/>
      <c r="M97" s="28"/>
      <c r="N97" s="28"/>
    </row>
    <row r="98" ht="15.75" customHeight="1">
      <c r="A98" s="55"/>
      <c r="B98" s="55"/>
      <c r="C98" s="55"/>
      <c r="D98" s="56"/>
      <c r="E98" s="56"/>
      <c r="F98" s="38" t="s">
        <v>26</v>
      </c>
      <c r="G98" s="50"/>
      <c r="H98" s="57">
        <f>VLOOKUP(F98,$A$13:$B$13,2,TRUE)</f>
        <v>500</v>
      </c>
      <c r="I98" s="52">
        <f t="shared" si="1"/>
        <v>0</v>
      </c>
      <c r="J98" s="56"/>
      <c r="K98" s="28"/>
      <c r="L98" s="28"/>
      <c r="M98" s="28"/>
      <c r="N98" s="28"/>
    </row>
    <row r="99" ht="15.75" customHeight="1">
      <c r="A99" s="55"/>
      <c r="B99" s="55"/>
      <c r="C99" s="55"/>
      <c r="D99" s="56"/>
      <c r="E99" s="56"/>
      <c r="F99" s="38" t="s">
        <v>27</v>
      </c>
      <c r="G99" s="50"/>
      <c r="H99" s="57">
        <f>VLOOKUP(F99,$A$14:$B$14,2,TRUE)</f>
        <v>6500</v>
      </c>
      <c r="I99" s="52">
        <f t="shared" si="1"/>
        <v>0</v>
      </c>
      <c r="J99" s="56"/>
      <c r="K99" s="28"/>
      <c r="L99" s="28"/>
      <c r="M99" s="28"/>
      <c r="N99" s="28"/>
    </row>
    <row r="100" ht="15.75" customHeight="1">
      <c r="A100" s="55"/>
      <c r="B100" s="55"/>
      <c r="C100" s="55"/>
      <c r="D100" s="56"/>
      <c r="E100" s="56"/>
      <c r="F100" s="38" t="s">
        <v>28</v>
      </c>
      <c r="G100" s="50"/>
      <c r="H100" s="57">
        <f>VLOOKUP(F100,$A$15:$B$15,2,TRUE)</f>
        <v>1800</v>
      </c>
      <c r="I100" s="52">
        <f t="shared" si="1"/>
        <v>0</v>
      </c>
      <c r="J100" s="56"/>
      <c r="K100" s="28"/>
      <c r="L100" s="28"/>
      <c r="M100" s="28"/>
      <c r="N100" s="28"/>
    </row>
    <row r="101" ht="15.75" customHeight="1">
      <c r="A101" s="55"/>
      <c r="B101" s="55"/>
      <c r="C101" s="55"/>
      <c r="D101" s="56"/>
      <c r="E101" s="56"/>
      <c r="F101" s="38" t="s">
        <v>29</v>
      </c>
      <c r="G101" s="50"/>
      <c r="H101" s="57">
        <f>VLOOKUP(F101,$A$16:$B$16,2,TRUE)</f>
        <v>1300</v>
      </c>
      <c r="I101" s="52">
        <f t="shared" si="1"/>
        <v>0</v>
      </c>
      <c r="J101" s="56"/>
      <c r="K101" s="28"/>
      <c r="L101" s="28"/>
      <c r="M101" s="28"/>
      <c r="N101" s="28"/>
    </row>
    <row r="102" ht="15.75" customHeight="1">
      <c r="A102" s="55"/>
      <c r="B102" s="55"/>
      <c r="C102" s="55"/>
      <c r="D102" s="56"/>
      <c r="E102" s="56"/>
      <c r="F102" s="38" t="s">
        <v>30</v>
      </c>
      <c r="G102" s="50"/>
      <c r="H102" s="57">
        <f>VLOOKUP(F102,$A$17:$B$17,2,TRUE)</f>
        <v>5000</v>
      </c>
      <c r="I102" s="52">
        <f t="shared" si="1"/>
        <v>0</v>
      </c>
      <c r="J102" s="56"/>
      <c r="K102" s="28"/>
      <c r="L102" s="28"/>
      <c r="M102" s="28"/>
      <c r="N102" s="28"/>
    </row>
    <row r="103" ht="15.75" customHeight="1">
      <c r="A103" s="55"/>
      <c r="B103" s="55"/>
      <c r="C103" s="55"/>
      <c r="D103" s="56"/>
      <c r="E103" s="56"/>
      <c r="F103" s="38" t="s">
        <v>32</v>
      </c>
      <c r="G103" s="50"/>
      <c r="H103" s="57">
        <f>VLOOKUP(F103,$A$18:$B$18,2,TRUE)</f>
        <v>2500</v>
      </c>
      <c r="I103" s="52">
        <f t="shared" si="1"/>
        <v>0</v>
      </c>
      <c r="J103" s="56"/>
      <c r="K103" s="28"/>
      <c r="L103" s="28"/>
      <c r="M103" s="28"/>
      <c r="N103" s="28"/>
    </row>
    <row r="104" ht="15.75" customHeight="1">
      <c r="A104" s="55"/>
      <c r="B104" s="55"/>
      <c r="C104" s="55"/>
      <c r="D104" s="56"/>
      <c r="E104" s="56"/>
      <c r="F104" s="38" t="s">
        <v>34</v>
      </c>
      <c r="G104" s="50"/>
      <c r="H104" s="57">
        <f>VLOOKUP(F104,$A$19:$B$19,2,TRUE)</f>
        <v>9000</v>
      </c>
      <c r="I104" s="52">
        <f t="shared" si="1"/>
        <v>0</v>
      </c>
      <c r="J104" s="56"/>
      <c r="K104" s="28"/>
      <c r="L104" s="28"/>
      <c r="M104" s="28"/>
      <c r="N104" s="28"/>
    </row>
    <row r="105" ht="15.75" customHeight="1">
      <c r="A105" s="55"/>
      <c r="B105" s="55"/>
      <c r="C105" s="55"/>
      <c r="D105" s="56"/>
      <c r="E105" s="56"/>
      <c r="F105" s="38" t="s">
        <v>55</v>
      </c>
      <c r="G105" s="50"/>
      <c r="H105" s="57">
        <f>VLOOKUP(F105,$A$20:$B$20,2,TRUE)</f>
        <v>250</v>
      </c>
      <c r="I105" s="52">
        <f t="shared" si="1"/>
        <v>0</v>
      </c>
      <c r="J105" s="56"/>
      <c r="K105" s="28"/>
      <c r="L105" s="28"/>
      <c r="M105" s="28"/>
      <c r="N105" s="28"/>
    </row>
    <row r="106" ht="15.75" customHeight="1">
      <c r="A106" s="55"/>
      <c r="B106" s="55"/>
      <c r="C106" s="55"/>
      <c r="D106" s="56"/>
      <c r="E106" s="56"/>
      <c r="F106" s="38" t="s">
        <v>13</v>
      </c>
      <c r="G106" s="50"/>
      <c r="H106" s="57">
        <f>VLOOKUP(F106,$A$21:$B$21,2,TRUE)</f>
        <v>300</v>
      </c>
      <c r="I106" s="52">
        <f t="shared" si="1"/>
        <v>0</v>
      </c>
      <c r="J106" s="56"/>
      <c r="K106" s="28"/>
      <c r="L106" s="28"/>
      <c r="M106" s="28"/>
      <c r="N106" s="28"/>
    </row>
    <row r="107" ht="15.75" customHeight="1">
      <c r="A107" s="55"/>
      <c r="B107" s="55"/>
      <c r="C107" s="55"/>
      <c r="D107" s="56"/>
      <c r="E107" s="56"/>
      <c r="F107" s="38" t="s">
        <v>9</v>
      </c>
      <c r="G107" s="50"/>
      <c r="H107" s="57">
        <f>VLOOKUP(F107,$A$22:$B$22,2,TRUE)</f>
        <v>1800</v>
      </c>
      <c r="I107" s="52">
        <f t="shared" si="1"/>
        <v>0</v>
      </c>
      <c r="J107" s="56"/>
      <c r="K107" s="28"/>
      <c r="L107" s="28"/>
      <c r="M107" s="28"/>
      <c r="N107" s="28"/>
    </row>
    <row r="108" ht="15.75" customHeight="1">
      <c r="A108" s="55"/>
      <c r="B108" s="55"/>
      <c r="C108" s="55"/>
      <c r="D108" s="56"/>
      <c r="E108" s="56"/>
      <c r="F108" s="38" t="s">
        <v>15</v>
      </c>
      <c r="G108" s="50"/>
      <c r="H108" s="57">
        <f>VLOOKUP(F107,$A$23:$B$23,2,TRUE)</f>
        <v>4000</v>
      </c>
      <c r="I108" s="52">
        <f t="shared" si="1"/>
        <v>0</v>
      </c>
      <c r="J108" s="56"/>
      <c r="K108" s="28"/>
      <c r="L108" s="28"/>
      <c r="M108" s="28"/>
      <c r="N108" s="28"/>
    </row>
    <row r="109" ht="15.75" customHeight="1">
      <c r="A109" s="55"/>
      <c r="B109" s="55"/>
      <c r="C109" s="55"/>
      <c r="D109" s="14"/>
      <c r="E109" s="14"/>
      <c r="F109" s="38" t="s">
        <v>56</v>
      </c>
      <c r="G109" s="50">
        <v>4.0</v>
      </c>
      <c r="H109" s="57">
        <v>0.0</v>
      </c>
      <c r="I109" s="52">
        <f t="shared" si="1"/>
        <v>0</v>
      </c>
      <c r="J109" s="14"/>
      <c r="K109" s="28"/>
      <c r="L109" s="28"/>
      <c r="M109" s="28"/>
      <c r="N109" s="28"/>
    </row>
    <row r="110" ht="15.75" customHeight="1">
      <c r="A110" s="55"/>
      <c r="B110" s="55"/>
      <c r="C110" s="55"/>
      <c r="D110" s="48">
        <v>6.0</v>
      </c>
      <c r="E110" s="49" t="s">
        <v>73</v>
      </c>
      <c r="F110" s="38" t="s">
        <v>17</v>
      </c>
      <c r="G110" s="50"/>
      <c r="H110" s="51">
        <f>VLOOKUP(F110,$A$4:$B$4,2,TRUE)</f>
        <v>3000</v>
      </c>
      <c r="I110" s="52">
        <f t="shared" si="1"/>
        <v>0</v>
      </c>
      <c r="J110" s="53">
        <f>SUM(I110:I130)</f>
        <v>32900</v>
      </c>
      <c r="K110" s="28"/>
      <c r="L110" s="28"/>
      <c r="M110" s="28"/>
      <c r="N110" s="28"/>
    </row>
    <row r="111" ht="15.75" customHeight="1">
      <c r="A111" s="55"/>
      <c r="B111" s="55"/>
      <c r="C111" s="55"/>
      <c r="D111" s="56"/>
      <c r="E111" s="56"/>
      <c r="F111" s="38" t="s">
        <v>49</v>
      </c>
      <c r="G111" s="50"/>
      <c r="H111" s="57">
        <f>VLOOKUP(F111,$A$5:$B$5,2,TRUE)</f>
        <v>3100</v>
      </c>
      <c r="I111" s="52">
        <f t="shared" si="1"/>
        <v>0</v>
      </c>
      <c r="J111" s="56"/>
      <c r="K111" s="28"/>
      <c r="L111" s="28"/>
      <c r="M111" s="28"/>
      <c r="N111" s="28"/>
    </row>
    <row r="112" ht="15.75" customHeight="1">
      <c r="A112" s="55"/>
      <c r="B112" s="55"/>
      <c r="C112" s="55"/>
      <c r="D112" s="56"/>
      <c r="E112" s="56"/>
      <c r="F112" s="38" t="s">
        <v>51</v>
      </c>
      <c r="G112" s="50"/>
      <c r="H112" s="57">
        <f>VLOOKUP(F112,$A$6:$B$6,2,TRUE)</f>
        <v>800</v>
      </c>
      <c r="I112" s="52">
        <f t="shared" si="1"/>
        <v>0</v>
      </c>
      <c r="J112" s="56"/>
      <c r="K112" s="28"/>
      <c r="L112" s="28"/>
      <c r="M112" s="28"/>
      <c r="N112" s="28"/>
    </row>
    <row r="113" ht="15.75" customHeight="1">
      <c r="A113" s="55"/>
      <c r="B113" s="55"/>
      <c r="C113" s="55"/>
      <c r="D113" s="56"/>
      <c r="E113" s="56"/>
      <c r="F113" s="38" t="s">
        <v>20</v>
      </c>
      <c r="G113" s="50"/>
      <c r="H113" s="57">
        <f>VLOOKUP(F113,$A$7:$B$7,2,TRUE)</f>
        <v>2100</v>
      </c>
      <c r="I113" s="52">
        <f t="shared" si="1"/>
        <v>0</v>
      </c>
      <c r="J113" s="56"/>
      <c r="K113" s="28"/>
      <c r="L113" s="28"/>
      <c r="M113" s="28"/>
      <c r="N113" s="28"/>
    </row>
    <row r="114" ht="15.75" customHeight="1">
      <c r="A114" s="55"/>
      <c r="B114" s="55"/>
      <c r="C114" s="55"/>
      <c r="D114" s="56"/>
      <c r="E114" s="56"/>
      <c r="F114" s="38" t="s">
        <v>21</v>
      </c>
      <c r="G114" s="50"/>
      <c r="H114" s="57">
        <f>VLOOKUP(F114, $A$8:$B$8, 2, FALSE)</f>
        <v>2600</v>
      </c>
      <c r="I114" s="52">
        <f t="shared" si="1"/>
        <v>0</v>
      </c>
      <c r="J114" s="56"/>
      <c r="K114" s="28"/>
      <c r="L114" s="28"/>
      <c r="M114" s="28"/>
      <c r="N114" s="28"/>
    </row>
    <row r="115" ht="15.75" customHeight="1">
      <c r="A115" s="55"/>
      <c r="B115" s="55"/>
      <c r="C115" s="55"/>
      <c r="D115" s="56"/>
      <c r="E115" s="56"/>
      <c r="F115" s="38" t="s">
        <v>52</v>
      </c>
      <c r="G115" s="50">
        <v>6.0</v>
      </c>
      <c r="H115" s="57">
        <f>VLOOKUP(F115, $A$9:$B$9, 2, FALSE)</f>
        <v>800</v>
      </c>
      <c r="I115" s="52">
        <f t="shared" si="1"/>
        <v>4800</v>
      </c>
      <c r="J115" s="56"/>
      <c r="K115" s="28"/>
      <c r="L115" s="28"/>
      <c r="M115" s="28"/>
      <c r="N115" s="28"/>
    </row>
    <row r="116" ht="15.75" customHeight="1">
      <c r="A116" s="55"/>
      <c r="B116" s="55"/>
      <c r="C116" s="55"/>
      <c r="D116" s="56"/>
      <c r="E116" s="56"/>
      <c r="F116" s="38" t="s">
        <v>23</v>
      </c>
      <c r="G116" s="50"/>
      <c r="H116" s="57">
        <f>VLOOKUP(F116,$A$10:$B$10,2,TRUE)</f>
        <v>1500</v>
      </c>
      <c r="I116" s="52">
        <f t="shared" si="1"/>
        <v>0</v>
      </c>
      <c r="J116" s="56"/>
      <c r="K116" s="28"/>
      <c r="L116" s="28"/>
      <c r="M116" s="28"/>
      <c r="N116" s="28"/>
    </row>
    <row r="117" ht="15.75" customHeight="1">
      <c r="A117" s="55"/>
      <c r="B117" s="55"/>
      <c r="C117" s="55"/>
      <c r="D117" s="56"/>
      <c r="E117" s="56"/>
      <c r="F117" s="38" t="s">
        <v>24</v>
      </c>
      <c r="G117" s="50"/>
      <c r="H117" s="57">
        <f>VLOOKUP(F117,$A$11:$B$11,2,TRUE)</f>
        <v>1300</v>
      </c>
      <c r="I117" s="52">
        <f t="shared" si="1"/>
        <v>0</v>
      </c>
      <c r="J117" s="56"/>
      <c r="K117" s="28"/>
      <c r="L117" s="28"/>
      <c r="M117" s="28"/>
      <c r="N117" s="28"/>
    </row>
    <row r="118" ht="15.75" customHeight="1">
      <c r="A118" s="55"/>
      <c r="B118" s="55"/>
      <c r="C118" s="55"/>
      <c r="D118" s="56"/>
      <c r="E118" s="56"/>
      <c r="F118" s="38" t="s">
        <v>54</v>
      </c>
      <c r="G118" s="50"/>
      <c r="H118" s="57">
        <f>VLOOKUP(F118,$A$12:$B$12,2,TRUE)</f>
        <v>1000</v>
      </c>
      <c r="I118" s="52">
        <f t="shared" si="1"/>
        <v>0</v>
      </c>
      <c r="J118" s="56"/>
      <c r="K118" s="28"/>
      <c r="L118" s="28"/>
      <c r="M118" s="28"/>
      <c r="N118" s="28"/>
    </row>
    <row r="119" ht="15.75" customHeight="1">
      <c r="A119" s="55"/>
      <c r="B119" s="55"/>
      <c r="C119" s="55"/>
      <c r="D119" s="56"/>
      <c r="E119" s="56"/>
      <c r="F119" s="38" t="s">
        <v>26</v>
      </c>
      <c r="G119" s="50"/>
      <c r="H119" s="57">
        <f>VLOOKUP(F119,$A$13:$B$13,2,TRUE)</f>
        <v>500</v>
      </c>
      <c r="I119" s="52">
        <f t="shared" si="1"/>
        <v>0</v>
      </c>
      <c r="J119" s="56"/>
      <c r="K119" s="28"/>
      <c r="L119" s="28"/>
      <c r="M119" s="28"/>
      <c r="N119" s="28"/>
    </row>
    <row r="120" ht="15.75" customHeight="1">
      <c r="A120" s="55"/>
      <c r="B120" s="55"/>
      <c r="C120" s="55"/>
      <c r="D120" s="56"/>
      <c r="E120" s="56"/>
      <c r="F120" s="38" t="s">
        <v>27</v>
      </c>
      <c r="G120" s="50"/>
      <c r="H120" s="57">
        <f>VLOOKUP(F120,$A$14:$B$14,2,TRUE)</f>
        <v>6500</v>
      </c>
      <c r="I120" s="52">
        <f t="shared" si="1"/>
        <v>0</v>
      </c>
      <c r="J120" s="56"/>
      <c r="K120" s="28"/>
      <c r="L120" s="28"/>
      <c r="M120" s="28"/>
      <c r="N120" s="28"/>
    </row>
    <row r="121" ht="15.75" customHeight="1">
      <c r="A121" s="55"/>
      <c r="B121" s="55"/>
      <c r="C121" s="55"/>
      <c r="D121" s="56"/>
      <c r="E121" s="56"/>
      <c r="F121" s="38" t="s">
        <v>28</v>
      </c>
      <c r="G121" s="50"/>
      <c r="H121" s="57">
        <f>VLOOKUP(F121,$A$15:$B$15,2,TRUE)</f>
        <v>1800</v>
      </c>
      <c r="I121" s="52">
        <f t="shared" si="1"/>
        <v>0</v>
      </c>
      <c r="J121" s="56"/>
      <c r="K121" s="28"/>
      <c r="L121" s="28"/>
      <c r="M121" s="28"/>
      <c r="N121" s="28"/>
    </row>
    <row r="122" ht="15.75" customHeight="1">
      <c r="A122" s="55"/>
      <c r="B122" s="55"/>
      <c r="C122" s="55"/>
      <c r="D122" s="56"/>
      <c r="E122" s="56"/>
      <c r="F122" s="38" t="s">
        <v>29</v>
      </c>
      <c r="G122" s="50"/>
      <c r="H122" s="57">
        <f>VLOOKUP(F122,$A$16:$B$16,2,TRUE)</f>
        <v>1300</v>
      </c>
      <c r="I122" s="52">
        <f t="shared" si="1"/>
        <v>0</v>
      </c>
      <c r="J122" s="56"/>
      <c r="K122" s="28"/>
      <c r="L122" s="28"/>
      <c r="M122" s="28"/>
      <c r="N122" s="28"/>
    </row>
    <row r="123" ht="15.75" customHeight="1">
      <c r="A123" s="55"/>
      <c r="B123" s="55"/>
      <c r="C123" s="55"/>
      <c r="D123" s="56"/>
      <c r="E123" s="56"/>
      <c r="F123" s="38" t="s">
        <v>30</v>
      </c>
      <c r="G123" s="50"/>
      <c r="H123" s="57">
        <f>VLOOKUP(F123,$A$17:$B$17,2,TRUE)</f>
        <v>5000</v>
      </c>
      <c r="I123" s="52">
        <f t="shared" si="1"/>
        <v>0</v>
      </c>
      <c r="J123" s="56"/>
      <c r="K123" s="28"/>
      <c r="L123" s="28"/>
      <c r="M123" s="28"/>
      <c r="N123" s="28"/>
    </row>
    <row r="124" ht="15.75" customHeight="1">
      <c r="A124" s="55"/>
      <c r="B124" s="55"/>
      <c r="C124" s="55"/>
      <c r="D124" s="56"/>
      <c r="E124" s="56"/>
      <c r="F124" s="38" t="s">
        <v>32</v>
      </c>
      <c r="G124" s="50"/>
      <c r="H124" s="57">
        <f>VLOOKUP(F124,$A$18:$B$18,2,TRUE)</f>
        <v>2500</v>
      </c>
      <c r="I124" s="52">
        <f t="shared" si="1"/>
        <v>0</v>
      </c>
      <c r="J124" s="56"/>
      <c r="K124" s="28"/>
      <c r="L124" s="28"/>
      <c r="M124" s="28"/>
      <c r="N124" s="28"/>
    </row>
    <row r="125" ht="15.75" customHeight="1">
      <c r="A125" s="55"/>
      <c r="B125" s="55"/>
      <c r="C125" s="55"/>
      <c r="D125" s="56"/>
      <c r="E125" s="56"/>
      <c r="F125" s="38" t="s">
        <v>34</v>
      </c>
      <c r="G125" s="50"/>
      <c r="H125" s="57">
        <f>VLOOKUP(F125,$A$19:$B$19,2,TRUE)</f>
        <v>9000</v>
      </c>
      <c r="I125" s="52">
        <f t="shared" si="1"/>
        <v>0</v>
      </c>
      <c r="J125" s="56"/>
      <c r="K125" s="28"/>
      <c r="L125" s="28"/>
      <c r="M125" s="28"/>
      <c r="N125" s="28"/>
    </row>
    <row r="126" ht="15.75" customHeight="1">
      <c r="A126" s="55"/>
      <c r="B126" s="55"/>
      <c r="C126" s="55"/>
      <c r="D126" s="56"/>
      <c r="E126" s="56"/>
      <c r="F126" s="38" t="s">
        <v>55</v>
      </c>
      <c r="G126" s="50"/>
      <c r="H126" s="57">
        <f>VLOOKUP(F126,$A$20:$B$20,2,TRUE)</f>
        <v>250</v>
      </c>
      <c r="I126" s="52">
        <f t="shared" si="1"/>
        <v>0</v>
      </c>
      <c r="J126" s="56"/>
      <c r="K126" s="28"/>
      <c r="L126" s="28"/>
      <c r="M126" s="28"/>
      <c r="N126" s="28"/>
    </row>
    <row r="127" ht="15.75" customHeight="1">
      <c r="A127" s="55"/>
      <c r="B127" s="55"/>
      <c r="C127" s="55"/>
      <c r="D127" s="56"/>
      <c r="E127" s="56"/>
      <c r="F127" s="38" t="s">
        <v>13</v>
      </c>
      <c r="G127" s="50">
        <v>7.0</v>
      </c>
      <c r="H127" s="57">
        <f>VLOOKUP(F127,$A$21:$B$21,2,TRUE)</f>
        <v>300</v>
      </c>
      <c r="I127" s="52">
        <f t="shared" si="1"/>
        <v>2100</v>
      </c>
      <c r="J127" s="56"/>
      <c r="K127" s="28"/>
      <c r="L127" s="28"/>
      <c r="M127" s="28"/>
      <c r="N127" s="28"/>
    </row>
    <row r="128" ht="15.75" customHeight="1">
      <c r="A128" s="55"/>
      <c r="B128" s="55"/>
      <c r="C128" s="55"/>
      <c r="D128" s="56"/>
      <c r="E128" s="56"/>
      <c r="F128" s="38" t="s">
        <v>9</v>
      </c>
      <c r="G128" s="50"/>
      <c r="H128" s="57">
        <f>VLOOKUP(F128,$A$22:$B$22,2,TRUE)</f>
        <v>1800</v>
      </c>
      <c r="I128" s="52">
        <f t="shared" si="1"/>
        <v>0</v>
      </c>
      <c r="J128" s="56"/>
      <c r="K128" s="28"/>
      <c r="L128" s="28"/>
      <c r="M128" s="28"/>
      <c r="N128" s="28"/>
    </row>
    <row r="129" ht="15.75" customHeight="1">
      <c r="A129" s="55"/>
      <c r="B129" s="55"/>
      <c r="C129" s="55"/>
      <c r="D129" s="56"/>
      <c r="E129" s="56"/>
      <c r="F129" s="38" t="s">
        <v>15</v>
      </c>
      <c r="G129" s="50">
        <v>6.5</v>
      </c>
      <c r="H129" s="57">
        <f>VLOOKUP(F128,$A$23:$B$23,2,TRUE)</f>
        <v>4000</v>
      </c>
      <c r="I129" s="52">
        <f t="shared" si="1"/>
        <v>26000</v>
      </c>
      <c r="J129" s="56"/>
      <c r="K129" s="28"/>
      <c r="L129" s="28"/>
      <c r="M129" s="28"/>
      <c r="N129" s="28"/>
    </row>
    <row r="130" ht="15.75" customHeight="1">
      <c r="A130" s="55"/>
      <c r="B130" s="55"/>
      <c r="C130" s="55"/>
      <c r="D130" s="14"/>
      <c r="E130" s="14"/>
      <c r="F130" s="38" t="s">
        <v>56</v>
      </c>
      <c r="G130" s="50"/>
      <c r="H130" s="57">
        <f>VLOOKUP(F129,$A$24:$B$24,2,TRUE)</f>
        <v>500</v>
      </c>
      <c r="I130" s="52">
        <f t="shared" si="1"/>
        <v>0</v>
      </c>
      <c r="J130" s="14"/>
      <c r="K130" s="28"/>
      <c r="L130" s="28"/>
      <c r="M130" s="28"/>
      <c r="N130" s="28"/>
    </row>
    <row r="131" ht="15.75" customHeight="1">
      <c r="A131" s="55"/>
      <c r="B131" s="55"/>
      <c r="C131" s="55"/>
      <c r="D131" s="48">
        <v>7.0</v>
      </c>
      <c r="E131" s="49" t="s">
        <v>74</v>
      </c>
      <c r="F131" s="38" t="s">
        <v>17</v>
      </c>
      <c r="G131" s="50"/>
      <c r="H131" s="51">
        <f>VLOOKUP(F131,$A$4:$B$4,2,TRUE)</f>
        <v>3000</v>
      </c>
      <c r="I131" s="52">
        <f t="shared" si="1"/>
        <v>0</v>
      </c>
      <c r="J131" s="53">
        <f>SUM(I131:I151)</f>
        <v>5600</v>
      </c>
      <c r="K131" s="28"/>
      <c r="L131" s="28"/>
      <c r="M131" s="28"/>
      <c r="N131" s="28"/>
    </row>
    <row r="132" ht="15.75" customHeight="1">
      <c r="A132" s="55"/>
      <c r="B132" s="55"/>
      <c r="C132" s="55"/>
      <c r="D132" s="56"/>
      <c r="E132" s="56"/>
      <c r="F132" s="38" t="s">
        <v>49</v>
      </c>
      <c r="G132" s="50"/>
      <c r="H132" s="57">
        <f>VLOOKUP(F132,$A$5:$B$5,2,TRUE)</f>
        <v>3100</v>
      </c>
      <c r="I132" s="52">
        <f t="shared" si="1"/>
        <v>0</v>
      </c>
      <c r="J132" s="56"/>
      <c r="K132" s="28"/>
      <c r="L132" s="28"/>
      <c r="M132" s="28"/>
      <c r="N132" s="28"/>
    </row>
    <row r="133" ht="15.75" customHeight="1">
      <c r="A133" s="55"/>
      <c r="B133" s="55"/>
      <c r="C133" s="55"/>
      <c r="D133" s="56"/>
      <c r="E133" s="56"/>
      <c r="F133" s="38" t="s">
        <v>51</v>
      </c>
      <c r="G133" s="50"/>
      <c r="H133" s="57">
        <f>VLOOKUP(F133,$A$6:$B$6,2,TRUE)</f>
        <v>800</v>
      </c>
      <c r="I133" s="52">
        <f t="shared" si="1"/>
        <v>0</v>
      </c>
      <c r="J133" s="56"/>
      <c r="K133" s="28"/>
      <c r="L133" s="28"/>
      <c r="M133" s="28"/>
      <c r="N133" s="28"/>
    </row>
    <row r="134" ht="15.75" customHeight="1">
      <c r="A134" s="55"/>
      <c r="B134" s="55"/>
      <c r="C134" s="55"/>
      <c r="D134" s="56"/>
      <c r="E134" s="56"/>
      <c r="F134" s="38" t="s">
        <v>20</v>
      </c>
      <c r="G134" s="50"/>
      <c r="H134" s="57">
        <f>VLOOKUP(F134,$A$7:$B$7,2,TRUE)</f>
        <v>2100</v>
      </c>
      <c r="I134" s="52">
        <f t="shared" si="1"/>
        <v>0</v>
      </c>
      <c r="J134" s="56"/>
      <c r="K134" s="28"/>
      <c r="L134" s="28"/>
      <c r="M134" s="28"/>
      <c r="N134" s="28"/>
    </row>
    <row r="135" ht="15.75" customHeight="1">
      <c r="A135" s="55"/>
      <c r="B135" s="55"/>
      <c r="C135" s="55"/>
      <c r="D135" s="56"/>
      <c r="E135" s="56"/>
      <c r="F135" s="38" t="s">
        <v>21</v>
      </c>
      <c r="G135" s="50"/>
      <c r="H135" s="57">
        <f>VLOOKUP(F135, $A$8:$B$8, 2, FALSE)</f>
        <v>2600</v>
      </c>
      <c r="I135" s="52">
        <f t="shared" si="1"/>
        <v>0</v>
      </c>
      <c r="J135" s="56"/>
      <c r="K135" s="28"/>
      <c r="L135" s="28"/>
      <c r="M135" s="28"/>
      <c r="N135" s="28"/>
    </row>
    <row r="136" ht="15.75" customHeight="1">
      <c r="A136" s="55"/>
      <c r="B136" s="55"/>
      <c r="C136" s="55"/>
      <c r="D136" s="56"/>
      <c r="E136" s="56"/>
      <c r="F136" s="38" t="s">
        <v>52</v>
      </c>
      <c r="G136" s="50">
        <v>7.0</v>
      </c>
      <c r="H136" s="57">
        <f>VLOOKUP(F136, $A$9:$B$9, 2, FALSE)</f>
        <v>800</v>
      </c>
      <c r="I136" s="52">
        <f t="shared" si="1"/>
        <v>5600</v>
      </c>
      <c r="J136" s="56"/>
      <c r="K136" s="28"/>
      <c r="L136" s="28"/>
      <c r="M136" s="28"/>
      <c r="N136" s="28"/>
    </row>
    <row r="137" ht="15.75" customHeight="1">
      <c r="A137" s="55"/>
      <c r="B137" s="55"/>
      <c r="C137" s="55"/>
      <c r="D137" s="56"/>
      <c r="E137" s="56"/>
      <c r="F137" s="38" t="s">
        <v>23</v>
      </c>
      <c r="G137" s="50"/>
      <c r="H137" s="57">
        <f>VLOOKUP(F137,$A$10:$B$10,2,TRUE)</f>
        <v>1500</v>
      </c>
      <c r="I137" s="52">
        <f t="shared" si="1"/>
        <v>0</v>
      </c>
      <c r="J137" s="56"/>
      <c r="K137" s="28"/>
      <c r="L137" s="28"/>
      <c r="M137" s="28"/>
      <c r="N137" s="28"/>
    </row>
    <row r="138" ht="15.75" customHeight="1">
      <c r="A138" s="55"/>
      <c r="B138" s="55"/>
      <c r="C138" s="55"/>
      <c r="D138" s="56"/>
      <c r="E138" s="56"/>
      <c r="F138" s="38" t="s">
        <v>24</v>
      </c>
      <c r="G138" s="50"/>
      <c r="H138" s="57">
        <f>VLOOKUP(F138,$A$11:$B$11,2,TRUE)</f>
        <v>1300</v>
      </c>
      <c r="I138" s="52">
        <f t="shared" si="1"/>
        <v>0</v>
      </c>
      <c r="J138" s="56"/>
      <c r="K138" s="28"/>
      <c r="L138" s="28"/>
      <c r="M138" s="28"/>
      <c r="N138" s="28"/>
    </row>
    <row r="139" ht="15.75" customHeight="1">
      <c r="A139" s="55"/>
      <c r="B139" s="55"/>
      <c r="C139" s="55"/>
      <c r="D139" s="56"/>
      <c r="E139" s="56"/>
      <c r="F139" s="38" t="s">
        <v>54</v>
      </c>
      <c r="G139" s="50"/>
      <c r="H139" s="57">
        <f>VLOOKUP(F139,$A$12:$B$12,2,TRUE)</f>
        <v>1000</v>
      </c>
      <c r="I139" s="52">
        <f t="shared" si="1"/>
        <v>0</v>
      </c>
      <c r="J139" s="56"/>
      <c r="K139" s="28"/>
      <c r="L139" s="28"/>
      <c r="M139" s="28"/>
      <c r="N139" s="28"/>
    </row>
    <row r="140" ht="15.75" customHeight="1">
      <c r="A140" s="55"/>
      <c r="B140" s="55"/>
      <c r="C140" s="55"/>
      <c r="D140" s="56"/>
      <c r="E140" s="56"/>
      <c r="F140" s="38" t="s">
        <v>26</v>
      </c>
      <c r="G140" s="50"/>
      <c r="H140" s="57">
        <f>VLOOKUP(F140,$A$13:$B$13,2,TRUE)</f>
        <v>500</v>
      </c>
      <c r="I140" s="52">
        <f t="shared" si="1"/>
        <v>0</v>
      </c>
      <c r="J140" s="56"/>
      <c r="K140" s="28"/>
      <c r="L140" s="28"/>
      <c r="M140" s="28"/>
      <c r="N140" s="28"/>
    </row>
    <row r="141" ht="15.75" customHeight="1">
      <c r="A141" s="55"/>
      <c r="B141" s="55"/>
      <c r="C141" s="55"/>
      <c r="D141" s="56"/>
      <c r="E141" s="56"/>
      <c r="F141" s="38" t="s">
        <v>27</v>
      </c>
      <c r="G141" s="50"/>
      <c r="H141" s="57">
        <f>VLOOKUP(F141,$A$14:$B$14,2,TRUE)</f>
        <v>6500</v>
      </c>
      <c r="I141" s="52">
        <f t="shared" si="1"/>
        <v>0</v>
      </c>
      <c r="J141" s="56"/>
      <c r="K141" s="28"/>
      <c r="L141" s="28"/>
      <c r="M141" s="28"/>
      <c r="N141" s="28"/>
    </row>
    <row r="142" ht="15.75" customHeight="1">
      <c r="A142" s="55"/>
      <c r="B142" s="55"/>
      <c r="C142" s="55"/>
      <c r="D142" s="56"/>
      <c r="E142" s="56"/>
      <c r="F142" s="38" t="s">
        <v>28</v>
      </c>
      <c r="G142" s="50"/>
      <c r="H142" s="57">
        <f>VLOOKUP(F142,$A$15:$B$15,2,TRUE)</f>
        <v>1800</v>
      </c>
      <c r="I142" s="52">
        <f t="shared" si="1"/>
        <v>0</v>
      </c>
      <c r="J142" s="56"/>
      <c r="K142" s="28"/>
      <c r="L142" s="28"/>
      <c r="M142" s="28"/>
      <c r="N142" s="28"/>
    </row>
    <row r="143" ht="15.75" customHeight="1">
      <c r="A143" s="55"/>
      <c r="B143" s="55"/>
      <c r="C143" s="55"/>
      <c r="D143" s="56"/>
      <c r="E143" s="56"/>
      <c r="F143" s="38" t="s">
        <v>29</v>
      </c>
      <c r="G143" s="50"/>
      <c r="H143" s="57">
        <f>VLOOKUP(F143,$A$16:$B$16,2,TRUE)</f>
        <v>1300</v>
      </c>
      <c r="I143" s="52">
        <f t="shared" si="1"/>
        <v>0</v>
      </c>
      <c r="J143" s="56"/>
      <c r="K143" s="28"/>
      <c r="L143" s="28"/>
      <c r="M143" s="28"/>
      <c r="N143" s="28"/>
    </row>
    <row r="144" ht="15.75" customHeight="1">
      <c r="A144" s="55"/>
      <c r="B144" s="55"/>
      <c r="C144" s="55"/>
      <c r="D144" s="56"/>
      <c r="E144" s="56"/>
      <c r="F144" s="38" t="s">
        <v>30</v>
      </c>
      <c r="G144" s="50"/>
      <c r="H144" s="57">
        <f>VLOOKUP(F144,$A$17:$B$17,2,TRUE)</f>
        <v>5000</v>
      </c>
      <c r="I144" s="52">
        <f t="shared" si="1"/>
        <v>0</v>
      </c>
      <c r="J144" s="56"/>
      <c r="K144" s="28"/>
      <c r="L144" s="28"/>
      <c r="M144" s="28"/>
      <c r="N144" s="28"/>
    </row>
    <row r="145" ht="15.75" customHeight="1">
      <c r="A145" s="55"/>
      <c r="B145" s="55"/>
      <c r="C145" s="55"/>
      <c r="D145" s="56"/>
      <c r="E145" s="56"/>
      <c r="F145" s="38" t="s">
        <v>32</v>
      </c>
      <c r="G145" s="50"/>
      <c r="H145" s="57">
        <f>VLOOKUP(F145,$A$18:$B$18,2,TRUE)</f>
        <v>2500</v>
      </c>
      <c r="I145" s="52">
        <f t="shared" si="1"/>
        <v>0</v>
      </c>
      <c r="J145" s="56"/>
      <c r="K145" s="28"/>
      <c r="L145" s="28"/>
      <c r="M145" s="28"/>
      <c r="N145" s="28"/>
    </row>
    <row r="146" ht="15.75" customHeight="1">
      <c r="A146" s="55"/>
      <c r="B146" s="55"/>
      <c r="C146" s="55"/>
      <c r="D146" s="56"/>
      <c r="E146" s="56"/>
      <c r="F146" s="38" t="s">
        <v>34</v>
      </c>
      <c r="G146" s="50"/>
      <c r="H146" s="57">
        <f>VLOOKUP(F146,$A$19:$B$19,2,TRUE)</f>
        <v>9000</v>
      </c>
      <c r="I146" s="52">
        <f t="shared" si="1"/>
        <v>0</v>
      </c>
      <c r="J146" s="56"/>
      <c r="K146" s="28"/>
      <c r="L146" s="28"/>
      <c r="M146" s="28"/>
      <c r="N146" s="28"/>
    </row>
    <row r="147" ht="15.75" customHeight="1">
      <c r="A147" s="55"/>
      <c r="B147" s="55"/>
      <c r="C147" s="55"/>
      <c r="D147" s="56"/>
      <c r="E147" s="56"/>
      <c r="F147" s="38" t="s">
        <v>55</v>
      </c>
      <c r="G147" s="50"/>
      <c r="H147" s="57">
        <f>VLOOKUP(F147,$A$20:$B$20,2,TRUE)</f>
        <v>250</v>
      </c>
      <c r="I147" s="52">
        <f t="shared" si="1"/>
        <v>0</v>
      </c>
      <c r="J147" s="56"/>
      <c r="K147" s="28"/>
      <c r="L147" s="28"/>
      <c r="M147" s="28"/>
      <c r="N147" s="28"/>
    </row>
    <row r="148" ht="15.75" customHeight="1">
      <c r="A148" s="55"/>
      <c r="B148" s="55"/>
      <c r="C148" s="55"/>
      <c r="D148" s="56"/>
      <c r="E148" s="56"/>
      <c r="F148" s="38" t="s">
        <v>13</v>
      </c>
      <c r="G148" s="50"/>
      <c r="H148" s="57">
        <f>VLOOKUP(F148,$A$21:$B$21,2,TRUE)</f>
        <v>300</v>
      </c>
      <c r="I148" s="52">
        <f t="shared" si="1"/>
        <v>0</v>
      </c>
      <c r="J148" s="56"/>
      <c r="K148" s="28"/>
      <c r="L148" s="28"/>
      <c r="M148" s="28"/>
      <c r="N148" s="28"/>
    </row>
    <row r="149" ht="15.75" customHeight="1">
      <c r="A149" s="55"/>
      <c r="B149" s="55"/>
      <c r="C149" s="55"/>
      <c r="D149" s="56"/>
      <c r="E149" s="56"/>
      <c r="F149" s="38" t="s">
        <v>9</v>
      </c>
      <c r="G149" s="50"/>
      <c r="H149" s="57">
        <f>VLOOKUP(F149,$A$22:$B$22,2,TRUE)</f>
        <v>1800</v>
      </c>
      <c r="I149" s="52">
        <f t="shared" si="1"/>
        <v>0</v>
      </c>
      <c r="J149" s="56"/>
      <c r="K149" s="28"/>
      <c r="L149" s="28"/>
      <c r="M149" s="28"/>
      <c r="N149" s="28"/>
    </row>
    <row r="150" ht="15.75" customHeight="1">
      <c r="A150" s="55"/>
      <c r="B150" s="55"/>
      <c r="C150" s="55"/>
      <c r="D150" s="56"/>
      <c r="E150" s="56"/>
      <c r="F150" s="38" t="s">
        <v>15</v>
      </c>
      <c r="G150" s="50"/>
      <c r="H150" s="57">
        <f>VLOOKUP(F149,$A$23:$B$23,2,TRUE)</f>
        <v>4000</v>
      </c>
      <c r="I150" s="52">
        <f t="shared" si="1"/>
        <v>0</v>
      </c>
      <c r="J150" s="56"/>
      <c r="K150" s="28"/>
      <c r="L150" s="28"/>
      <c r="M150" s="28"/>
      <c r="N150" s="28"/>
    </row>
    <row r="151" ht="15.75" customHeight="1">
      <c r="A151" s="55"/>
      <c r="B151" s="55"/>
      <c r="C151" s="55"/>
      <c r="D151" s="14"/>
      <c r="E151" s="14"/>
      <c r="F151" s="38" t="s">
        <v>56</v>
      </c>
      <c r="G151" s="50">
        <v>2.5</v>
      </c>
      <c r="H151" s="57">
        <v>0.0</v>
      </c>
      <c r="I151" s="52">
        <f t="shared" si="1"/>
        <v>0</v>
      </c>
      <c r="J151" s="14"/>
      <c r="K151" s="28"/>
      <c r="L151" s="28"/>
      <c r="M151" s="28"/>
      <c r="N151" s="28"/>
    </row>
    <row r="152" ht="15.75" customHeight="1">
      <c r="A152" s="55"/>
      <c r="B152" s="55"/>
      <c r="C152" s="55"/>
      <c r="D152" s="48">
        <v>8.0</v>
      </c>
      <c r="E152" s="49" t="s">
        <v>75</v>
      </c>
      <c r="F152" s="38" t="s">
        <v>17</v>
      </c>
      <c r="G152" s="50">
        <v>2.0</v>
      </c>
      <c r="H152" s="51">
        <f>VLOOKUP(F152,$A$4:$B$4,2,TRUE)</f>
        <v>3000</v>
      </c>
      <c r="I152" s="52">
        <f t="shared" si="1"/>
        <v>6000</v>
      </c>
      <c r="J152" s="53">
        <f>SUM(I152:I172)</f>
        <v>50800</v>
      </c>
      <c r="K152" s="28"/>
      <c r="L152" s="28"/>
      <c r="M152" s="28"/>
      <c r="N152" s="28"/>
    </row>
    <row r="153" ht="15.75" customHeight="1">
      <c r="A153" s="55"/>
      <c r="B153" s="55"/>
      <c r="C153" s="55"/>
      <c r="D153" s="56"/>
      <c r="E153" s="56"/>
      <c r="F153" s="38" t="s">
        <v>49</v>
      </c>
      <c r="G153" s="50">
        <v>4.5</v>
      </c>
      <c r="H153" s="57">
        <f>VLOOKUP(F153,$A$5:$B$5,2,TRUE)</f>
        <v>3100</v>
      </c>
      <c r="I153" s="52">
        <f t="shared" si="1"/>
        <v>13950</v>
      </c>
      <c r="J153" s="56"/>
      <c r="K153" s="28"/>
      <c r="L153" s="28"/>
      <c r="M153" s="28"/>
      <c r="N153" s="28"/>
    </row>
    <row r="154" ht="15.75" customHeight="1">
      <c r="A154" s="55"/>
      <c r="B154" s="55"/>
      <c r="C154" s="55"/>
      <c r="D154" s="56"/>
      <c r="E154" s="56"/>
      <c r="F154" s="38" t="s">
        <v>51</v>
      </c>
      <c r="G154" s="50"/>
      <c r="H154" s="57">
        <f>VLOOKUP(F154,$A$6:$B$6,2,TRUE)</f>
        <v>800</v>
      </c>
      <c r="I154" s="52">
        <f t="shared" si="1"/>
        <v>0</v>
      </c>
      <c r="J154" s="56"/>
      <c r="K154" s="28"/>
      <c r="L154" s="28"/>
      <c r="M154" s="28"/>
      <c r="N154" s="28"/>
    </row>
    <row r="155" ht="15.75" customHeight="1">
      <c r="A155" s="55"/>
      <c r="B155" s="55"/>
      <c r="C155" s="55"/>
      <c r="D155" s="56"/>
      <c r="E155" s="56"/>
      <c r="F155" s="38" t="s">
        <v>20</v>
      </c>
      <c r="G155" s="50"/>
      <c r="H155" s="57">
        <f>VLOOKUP(F155,$A$7:$B$7,2,TRUE)</f>
        <v>2100</v>
      </c>
      <c r="I155" s="52">
        <f t="shared" si="1"/>
        <v>0</v>
      </c>
      <c r="J155" s="56"/>
      <c r="K155" s="28"/>
      <c r="L155" s="28"/>
      <c r="M155" s="28"/>
      <c r="N155" s="28"/>
    </row>
    <row r="156" ht="15.75" customHeight="1">
      <c r="A156" s="55"/>
      <c r="B156" s="55"/>
      <c r="C156" s="55"/>
      <c r="D156" s="56"/>
      <c r="E156" s="56"/>
      <c r="F156" s="38" t="s">
        <v>21</v>
      </c>
      <c r="G156" s="50"/>
      <c r="H156" s="57">
        <f>VLOOKUP(F156, $A$8:$B$8, 2, FALSE)</f>
        <v>2600</v>
      </c>
      <c r="I156" s="52">
        <f t="shared" si="1"/>
        <v>0</v>
      </c>
      <c r="J156" s="56"/>
      <c r="K156" s="28"/>
      <c r="L156" s="28"/>
      <c r="M156" s="28"/>
      <c r="N156" s="28"/>
    </row>
    <row r="157" ht="15.75" customHeight="1">
      <c r="A157" s="55"/>
      <c r="B157" s="55"/>
      <c r="C157" s="55"/>
      <c r="D157" s="56"/>
      <c r="E157" s="56"/>
      <c r="F157" s="38" t="s">
        <v>52</v>
      </c>
      <c r="G157" s="50">
        <v>2.0</v>
      </c>
      <c r="H157" s="57">
        <f>VLOOKUP(F157, $A$9:$B$9, 2, FALSE)</f>
        <v>800</v>
      </c>
      <c r="I157" s="52">
        <f t="shared" si="1"/>
        <v>1600</v>
      </c>
      <c r="J157" s="56"/>
      <c r="K157" s="28"/>
      <c r="L157" s="28"/>
      <c r="M157" s="28"/>
      <c r="N157" s="28"/>
    </row>
    <row r="158" ht="15.75" customHeight="1">
      <c r="A158" s="55"/>
      <c r="B158" s="55"/>
      <c r="C158" s="55"/>
      <c r="D158" s="56"/>
      <c r="E158" s="56"/>
      <c r="F158" s="38" t="s">
        <v>23</v>
      </c>
      <c r="G158" s="50">
        <v>19.0</v>
      </c>
      <c r="H158" s="57">
        <f>VLOOKUP(F158,$A$10:$B$10,2,TRUE)</f>
        <v>1500</v>
      </c>
      <c r="I158" s="52">
        <f t="shared" si="1"/>
        <v>28500</v>
      </c>
      <c r="J158" s="56"/>
      <c r="K158" s="28"/>
      <c r="L158" s="28"/>
      <c r="M158" s="28"/>
      <c r="N158" s="28"/>
    </row>
    <row r="159" ht="15.75" customHeight="1">
      <c r="A159" s="55"/>
      <c r="B159" s="55"/>
      <c r="C159" s="55"/>
      <c r="D159" s="56"/>
      <c r="E159" s="56"/>
      <c r="F159" s="38" t="s">
        <v>24</v>
      </c>
      <c r="G159" s="50"/>
      <c r="H159" s="57">
        <f>VLOOKUP(F159,$A$11:$B$11,2,TRUE)</f>
        <v>1300</v>
      </c>
      <c r="I159" s="52">
        <f t="shared" si="1"/>
        <v>0</v>
      </c>
      <c r="J159" s="56"/>
      <c r="K159" s="28"/>
      <c r="L159" s="28"/>
      <c r="M159" s="28"/>
      <c r="N159" s="28"/>
    </row>
    <row r="160" ht="15.75" customHeight="1">
      <c r="A160" s="55"/>
      <c r="B160" s="55"/>
      <c r="C160" s="55"/>
      <c r="D160" s="56"/>
      <c r="E160" s="56"/>
      <c r="F160" s="38" t="s">
        <v>54</v>
      </c>
      <c r="G160" s="50"/>
      <c r="H160" s="57">
        <f>VLOOKUP(F160,$A$12:$B$12,2,TRUE)</f>
        <v>1000</v>
      </c>
      <c r="I160" s="52">
        <f t="shared" si="1"/>
        <v>0</v>
      </c>
      <c r="J160" s="56"/>
      <c r="K160" s="28"/>
      <c r="L160" s="28"/>
      <c r="M160" s="28"/>
      <c r="N160" s="28"/>
    </row>
    <row r="161" ht="15.75" customHeight="1">
      <c r="A161" s="55"/>
      <c r="B161" s="55"/>
      <c r="C161" s="55"/>
      <c r="D161" s="56"/>
      <c r="E161" s="56"/>
      <c r="F161" s="38" t="s">
        <v>26</v>
      </c>
      <c r="G161" s="50">
        <v>1.5</v>
      </c>
      <c r="H161" s="57">
        <f>VLOOKUP(F161,$A$13:$B$13,2,TRUE)</f>
        <v>500</v>
      </c>
      <c r="I161" s="52">
        <f t="shared" si="1"/>
        <v>750</v>
      </c>
      <c r="J161" s="56"/>
      <c r="K161" s="28"/>
      <c r="L161" s="28"/>
      <c r="M161" s="28"/>
      <c r="N161" s="28"/>
    </row>
    <row r="162" ht="15.75" customHeight="1">
      <c r="A162" s="55"/>
      <c r="B162" s="55"/>
      <c r="C162" s="55"/>
      <c r="D162" s="56"/>
      <c r="E162" s="56"/>
      <c r="F162" s="38" t="s">
        <v>27</v>
      </c>
      <c r="G162" s="50"/>
      <c r="H162" s="57">
        <f>VLOOKUP(F162,$A$14:$B$14,2,TRUE)</f>
        <v>6500</v>
      </c>
      <c r="I162" s="52">
        <f t="shared" si="1"/>
        <v>0</v>
      </c>
      <c r="J162" s="56"/>
      <c r="K162" s="28"/>
      <c r="L162" s="28"/>
      <c r="M162" s="28"/>
      <c r="N162" s="28"/>
    </row>
    <row r="163" ht="15.75" customHeight="1">
      <c r="A163" s="55"/>
      <c r="B163" s="55"/>
      <c r="C163" s="55"/>
      <c r="D163" s="56"/>
      <c r="E163" s="56"/>
      <c r="F163" s="38" t="s">
        <v>28</v>
      </c>
      <c r="G163" s="50"/>
      <c r="H163" s="57">
        <f>VLOOKUP(F163,$A$15:$B$15,2,TRUE)</f>
        <v>1800</v>
      </c>
      <c r="I163" s="52">
        <f t="shared" si="1"/>
        <v>0</v>
      </c>
      <c r="J163" s="56"/>
      <c r="K163" s="28"/>
      <c r="L163" s="28"/>
      <c r="M163" s="28"/>
      <c r="N163" s="28"/>
    </row>
    <row r="164" ht="15.75" customHeight="1">
      <c r="A164" s="55"/>
      <c r="B164" s="55"/>
      <c r="C164" s="55"/>
      <c r="D164" s="56"/>
      <c r="E164" s="56"/>
      <c r="F164" s="38" t="s">
        <v>29</v>
      </c>
      <c r="G164" s="50"/>
      <c r="H164" s="57">
        <f>VLOOKUP(F164,$A$16:$B$16,2,TRUE)</f>
        <v>1300</v>
      </c>
      <c r="I164" s="52">
        <f t="shared" si="1"/>
        <v>0</v>
      </c>
      <c r="J164" s="56"/>
      <c r="K164" s="28"/>
      <c r="L164" s="28"/>
      <c r="M164" s="28"/>
      <c r="N164" s="28"/>
    </row>
    <row r="165" ht="15.75" customHeight="1">
      <c r="A165" s="55"/>
      <c r="B165" s="55"/>
      <c r="C165" s="55"/>
      <c r="D165" s="56"/>
      <c r="E165" s="56"/>
      <c r="F165" s="38" t="s">
        <v>30</v>
      </c>
      <c r="G165" s="50"/>
      <c r="H165" s="57">
        <f>VLOOKUP(F165,$A$17:$B$17,2,TRUE)</f>
        <v>5000</v>
      </c>
      <c r="I165" s="52">
        <f t="shared" si="1"/>
        <v>0</v>
      </c>
      <c r="J165" s="56"/>
      <c r="K165" s="28"/>
      <c r="L165" s="28"/>
      <c r="M165" s="28"/>
      <c r="N165" s="28"/>
    </row>
    <row r="166" ht="15.75" customHeight="1">
      <c r="A166" s="55"/>
      <c r="B166" s="55"/>
      <c r="C166" s="55"/>
      <c r="D166" s="56"/>
      <c r="E166" s="56"/>
      <c r="F166" s="38" t="s">
        <v>32</v>
      </c>
      <c r="G166" s="50"/>
      <c r="H166" s="57">
        <f>VLOOKUP(F166,$A$18:$B$18,2,TRUE)</f>
        <v>2500</v>
      </c>
      <c r="I166" s="52">
        <f t="shared" si="1"/>
        <v>0</v>
      </c>
      <c r="J166" s="56"/>
      <c r="K166" s="28"/>
      <c r="L166" s="28"/>
      <c r="M166" s="28"/>
      <c r="N166" s="28"/>
    </row>
    <row r="167" ht="15.75" customHeight="1">
      <c r="A167" s="55"/>
      <c r="B167" s="55"/>
      <c r="C167" s="55"/>
      <c r="D167" s="56"/>
      <c r="E167" s="56"/>
      <c r="F167" s="38" t="s">
        <v>34</v>
      </c>
      <c r="G167" s="50"/>
      <c r="H167" s="57">
        <f>VLOOKUP(F167,$A$19:$B$19,2,TRUE)</f>
        <v>9000</v>
      </c>
      <c r="I167" s="52">
        <f t="shared" si="1"/>
        <v>0</v>
      </c>
      <c r="J167" s="56"/>
      <c r="K167" s="28"/>
      <c r="L167" s="28"/>
      <c r="M167" s="28"/>
      <c r="N167" s="28"/>
    </row>
    <row r="168" ht="15.75" customHeight="1">
      <c r="A168" s="55"/>
      <c r="B168" s="55"/>
      <c r="C168" s="55"/>
      <c r="D168" s="56"/>
      <c r="E168" s="56"/>
      <c r="F168" s="38" t="s">
        <v>55</v>
      </c>
      <c r="G168" s="50"/>
      <c r="H168" s="57">
        <f>VLOOKUP(F168,$A$20:$B$20,2,TRUE)</f>
        <v>250</v>
      </c>
      <c r="I168" s="52">
        <f t="shared" si="1"/>
        <v>0</v>
      </c>
      <c r="J168" s="56"/>
      <c r="K168" s="28"/>
      <c r="L168" s="28"/>
      <c r="M168" s="28"/>
      <c r="N168" s="28"/>
    </row>
    <row r="169" ht="15.75" customHeight="1">
      <c r="A169" s="55"/>
      <c r="B169" s="55"/>
      <c r="C169" s="55"/>
      <c r="D169" s="56"/>
      <c r="E169" s="56"/>
      <c r="F169" s="38" t="s">
        <v>13</v>
      </c>
      <c r="G169" s="50"/>
      <c r="H169" s="57">
        <f>VLOOKUP(F169,$A$21:$B$21,2,TRUE)</f>
        <v>300</v>
      </c>
      <c r="I169" s="52">
        <f t="shared" si="1"/>
        <v>0</v>
      </c>
      <c r="J169" s="56"/>
      <c r="K169" s="28"/>
      <c r="L169" s="28"/>
      <c r="M169" s="28"/>
      <c r="N169" s="28"/>
    </row>
    <row r="170" ht="15.75" customHeight="1">
      <c r="A170" s="55"/>
      <c r="B170" s="55"/>
      <c r="C170" s="55"/>
      <c r="D170" s="56"/>
      <c r="E170" s="56"/>
      <c r="F170" s="38" t="s">
        <v>9</v>
      </c>
      <c r="G170" s="50"/>
      <c r="H170" s="57">
        <f>VLOOKUP(F170,$A$22:$B$22,2,TRUE)</f>
        <v>1800</v>
      </c>
      <c r="I170" s="52">
        <f t="shared" si="1"/>
        <v>0</v>
      </c>
      <c r="J170" s="56"/>
      <c r="K170" s="28"/>
      <c r="L170" s="28"/>
      <c r="M170" s="28"/>
      <c r="N170" s="28"/>
    </row>
    <row r="171" ht="15.75" customHeight="1">
      <c r="A171" s="55"/>
      <c r="B171" s="55"/>
      <c r="C171" s="55"/>
      <c r="D171" s="56"/>
      <c r="E171" s="56"/>
      <c r="F171" s="38" t="s">
        <v>15</v>
      </c>
      <c r="G171" s="50"/>
      <c r="H171" s="57">
        <f>VLOOKUP(F170,$A$23:$B$23,2,TRUE)</f>
        <v>4000</v>
      </c>
      <c r="I171" s="52">
        <f t="shared" si="1"/>
        <v>0</v>
      </c>
      <c r="J171" s="56"/>
      <c r="K171" s="28"/>
      <c r="L171" s="28"/>
      <c r="M171" s="28"/>
      <c r="N171" s="28"/>
    </row>
    <row r="172" ht="15.75" customHeight="1">
      <c r="A172" s="55"/>
      <c r="B172" s="55"/>
      <c r="C172" s="55"/>
      <c r="D172" s="14"/>
      <c r="E172" s="14"/>
      <c r="F172" s="38" t="s">
        <v>56</v>
      </c>
      <c r="G172" s="50"/>
      <c r="H172" s="57">
        <f>VLOOKUP(F171,$A$24:$B$24,2,TRUE)</f>
        <v>500</v>
      </c>
      <c r="I172" s="52">
        <f t="shared" si="1"/>
        <v>0</v>
      </c>
      <c r="J172" s="14"/>
      <c r="K172" s="28"/>
      <c r="L172" s="28"/>
      <c r="M172" s="28"/>
      <c r="N172" s="28"/>
    </row>
    <row r="173" ht="15.75" customHeight="1">
      <c r="A173" s="55"/>
      <c r="B173" s="55"/>
      <c r="C173" s="55"/>
      <c r="D173" s="48">
        <v>9.0</v>
      </c>
      <c r="E173" s="49" t="s">
        <v>76</v>
      </c>
      <c r="F173" s="38" t="s">
        <v>17</v>
      </c>
      <c r="G173" s="50"/>
      <c r="H173" s="51">
        <f>VLOOKUP(F173,$A$4:$B$4,2,TRUE)</f>
        <v>3000</v>
      </c>
      <c r="I173" s="52">
        <f t="shared" si="1"/>
        <v>0</v>
      </c>
      <c r="J173" s="53">
        <f>SUM(I173:I193)</f>
        <v>12400</v>
      </c>
      <c r="K173" s="28"/>
      <c r="L173" s="28"/>
      <c r="M173" s="28"/>
      <c r="N173" s="28"/>
    </row>
    <row r="174" ht="15.75" customHeight="1">
      <c r="A174" s="55"/>
      <c r="B174" s="55"/>
      <c r="C174" s="55"/>
      <c r="D174" s="56"/>
      <c r="E174" s="56"/>
      <c r="F174" s="38" t="s">
        <v>49</v>
      </c>
      <c r="G174" s="50">
        <v>2.0</v>
      </c>
      <c r="H174" s="57">
        <f>VLOOKUP(F174,$A$5:$B$5,2,TRUE)</f>
        <v>3100</v>
      </c>
      <c r="I174" s="52">
        <f t="shared" si="1"/>
        <v>6200</v>
      </c>
      <c r="J174" s="56"/>
      <c r="K174" s="28"/>
      <c r="L174" s="28"/>
      <c r="M174" s="28"/>
      <c r="N174" s="28"/>
    </row>
    <row r="175" ht="15.75" customHeight="1">
      <c r="A175" s="55"/>
      <c r="B175" s="55"/>
      <c r="C175" s="55"/>
      <c r="D175" s="56"/>
      <c r="E175" s="56"/>
      <c r="F175" s="38" t="s">
        <v>51</v>
      </c>
      <c r="G175" s="50"/>
      <c r="H175" s="57">
        <f>VLOOKUP(F175,$A$6:$B$6,2,TRUE)</f>
        <v>800</v>
      </c>
      <c r="I175" s="52">
        <f t="shared" si="1"/>
        <v>0</v>
      </c>
      <c r="J175" s="56"/>
      <c r="K175" s="28"/>
      <c r="L175" s="28"/>
      <c r="M175" s="28"/>
      <c r="N175" s="28"/>
    </row>
    <row r="176" ht="15.75" customHeight="1">
      <c r="A176" s="55"/>
      <c r="B176" s="55"/>
      <c r="C176" s="55"/>
      <c r="D176" s="56"/>
      <c r="E176" s="56"/>
      <c r="F176" s="38" t="s">
        <v>20</v>
      </c>
      <c r="G176" s="50"/>
      <c r="H176" s="57">
        <f>VLOOKUP(F176,$A$7:$B$7,2,TRUE)</f>
        <v>2100</v>
      </c>
      <c r="I176" s="52">
        <f t="shared" si="1"/>
        <v>0</v>
      </c>
      <c r="J176" s="56"/>
      <c r="K176" s="28"/>
      <c r="L176" s="28"/>
      <c r="M176" s="28"/>
      <c r="N176" s="28"/>
    </row>
    <row r="177" ht="15.75" customHeight="1">
      <c r="A177" s="55"/>
      <c r="B177" s="55"/>
      <c r="C177" s="55"/>
      <c r="D177" s="56"/>
      <c r="E177" s="56"/>
      <c r="F177" s="38" t="s">
        <v>21</v>
      </c>
      <c r="G177" s="50"/>
      <c r="H177" s="57">
        <f>VLOOKUP(F177, $A$8:$B$8, 2, FALSE)</f>
        <v>2600</v>
      </c>
      <c r="I177" s="52">
        <f t="shared" si="1"/>
        <v>0</v>
      </c>
      <c r="J177" s="56"/>
      <c r="K177" s="28"/>
      <c r="L177" s="28"/>
      <c r="M177" s="28"/>
      <c r="N177" s="28"/>
    </row>
    <row r="178" ht="15.75" customHeight="1">
      <c r="A178" s="55"/>
      <c r="B178" s="55"/>
      <c r="C178" s="55"/>
      <c r="D178" s="56"/>
      <c r="E178" s="56"/>
      <c r="F178" s="38" t="s">
        <v>52</v>
      </c>
      <c r="G178" s="50">
        <v>4.0</v>
      </c>
      <c r="H178" s="57">
        <f>VLOOKUP(F178, $A$9:$B$9, 2, FALSE)</f>
        <v>800</v>
      </c>
      <c r="I178" s="52">
        <f t="shared" si="1"/>
        <v>3200</v>
      </c>
      <c r="J178" s="56"/>
      <c r="K178" s="28"/>
      <c r="L178" s="28"/>
      <c r="M178" s="28"/>
      <c r="N178" s="28"/>
    </row>
    <row r="179" ht="15.75" customHeight="1">
      <c r="A179" s="55"/>
      <c r="B179" s="55"/>
      <c r="C179" s="55"/>
      <c r="D179" s="56"/>
      <c r="E179" s="56"/>
      <c r="F179" s="38" t="s">
        <v>23</v>
      </c>
      <c r="G179" s="50">
        <v>2.0</v>
      </c>
      <c r="H179" s="57">
        <f>VLOOKUP(F179,$A$10:$B$10,2,TRUE)</f>
        <v>1500</v>
      </c>
      <c r="I179" s="52">
        <f t="shared" si="1"/>
        <v>3000</v>
      </c>
      <c r="J179" s="56"/>
      <c r="K179" s="28"/>
      <c r="L179" s="28"/>
      <c r="M179" s="28"/>
      <c r="N179" s="28"/>
    </row>
    <row r="180" ht="15.75" customHeight="1">
      <c r="A180" s="55"/>
      <c r="B180" s="55"/>
      <c r="C180" s="55"/>
      <c r="D180" s="56"/>
      <c r="E180" s="56"/>
      <c r="F180" s="38" t="s">
        <v>24</v>
      </c>
      <c r="G180" s="50"/>
      <c r="H180" s="57">
        <f>VLOOKUP(F180,$A$11:$B$11,2,TRUE)</f>
        <v>1300</v>
      </c>
      <c r="I180" s="52">
        <f t="shared" si="1"/>
        <v>0</v>
      </c>
      <c r="J180" s="56"/>
      <c r="K180" s="28"/>
      <c r="L180" s="28"/>
      <c r="M180" s="28"/>
      <c r="N180" s="28"/>
    </row>
    <row r="181" ht="15.75" customHeight="1">
      <c r="A181" s="55"/>
      <c r="B181" s="55"/>
      <c r="C181" s="55"/>
      <c r="D181" s="56"/>
      <c r="E181" s="56"/>
      <c r="F181" s="38" t="s">
        <v>54</v>
      </c>
      <c r="G181" s="50"/>
      <c r="H181" s="57">
        <f>VLOOKUP(F181,$A$12:$B$12,2,TRUE)</f>
        <v>1000</v>
      </c>
      <c r="I181" s="52">
        <f t="shared" si="1"/>
        <v>0</v>
      </c>
      <c r="J181" s="56"/>
      <c r="K181" s="28"/>
      <c r="L181" s="28"/>
      <c r="M181" s="28"/>
      <c r="N181" s="28"/>
    </row>
    <row r="182" ht="15.75" customHeight="1">
      <c r="A182" s="55"/>
      <c r="B182" s="55"/>
      <c r="C182" s="55"/>
      <c r="D182" s="56"/>
      <c r="E182" s="56"/>
      <c r="F182" s="38" t="s">
        <v>26</v>
      </c>
      <c r="G182" s="50"/>
      <c r="H182" s="57">
        <f>VLOOKUP(F182,$A$13:$B$13,2,TRUE)</f>
        <v>500</v>
      </c>
      <c r="I182" s="52">
        <f t="shared" si="1"/>
        <v>0</v>
      </c>
      <c r="J182" s="56"/>
      <c r="K182" s="28"/>
      <c r="L182" s="28"/>
      <c r="M182" s="28"/>
      <c r="N182" s="28"/>
    </row>
    <row r="183" ht="15.75" customHeight="1">
      <c r="A183" s="55"/>
      <c r="B183" s="55"/>
      <c r="C183" s="55"/>
      <c r="D183" s="56"/>
      <c r="E183" s="56"/>
      <c r="F183" s="38" t="s">
        <v>27</v>
      </c>
      <c r="G183" s="50"/>
      <c r="H183" s="57">
        <f>VLOOKUP(F183,$A$14:$B$14,2,TRUE)</f>
        <v>6500</v>
      </c>
      <c r="I183" s="52">
        <f t="shared" si="1"/>
        <v>0</v>
      </c>
      <c r="J183" s="56"/>
      <c r="K183" s="28"/>
      <c r="L183" s="28"/>
      <c r="M183" s="28"/>
      <c r="N183" s="28"/>
    </row>
    <row r="184" ht="15.75" customHeight="1">
      <c r="A184" s="55"/>
      <c r="B184" s="55"/>
      <c r="C184" s="55"/>
      <c r="D184" s="56"/>
      <c r="E184" s="56"/>
      <c r="F184" s="38" t="s">
        <v>28</v>
      </c>
      <c r="G184" s="50"/>
      <c r="H184" s="57">
        <f>VLOOKUP(F184,$A$15:$B$15,2,TRUE)</f>
        <v>1800</v>
      </c>
      <c r="I184" s="52">
        <f t="shared" si="1"/>
        <v>0</v>
      </c>
      <c r="J184" s="56"/>
      <c r="K184" s="28"/>
      <c r="L184" s="28"/>
      <c r="M184" s="28"/>
      <c r="N184" s="28"/>
    </row>
    <row r="185" ht="15.75" customHeight="1">
      <c r="A185" s="55"/>
      <c r="B185" s="55"/>
      <c r="C185" s="55"/>
      <c r="D185" s="56"/>
      <c r="E185" s="56"/>
      <c r="F185" s="38" t="s">
        <v>29</v>
      </c>
      <c r="G185" s="50"/>
      <c r="H185" s="57">
        <f>VLOOKUP(F185,$A$16:$B$16,2,TRUE)</f>
        <v>1300</v>
      </c>
      <c r="I185" s="52">
        <f t="shared" si="1"/>
        <v>0</v>
      </c>
      <c r="J185" s="56"/>
      <c r="K185" s="28"/>
      <c r="L185" s="28"/>
      <c r="M185" s="28"/>
      <c r="N185" s="28"/>
    </row>
    <row r="186" ht="15.75" customHeight="1">
      <c r="A186" s="55"/>
      <c r="B186" s="55"/>
      <c r="C186" s="55"/>
      <c r="D186" s="56"/>
      <c r="E186" s="56"/>
      <c r="F186" s="38" t="s">
        <v>30</v>
      </c>
      <c r="G186" s="50"/>
      <c r="H186" s="57">
        <f>VLOOKUP(F186,$A$17:$B$17,2,TRUE)</f>
        <v>5000</v>
      </c>
      <c r="I186" s="52">
        <f t="shared" si="1"/>
        <v>0</v>
      </c>
      <c r="J186" s="56"/>
      <c r="K186" s="28"/>
      <c r="L186" s="28"/>
      <c r="M186" s="28"/>
      <c r="N186" s="28"/>
    </row>
    <row r="187" ht="15.75" customHeight="1">
      <c r="A187" s="55"/>
      <c r="B187" s="55"/>
      <c r="C187" s="55"/>
      <c r="D187" s="56"/>
      <c r="E187" s="56"/>
      <c r="F187" s="38" t="s">
        <v>32</v>
      </c>
      <c r="G187" s="50"/>
      <c r="H187" s="57">
        <f>VLOOKUP(F187,$A$18:$B$18,2,TRUE)</f>
        <v>2500</v>
      </c>
      <c r="I187" s="52">
        <f t="shared" si="1"/>
        <v>0</v>
      </c>
      <c r="J187" s="56"/>
      <c r="K187" s="28"/>
      <c r="L187" s="28"/>
      <c r="M187" s="28"/>
      <c r="N187" s="28"/>
    </row>
    <row r="188" ht="15.75" customHeight="1">
      <c r="A188" s="55"/>
      <c r="B188" s="55"/>
      <c r="C188" s="55"/>
      <c r="D188" s="56"/>
      <c r="E188" s="56"/>
      <c r="F188" s="38" t="s">
        <v>34</v>
      </c>
      <c r="G188" s="50"/>
      <c r="H188" s="57">
        <f>VLOOKUP(F188,$A$19:$B$19,2,TRUE)</f>
        <v>9000</v>
      </c>
      <c r="I188" s="52">
        <f t="shared" si="1"/>
        <v>0</v>
      </c>
      <c r="J188" s="56"/>
      <c r="K188" s="28"/>
      <c r="L188" s="28"/>
      <c r="M188" s="28"/>
      <c r="N188" s="28"/>
    </row>
    <row r="189" ht="15.75" customHeight="1">
      <c r="A189" s="55"/>
      <c r="B189" s="55"/>
      <c r="C189" s="55"/>
      <c r="D189" s="56"/>
      <c r="E189" s="56"/>
      <c r="F189" s="38" t="s">
        <v>55</v>
      </c>
      <c r="G189" s="50"/>
      <c r="H189" s="57">
        <f>VLOOKUP(F189,$A$20:$B$20,2,TRUE)</f>
        <v>250</v>
      </c>
      <c r="I189" s="52">
        <f t="shared" si="1"/>
        <v>0</v>
      </c>
      <c r="J189" s="56"/>
      <c r="K189" s="28"/>
      <c r="L189" s="28"/>
      <c r="M189" s="28"/>
      <c r="N189" s="28"/>
    </row>
    <row r="190" ht="15.75" customHeight="1">
      <c r="A190" s="55"/>
      <c r="B190" s="55"/>
      <c r="C190" s="55"/>
      <c r="D190" s="56"/>
      <c r="E190" s="56"/>
      <c r="F190" s="38" t="s">
        <v>13</v>
      </c>
      <c r="G190" s="50"/>
      <c r="H190" s="57">
        <f>VLOOKUP(F190,$A$21:$B$21,2,TRUE)</f>
        <v>300</v>
      </c>
      <c r="I190" s="52">
        <f t="shared" si="1"/>
        <v>0</v>
      </c>
      <c r="J190" s="56"/>
      <c r="K190" s="28"/>
      <c r="L190" s="28"/>
      <c r="M190" s="28"/>
      <c r="N190" s="28"/>
    </row>
    <row r="191" ht="15.75" customHeight="1">
      <c r="A191" s="55"/>
      <c r="B191" s="55"/>
      <c r="C191" s="55"/>
      <c r="D191" s="56"/>
      <c r="E191" s="56"/>
      <c r="F191" s="38" t="s">
        <v>9</v>
      </c>
      <c r="G191" s="50"/>
      <c r="H191" s="57">
        <f>VLOOKUP(F191,$A$22:$B$22,2,TRUE)</f>
        <v>1800</v>
      </c>
      <c r="I191" s="52">
        <f t="shared" si="1"/>
        <v>0</v>
      </c>
      <c r="J191" s="56"/>
      <c r="K191" s="28"/>
      <c r="L191" s="28"/>
      <c r="M191" s="28"/>
      <c r="N191" s="28"/>
    </row>
    <row r="192" ht="15.75" customHeight="1">
      <c r="A192" s="55"/>
      <c r="B192" s="55"/>
      <c r="C192" s="55"/>
      <c r="D192" s="56"/>
      <c r="E192" s="56"/>
      <c r="F192" s="38" t="s">
        <v>15</v>
      </c>
      <c r="G192" s="50"/>
      <c r="H192" s="57">
        <f>VLOOKUP(F191,$A$23:$B$23,2,TRUE)</f>
        <v>4000</v>
      </c>
      <c r="I192" s="52">
        <f t="shared" si="1"/>
        <v>0</v>
      </c>
      <c r="J192" s="56"/>
      <c r="K192" s="28"/>
      <c r="L192" s="28"/>
      <c r="M192" s="28"/>
      <c r="N192" s="28"/>
    </row>
    <row r="193" ht="15.75" customHeight="1">
      <c r="A193" s="55"/>
      <c r="B193" s="55"/>
      <c r="C193" s="55"/>
      <c r="D193" s="14"/>
      <c r="E193" s="14"/>
      <c r="F193" s="38" t="s">
        <v>56</v>
      </c>
      <c r="G193" s="50">
        <v>2.0</v>
      </c>
      <c r="H193" s="57"/>
      <c r="I193" s="52">
        <f t="shared" si="1"/>
        <v>0</v>
      </c>
      <c r="J193" s="14"/>
      <c r="K193" s="28"/>
      <c r="L193" s="28"/>
      <c r="M193" s="28"/>
      <c r="N193" s="28"/>
    </row>
    <row r="194" ht="15.75" customHeight="1">
      <c r="A194" s="55"/>
      <c r="B194" s="55"/>
      <c r="C194" s="55"/>
      <c r="D194" s="65" t="s">
        <v>61</v>
      </c>
      <c r="E194" s="4"/>
      <c r="F194" s="4"/>
      <c r="G194" s="4"/>
      <c r="H194" s="4"/>
      <c r="I194" s="5"/>
      <c r="J194" s="66">
        <f>SUM(J5:J193)</f>
        <v>184050</v>
      </c>
      <c r="K194" s="28"/>
      <c r="L194" s="28"/>
      <c r="M194" s="28"/>
      <c r="N194" s="28"/>
    </row>
    <row r="195" ht="15.75" customHeight="1">
      <c r="A195" s="27"/>
      <c r="B195" s="27"/>
      <c r="C195" s="27"/>
      <c r="D195" s="27"/>
      <c r="E195" s="27"/>
      <c r="F195" s="28"/>
      <c r="G195" s="28"/>
      <c r="H195" s="28"/>
      <c r="I195" s="28"/>
      <c r="J195" s="29"/>
      <c r="K195" s="28"/>
      <c r="L195" s="28"/>
      <c r="M195" s="28"/>
      <c r="N195" s="28"/>
    </row>
    <row r="196" ht="15.75" customHeight="1">
      <c r="A196" s="27"/>
      <c r="B196" s="27"/>
      <c r="C196" s="27"/>
      <c r="D196" s="27"/>
      <c r="E196" s="27"/>
      <c r="F196" s="28"/>
      <c r="G196" s="28"/>
      <c r="H196" s="28"/>
      <c r="I196" s="28"/>
      <c r="J196" s="29"/>
      <c r="K196" s="28"/>
      <c r="L196" s="28"/>
      <c r="M196" s="28"/>
      <c r="N196" s="28"/>
    </row>
    <row r="197" ht="15.75" customHeight="1">
      <c r="A197" s="27"/>
      <c r="B197" s="27"/>
      <c r="C197" s="27"/>
      <c r="D197" s="27"/>
      <c r="E197" s="27"/>
      <c r="F197" s="28"/>
      <c r="G197" s="28"/>
      <c r="H197" s="28"/>
      <c r="I197" s="28"/>
      <c r="J197" s="29"/>
      <c r="K197" s="28"/>
      <c r="L197" s="28"/>
      <c r="M197" s="28"/>
      <c r="N197" s="28"/>
    </row>
    <row r="198" ht="15.75" customHeight="1">
      <c r="A198" s="27"/>
      <c r="B198" s="27"/>
      <c r="C198" s="27"/>
      <c r="D198" s="27"/>
      <c r="E198" s="27"/>
      <c r="F198" s="28"/>
      <c r="G198" s="28"/>
      <c r="H198" s="28"/>
      <c r="I198" s="28"/>
      <c r="J198" s="29"/>
      <c r="K198" s="28"/>
      <c r="L198" s="28"/>
      <c r="M198" s="28"/>
      <c r="N198" s="28"/>
    </row>
    <row r="199" ht="15.75" customHeight="1">
      <c r="A199" s="27"/>
      <c r="B199" s="27"/>
      <c r="C199" s="27"/>
      <c r="D199" s="27"/>
      <c r="E199" s="27"/>
      <c r="F199" s="28"/>
      <c r="G199" s="28"/>
      <c r="H199" s="28"/>
      <c r="I199" s="28"/>
      <c r="J199" s="29"/>
      <c r="K199" s="28"/>
      <c r="L199" s="28"/>
      <c r="M199" s="28"/>
      <c r="N199" s="28"/>
    </row>
    <row r="200" ht="15.75" customHeight="1">
      <c r="A200" s="27"/>
      <c r="B200" s="27"/>
      <c r="C200" s="27"/>
      <c r="D200" s="27"/>
      <c r="E200" s="27"/>
      <c r="F200" s="28"/>
      <c r="G200" s="28"/>
      <c r="H200" s="28"/>
      <c r="I200" s="28"/>
      <c r="J200" s="29"/>
      <c r="K200" s="28"/>
      <c r="L200" s="28"/>
      <c r="M200" s="28"/>
      <c r="N200" s="28"/>
    </row>
    <row r="201" ht="15.75" customHeight="1">
      <c r="A201" s="27"/>
      <c r="B201" s="27"/>
      <c r="C201" s="27"/>
      <c r="D201" s="27"/>
      <c r="E201" s="27"/>
      <c r="F201" s="28"/>
      <c r="G201" s="28"/>
      <c r="H201" s="28"/>
      <c r="I201" s="28"/>
      <c r="J201" s="29"/>
      <c r="K201" s="28"/>
      <c r="L201" s="28"/>
      <c r="M201" s="28"/>
      <c r="N201" s="28"/>
    </row>
    <row r="202" ht="15.75" customHeight="1">
      <c r="A202" s="27"/>
      <c r="B202" s="27"/>
      <c r="C202" s="27"/>
      <c r="D202" s="27"/>
      <c r="E202" s="27"/>
      <c r="F202" s="28"/>
      <c r="G202" s="28"/>
      <c r="H202" s="28"/>
      <c r="I202" s="28"/>
      <c r="J202" s="29"/>
      <c r="K202" s="28"/>
      <c r="L202" s="28"/>
      <c r="M202" s="28"/>
      <c r="N202" s="28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A262" s="27"/>
      <c r="B262" s="27"/>
      <c r="C262" s="27"/>
      <c r="D262" s="27"/>
      <c r="E262" s="27"/>
      <c r="J262" s="29"/>
    </row>
    <row r="263" ht="15.75" customHeight="1">
      <c r="A263" s="27"/>
      <c r="B263" s="27"/>
      <c r="C263" s="27"/>
      <c r="D263" s="27"/>
      <c r="E263" s="27"/>
      <c r="J263" s="29"/>
    </row>
    <row r="264" ht="15.75" customHeight="1">
      <c r="A264" s="27"/>
      <c r="B264" s="27"/>
      <c r="C264" s="27"/>
      <c r="D264" s="27"/>
      <c r="E264" s="27"/>
      <c r="J264" s="29"/>
    </row>
    <row r="265" ht="15.75" customHeight="1">
      <c r="A265" s="27"/>
      <c r="B265" s="27"/>
      <c r="C265" s="27"/>
      <c r="D265" s="27"/>
      <c r="E265" s="27"/>
      <c r="J265" s="29"/>
    </row>
    <row r="266" ht="15.75" customHeight="1">
      <c r="A266" s="27"/>
      <c r="B266" s="27"/>
      <c r="C266" s="27"/>
      <c r="D266" s="27"/>
      <c r="E266" s="27"/>
      <c r="J266" s="29"/>
    </row>
    <row r="267" ht="15.75" customHeight="1">
      <c r="A267" s="27"/>
      <c r="B267" s="27"/>
      <c r="C267" s="27"/>
      <c r="D267" s="27"/>
      <c r="E267" s="27"/>
      <c r="J267" s="29"/>
    </row>
    <row r="268" ht="15.75" customHeight="1">
      <c r="A268" s="27"/>
      <c r="B268" s="27"/>
      <c r="C268" s="27"/>
      <c r="D268" s="27"/>
      <c r="E268" s="27"/>
      <c r="J268" s="29"/>
    </row>
    <row r="269" ht="15.75" customHeight="1">
      <c r="A269" s="27"/>
      <c r="B269" s="27"/>
      <c r="C269" s="27"/>
      <c r="D269" s="27"/>
      <c r="E269" s="27"/>
      <c r="J269" s="29"/>
    </row>
    <row r="270" ht="15.75" customHeight="1">
      <c r="A270" s="27"/>
      <c r="B270" s="27"/>
      <c r="C270" s="27"/>
      <c r="D270" s="27"/>
      <c r="E270" s="27"/>
      <c r="J270" s="29"/>
    </row>
    <row r="271" ht="15.75" customHeight="1">
      <c r="A271" s="27"/>
      <c r="B271" s="27"/>
      <c r="C271" s="27"/>
      <c r="D271" s="27"/>
      <c r="E271" s="27"/>
      <c r="J271" s="29"/>
    </row>
    <row r="272" ht="15.75" customHeight="1">
      <c r="A272" s="27"/>
      <c r="B272" s="27"/>
      <c r="C272" s="27"/>
      <c r="D272" s="27"/>
      <c r="E272" s="27"/>
      <c r="J272" s="29"/>
    </row>
    <row r="273" ht="15.75" customHeight="1">
      <c r="A273" s="27"/>
      <c r="B273" s="27"/>
      <c r="C273" s="27"/>
      <c r="D273" s="27"/>
      <c r="E273" s="27"/>
      <c r="J273" s="29"/>
    </row>
    <row r="274" ht="15.75" customHeight="1">
      <c r="A274" s="27"/>
      <c r="B274" s="27"/>
      <c r="C274" s="27"/>
      <c r="D274" s="27"/>
      <c r="E274" s="27"/>
      <c r="J274" s="29"/>
    </row>
    <row r="275" ht="15.75" customHeight="1">
      <c r="A275" s="27"/>
      <c r="B275" s="27"/>
      <c r="C275" s="27"/>
      <c r="D275" s="27"/>
      <c r="E275" s="27"/>
      <c r="J275" s="29"/>
    </row>
    <row r="276" ht="15.75" customHeight="1">
      <c r="A276" s="27"/>
      <c r="B276" s="27"/>
      <c r="C276" s="27"/>
      <c r="D276" s="27"/>
      <c r="E276" s="27"/>
      <c r="J276" s="29"/>
    </row>
    <row r="277" ht="15.75" customHeight="1">
      <c r="A277" s="27"/>
      <c r="B277" s="27"/>
      <c r="C277" s="27"/>
      <c r="D277" s="27"/>
      <c r="E277" s="27"/>
      <c r="J277" s="29"/>
    </row>
    <row r="278" ht="15.75" customHeight="1">
      <c r="A278" s="27"/>
      <c r="B278" s="27"/>
      <c r="C278" s="27"/>
      <c r="D278" s="27"/>
      <c r="E278" s="27"/>
      <c r="J278" s="29"/>
    </row>
    <row r="279" ht="15.75" customHeight="1">
      <c r="A279" s="27"/>
      <c r="B279" s="27"/>
      <c r="C279" s="27"/>
      <c r="D279" s="27"/>
      <c r="E279" s="27"/>
      <c r="J279" s="29"/>
    </row>
    <row r="280" ht="15.75" customHeight="1">
      <c r="A280" s="27"/>
      <c r="B280" s="27"/>
      <c r="C280" s="27"/>
      <c r="D280" s="27"/>
      <c r="E280" s="27"/>
      <c r="J280" s="29"/>
    </row>
    <row r="281" ht="15.75" customHeight="1">
      <c r="A281" s="27"/>
      <c r="B281" s="27"/>
      <c r="C281" s="27"/>
      <c r="D281" s="27"/>
      <c r="E281" s="27"/>
      <c r="J281" s="29"/>
    </row>
    <row r="282" ht="15.75" customHeight="1">
      <c r="A282" s="27"/>
      <c r="B282" s="27"/>
      <c r="C282" s="27"/>
      <c r="D282" s="27"/>
      <c r="E282" s="27"/>
      <c r="J282" s="29"/>
    </row>
    <row r="283" ht="15.75" customHeight="1">
      <c r="A283" s="27"/>
      <c r="B283" s="27"/>
      <c r="C283" s="27"/>
      <c r="D283" s="27"/>
      <c r="E283" s="27"/>
      <c r="J283" s="29"/>
    </row>
    <row r="284" ht="15.75" customHeight="1">
      <c r="A284" s="27"/>
      <c r="B284" s="27"/>
      <c r="C284" s="27"/>
      <c r="D284" s="27"/>
      <c r="E284" s="27"/>
      <c r="J284" s="29"/>
    </row>
    <row r="285" ht="15.75" customHeight="1">
      <c r="A285" s="27"/>
      <c r="B285" s="27"/>
      <c r="C285" s="27"/>
      <c r="D285" s="27"/>
      <c r="E285" s="27"/>
      <c r="J285" s="29"/>
    </row>
    <row r="286" ht="15.75" customHeight="1">
      <c r="A286" s="27"/>
      <c r="B286" s="27"/>
      <c r="C286" s="27"/>
      <c r="D286" s="27"/>
      <c r="E286" s="27"/>
      <c r="J286" s="29"/>
    </row>
    <row r="287" ht="15.75" customHeight="1">
      <c r="A287" s="27"/>
      <c r="B287" s="27"/>
      <c r="C287" s="27"/>
      <c r="D287" s="27"/>
      <c r="E287" s="27"/>
      <c r="J287" s="29"/>
    </row>
    <row r="288" ht="15.75" customHeight="1">
      <c r="A288" s="27"/>
      <c r="B288" s="27"/>
      <c r="C288" s="27"/>
      <c r="D288" s="27"/>
      <c r="E288" s="27"/>
      <c r="J288" s="29"/>
    </row>
    <row r="289" ht="15.75" customHeight="1">
      <c r="A289" s="27"/>
      <c r="B289" s="27"/>
      <c r="C289" s="27"/>
      <c r="D289" s="27"/>
      <c r="E289" s="27"/>
      <c r="J289" s="29"/>
    </row>
    <row r="290" ht="15.75" customHeight="1">
      <c r="A290" s="27"/>
      <c r="B290" s="27"/>
      <c r="C290" s="27"/>
      <c r="D290" s="27"/>
      <c r="E290" s="27"/>
      <c r="J290" s="29"/>
    </row>
    <row r="291" ht="15.75" customHeight="1">
      <c r="A291" s="27"/>
      <c r="B291" s="27"/>
      <c r="C291" s="27"/>
      <c r="D291" s="27"/>
      <c r="E291" s="27"/>
      <c r="J291" s="29"/>
    </row>
    <row r="292" ht="15.75" customHeight="1">
      <c r="A292" s="27"/>
      <c r="B292" s="27"/>
      <c r="C292" s="27"/>
      <c r="D292" s="27"/>
      <c r="E292" s="27"/>
      <c r="J292" s="29"/>
    </row>
    <row r="293" ht="15.75" customHeight="1">
      <c r="A293" s="27"/>
      <c r="B293" s="27"/>
      <c r="C293" s="27"/>
      <c r="D293" s="27"/>
      <c r="E293" s="27"/>
      <c r="J293" s="29"/>
    </row>
    <row r="294" ht="15.75" customHeight="1">
      <c r="A294" s="27"/>
      <c r="B294" s="27"/>
      <c r="C294" s="27"/>
      <c r="D294" s="27"/>
      <c r="E294" s="27"/>
      <c r="J294" s="29"/>
    </row>
    <row r="295" ht="15.75" customHeight="1">
      <c r="A295" s="27"/>
      <c r="B295" s="27"/>
      <c r="C295" s="27"/>
      <c r="D295" s="27"/>
      <c r="E295" s="27"/>
      <c r="J295" s="29"/>
    </row>
    <row r="296" ht="15.75" customHeight="1">
      <c r="A296" s="27"/>
      <c r="B296" s="27"/>
      <c r="C296" s="27"/>
      <c r="D296" s="27"/>
      <c r="E296" s="27"/>
      <c r="J296" s="29"/>
    </row>
    <row r="297" ht="15.75" customHeight="1">
      <c r="A297" s="27"/>
      <c r="B297" s="27"/>
      <c r="C297" s="27"/>
      <c r="D297" s="27"/>
      <c r="E297" s="27"/>
      <c r="J297" s="29"/>
    </row>
    <row r="298" ht="15.75" customHeight="1">
      <c r="A298" s="27"/>
      <c r="B298" s="27"/>
      <c r="C298" s="27"/>
      <c r="D298" s="27"/>
      <c r="E298" s="27"/>
      <c r="J298" s="29"/>
    </row>
    <row r="299" ht="15.75" customHeight="1">
      <c r="A299" s="27"/>
      <c r="B299" s="27"/>
      <c r="C299" s="27"/>
      <c r="D299" s="27"/>
      <c r="E299" s="27"/>
      <c r="J299" s="29"/>
    </row>
    <row r="300" ht="15.75" customHeight="1">
      <c r="A300" s="27"/>
      <c r="B300" s="27"/>
      <c r="C300" s="27"/>
      <c r="D300" s="27"/>
      <c r="E300" s="27"/>
      <c r="J300" s="29"/>
    </row>
    <row r="301" ht="15.75" customHeight="1">
      <c r="A301" s="27"/>
      <c r="B301" s="27"/>
      <c r="C301" s="27"/>
      <c r="D301" s="27"/>
      <c r="E301" s="27"/>
      <c r="J301" s="29"/>
    </row>
    <row r="302" ht="15.75" customHeight="1">
      <c r="A302" s="27"/>
      <c r="B302" s="27"/>
      <c r="C302" s="27"/>
      <c r="D302" s="27"/>
      <c r="E302" s="27"/>
      <c r="J302" s="29"/>
    </row>
    <row r="303" ht="15.75" customHeight="1">
      <c r="A303" s="27"/>
      <c r="B303" s="27"/>
      <c r="C303" s="27"/>
      <c r="D303" s="27"/>
      <c r="E303" s="27"/>
      <c r="J303" s="29"/>
    </row>
    <row r="304" ht="15.75" customHeight="1">
      <c r="A304" s="27"/>
      <c r="B304" s="27"/>
      <c r="C304" s="27"/>
      <c r="D304" s="27"/>
      <c r="E304" s="27"/>
      <c r="J304" s="29"/>
    </row>
    <row r="305" ht="15.75" customHeight="1">
      <c r="A305" s="27"/>
      <c r="B305" s="27"/>
      <c r="C305" s="27"/>
      <c r="D305" s="27"/>
      <c r="E305" s="27"/>
      <c r="J305" s="29"/>
    </row>
    <row r="306" ht="15.75" customHeight="1">
      <c r="A306" s="27"/>
      <c r="B306" s="27"/>
      <c r="C306" s="27"/>
      <c r="D306" s="27"/>
      <c r="E306" s="27"/>
      <c r="J306" s="29"/>
    </row>
    <row r="307" ht="15.75" customHeight="1">
      <c r="A307" s="27"/>
      <c r="B307" s="27"/>
      <c r="C307" s="27"/>
      <c r="D307" s="27"/>
      <c r="E307" s="27"/>
      <c r="J307" s="29"/>
    </row>
    <row r="308" ht="15.75" customHeight="1">
      <c r="A308" s="27"/>
      <c r="B308" s="27"/>
      <c r="C308" s="27"/>
      <c r="D308" s="27"/>
      <c r="E308" s="27"/>
      <c r="J308" s="29"/>
    </row>
    <row r="309" ht="15.75" customHeight="1">
      <c r="A309" s="27"/>
      <c r="B309" s="27"/>
      <c r="C309" s="27"/>
      <c r="D309" s="27"/>
      <c r="E309" s="27"/>
      <c r="J309" s="29"/>
    </row>
    <row r="310" ht="15.75" customHeight="1">
      <c r="A310" s="27"/>
      <c r="B310" s="27"/>
      <c r="C310" s="27"/>
      <c r="D310" s="27"/>
      <c r="E310" s="27"/>
      <c r="J310" s="29"/>
    </row>
    <row r="311" ht="15.75" customHeight="1">
      <c r="A311" s="27"/>
      <c r="B311" s="27"/>
      <c r="C311" s="27"/>
      <c r="D311" s="27"/>
      <c r="E311" s="27"/>
      <c r="J311" s="29"/>
    </row>
    <row r="312" ht="15.75" customHeight="1">
      <c r="A312" s="27"/>
      <c r="B312" s="27"/>
      <c r="C312" s="27"/>
      <c r="D312" s="27"/>
      <c r="E312" s="27"/>
      <c r="J312" s="29"/>
    </row>
    <row r="313" ht="15.75" customHeight="1">
      <c r="A313" s="27"/>
      <c r="B313" s="27"/>
      <c r="C313" s="27"/>
      <c r="D313" s="27"/>
      <c r="E313" s="27"/>
      <c r="J313" s="29"/>
    </row>
    <row r="314" ht="15.75" customHeight="1">
      <c r="A314" s="27"/>
      <c r="B314" s="27"/>
      <c r="C314" s="27"/>
      <c r="D314" s="27"/>
      <c r="E314" s="27"/>
      <c r="J314" s="29"/>
    </row>
    <row r="315" ht="15.75" customHeight="1">
      <c r="A315" s="27"/>
      <c r="B315" s="27"/>
      <c r="C315" s="27"/>
      <c r="D315" s="27"/>
      <c r="E315" s="27"/>
      <c r="J315" s="29"/>
    </row>
    <row r="316" ht="15.75" customHeight="1">
      <c r="A316" s="27"/>
      <c r="B316" s="27"/>
      <c r="C316" s="27"/>
      <c r="D316" s="27"/>
      <c r="E316" s="27"/>
      <c r="J316" s="29"/>
    </row>
    <row r="317" ht="15.75" customHeight="1">
      <c r="A317" s="27"/>
      <c r="B317" s="27"/>
      <c r="C317" s="27"/>
      <c r="D317" s="27"/>
      <c r="E317" s="27"/>
      <c r="J317" s="29"/>
    </row>
    <row r="318" ht="15.75" customHeight="1">
      <c r="A318" s="27"/>
      <c r="B318" s="27"/>
      <c r="C318" s="27"/>
      <c r="D318" s="27"/>
      <c r="E318" s="27"/>
      <c r="J318" s="29"/>
    </row>
    <row r="319" ht="15.75" customHeight="1">
      <c r="A319" s="27"/>
      <c r="B319" s="27"/>
      <c r="C319" s="27"/>
      <c r="D319" s="27"/>
      <c r="E319" s="27"/>
      <c r="J319" s="29"/>
    </row>
    <row r="320" ht="15.75" customHeight="1">
      <c r="A320" s="27"/>
      <c r="B320" s="27"/>
      <c r="C320" s="27"/>
      <c r="D320" s="27"/>
      <c r="E320" s="27"/>
      <c r="J320" s="29"/>
    </row>
    <row r="321" ht="15.75" customHeight="1">
      <c r="A321" s="27"/>
      <c r="B321" s="27"/>
      <c r="C321" s="27"/>
      <c r="D321" s="27"/>
      <c r="E321" s="27"/>
      <c r="J321" s="29"/>
    </row>
    <row r="322" ht="15.75" customHeight="1">
      <c r="A322" s="27"/>
      <c r="B322" s="27"/>
      <c r="C322" s="27"/>
      <c r="D322" s="27"/>
      <c r="E322" s="27"/>
      <c r="J322" s="29"/>
    </row>
    <row r="323" ht="15.75" customHeight="1">
      <c r="A323" s="27"/>
      <c r="B323" s="27"/>
      <c r="C323" s="27"/>
      <c r="D323" s="27"/>
      <c r="E323" s="27"/>
      <c r="J323" s="29"/>
    </row>
    <row r="324" ht="15.75" customHeight="1">
      <c r="A324" s="27"/>
      <c r="B324" s="27"/>
      <c r="C324" s="27"/>
      <c r="D324" s="27"/>
      <c r="E324" s="27"/>
      <c r="J324" s="29"/>
    </row>
    <row r="325" ht="15.75" customHeight="1">
      <c r="A325" s="27"/>
      <c r="B325" s="27"/>
      <c r="C325" s="27"/>
      <c r="D325" s="27"/>
      <c r="E325" s="27"/>
      <c r="J325" s="29"/>
    </row>
    <row r="326" ht="15.75" customHeight="1">
      <c r="A326" s="27"/>
      <c r="B326" s="27"/>
      <c r="C326" s="27"/>
      <c r="D326" s="27"/>
      <c r="E326" s="27"/>
      <c r="J326" s="29"/>
    </row>
    <row r="327" ht="15.75" customHeight="1">
      <c r="A327" s="27"/>
      <c r="B327" s="27"/>
      <c r="C327" s="27"/>
      <c r="D327" s="27"/>
      <c r="E327" s="27"/>
      <c r="J327" s="29"/>
    </row>
    <row r="328" ht="15.75" customHeight="1">
      <c r="A328" s="27"/>
      <c r="B328" s="27"/>
      <c r="C328" s="27"/>
      <c r="D328" s="27"/>
      <c r="E328" s="27"/>
      <c r="J328" s="29"/>
    </row>
    <row r="329" ht="15.75" customHeight="1">
      <c r="A329" s="27"/>
      <c r="B329" s="27"/>
      <c r="C329" s="27"/>
      <c r="D329" s="27"/>
      <c r="E329" s="27"/>
      <c r="J329" s="29"/>
    </row>
    <row r="330" ht="15.75" customHeight="1">
      <c r="A330" s="27"/>
      <c r="B330" s="27"/>
      <c r="C330" s="27"/>
      <c r="D330" s="27"/>
      <c r="E330" s="27"/>
      <c r="J330" s="29"/>
    </row>
    <row r="331" ht="15.75" customHeight="1">
      <c r="A331" s="27"/>
      <c r="B331" s="27"/>
      <c r="C331" s="27"/>
      <c r="D331" s="27"/>
      <c r="E331" s="27"/>
      <c r="J331" s="29"/>
    </row>
    <row r="332" ht="15.75" customHeight="1">
      <c r="A332" s="27"/>
      <c r="B332" s="27"/>
      <c r="C332" s="27"/>
      <c r="D332" s="27"/>
      <c r="E332" s="27"/>
      <c r="J332" s="29"/>
    </row>
    <row r="333" ht="15.75" customHeight="1">
      <c r="A333" s="27"/>
      <c r="B333" s="27"/>
      <c r="C333" s="27"/>
      <c r="D333" s="27"/>
      <c r="E333" s="27"/>
      <c r="J333" s="29"/>
    </row>
    <row r="334" ht="15.75" customHeight="1">
      <c r="A334" s="27"/>
      <c r="B334" s="27"/>
      <c r="C334" s="27"/>
      <c r="D334" s="27"/>
      <c r="E334" s="27"/>
      <c r="J334" s="29"/>
    </row>
    <row r="335" ht="15.75" customHeight="1">
      <c r="A335" s="27"/>
      <c r="B335" s="27"/>
      <c r="C335" s="27"/>
      <c r="D335" s="27"/>
      <c r="E335" s="27"/>
      <c r="J335" s="29"/>
    </row>
    <row r="336" ht="15.75" customHeight="1">
      <c r="A336" s="27"/>
      <c r="B336" s="27"/>
      <c r="C336" s="27"/>
      <c r="D336" s="27"/>
      <c r="E336" s="27"/>
      <c r="J336" s="29"/>
    </row>
    <row r="337" ht="15.75" customHeight="1">
      <c r="A337" s="27"/>
      <c r="B337" s="27"/>
      <c r="C337" s="27"/>
      <c r="D337" s="27"/>
      <c r="E337" s="27"/>
      <c r="J337" s="29"/>
    </row>
    <row r="338" ht="15.75" customHeight="1">
      <c r="A338" s="27"/>
      <c r="B338" s="27"/>
      <c r="C338" s="27"/>
      <c r="D338" s="27"/>
      <c r="E338" s="27"/>
      <c r="J338" s="29"/>
    </row>
    <row r="339" ht="15.75" customHeight="1">
      <c r="A339" s="27"/>
      <c r="B339" s="27"/>
      <c r="C339" s="27"/>
      <c r="D339" s="27"/>
      <c r="E339" s="27"/>
      <c r="J339" s="29"/>
    </row>
    <row r="340" ht="15.75" customHeight="1">
      <c r="A340" s="27"/>
      <c r="B340" s="27"/>
      <c r="C340" s="27"/>
      <c r="D340" s="27"/>
      <c r="E340" s="27"/>
      <c r="J340" s="29"/>
    </row>
    <row r="341" ht="15.75" customHeight="1">
      <c r="A341" s="27"/>
      <c r="B341" s="27"/>
      <c r="C341" s="27"/>
      <c r="D341" s="27"/>
      <c r="E341" s="27"/>
      <c r="J341" s="29"/>
    </row>
    <row r="342" ht="15.75" customHeight="1">
      <c r="A342" s="27"/>
      <c r="B342" s="27"/>
      <c r="C342" s="27"/>
      <c r="D342" s="27"/>
      <c r="E342" s="27"/>
      <c r="J342" s="29"/>
    </row>
    <row r="343" ht="15.75" customHeight="1">
      <c r="A343" s="27"/>
      <c r="B343" s="27"/>
      <c r="C343" s="27"/>
      <c r="D343" s="27"/>
      <c r="E343" s="27"/>
      <c r="J343" s="29"/>
    </row>
    <row r="344" ht="15.75" customHeight="1">
      <c r="A344" s="27"/>
      <c r="B344" s="27"/>
      <c r="C344" s="27"/>
      <c r="D344" s="27"/>
      <c r="E344" s="27"/>
      <c r="J344" s="29"/>
    </row>
    <row r="345" ht="15.75" customHeight="1">
      <c r="A345" s="27"/>
      <c r="B345" s="27"/>
      <c r="C345" s="27"/>
      <c r="D345" s="27"/>
      <c r="E345" s="27"/>
      <c r="J345" s="29"/>
    </row>
    <row r="346" ht="15.75" customHeight="1">
      <c r="J346" s="29"/>
    </row>
    <row r="347" ht="15.75" customHeight="1">
      <c r="J347" s="29"/>
    </row>
    <row r="348" ht="15.75" customHeight="1">
      <c r="J348" s="29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</sheetData>
  <mergeCells count="32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J110:J130"/>
    <mergeCell ref="J131:J151"/>
    <mergeCell ref="J152:J172"/>
    <mergeCell ref="J173:J193"/>
    <mergeCell ref="D26:D46"/>
    <mergeCell ref="E26:E46"/>
    <mergeCell ref="J26:J46"/>
    <mergeCell ref="D47:D67"/>
    <mergeCell ref="E47:E67"/>
    <mergeCell ref="D68:D88"/>
    <mergeCell ref="E68:E88"/>
    <mergeCell ref="D152:D172"/>
    <mergeCell ref="D173:D193"/>
    <mergeCell ref="D194:I194"/>
    <mergeCell ref="D89:D109"/>
    <mergeCell ref="E89:E109"/>
    <mergeCell ref="D110:D130"/>
    <mergeCell ref="E110:E130"/>
    <mergeCell ref="D131:D151"/>
    <mergeCell ref="E131:E151"/>
    <mergeCell ref="E152:E172"/>
    <mergeCell ref="E173:E19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20.25"/>
    <col customWidth="1" min="6" max="6" width="21.13"/>
    <col customWidth="1" min="7" max="7" width="14.13"/>
    <col customWidth="1" min="8" max="8" width="13.25"/>
    <col customWidth="1" min="9" max="9" width="18.13"/>
    <col customWidth="1" min="10" max="10" width="23.38"/>
    <col customWidth="1" min="11" max="11" width="6.38"/>
    <col customWidth="1" min="12" max="12" width="24.63"/>
  </cols>
  <sheetData>
    <row r="1" ht="15.75" customHeight="1">
      <c r="A1" s="25" t="s">
        <v>36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37</v>
      </c>
      <c r="B2" s="26"/>
      <c r="C2" s="31"/>
      <c r="D2" s="31" t="s">
        <v>38</v>
      </c>
      <c r="K2" s="28"/>
      <c r="L2" s="32" t="s">
        <v>39</v>
      </c>
      <c r="M2" s="33"/>
      <c r="N2" s="28"/>
    </row>
    <row r="3" ht="15.75" customHeight="1">
      <c r="A3" s="34" t="s">
        <v>40</v>
      </c>
      <c r="B3" s="35" t="s">
        <v>41</v>
      </c>
      <c r="C3" s="27"/>
      <c r="D3" s="27"/>
      <c r="E3" s="27"/>
      <c r="F3" s="28"/>
      <c r="G3" s="28"/>
      <c r="H3" s="28"/>
      <c r="I3" s="28"/>
      <c r="J3" s="36"/>
      <c r="K3" s="28"/>
      <c r="L3" s="37"/>
      <c r="M3" s="12"/>
      <c r="N3" s="28"/>
    </row>
    <row r="4" ht="15.75" customHeight="1">
      <c r="A4" s="38" t="s">
        <v>17</v>
      </c>
      <c r="B4" s="39">
        <v>3000.0</v>
      </c>
      <c r="C4" s="40"/>
      <c r="D4" s="41" t="s">
        <v>1</v>
      </c>
      <c r="E4" s="41" t="s">
        <v>42</v>
      </c>
      <c r="F4" s="42" t="s">
        <v>43</v>
      </c>
      <c r="G4" s="43" t="s">
        <v>44</v>
      </c>
      <c r="H4" s="43" t="s">
        <v>45</v>
      </c>
      <c r="I4" s="44" t="s">
        <v>46</v>
      </c>
      <c r="J4" s="45" t="s">
        <v>47</v>
      </c>
      <c r="K4" s="28"/>
      <c r="L4" s="46" t="s">
        <v>48</v>
      </c>
      <c r="M4" s="46" t="s">
        <v>44</v>
      </c>
      <c r="N4" s="28"/>
    </row>
    <row r="5" ht="15.75" customHeight="1">
      <c r="A5" s="38" t="s">
        <v>49</v>
      </c>
      <c r="B5" s="39">
        <v>3100.0</v>
      </c>
      <c r="C5" s="47"/>
      <c r="D5" s="48">
        <v>1.0</v>
      </c>
      <c r="E5" s="49" t="s">
        <v>77</v>
      </c>
      <c r="F5" s="38" t="s">
        <v>17</v>
      </c>
      <c r="G5" s="50"/>
      <c r="H5" s="51">
        <f>VLOOKUP(F5,$A$4:$B$4,2,TRUE)</f>
        <v>3000</v>
      </c>
      <c r="I5" s="52">
        <f t="shared" ref="I5:I109" si="1">G5*H5</f>
        <v>0</v>
      </c>
      <c r="J5" s="53">
        <f>SUM(I5:I25)</f>
        <v>8250</v>
      </c>
      <c r="K5" s="28"/>
      <c r="L5" s="38" t="s">
        <v>17</v>
      </c>
      <c r="M5" s="54">
        <f>SUMIF(F5:F109,"Gelas bersih",G5:G109)</f>
        <v>2</v>
      </c>
      <c r="N5" s="28"/>
    </row>
    <row r="6" ht="15.75" customHeight="1">
      <c r="A6" s="38" t="s">
        <v>51</v>
      </c>
      <c r="B6" s="39">
        <v>800.0</v>
      </c>
      <c r="C6" s="55"/>
      <c r="D6" s="56"/>
      <c r="E6" s="56"/>
      <c r="F6" s="38" t="s">
        <v>49</v>
      </c>
      <c r="G6" s="50"/>
      <c r="H6" s="57">
        <f>VLOOKUP(F6,$A$5:$B$5,2,TRUE)</f>
        <v>3100</v>
      </c>
      <c r="I6" s="52">
        <f t="shared" si="1"/>
        <v>0</v>
      </c>
      <c r="J6" s="56"/>
      <c r="K6" s="28"/>
      <c r="L6" s="38" t="s">
        <v>49</v>
      </c>
      <c r="M6" s="54">
        <f>SUMIF(F6:F110,"Botol bersih",G6:G110)</f>
        <v>7.5</v>
      </c>
      <c r="N6" s="28"/>
    </row>
    <row r="7" ht="15.75" customHeight="1">
      <c r="A7" s="38" t="s">
        <v>20</v>
      </c>
      <c r="B7" s="39">
        <v>2100.0</v>
      </c>
      <c r="C7" s="55"/>
      <c r="D7" s="56"/>
      <c r="E7" s="56"/>
      <c r="F7" s="38" t="s">
        <v>51</v>
      </c>
      <c r="G7" s="50"/>
      <c r="H7" s="57">
        <f>VLOOKUP(F7,$A$6:$B$6,2,TRUE)</f>
        <v>800</v>
      </c>
      <c r="I7" s="52">
        <f t="shared" si="1"/>
        <v>0</v>
      </c>
      <c r="J7" s="56"/>
      <c r="K7" s="28"/>
      <c r="L7" s="38" t="s">
        <v>51</v>
      </c>
      <c r="M7" s="54">
        <f>SUMIF(F7:F110,"Botol Warna",G7:G110)</f>
        <v>0</v>
      </c>
      <c r="N7" s="28"/>
    </row>
    <row r="8" ht="15.75" customHeight="1">
      <c r="A8" s="38" t="s">
        <v>21</v>
      </c>
      <c r="B8" s="39">
        <v>2600.0</v>
      </c>
      <c r="C8" s="58"/>
      <c r="D8" s="56"/>
      <c r="E8" s="56"/>
      <c r="F8" s="38" t="s">
        <v>20</v>
      </c>
      <c r="G8" s="50"/>
      <c r="H8" s="57">
        <f>VLOOKUP(F8,$A$7:$B$7,2,TRUE)</f>
        <v>2100</v>
      </c>
      <c r="I8" s="52">
        <f t="shared" si="1"/>
        <v>0</v>
      </c>
      <c r="J8" s="56"/>
      <c r="K8" s="28"/>
      <c r="L8" s="38" t="s">
        <v>20</v>
      </c>
      <c r="M8" s="54">
        <f>SUMIF(F8:F111,"Tutup botol",G8:G111)</f>
        <v>0</v>
      </c>
      <c r="N8" s="28"/>
    </row>
    <row r="9" ht="15.75" customHeight="1">
      <c r="A9" s="38" t="s">
        <v>52</v>
      </c>
      <c r="B9" s="39">
        <v>800.0</v>
      </c>
      <c r="C9" s="55"/>
      <c r="D9" s="56"/>
      <c r="E9" s="56"/>
      <c r="F9" s="38" t="s">
        <v>21</v>
      </c>
      <c r="G9" s="50"/>
      <c r="H9" s="57">
        <f>VLOOKUP(F9, $A$8:$B$8, 2, FALSE)</f>
        <v>2600</v>
      </c>
      <c r="I9" s="52">
        <f t="shared" si="1"/>
        <v>0</v>
      </c>
      <c r="J9" s="56"/>
      <c r="K9" s="28"/>
      <c r="L9" s="38" t="s">
        <v>21</v>
      </c>
      <c r="M9" s="54">
        <f>SUMIF(F9:F112,"Tutup galon",G9:G112)</f>
        <v>0.5</v>
      </c>
      <c r="N9" s="28"/>
    </row>
    <row r="10" ht="15.75" customHeight="1">
      <c r="A10" s="38" t="s">
        <v>23</v>
      </c>
      <c r="B10" s="39">
        <v>1500.0</v>
      </c>
      <c r="C10" s="55"/>
      <c r="D10" s="56"/>
      <c r="E10" s="56"/>
      <c r="F10" s="38" t="s">
        <v>52</v>
      </c>
      <c r="G10" s="50">
        <v>6.0</v>
      </c>
      <c r="H10" s="57">
        <f>VLOOKUP(F10, $A$9:$B$9, 2, FALSE)</f>
        <v>800</v>
      </c>
      <c r="I10" s="52">
        <f t="shared" si="1"/>
        <v>4800</v>
      </c>
      <c r="J10" s="56"/>
      <c r="K10" s="28"/>
      <c r="L10" s="38" t="s">
        <v>52</v>
      </c>
      <c r="M10" s="54">
        <f>SUMIF(F10:F114,"Emberan/Atum",G10:G114)</f>
        <v>24</v>
      </c>
      <c r="N10" s="28"/>
    </row>
    <row r="11" ht="15.75" customHeight="1">
      <c r="A11" s="38" t="s">
        <v>24</v>
      </c>
      <c r="B11" s="39">
        <v>1300.0</v>
      </c>
      <c r="C11" s="55"/>
      <c r="D11" s="56"/>
      <c r="E11" s="56"/>
      <c r="F11" s="38" t="s">
        <v>23</v>
      </c>
      <c r="G11" s="50">
        <v>2.0</v>
      </c>
      <c r="H11" s="57">
        <f>VLOOKUP(F11,$A$10:$B$10,2,TRUE)</f>
        <v>1500</v>
      </c>
      <c r="I11" s="52">
        <f t="shared" si="1"/>
        <v>3000</v>
      </c>
      <c r="J11" s="56"/>
      <c r="K11" s="28"/>
      <c r="L11" s="38" t="s">
        <v>23</v>
      </c>
      <c r="M11" s="54">
        <f>SUMIF(F11:F115,"Kardus",G11:G115)</f>
        <v>47.5</v>
      </c>
      <c r="N11" s="28"/>
    </row>
    <row r="12" ht="15.75" customHeight="1">
      <c r="A12" s="38" t="s">
        <v>53</v>
      </c>
      <c r="B12" s="39">
        <v>1000.0</v>
      </c>
      <c r="C12" s="55"/>
      <c r="D12" s="56"/>
      <c r="E12" s="56"/>
      <c r="F12" s="38" t="s">
        <v>24</v>
      </c>
      <c r="G12" s="50"/>
      <c r="H12" s="57">
        <f>VLOOKUP(F12,$A$11:$B$11,2,TRUE)</f>
        <v>1300</v>
      </c>
      <c r="I12" s="52">
        <f t="shared" si="1"/>
        <v>0</v>
      </c>
      <c r="J12" s="56"/>
      <c r="K12" s="28"/>
      <c r="L12" s="38" t="s">
        <v>24</v>
      </c>
      <c r="M12" s="54">
        <f>SUMIF(F12:F116,"Kertas Putihan/ HVS",G12:G116)</f>
        <v>0</v>
      </c>
      <c r="N12" s="28"/>
    </row>
    <row r="13" ht="15.75" customHeight="1">
      <c r="A13" s="38" t="s">
        <v>26</v>
      </c>
      <c r="B13" s="39">
        <v>500.0</v>
      </c>
      <c r="C13" s="55"/>
      <c r="D13" s="56"/>
      <c r="E13" s="56"/>
      <c r="F13" s="38" t="s">
        <v>54</v>
      </c>
      <c r="G13" s="50"/>
      <c r="H13" s="57">
        <f>VLOOKUP(F13,$A$12:$B$12,2,TRUE)</f>
        <v>1000</v>
      </c>
      <c r="I13" s="52">
        <f t="shared" si="1"/>
        <v>0</v>
      </c>
      <c r="J13" s="56"/>
      <c r="K13" s="28"/>
      <c r="L13" s="38" t="s">
        <v>54</v>
      </c>
      <c r="M13" s="54">
        <f>SUMIF(F13:F118,"Buku/LKS",G13:G118)</f>
        <v>7.5</v>
      </c>
      <c r="N13" s="28"/>
    </row>
    <row r="14" ht="15.75" customHeight="1">
      <c r="A14" s="38" t="s">
        <v>27</v>
      </c>
      <c r="B14" s="39">
        <v>6500.0</v>
      </c>
      <c r="C14" s="47"/>
      <c r="D14" s="56"/>
      <c r="E14" s="56"/>
      <c r="F14" s="38" t="s">
        <v>26</v>
      </c>
      <c r="G14" s="50"/>
      <c r="H14" s="57">
        <f>VLOOKUP(F14,$A$13:$B$13,2,TRUE)</f>
        <v>500</v>
      </c>
      <c r="I14" s="52">
        <f t="shared" si="1"/>
        <v>0</v>
      </c>
      <c r="J14" s="56"/>
      <c r="K14" s="28"/>
      <c r="L14" s="38" t="s">
        <v>26</v>
      </c>
      <c r="M14" s="54">
        <f>SUMIF(F14:F119,"Duplex",G14:G119)</f>
        <v>3</v>
      </c>
      <c r="N14" s="28"/>
    </row>
    <row r="15" ht="15.75" customHeight="1">
      <c r="A15" s="38" t="s">
        <v>28</v>
      </c>
      <c r="B15" s="39">
        <v>1800.0</v>
      </c>
      <c r="C15" s="58"/>
      <c r="D15" s="56"/>
      <c r="E15" s="56"/>
      <c r="F15" s="38" t="s">
        <v>27</v>
      </c>
      <c r="G15" s="50"/>
      <c r="H15" s="57">
        <f>VLOOKUP(F15,$A$14:$B$14,2,TRUE)</f>
        <v>6500</v>
      </c>
      <c r="I15" s="52">
        <f t="shared" si="1"/>
        <v>0</v>
      </c>
      <c r="J15" s="56"/>
      <c r="K15" s="28"/>
      <c r="L15" s="38" t="s">
        <v>27</v>
      </c>
      <c r="M15" s="54">
        <f>SUMIF(F15:F120,"Alumunium",G15:G120)</f>
        <v>0</v>
      </c>
      <c r="N15" s="28"/>
    </row>
    <row r="16" ht="15.75" customHeight="1">
      <c r="A16" s="38" t="s">
        <v>29</v>
      </c>
      <c r="B16" s="39">
        <v>1300.0</v>
      </c>
      <c r="C16" s="55"/>
      <c r="D16" s="56"/>
      <c r="E16" s="56"/>
      <c r="F16" s="38" t="s">
        <v>28</v>
      </c>
      <c r="G16" s="50"/>
      <c r="H16" s="57">
        <f>VLOOKUP(F16,$A$15:$B$15,2,TRUE)</f>
        <v>1800</v>
      </c>
      <c r="I16" s="52">
        <f t="shared" si="1"/>
        <v>0</v>
      </c>
      <c r="J16" s="56"/>
      <c r="K16" s="28"/>
      <c r="L16" s="38" t="s">
        <v>28</v>
      </c>
      <c r="M16" s="54">
        <f>SUMIF(F16:F121,"Besi",G16:G121)</f>
        <v>19.5</v>
      </c>
      <c r="N16" s="28"/>
    </row>
    <row r="17" ht="15.75" customHeight="1">
      <c r="A17" s="38" t="s">
        <v>30</v>
      </c>
      <c r="B17" s="39">
        <v>5000.0</v>
      </c>
      <c r="C17" s="58"/>
      <c r="D17" s="56"/>
      <c r="E17" s="56"/>
      <c r="F17" s="38" t="s">
        <v>29</v>
      </c>
      <c r="G17" s="50"/>
      <c r="H17" s="57">
        <f>VLOOKUP(F17,$A$16:$B$16,2,TRUE)</f>
        <v>1300</v>
      </c>
      <c r="I17" s="52">
        <f t="shared" si="1"/>
        <v>0</v>
      </c>
      <c r="J17" s="56"/>
      <c r="K17" s="28"/>
      <c r="L17" s="38" t="s">
        <v>29</v>
      </c>
      <c r="M17" s="54">
        <f>SUMIF(F17:F122,"Kaleng kue/susu",G17:G122)</f>
        <v>1</v>
      </c>
      <c r="N17" s="28"/>
    </row>
    <row r="18" ht="15.75" customHeight="1">
      <c r="A18" s="38" t="s">
        <v>32</v>
      </c>
      <c r="B18" s="39">
        <v>2500.0</v>
      </c>
      <c r="C18" s="59"/>
      <c r="D18" s="56"/>
      <c r="E18" s="56"/>
      <c r="F18" s="38" t="s">
        <v>30</v>
      </c>
      <c r="G18" s="50"/>
      <c r="H18" s="57">
        <f>VLOOKUP(F18,$A$17:$B$17,2,TRUE)</f>
        <v>5000</v>
      </c>
      <c r="I18" s="52">
        <f t="shared" si="1"/>
        <v>0</v>
      </c>
      <c r="J18" s="56"/>
      <c r="K18" s="28"/>
      <c r="L18" s="38" t="s">
        <v>30</v>
      </c>
      <c r="M18" s="54">
        <f>SUMIF(F18:F123,"Kaleng Minuman",G18:G123)</f>
        <v>0</v>
      </c>
      <c r="N18" s="28"/>
    </row>
    <row r="19" ht="15.75" customHeight="1">
      <c r="A19" s="38" t="s">
        <v>34</v>
      </c>
      <c r="B19" s="39">
        <v>9000.0</v>
      </c>
      <c r="C19" s="47"/>
      <c r="D19" s="56"/>
      <c r="E19" s="56"/>
      <c r="F19" s="38" t="s">
        <v>32</v>
      </c>
      <c r="G19" s="50"/>
      <c r="H19" s="57">
        <f>VLOOKUP(F19,$A$18:$B$18,2,TRUE)</f>
        <v>2500</v>
      </c>
      <c r="I19" s="52">
        <f t="shared" si="1"/>
        <v>0</v>
      </c>
      <c r="J19" s="56"/>
      <c r="K19" s="28"/>
      <c r="L19" s="38" t="s">
        <v>32</v>
      </c>
      <c r="M19" s="54">
        <f>SUMIF(F19:F125,"Stanless",G19:G125)</f>
        <v>0</v>
      </c>
      <c r="N19" s="28"/>
    </row>
    <row r="20" ht="15.75" customHeight="1">
      <c r="A20" s="38" t="s">
        <v>55</v>
      </c>
      <c r="B20" s="39">
        <v>250.0</v>
      </c>
      <c r="C20" s="58"/>
      <c r="D20" s="56"/>
      <c r="E20" s="56"/>
      <c r="F20" s="38" t="s">
        <v>34</v>
      </c>
      <c r="G20" s="50"/>
      <c r="H20" s="57">
        <f>VLOOKUP(F20,$A$19:$B$19,2,TRUE)</f>
        <v>9000</v>
      </c>
      <c r="I20" s="52">
        <f t="shared" si="1"/>
        <v>0</v>
      </c>
      <c r="J20" s="56"/>
      <c r="K20" s="28"/>
      <c r="L20" s="38" t="s">
        <v>34</v>
      </c>
      <c r="M20" s="54">
        <f>SUMIF(F20:F126,"Aki Motor",G20:G126)</f>
        <v>0</v>
      </c>
      <c r="N20" s="28"/>
    </row>
    <row r="21" ht="15.75" customHeight="1">
      <c r="A21" s="38" t="s">
        <v>13</v>
      </c>
      <c r="B21" s="39">
        <v>300.0</v>
      </c>
      <c r="C21" s="55"/>
      <c r="D21" s="56"/>
      <c r="E21" s="56"/>
      <c r="F21" s="38" t="s">
        <v>55</v>
      </c>
      <c r="G21" s="50"/>
      <c r="H21" s="57">
        <f>VLOOKUP(F21,$A$20:$B$20,2,TRUE)</f>
        <v>250</v>
      </c>
      <c r="I21" s="52">
        <f t="shared" si="1"/>
        <v>0</v>
      </c>
      <c r="J21" s="56"/>
      <c r="K21" s="28"/>
      <c r="L21" s="38" t="s">
        <v>55</v>
      </c>
      <c r="M21" s="54">
        <f>SUMIF(F21:F129,"Plastik Keresek",G21:G129)</f>
        <v>1.5</v>
      </c>
      <c r="N21" s="28"/>
    </row>
    <row r="22" ht="15.75" customHeight="1">
      <c r="A22" s="38" t="s">
        <v>9</v>
      </c>
      <c r="B22" s="39">
        <v>1800.0</v>
      </c>
      <c r="C22" s="55"/>
      <c r="D22" s="56"/>
      <c r="E22" s="56"/>
      <c r="F22" s="38" t="s">
        <v>13</v>
      </c>
      <c r="G22" s="50">
        <v>1.5</v>
      </c>
      <c r="H22" s="57">
        <f>VLOOKUP(F22,$A$21:$B$21,2,TRUE)</f>
        <v>300</v>
      </c>
      <c r="I22" s="52">
        <f t="shared" si="1"/>
        <v>450</v>
      </c>
      <c r="J22" s="56"/>
      <c r="K22" s="28"/>
      <c r="L22" s="38" t="s">
        <v>13</v>
      </c>
      <c r="M22" s="54">
        <f>SUMIF(F22:F131,"Beling",G22:G131)</f>
        <v>10</v>
      </c>
      <c r="N22" s="28"/>
    </row>
    <row r="23" ht="15.75" customHeight="1">
      <c r="A23" s="38" t="s">
        <v>15</v>
      </c>
      <c r="B23" s="60">
        <v>4000.0</v>
      </c>
      <c r="C23" s="55"/>
      <c r="D23" s="56"/>
      <c r="E23" s="56"/>
      <c r="F23" s="38" t="s">
        <v>9</v>
      </c>
      <c r="G23" s="50"/>
      <c r="H23" s="57">
        <f>VLOOKUP(F23,$A$22:$B$22,2,TRUE)</f>
        <v>1800</v>
      </c>
      <c r="I23" s="52">
        <f t="shared" si="1"/>
        <v>0</v>
      </c>
      <c r="J23" s="56"/>
      <c r="K23" s="28"/>
      <c r="L23" s="38" t="s">
        <v>9</v>
      </c>
      <c r="M23" s="54">
        <f>SUMIF(F23:F133,"Paku",G23:G133)</f>
        <v>0</v>
      </c>
      <c r="N23" s="28"/>
    </row>
    <row r="24" ht="15.75" customHeight="1">
      <c r="A24" s="38" t="s">
        <v>56</v>
      </c>
      <c r="B24" s="39">
        <v>500.0</v>
      </c>
      <c r="C24" s="55"/>
      <c r="D24" s="56"/>
      <c r="E24" s="56"/>
      <c r="F24" s="38" t="s">
        <v>15</v>
      </c>
      <c r="G24" s="50"/>
      <c r="H24" s="57">
        <f>VLOOKUP(F23,$A$23:$B$23,2,TRUE)</f>
        <v>4000</v>
      </c>
      <c r="I24" s="52">
        <f t="shared" si="1"/>
        <v>0</v>
      </c>
      <c r="J24" s="56"/>
      <c r="K24" s="28"/>
      <c r="L24" s="38" t="s">
        <v>15</v>
      </c>
      <c r="M24" s="54">
        <f>SUMIF(F24:F134,"Minyak Jelantah",G24:G134)</f>
        <v>9</v>
      </c>
      <c r="N24" s="28"/>
    </row>
    <row r="25" ht="15.75" customHeight="1">
      <c r="A25" s="55"/>
      <c r="B25" s="55"/>
      <c r="C25" s="55"/>
      <c r="D25" s="14"/>
      <c r="E25" s="14"/>
      <c r="F25" s="38" t="s">
        <v>56</v>
      </c>
      <c r="G25" s="50"/>
      <c r="H25" s="57">
        <v>1.5</v>
      </c>
      <c r="I25" s="52">
        <f t="shared" si="1"/>
        <v>0</v>
      </c>
      <c r="J25" s="14"/>
      <c r="K25" s="28"/>
      <c r="L25" s="38" t="s">
        <v>56</v>
      </c>
      <c r="M25" s="54">
        <f>SUMIF(F25:F135,"Lainnya",G25:G135)</f>
        <v>2</v>
      </c>
      <c r="N25" s="28"/>
    </row>
    <row r="26" ht="15.75" customHeight="1">
      <c r="A26" s="55"/>
      <c r="B26" s="55"/>
      <c r="C26" s="55"/>
      <c r="D26" s="48">
        <v>2.0</v>
      </c>
      <c r="E26" s="49" t="s">
        <v>78</v>
      </c>
      <c r="F26" s="38" t="s">
        <v>17</v>
      </c>
      <c r="G26" s="50">
        <v>1.0</v>
      </c>
      <c r="H26" s="51">
        <f>VLOOKUP(F26,$A$4:$B$4,2,TRUE)</f>
        <v>3000</v>
      </c>
      <c r="I26" s="52">
        <f t="shared" si="1"/>
        <v>3000</v>
      </c>
      <c r="J26" s="53">
        <f>SUM(I26:I46)</f>
        <v>57425</v>
      </c>
      <c r="K26" s="28"/>
      <c r="L26" s="28"/>
      <c r="M26" s="28"/>
      <c r="N26" s="28"/>
    </row>
    <row r="27" ht="15.75" customHeight="1">
      <c r="A27" s="61"/>
      <c r="B27" s="61"/>
      <c r="C27" s="55"/>
      <c r="D27" s="56"/>
      <c r="E27" s="56"/>
      <c r="F27" s="38" t="s">
        <v>49</v>
      </c>
      <c r="G27" s="50">
        <v>4.5</v>
      </c>
      <c r="H27" s="57">
        <f>VLOOKUP(F27,$A$5:$B$5,2,TRUE)</f>
        <v>3100</v>
      </c>
      <c r="I27" s="52">
        <f t="shared" si="1"/>
        <v>13950</v>
      </c>
      <c r="J27" s="56"/>
      <c r="K27" s="28"/>
      <c r="L27" s="28"/>
      <c r="M27" s="28"/>
      <c r="N27" s="28"/>
    </row>
    <row r="28" ht="15.75" customHeight="1">
      <c r="A28" s="61"/>
      <c r="B28" s="61"/>
      <c r="C28" s="55"/>
      <c r="D28" s="56"/>
      <c r="E28" s="56"/>
      <c r="F28" s="38" t="s">
        <v>51</v>
      </c>
      <c r="G28" s="50"/>
      <c r="H28" s="57">
        <f>VLOOKUP(F28,$A$6:$B$6,2,TRUE)</f>
        <v>800</v>
      </c>
      <c r="I28" s="52">
        <f t="shared" si="1"/>
        <v>0</v>
      </c>
      <c r="J28" s="56"/>
      <c r="K28" s="28"/>
      <c r="L28" s="28"/>
      <c r="M28" s="28"/>
      <c r="N28" s="28"/>
    </row>
    <row r="29" ht="15.75" customHeight="1">
      <c r="A29" s="62"/>
      <c r="B29" s="62"/>
      <c r="C29" s="55"/>
      <c r="D29" s="56"/>
      <c r="E29" s="56"/>
      <c r="F29" s="38" t="s">
        <v>20</v>
      </c>
      <c r="G29" s="50"/>
      <c r="H29" s="57">
        <f>VLOOKUP(F29,$A$7:$B$7,2,TRUE)</f>
        <v>2100</v>
      </c>
      <c r="I29" s="52">
        <f t="shared" si="1"/>
        <v>0</v>
      </c>
      <c r="J29" s="56"/>
      <c r="K29" s="28"/>
      <c r="L29" s="28"/>
      <c r="M29" s="28"/>
      <c r="N29" s="28"/>
    </row>
    <row r="30" ht="15.75" customHeight="1">
      <c r="A30" s="63"/>
      <c r="B30" s="62"/>
      <c r="C30" s="55"/>
      <c r="D30" s="56"/>
      <c r="E30" s="56"/>
      <c r="F30" s="38" t="s">
        <v>21</v>
      </c>
      <c r="G30" s="50"/>
      <c r="H30" s="57">
        <f>VLOOKUP(F30, $A$8:$B$8, 2, FALSE)</f>
        <v>2600</v>
      </c>
      <c r="I30" s="52">
        <f t="shared" si="1"/>
        <v>0</v>
      </c>
      <c r="J30" s="56"/>
      <c r="K30" s="28"/>
      <c r="L30" s="28"/>
      <c r="M30" s="28"/>
      <c r="N30" s="28"/>
    </row>
    <row r="31" ht="15.75" customHeight="1">
      <c r="A31" s="63"/>
      <c r="B31" s="62"/>
      <c r="C31" s="55"/>
      <c r="D31" s="56"/>
      <c r="E31" s="56"/>
      <c r="F31" s="38" t="s">
        <v>52</v>
      </c>
      <c r="G31" s="50">
        <v>6.0</v>
      </c>
      <c r="H31" s="57">
        <f>VLOOKUP(F31, $A$9:$B$9, 2, FALSE)</f>
        <v>800</v>
      </c>
      <c r="I31" s="52">
        <f t="shared" si="1"/>
        <v>4800</v>
      </c>
      <c r="J31" s="56"/>
      <c r="K31" s="28"/>
      <c r="L31" s="28"/>
      <c r="M31" s="28"/>
      <c r="N31" s="28"/>
    </row>
    <row r="32" ht="15.75" customHeight="1">
      <c r="A32" s="63"/>
      <c r="B32" s="62"/>
      <c r="C32" s="55"/>
      <c r="D32" s="56"/>
      <c r="E32" s="56"/>
      <c r="F32" s="38" t="s">
        <v>23</v>
      </c>
      <c r="G32" s="50">
        <f>6+5+6.5+4.5</f>
        <v>22</v>
      </c>
      <c r="H32" s="57">
        <f>VLOOKUP(F32,$A$10:$B$10,2,TRUE)</f>
        <v>1500</v>
      </c>
      <c r="I32" s="52">
        <f t="shared" si="1"/>
        <v>33000</v>
      </c>
      <c r="J32" s="56"/>
      <c r="K32" s="28"/>
      <c r="L32" s="28"/>
      <c r="M32" s="28"/>
      <c r="N32" s="28"/>
    </row>
    <row r="33" ht="15.75" customHeight="1">
      <c r="A33" s="63"/>
      <c r="B33" s="62"/>
      <c r="C33" s="55"/>
      <c r="D33" s="56"/>
      <c r="E33" s="56"/>
      <c r="F33" s="38" t="s">
        <v>24</v>
      </c>
      <c r="G33" s="50"/>
      <c r="H33" s="57">
        <f>VLOOKUP(F33,$A$11:$B$11,2,TRUE)</f>
        <v>1300</v>
      </c>
      <c r="I33" s="52">
        <f t="shared" si="1"/>
        <v>0</v>
      </c>
      <c r="J33" s="56"/>
      <c r="K33" s="28"/>
      <c r="L33" s="28"/>
      <c r="M33" s="28"/>
      <c r="N33" s="28"/>
    </row>
    <row r="34" ht="15.75" customHeight="1">
      <c r="A34" s="63"/>
      <c r="B34" s="62"/>
      <c r="C34" s="55"/>
      <c r="D34" s="56"/>
      <c r="E34" s="56"/>
      <c r="F34" s="38" t="s">
        <v>54</v>
      </c>
      <c r="G34" s="50"/>
      <c r="H34" s="57">
        <f>VLOOKUP(F34,$A$12:$B$12,2,TRUE)</f>
        <v>1000</v>
      </c>
      <c r="I34" s="52">
        <f t="shared" si="1"/>
        <v>0</v>
      </c>
      <c r="J34" s="56"/>
      <c r="K34" s="28"/>
      <c r="L34" s="28"/>
      <c r="M34" s="28"/>
      <c r="N34" s="28"/>
    </row>
    <row r="35" ht="15.75" customHeight="1">
      <c r="A35" s="63"/>
      <c r="B35" s="62"/>
      <c r="C35" s="55"/>
      <c r="D35" s="56"/>
      <c r="E35" s="56"/>
      <c r="F35" s="38" t="s">
        <v>26</v>
      </c>
      <c r="G35" s="50">
        <v>2.0</v>
      </c>
      <c r="H35" s="57">
        <f>VLOOKUP(F35,$A$13:$B$13,2,TRUE)</f>
        <v>500</v>
      </c>
      <c r="I35" s="52">
        <f t="shared" si="1"/>
        <v>1000</v>
      </c>
      <c r="J35" s="56"/>
      <c r="K35" s="28"/>
      <c r="L35" s="28"/>
      <c r="M35" s="28"/>
      <c r="N35" s="28"/>
    </row>
    <row r="36" ht="15.75" customHeight="1">
      <c r="A36" s="63"/>
      <c r="B36" s="62"/>
      <c r="C36" s="55"/>
      <c r="D36" s="56"/>
      <c r="E36" s="56"/>
      <c r="F36" s="38" t="s">
        <v>27</v>
      </c>
      <c r="G36" s="50"/>
      <c r="H36" s="57">
        <f>VLOOKUP(F36,$A$14:$B$14,2,TRUE)</f>
        <v>6500</v>
      </c>
      <c r="I36" s="52">
        <f t="shared" si="1"/>
        <v>0</v>
      </c>
      <c r="J36" s="56"/>
      <c r="K36" s="28"/>
      <c r="L36" s="28"/>
      <c r="M36" s="28"/>
      <c r="N36" s="28"/>
    </row>
    <row r="37" ht="15.75" customHeight="1">
      <c r="A37" s="63"/>
      <c r="B37" s="62"/>
      <c r="C37" s="55"/>
      <c r="D37" s="56"/>
      <c r="E37" s="56"/>
      <c r="F37" s="38" t="s">
        <v>28</v>
      </c>
      <c r="G37" s="50"/>
      <c r="H37" s="57">
        <f>VLOOKUP(F37,$A$15:$B$15,2,TRUE)</f>
        <v>1800</v>
      </c>
      <c r="I37" s="52">
        <f t="shared" si="1"/>
        <v>0</v>
      </c>
      <c r="J37" s="56"/>
      <c r="K37" s="28"/>
      <c r="L37" s="28"/>
      <c r="M37" s="28"/>
      <c r="N37" s="28"/>
    </row>
    <row r="38" ht="15.75" customHeight="1">
      <c r="A38" s="63"/>
      <c r="B38" s="62"/>
      <c r="C38" s="55"/>
      <c r="D38" s="56"/>
      <c r="E38" s="56"/>
      <c r="F38" s="38" t="s">
        <v>29</v>
      </c>
      <c r="G38" s="50">
        <v>1.0</v>
      </c>
      <c r="H38" s="57">
        <f>VLOOKUP(F38,$A$16:$B$16,2,TRUE)</f>
        <v>1300</v>
      </c>
      <c r="I38" s="52">
        <f t="shared" si="1"/>
        <v>1300</v>
      </c>
      <c r="J38" s="56"/>
      <c r="K38" s="28"/>
      <c r="L38" s="28"/>
      <c r="M38" s="28"/>
      <c r="N38" s="28"/>
    </row>
    <row r="39" ht="15.75" customHeight="1">
      <c r="A39" s="63"/>
      <c r="B39" s="62"/>
      <c r="C39" s="55"/>
      <c r="D39" s="56"/>
      <c r="E39" s="56"/>
      <c r="F39" s="38" t="s">
        <v>30</v>
      </c>
      <c r="G39" s="50"/>
      <c r="H39" s="57">
        <f>VLOOKUP(F39,$A$17:$B$17,2,TRUE)</f>
        <v>5000</v>
      </c>
      <c r="I39" s="52">
        <f t="shared" si="1"/>
        <v>0</v>
      </c>
      <c r="J39" s="56"/>
      <c r="K39" s="28"/>
      <c r="L39" s="28"/>
      <c r="M39" s="28"/>
      <c r="N39" s="28"/>
    </row>
    <row r="40" ht="15.75" customHeight="1">
      <c r="A40" s="63"/>
      <c r="B40" s="62"/>
      <c r="C40" s="55"/>
      <c r="D40" s="56"/>
      <c r="E40" s="56"/>
      <c r="F40" s="38" t="s">
        <v>32</v>
      </c>
      <c r="G40" s="50"/>
      <c r="H40" s="57">
        <f>VLOOKUP(F40,$A$18:$B$18,2,TRUE)</f>
        <v>2500</v>
      </c>
      <c r="I40" s="52">
        <f t="shared" si="1"/>
        <v>0</v>
      </c>
      <c r="J40" s="56"/>
      <c r="K40" s="28"/>
      <c r="L40" s="28"/>
      <c r="M40" s="28"/>
      <c r="N40" s="28"/>
    </row>
    <row r="41" ht="15.75" customHeight="1">
      <c r="A41" s="63"/>
      <c r="B41" s="62"/>
      <c r="C41" s="55"/>
      <c r="D41" s="56"/>
      <c r="E41" s="56"/>
      <c r="F41" s="38" t="s">
        <v>34</v>
      </c>
      <c r="G41" s="50"/>
      <c r="H41" s="57">
        <f>VLOOKUP(F41,$A$19:$B$19,2,TRUE)</f>
        <v>9000</v>
      </c>
      <c r="I41" s="52">
        <f t="shared" si="1"/>
        <v>0</v>
      </c>
      <c r="J41" s="56"/>
      <c r="K41" s="28"/>
      <c r="L41" s="28"/>
      <c r="M41" s="28"/>
      <c r="N41" s="28"/>
    </row>
    <row r="42" ht="15.75" customHeight="1">
      <c r="A42" s="63"/>
      <c r="B42" s="62"/>
      <c r="C42" s="55"/>
      <c r="D42" s="56"/>
      <c r="E42" s="56"/>
      <c r="F42" s="38" t="s">
        <v>55</v>
      </c>
      <c r="G42" s="50">
        <v>1.5</v>
      </c>
      <c r="H42" s="57">
        <f>VLOOKUP(F42,$A$20:$B$20,2,TRUE)</f>
        <v>250</v>
      </c>
      <c r="I42" s="52">
        <f t="shared" si="1"/>
        <v>375</v>
      </c>
      <c r="J42" s="56"/>
      <c r="K42" s="28"/>
      <c r="L42" s="28"/>
      <c r="M42" s="28"/>
      <c r="N42" s="28"/>
    </row>
    <row r="43" ht="15.75" customHeight="1">
      <c r="A43" s="63"/>
      <c r="B43" s="62"/>
      <c r="C43" s="55"/>
      <c r="D43" s="56"/>
      <c r="E43" s="56"/>
      <c r="F43" s="38" t="s">
        <v>13</v>
      </c>
      <c r="G43" s="50"/>
      <c r="H43" s="57">
        <f>VLOOKUP(F43,$A$21:$B$21,2,TRUE)</f>
        <v>300</v>
      </c>
      <c r="I43" s="52">
        <f t="shared" si="1"/>
        <v>0</v>
      </c>
      <c r="J43" s="56"/>
      <c r="K43" s="28"/>
      <c r="L43" s="28"/>
      <c r="M43" s="28"/>
      <c r="N43" s="28"/>
    </row>
    <row r="44" ht="15.75" customHeight="1">
      <c r="A44" s="63"/>
      <c r="B44" s="62"/>
      <c r="C44" s="55"/>
      <c r="D44" s="56"/>
      <c r="E44" s="56"/>
      <c r="F44" s="38" t="s">
        <v>9</v>
      </c>
      <c r="G44" s="50"/>
      <c r="H44" s="57">
        <f>VLOOKUP(F44,$A$22:$B$22,2,TRUE)</f>
        <v>1800</v>
      </c>
      <c r="I44" s="52">
        <f t="shared" si="1"/>
        <v>0</v>
      </c>
      <c r="J44" s="56"/>
      <c r="K44" s="28"/>
      <c r="L44" s="28"/>
      <c r="M44" s="28"/>
      <c r="N44" s="28"/>
    </row>
    <row r="45" ht="15.75" customHeight="1">
      <c r="A45" s="63"/>
      <c r="B45" s="62"/>
      <c r="C45" s="55"/>
      <c r="D45" s="56"/>
      <c r="E45" s="56"/>
      <c r="F45" s="38" t="s">
        <v>15</v>
      </c>
      <c r="G45" s="50"/>
      <c r="H45" s="57">
        <f>VLOOKUP(F44,$A$23:$B$23,2,TRUE)</f>
        <v>4000</v>
      </c>
      <c r="I45" s="52">
        <f t="shared" si="1"/>
        <v>0</v>
      </c>
      <c r="J45" s="56"/>
      <c r="K45" s="28"/>
      <c r="L45" s="28"/>
      <c r="M45" s="28"/>
      <c r="N45" s="28"/>
    </row>
    <row r="46" ht="15.75" customHeight="1">
      <c r="A46" s="63"/>
      <c r="B46" s="62"/>
      <c r="C46" s="55"/>
      <c r="D46" s="14"/>
      <c r="E46" s="14"/>
      <c r="F46" s="38" t="s">
        <v>56</v>
      </c>
      <c r="G46" s="50">
        <v>2.0</v>
      </c>
      <c r="H46" s="57"/>
      <c r="I46" s="52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5"/>
      <c r="D47" s="48">
        <v>3.0</v>
      </c>
      <c r="E47" s="64" t="s">
        <v>79</v>
      </c>
      <c r="F47" s="38" t="s">
        <v>17</v>
      </c>
      <c r="G47" s="50">
        <v>1.0</v>
      </c>
      <c r="H47" s="51">
        <f>VLOOKUP(F47,$A$4:$B$4,2,TRUE)</f>
        <v>3000</v>
      </c>
      <c r="I47" s="52">
        <f t="shared" si="1"/>
        <v>3000</v>
      </c>
      <c r="J47" s="53">
        <f>SUM(I47:I67)</f>
        <v>62350</v>
      </c>
      <c r="K47" s="28"/>
      <c r="L47" s="28"/>
      <c r="M47" s="28"/>
      <c r="N47" s="28"/>
    </row>
    <row r="48" ht="15.75" customHeight="1">
      <c r="A48" s="63"/>
      <c r="B48" s="62"/>
      <c r="C48" s="55"/>
      <c r="D48" s="56"/>
      <c r="E48" s="56"/>
      <c r="F48" s="38" t="s">
        <v>49</v>
      </c>
      <c r="G48" s="50">
        <v>3.0</v>
      </c>
      <c r="H48" s="57">
        <f>VLOOKUP(F48,$A$5:$B$5,2,TRUE)</f>
        <v>3100</v>
      </c>
      <c r="I48" s="52">
        <f t="shared" si="1"/>
        <v>9300</v>
      </c>
      <c r="J48" s="56"/>
      <c r="K48" s="28"/>
      <c r="L48" s="28"/>
      <c r="M48" s="28"/>
      <c r="N48" s="28"/>
    </row>
    <row r="49" ht="15.75" customHeight="1">
      <c r="A49" s="63"/>
      <c r="B49" s="62"/>
      <c r="C49" s="55"/>
      <c r="D49" s="56"/>
      <c r="E49" s="56"/>
      <c r="F49" s="38" t="s">
        <v>51</v>
      </c>
      <c r="G49" s="50"/>
      <c r="H49" s="57">
        <f>VLOOKUP(F49,$A$6:$B$6,2,TRUE)</f>
        <v>800</v>
      </c>
      <c r="I49" s="52">
        <f t="shared" si="1"/>
        <v>0</v>
      </c>
      <c r="J49" s="56"/>
      <c r="K49" s="28"/>
      <c r="L49" s="28"/>
      <c r="M49" s="28"/>
      <c r="N49" s="28"/>
    </row>
    <row r="50" ht="15.75" customHeight="1">
      <c r="A50" s="63"/>
      <c r="B50" s="62"/>
      <c r="C50" s="55"/>
      <c r="D50" s="56"/>
      <c r="E50" s="56"/>
      <c r="F50" s="38" t="s">
        <v>20</v>
      </c>
      <c r="G50" s="50"/>
      <c r="H50" s="57">
        <f>VLOOKUP(F50,$A$7:$B$7,2,TRUE)</f>
        <v>2100</v>
      </c>
      <c r="I50" s="52">
        <f t="shared" si="1"/>
        <v>0</v>
      </c>
      <c r="J50" s="56"/>
      <c r="K50" s="28"/>
      <c r="L50" s="28"/>
      <c r="M50" s="28"/>
      <c r="N50" s="28"/>
    </row>
    <row r="51" ht="15.75" customHeight="1">
      <c r="A51" s="47"/>
      <c r="B51" s="47"/>
      <c r="C51" s="55"/>
      <c r="D51" s="56"/>
      <c r="E51" s="56"/>
      <c r="F51" s="38" t="s">
        <v>21</v>
      </c>
      <c r="G51" s="50">
        <v>0.5</v>
      </c>
      <c r="H51" s="57">
        <f>VLOOKUP(F51, $A$8:$B$8, 2, FALSE)</f>
        <v>2600</v>
      </c>
      <c r="I51" s="52">
        <f t="shared" si="1"/>
        <v>1300</v>
      </c>
      <c r="J51" s="56"/>
      <c r="K51" s="28"/>
      <c r="L51" s="28"/>
      <c r="M51" s="28"/>
      <c r="N51" s="28"/>
    </row>
    <row r="52" ht="15.75" customHeight="1">
      <c r="A52" s="47"/>
      <c r="B52" s="47"/>
      <c r="C52" s="55"/>
      <c r="D52" s="56"/>
      <c r="E52" s="56"/>
      <c r="F52" s="38" t="s">
        <v>52</v>
      </c>
      <c r="G52" s="50">
        <v>3.5</v>
      </c>
      <c r="H52" s="57">
        <f>VLOOKUP(F52, $A$9:$B$9, 2, FALSE)</f>
        <v>800</v>
      </c>
      <c r="I52" s="52">
        <f t="shared" si="1"/>
        <v>2800</v>
      </c>
      <c r="J52" s="56"/>
      <c r="K52" s="28"/>
      <c r="L52" s="28"/>
      <c r="M52" s="28"/>
      <c r="N52" s="28"/>
    </row>
    <row r="53" ht="15.75" customHeight="1">
      <c r="A53" s="47"/>
      <c r="B53" s="47"/>
      <c r="C53" s="55"/>
      <c r="D53" s="56"/>
      <c r="E53" s="56"/>
      <c r="F53" s="38" t="s">
        <v>23</v>
      </c>
      <c r="G53" s="50">
        <v>8.5</v>
      </c>
      <c r="H53" s="57">
        <f>VLOOKUP(F53,$A$10:$B$10,2,TRUE)</f>
        <v>1500</v>
      </c>
      <c r="I53" s="52">
        <f t="shared" si="1"/>
        <v>12750</v>
      </c>
      <c r="J53" s="56"/>
      <c r="K53" s="28"/>
      <c r="L53" s="28"/>
      <c r="M53" s="28"/>
      <c r="N53" s="28"/>
    </row>
    <row r="54" ht="15.75" customHeight="1">
      <c r="A54" s="47"/>
      <c r="B54" s="47"/>
      <c r="C54" s="55"/>
      <c r="D54" s="56"/>
      <c r="E54" s="56"/>
      <c r="F54" s="38" t="s">
        <v>24</v>
      </c>
      <c r="G54" s="50"/>
      <c r="H54" s="57">
        <f>VLOOKUP(F54,$A$11:$B$11,2,TRUE)</f>
        <v>1300</v>
      </c>
      <c r="I54" s="52">
        <f t="shared" si="1"/>
        <v>0</v>
      </c>
      <c r="J54" s="56"/>
      <c r="K54" s="28"/>
      <c r="L54" s="28"/>
      <c r="M54" s="28"/>
      <c r="N54" s="28"/>
    </row>
    <row r="55" ht="15.75" customHeight="1">
      <c r="A55" s="47"/>
      <c r="B55" s="47"/>
      <c r="C55" s="55"/>
      <c r="D55" s="56"/>
      <c r="E55" s="56"/>
      <c r="F55" s="38" t="s">
        <v>54</v>
      </c>
      <c r="G55" s="50">
        <v>7.5</v>
      </c>
      <c r="H55" s="57">
        <f>VLOOKUP(F55,$A$12:$B$12,2,TRUE)</f>
        <v>1000</v>
      </c>
      <c r="I55" s="52">
        <f t="shared" si="1"/>
        <v>7500</v>
      </c>
      <c r="J55" s="56"/>
      <c r="K55" s="28"/>
      <c r="L55" s="28"/>
      <c r="M55" s="28"/>
      <c r="N55" s="28"/>
    </row>
    <row r="56" ht="15.75" customHeight="1">
      <c r="A56" s="47"/>
      <c r="B56" s="47"/>
      <c r="C56" s="55"/>
      <c r="D56" s="56"/>
      <c r="E56" s="56"/>
      <c r="F56" s="38" t="s">
        <v>26</v>
      </c>
      <c r="G56" s="50">
        <v>1.0</v>
      </c>
      <c r="H56" s="57">
        <f>VLOOKUP(F56,$A$13:$B$13,2,TRUE)</f>
        <v>500</v>
      </c>
      <c r="I56" s="52">
        <f t="shared" si="1"/>
        <v>500</v>
      </c>
      <c r="J56" s="56"/>
      <c r="K56" s="28"/>
      <c r="L56" s="28"/>
      <c r="M56" s="28"/>
      <c r="N56" s="28"/>
    </row>
    <row r="57" ht="15.75" customHeight="1">
      <c r="A57" s="47"/>
      <c r="B57" s="47"/>
      <c r="C57" s="55"/>
      <c r="D57" s="56"/>
      <c r="E57" s="56"/>
      <c r="F57" s="38" t="s">
        <v>27</v>
      </c>
      <c r="G57" s="50"/>
      <c r="H57" s="57">
        <f>VLOOKUP(F57,$A$14:$B$14,2,TRUE)</f>
        <v>6500</v>
      </c>
      <c r="I57" s="52">
        <f t="shared" si="1"/>
        <v>0</v>
      </c>
      <c r="J57" s="56"/>
      <c r="K57" s="28"/>
      <c r="L57" s="28"/>
      <c r="M57" s="28"/>
      <c r="N57" s="28"/>
    </row>
    <row r="58" ht="15.75" customHeight="1">
      <c r="A58" s="55"/>
      <c r="B58" s="55"/>
      <c r="C58" s="55"/>
      <c r="D58" s="56"/>
      <c r="E58" s="56"/>
      <c r="F58" s="38" t="s">
        <v>28</v>
      </c>
      <c r="G58" s="50"/>
      <c r="H58" s="57">
        <f>VLOOKUP(F58,$A$15:$B$15,2,TRUE)</f>
        <v>1800</v>
      </c>
      <c r="I58" s="52">
        <f t="shared" si="1"/>
        <v>0</v>
      </c>
      <c r="J58" s="56"/>
      <c r="K58" s="28"/>
      <c r="L58" s="28"/>
      <c r="M58" s="28"/>
      <c r="N58" s="28"/>
    </row>
    <row r="59" ht="15.75" customHeight="1">
      <c r="A59" s="55"/>
      <c r="B59" s="55"/>
      <c r="C59" s="55"/>
      <c r="D59" s="56"/>
      <c r="E59" s="56"/>
      <c r="F59" s="38" t="s">
        <v>29</v>
      </c>
      <c r="G59" s="50"/>
      <c r="H59" s="57">
        <f>VLOOKUP(F59,$A$16:$B$16,2,TRUE)</f>
        <v>1300</v>
      </c>
      <c r="I59" s="52">
        <f t="shared" si="1"/>
        <v>0</v>
      </c>
      <c r="J59" s="56"/>
      <c r="K59" s="28"/>
      <c r="L59" s="28"/>
      <c r="M59" s="28"/>
      <c r="N59" s="28"/>
    </row>
    <row r="60" ht="15.75" customHeight="1">
      <c r="A60" s="55"/>
      <c r="B60" s="55"/>
      <c r="C60" s="55"/>
      <c r="D60" s="56"/>
      <c r="E60" s="56"/>
      <c r="F60" s="38" t="s">
        <v>30</v>
      </c>
      <c r="G60" s="50"/>
      <c r="H60" s="57">
        <f>VLOOKUP(F60,$A$17:$B$17,2,TRUE)</f>
        <v>5000</v>
      </c>
      <c r="I60" s="52">
        <f t="shared" si="1"/>
        <v>0</v>
      </c>
      <c r="J60" s="56"/>
      <c r="K60" s="28"/>
      <c r="L60" s="28"/>
      <c r="M60" s="28"/>
      <c r="N60" s="28"/>
    </row>
    <row r="61" ht="15.75" customHeight="1">
      <c r="A61" s="55"/>
      <c r="B61" s="55"/>
      <c r="C61" s="55"/>
      <c r="D61" s="56"/>
      <c r="E61" s="56"/>
      <c r="F61" s="38" t="s">
        <v>32</v>
      </c>
      <c r="G61" s="50"/>
      <c r="H61" s="57">
        <f>VLOOKUP(F61,$A$18:$B$18,2,TRUE)</f>
        <v>2500</v>
      </c>
      <c r="I61" s="52">
        <f t="shared" si="1"/>
        <v>0</v>
      </c>
      <c r="J61" s="56"/>
      <c r="K61" s="28"/>
      <c r="L61" s="28"/>
      <c r="M61" s="28"/>
      <c r="N61" s="28"/>
    </row>
    <row r="62" ht="15.75" customHeight="1">
      <c r="A62" s="55"/>
      <c r="B62" s="55"/>
      <c r="C62" s="55"/>
      <c r="D62" s="56"/>
      <c r="E62" s="56"/>
      <c r="F62" s="38" t="s">
        <v>34</v>
      </c>
      <c r="G62" s="50"/>
      <c r="H62" s="57">
        <f>VLOOKUP(F62,$A$19:$B$19,2,TRUE)</f>
        <v>9000</v>
      </c>
      <c r="I62" s="52">
        <f t="shared" si="1"/>
        <v>0</v>
      </c>
      <c r="J62" s="56"/>
      <c r="K62" s="28"/>
      <c r="L62" s="28"/>
      <c r="M62" s="28"/>
      <c r="N62" s="28"/>
    </row>
    <row r="63" ht="15.75" customHeight="1">
      <c r="A63" s="55"/>
      <c r="B63" s="55"/>
      <c r="C63" s="55"/>
      <c r="D63" s="56"/>
      <c r="E63" s="56"/>
      <c r="F63" s="38" t="s">
        <v>55</v>
      </c>
      <c r="G63" s="50"/>
      <c r="H63" s="57">
        <f>VLOOKUP(F63,$A$20:$B$20,2,TRUE)</f>
        <v>250</v>
      </c>
      <c r="I63" s="52">
        <f t="shared" si="1"/>
        <v>0</v>
      </c>
      <c r="J63" s="56"/>
      <c r="K63" s="28"/>
      <c r="L63" s="28"/>
      <c r="M63" s="28"/>
      <c r="N63" s="28"/>
    </row>
    <row r="64" ht="15.75" customHeight="1">
      <c r="A64" s="55"/>
      <c r="B64" s="55"/>
      <c r="C64" s="55"/>
      <c r="D64" s="56"/>
      <c r="E64" s="56"/>
      <c r="F64" s="38" t="s">
        <v>13</v>
      </c>
      <c r="G64" s="50">
        <v>4.0</v>
      </c>
      <c r="H64" s="57">
        <f>VLOOKUP(F64,$A$21:$B$21,2,TRUE)</f>
        <v>300</v>
      </c>
      <c r="I64" s="52">
        <f t="shared" si="1"/>
        <v>1200</v>
      </c>
      <c r="J64" s="56"/>
      <c r="K64" s="28"/>
      <c r="L64" s="28"/>
      <c r="M64" s="28"/>
      <c r="N64" s="28"/>
    </row>
    <row r="65" ht="15.75" customHeight="1">
      <c r="A65" s="55"/>
      <c r="B65" s="55"/>
      <c r="C65" s="55"/>
      <c r="D65" s="56"/>
      <c r="E65" s="56"/>
      <c r="F65" s="38" t="s">
        <v>9</v>
      </c>
      <c r="G65" s="50"/>
      <c r="H65" s="57">
        <f>VLOOKUP(F65,$A$22:$B$22,2,TRUE)</f>
        <v>1800</v>
      </c>
      <c r="I65" s="52">
        <f t="shared" si="1"/>
        <v>0</v>
      </c>
      <c r="J65" s="56"/>
      <c r="K65" s="28"/>
      <c r="L65" s="28"/>
      <c r="M65" s="28"/>
      <c r="N65" s="28"/>
    </row>
    <row r="66" ht="15.75" customHeight="1">
      <c r="A66" s="55"/>
      <c r="B66" s="55"/>
      <c r="C66" s="55"/>
      <c r="D66" s="56"/>
      <c r="E66" s="56"/>
      <c r="F66" s="38" t="s">
        <v>15</v>
      </c>
      <c r="G66" s="50">
        <v>6.0</v>
      </c>
      <c r="H66" s="57">
        <f>VLOOKUP(F65,$A$23:$B$23,2,TRUE)</f>
        <v>4000</v>
      </c>
      <c r="I66" s="52">
        <f t="shared" si="1"/>
        <v>24000</v>
      </c>
      <c r="J66" s="56"/>
      <c r="K66" s="28"/>
      <c r="L66" s="28"/>
      <c r="M66" s="28"/>
      <c r="N66" s="28"/>
    </row>
    <row r="67" ht="15.75" customHeight="1">
      <c r="A67" s="55"/>
      <c r="B67" s="55"/>
      <c r="C67" s="55"/>
      <c r="D67" s="14"/>
      <c r="E67" s="14"/>
      <c r="F67" s="38" t="s">
        <v>56</v>
      </c>
      <c r="G67" s="50"/>
      <c r="H67" s="57">
        <f>VLOOKUP(F66,$A$24:$B$24,2,TRUE)</f>
        <v>500</v>
      </c>
      <c r="I67" s="52">
        <f t="shared" si="1"/>
        <v>0</v>
      </c>
      <c r="J67" s="14"/>
      <c r="K67" s="28"/>
      <c r="L67" s="28"/>
      <c r="M67" s="28"/>
      <c r="N67" s="28"/>
    </row>
    <row r="68" ht="15.75" customHeight="1">
      <c r="A68" s="55"/>
      <c r="B68" s="55"/>
      <c r="C68" s="55"/>
      <c r="D68" s="48">
        <v>4.0</v>
      </c>
      <c r="E68" s="49" t="s">
        <v>80</v>
      </c>
      <c r="F68" s="38" t="s">
        <v>17</v>
      </c>
      <c r="G68" s="50"/>
      <c r="H68" s="51">
        <f>VLOOKUP(F68,$A$4:$B$4,2,TRUE)</f>
        <v>3000</v>
      </c>
      <c r="I68" s="52">
        <f t="shared" si="1"/>
        <v>0</v>
      </c>
      <c r="J68" s="53">
        <f>SUM(I68:I88)</f>
        <v>8150</v>
      </c>
      <c r="K68" s="28"/>
      <c r="L68" s="28"/>
      <c r="M68" s="28"/>
      <c r="N68" s="28"/>
    </row>
    <row r="69" ht="15.75" customHeight="1">
      <c r="A69" s="55"/>
      <c r="B69" s="55"/>
      <c r="C69" s="55"/>
      <c r="D69" s="56"/>
      <c r="E69" s="56"/>
      <c r="F69" s="38" t="s">
        <v>49</v>
      </c>
      <c r="G69" s="50"/>
      <c r="H69" s="57">
        <f>VLOOKUP(F69,$A$5:$B$5,2,TRUE)</f>
        <v>3100</v>
      </c>
      <c r="I69" s="52">
        <f t="shared" si="1"/>
        <v>0</v>
      </c>
      <c r="J69" s="56"/>
      <c r="K69" s="28"/>
      <c r="L69" s="28"/>
      <c r="M69" s="28"/>
      <c r="N69" s="28"/>
    </row>
    <row r="70" ht="15.75" customHeight="1">
      <c r="A70" s="55"/>
      <c r="B70" s="55"/>
      <c r="C70" s="55"/>
      <c r="D70" s="56"/>
      <c r="E70" s="56"/>
      <c r="F70" s="38" t="s">
        <v>51</v>
      </c>
      <c r="G70" s="50"/>
      <c r="H70" s="57">
        <f>VLOOKUP(F70,$A$6:$B$6,2,TRUE)</f>
        <v>800</v>
      </c>
      <c r="I70" s="52">
        <f t="shared" si="1"/>
        <v>0</v>
      </c>
      <c r="J70" s="56"/>
      <c r="K70" s="28"/>
      <c r="L70" s="28"/>
      <c r="M70" s="28"/>
      <c r="N70" s="28"/>
    </row>
    <row r="71" ht="15.75" customHeight="1">
      <c r="A71" s="55"/>
      <c r="B71" s="55"/>
      <c r="C71" s="55"/>
      <c r="D71" s="56"/>
      <c r="E71" s="56"/>
      <c r="F71" s="38" t="s">
        <v>20</v>
      </c>
      <c r="G71" s="50"/>
      <c r="H71" s="57">
        <f>VLOOKUP(F71,$A$7:$B$7,2,TRUE)</f>
        <v>2100</v>
      </c>
      <c r="I71" s="52">
        <f t="shared" si="1"/>
        <v>0</v>
      </c>
      <c r="J71" s="56"/>
      <c r="K71" s="28"/>
      <c r="L71" s="28"/>
      <c r="M71" s="28"/>
      <c r="N71" s="28"/>
    </row>
    <row r="72" ht="15.75" customHeight="1">
      <c r="A72" s="55"/>
      <c r="B72" s="55"/>
      <c r="C72" s="55"/>
      <c r="D72" s="56"/>
      <c r="E72" s="56"/>
      <c r="F72" s="38" t="s">
        <v>21</v>
      </c>
      <c r="G72" s="50"/>
      <c r="H72" s="57">
        <f>VLOOKUP(F72, $A$8:$B$8, 2, FALSE)</f>
        <v>2600</v>
      </c>
      <c r="I72" s="52">
        <f t="shared" si="1"/>
        <v>0</v>
      </c>
      <c r="J72" s="56"/>
      <c r="K72" s="28"/>
      <c r="L72" s="28"/>
      <c r="M72" s="28"/>
      <c r="N72" s="28"/>
    </row>
    <row r="73" ht="15.75" customHeight="1">
      <c r="A73" s="55"/>
      <c r="B73" s="55"/>
      <c r="C73" s="55"/>
      <c r="D73" s="56"/>
      <c r="E73" s="56"/>
      <c r="F73" s="38" t="s">
        <v>52</v>
      </c>
      <c r="G73" s="50">
        <f>6.5+2</f>
        <v>8.5</v>
      </c>
      <c r="H73" s="57">
        <f>VLOOKUP(F73, $A$9:$B$9, 2, FALSE)</f>
        <v>800</v>
      </c>
      <c r="I73" s="52">
        <f t="shared" si="1"/>
        <v>6800</v>
      </c>
      <c r="J73" s="56"/>
      <c r="K73" s="28"/>
      <c r="L73" s="28"/>
      <c r="M73" s="28"/>
      <c r="N73" s="28"/>
    </row>
    <row r="74" ht="15.75" customHeight="1">
      <c r="A74" s="55"/>
      <c r="B74" s="55"/>
      <c r="C74" s="55"/>
      <c r="D74" s="56"/>
      <c r="E74" s="56"/>
      <c r="F74" s="38" t="s">
        <v>23</v>
      </c>
      <c r="G74" s="50"/>
      <c r="H74" s="57">
        <f>VLOOKUP(F74,$A$10:$B$10,2,TRUE)</f>
        <v>1500</v>
      </c>
      <c r="I74" s="52">
        <f t="shared" si="1"/>
        <v>0</v>
      </c>
      <c r="J74" s="56"/>
      <c r="K74" s="28"/>
      <c r="L74" s="28"/>
      <c r="M74" s="28"/>
      <c r="N74" s="28"/>
    </row>
    <row r="75" ht="15.75" customHeight="1">
      <c r="A75" s="55"/>
      <c r="B75" s="55"/>
      <c r="C75" s="55"/>
      <c r="D75" s="56"/>
      <c r="E75" s="56"/>
      <c r="F75" s="38" t="s">
        <v>24</v>
      </c>
      <c r="G75" s="50"/>
      <c r="H75" s="57">
        <f>VLOOKUP(F75,$A$11:$B$11,2,TRUE)</f>
        <v>1300</v>
      </c>
      <c r="I75" s="52">
        <f t="shared" si="1"/>
        <v>0</v>
      </c>
      <c r="J75" s="56"/>
      <c r="K75" s="28"/>
      <c r="L75" s="28"/>
      <c r="M75" s="28"/>
      <c r="N75" s="28"/>
    </row>
    <row r="76" ht="15.75" customHeight="1">
      <c r="A76" s="55"/>
      <c r="B76" s="55"/>
      <c r="C76" s="55"/>
      <c r="D76" s="56"/>
      <c r="E76" s="56"/>
      <c r="F76" s="38" t="s">
        <v>54</v>
      </c>
      <c r="G76" s="50"/>
      <c r="H76" s="57">
        <f>VLOOKUP(F76,$A$12:$B$12,2,TRUE)</f>
        <v>1000</v>
      </c>
      <c r="I76" s="52">
        <f t="shared" si="1"/>
        <v>0</v>
      </c>
      <c r="J76" s="56"/>
      <c r="K76" s="28"/>
      <c r="L76" s="28"/>
      <c r="M76" s="28"/>
      <c r="N76" s="28"/>
    </row>
    <row r="77" ht="15.75" customHeight="1">
      <c r="A77" s="55"/>
      <c r="B77" s="55"/>
      <c r="C77" s="55"/>
      <c r="D77" s="56"/>
      <c r="E77" s="56"/>
      <c r="F77" s="38" t="s">
        <v>26</v>
      </c>
      <c r="G77" s="50"/>
      <c r="H77" s="57">
        <f>VLOOKUP(F77,$A$13:$B$13,2,TRUE)</f>
        <v>500</v>
      </c>
      <c r="I77" s="52">
        <f t="shared" si="1"/>
        <v>0</v>
      </c>
      <c r="J77" s="56"/>
      <c r="K77" s="28"/>
      <c r="L77" s="28"/>
      <c r="M77" s="28"/>
      <c r="N77" s="28"/>
    </row>
    <row r="78" ht="15.75" customHeight="1">
      <c r="A78" s="55"/>
      <c r="B78" s="55"/>
      <c r="C78" s="55"/>
      <c r="D78" s="56"/>
      <c r="E78" s="56"/>
      <c r="F78" s="38" t="s">
        <v>27</v>
      </c>
      <c r="G78" s="50"/>
      <c r="H78" s="57">
        <f>VLOOKUP(F78,$A$14:$B$14,2,TRUE)</f>
        <v>6500</v>
      </c>
      <c r="I78" s="52">
        <f t="shared" si="1"/>
        <v>0</v>
      </c>
      <c r="J78" s="56"/>
      <c r="K78" s="28"/>
      <c r="L78" s="28"/>
      <c r="M78" s="28"/>
      <c r="N78" s="28"/>
    </row>
    <row r="79" ht="15.75" customHeight="1">
      <c r="A79" s="55"/>
      <c r="B79" s="55"/>
      <c r="C79" s="55"/>
      <c r="D79" s="56"/>
      <c r="E79" s="56"/>
      <c r="F79" s="38" t="s">
        <v>28</v>
      </c>
      <c r="G79" s="50"/>
      <c r="H79" s="57">
        <f>VLOOKUP(F79,$A$15:$B$15,2,TRUE)</f>
        <v>1800</v>
      </c>
      <c r="I79" s="52">
        <f t="shared" si="1"/>
        <v>0</v>
      </c>
      <c r="J79" s="56"/>
      <c r="K79" s="28"/>
      <c r="L79" s="28"/>
      <c r="M79" s="28"/>
      <c r="N79" s="28"/>
    </row>
    <row r="80" ht="15.75" customHeight="1">
      <c r="A80" s="55"/>
      <c r="B80" s="55"/>
      <c r="C80" s="55"/>
      <c r="D80" s="56"/>
      <c r="E80" s="56"/>
      <c r="F80" s="38" t="s">
        <v>29</v>
      </c>
      <c r="G80" s="50"/>
      <c r="H80" s="57">
        <f>VLOOKUP(F80,$A$16:$B$16,2,TRUE)</f>
        <v>1300</v>
      </c>
      <c r="I80" s="52">
        <f t="shared" si="1"/>
        <v>0</v>
      </c>
      <c r="J80" s="56"/>
      <c r="K80" s="28"/>
      <c r="L80" s="28"/>
      <c r="M80" s="28"/>
      <c r="N80" s="28"/>
    </row>
    <row r="81" ht="15.75" customHeight="1">
      <c r="A81" s="55"/>
      <c r="B81" s="55"/>
      <c r="C81" s="55"/>
      <c r="D81" s="56"/>
      <c r="E81" s="56"/>
      <c r="F81" s="38" t="s">
        <v>30</v>
      </c>
      <c r="G81" s="50"/>
      <c r="H81" s="57">
        <f>VLOOKUP(F81,$A$17:$B$17,2,TRUE)</f>
        <v>5000</v>
      </c>
      <c r="I81" s="52">
        <f t="shared" si="1"/>
        <v>0</v>
      </c>
      <c r="J81" s="56"/>
      <c r="K81" s="28"/>
      <c r="L81" s="28"/>
      <c r="M81" s="28"/>
      <c r="N81" s="28"/>
    </row>
    <row r="82" ht="15.75" customHeight="1">
      <c r="A82" s="55"/>
      <c r="B82" s="55"/>
      <c r="C82" s="55"/>
      <c r="D82" s="56"/>
      <c r="E82" s="56"/>
      <c r="F82" s="38" t="s">
        <v>32</v>
      </c>
      <c r="G82" s="50"/>
      <c r="H82" s="57">
        <f>VLOOKUP(F82,$A$18:$B$18,2,TRUE)</f>
        <v>2500</v>
      </c>
      <c r="I82" s="52">
        <f t="shared" si="1"/>
        <v>0</v>
      </c>
      <c r="J82" s="56"/>
      <c r="K82" s="28"/>
      <c r="L82" s="28"/>
      <c r="M82" s="28"/>
      <c r="N82" s="28"/>
    </row>
    <row r="83" ht="15.75" customHeight="1">
      <c r="A83" s="55"/>
      <c r="B83" s="55"/>
      <c r="C83" s="55"/>
      <c r="D83" s="56"/>
      <c r="E83" s="56"/>
      <c r="F83" s="38" t="s">
        <v>34</v>
      </c>
      <c r="G83" s="50"/>
      <c r="H83" s="57">
        <f>VLOOKUP(F83,$A$19:$B$19,2,TRUE)</f>
        <v>9000</v>
      </c>
      <c r="I83" s="52">
        <f t="shared" si="1"/>
        <v>0</v>
      </c>
      <c r="J83" s="56"/>
      <c r="K83" s="28"/>
      <c r="L83" s="28"/>
      <c r="M83" s="28"/>
      <c r="N83" s="28"/>
    </row>
    <row r="84" ht="15.75" customHeight="1">
      <c r="A84" s="55"/>
      <c r="B84" s="55"/>
      <c r="C84" s="55"/>
      <c r="D84" s="56"/>
      <c r="E84" s="56"/>
      <c r="F84" s="38" t="s">
        <v>55</v>
      </c>
      <c r="G84" s="50"/>
      <c r="H84" s="57">
        <f>VLOOKUP(F84,$A$20:$B$20,2,TRUE)</f>
        <v>250</v>
      </c>
      <c r="I84" s="52">
        <f t="shared" si="1"/>
        <v>0</v>
      </c>
      <c r="J84" s="56"/>
      <c r="K84" s="28"/>
      <c r="L84" s="28"/>
      <c r="M84" s="28"/>
      <c r="N84" s="28"/>
    </row>
    <row r="85" ht="15.75" customHeight="1">
      <c r="A85" s="55"/>
      <c r="B85" s="55"/>
      <c r="C85" s="55"/>
      <c r="D85" s="56"/>
      <c r="E85" s="56"/>
      <c r="F85" s="38" t="s">
        <v>13</v>
      </c>
      <c r="G85" s="50">
        <v>4.5</v>
      </c>
      <c r="H85" s="57">
        <f>VLOOKUP(F85,$A$21:$B$21,2,TRUE)</f>
        <v>300</v>
      </c>
      <c r="I85" s="52">
        <f t="shared" si="1"/>
        <v>1350</v>
      </c>
      <c r="J85" s="56"/>
      <c r="K85" s="28"/>
      <c r="L85" s="28"/>
      <c r="M85" s="28"/>
      <c r="N85" s="28"/>
    </row>
    <row r="86" ht="15.75" customHeight="1">
      <c r="A86" s="55"/>
      <c r="B86" s="55"/>
      <c r="C86" s="55"/>
      <c r="D86" s="56"/>
      <c r="E86" s="56"/>
      <c r="F86" s="38" t="s">
        <v>9</v>
      </c>
      <c r="G86" s="50"/>
      <c r="H86" s="57">
        <f>VLOOKUP(F86,$A$22:$B$22,2,TRUE)</f>
        <v>1800</v>
      </c>
      <c r="I86" s="52">
        <f t="shared" si="1"/>
        <v>0</v>
      </c>
      <c r="J86" s="56"/>
      <c r="K86" s="28"/>
      <c r="L86" s="28"/>
      <c r="M86" s="28"/>
      <c r="N86" s="28"/>
    </row>
    <row r="87" ht="15.75" customHeight="1">
      <c r="A87" s="55"/>
      <c r="B87" s="55"/>
      <c r="C87" s="55"/>
      <c r="D87" s="56"/>
      <c r="E87" s="56"/>
      <c r="F87" s="38" t="s">
        <v>15</v>
      </c>
      <c r="G87" s="50"/>
      <c r="H87" s="57">
        <f>VLOOKUP(F86,$A$23:$B$23,2,TRUE)</f>
        <v>4000</v>
      </c>
      <c r="I87" s="52">
        <f t="shared" si="1"/>
        <v>0</v>
      </c>
      <c r="J87" s="56"/>
      <c r="K87" s="28"/>
      <c r="L87" s="28"/>
      <c r="M87" s="28"/>
      <c r="N87" s="28"/>
    </row>
    <row r="88" ht="15.75" customHeight="1">
      <c r="A88" s="55"/>
      <c r="B88" s="55"/>
      <c r="C88" s="55"/>
      <c r="D88" s="14"/>
      <c r="E88" s="14"/>
      <c r="F88" s="38" t="s">
        <v>56</v>
      </c>
      <c r="G88" s="50"/>
      <c r="H88" s="57">
        <v>2.0</v>
      </c>
      <c r="I88" s="52">
        <f t="shared" si="1"/>
        <v>0</v>
      </c>
      <c r="J88" s="14"/>
      <c r="K88" s="28"/>
      <c r="L88" s="28"/>
      <c r="M88" s="28"/>
      <c r="N88" s="28"/>
    </row>
    <row r="89" ht="15.75" customHeight="1">
      <c r="A89" s="55"/>
      <c r="B89" s="55"/>
      <c r="C89" s="55"/>
      <c r="D89" s="48">
        <v>5.0</v>
      </c>
      <c r="E89" s="49" t="s">
        <v>81</v>
      </c>
      <c r="F89" s="38" t="s">
        <v>17</v>
      </c>
      <c r="G89" s="50"/>
      <c r="H89" s="51">
        <f>VLOOKUP(F89,$A$4:$B$4,2,TRUE)</f>
        <v>3000</v>
      </c>
      <c r="I89" s="52">
        <f t="shared" si="1"/>
        <v>0</v>
      </c>
      <c r="J89" s="53">
        <f>SUM(I89:I109)</f>
        <v>69600</v>
      </c>
      <c r="K89" s="28"/>
      <c r="L89" s="28"/>
      <c r="M89" s="28"/>
      <c r="N89" s="28"/>
    </row>
    <row r="90" ht="15.75" customHeight="1">
      <c r="A90" s="55"/>
      <c r="B90" s="55"/>
      <c r="C90" s="55"/>
      <c r="D90" s="56"/>
      <c r="E90" s="56"/>
      <c r="F90" s="38" t="s">
        <v>49</v>
      </c>
      <c r="G90" s="50"/>
      <c r="H90" s="57">
        <f>VLOOKUP(F90,$A$5:$B$5,2,TRUE)</f>
        <v>3100</v>
      </c>
      <c r="I90" s="52">
        <f t="shared" si="1"/>
        <v>0</v>
      </c>
      <c r="J90" s="56"/>
      <c r="K90" s="28"/>
      <c r="L90" s="28"/>
      <c r="M90" s="28"/>
      <c r="N90" s="28"/>
    </row>
    <row r="91" ht="15.75" customHeight="1">
      <c r="A91" s="55"/>
      <c r="B91" s="55"/>
      <c r="C91" s="55"/>
      <c r="D91" s="56"/>
      <c r="E91" s="56"/>
      <c r="F91" s="38" t="s">
        <v>51</v>
      </c>
      <c r="G91" s="50"/>
      <c r="H91" s="57">
        <f>VLOOKUP(F91,$A$6:$B$6,2,TRUE)</f>
        <v>800</v>
      </c>
      <c r="I91" s="52">
        <f t="shared" si="1"/>
        <v>0</v>
      </c>
      <c r="J91" s="56"/>
      <c r="K91" s="28"/>
      <c r="L91" s="28"/>
      <c r="M91" s="28"/>
      <c r="N91" s="28"/>
    </row>
    <row r="92" ht="15.75" customHeight="1">
      <c r="A92" s="55"/>
      <c r="B92" s="55"/>
      <c r="C92" s="55"/>
      <c r="D92" s="56"/>
      <c r="E92" s="56"/>
      <c r="F92" s="38" t="s">
        <v>20</v>
      </c>
      <c r="G92" s="50"/>
      <c r="H92" s="57">
        <f>VLOOKUP(F92,$A$7:$B$7,2,TRUE)</f>
        <v>2100</v>
      </c>
      <c r="I92" s="52">
        <f t="shared" si="1"/>
        <v>0</v>
      </c>
      <c r="J92" s="56"/>
      <c r="K92" s="28"/>
      <c r="L92" s="28"/>
      <c r="M92" s="28"/>
      <c r="N92" s="28"/>
    </row>
    <row r="93" ht="15.75" customHeight="1">
      <c r="A93" s="55"/>
      <c r="B93" s="55"/>
      <c r="C93" s="55"/>
      <c r="D93" s="56"/>
      <c r="E93" s="56"/>
      <c r="F93" s="38" t="s">
        <v>21</v>
      </c>
      <c r="G93" s="50"/>
      <c r="H93" s="57">
        <f>VLOOKUP(F93, $A$8:$B$8, 2, FALSE)</f>
        <v>2600</v>
      </c>
      <c r="I93" s="52">
        <f t="shared" si="1"/>
        <v>0</v>
      </c>
      <c r="J93" s="56"/>
      <c r="K93" s="28"/>
      <c r="L93" s="28"/>
      <c r="M93" s="28"/>
      <c r="N93" s="28"/>
    </row>
    <row r="94" ht="15.75" customHeight="1">
      <c r="A94" s="55"/>
      <c r="B94" s="55"/>
      <c r="C94" s="55"/>
      <c r="D94" s="56"/>
      <c r="E94" s="56"/>
      <c r="F94" s="38" t="s">
        <v>52</v>
      </c>
      <c r="G94" s="50"/>
      <c r="H94" s="57">
        <f>VLOOKUP(F94, $A$9:$B$9, 2, FALSE)</f>
        <v>800</v>
      </c>
      <c r="I94" s="52">
        <f t="shared" si="1"/>
        <v>0</v>
      </c>
      <c r="J94" s="56"/>
      <c r="K94" s="28"/>
      <c r="L94" s="28"/>
      <c r="M94" s="28"/>
      <c r="N94" s="28"/>
    </row>
    <row r="95" ht="15.75" customHeight="1">
      <c r="A95" s="55"/>
      <c r="B95" s="55"/>
      <c r="C95" s="55"/>
      <c r="D95" s="56"/>
      <c r="E95" s="56"/>
      <c r="F95" s="38" t="s">
        <v>23</v>
      </c>
      <c r="G95" s="50">
        <v>15.0</v>
      </c>
      <c r="H95" s="57">
        <f>VLOOKUP(F95,$A$10:$B$10,2,TRUE)</f>
        <v>1500</v>
      </c>
      <c r="I95" s="52">
        <f t="shared" si="1"/>
        <v>22500</v>
      </c>
      <c r="J95" s="56"/>
      <c r="K95" s="28"/>
      <c r="L95" s="28"/>
      <c r="M95" s="28"/>
      <c r="N95" s="28"/>
    </row>
    <row r="96" ht="15.75" customHeight="1">
      <c r="A96" s="55"/>
      <c r="B96" s="55"/>
      <c r="C96" s="55"/>
      <c r="D96" s="56"/>
      <c r="E96" s="56"/>
      <c r="F96" s="38" t="s">
        <v>24</v>
      </c>
      <c r="G96" s="50"/>
      <c r="H96" s="57">
        <f>VLOOKUP(F96,$A$11:$B$11,2,TRUE)</f>
        <v>1300</v>
      </c>
      <c r="I96" s="52">
        <f t="shared" si="1"/>
        <v>0</v>
      </c>
      <c r="J96" s="56"/>
      <c r="K96" s="28"/>
      <c r="L96" s="28"/>
      <c r="M96" s="28"/>
      <c r="N96" s="28"/>
    </row>
    <row r="97" ht="15.75" customHeight="1">
      <c r="A97" s="55"/>
      <c r="B97" s="55"/>
      <c r="C97" s="55"/>
      <c r="D97" s="56"/>
      <c r="E97" s="56"/>
      <c r="F97" s="38" t="s">
        <v>54</v>
      </c>
      <c r="G97" s="50"/>
      <c r="H97" s="57">
        <f>VLOOKUP(F97,$A$12:$B$12,2,TRUE)</f>
        <v>1000</v>
      </c>
      <c r="I97" s="52">
        <f t="shared" si="1"/>
        <v>0</v>
      </c>
      <c r="J97" s="56"/>
      <c r="K97" s="28"/>
      <c r="L97" s="28"/>
      <c r="M97" s="28"/>
      <c r="N97" s="28"/>
    </row>
    <row r="98" ht="15.75" customHeight="1">
      <c r="A98" s="55"/>
      <c r="B98" s="55"/>
      <c r="C98" s="55"/>
      <c r="D98" s="56"/>
      <c r="E98" s="56"/>
      <c r="F98" s="38" t="s">
        <v>26</v>
      </c>
      <c r="G98" s="50"/>
      <c r="H98" s="57">
        <f>VLOOKUP(F98,$A$13:$B$13,2,TRUE)</f>
        <v>500</v>
      </c>
      <c r="I98" s="52">
        <f t="shared" si="1"/>
        <v>0</v>
      </c>
      <c r="J98" s="56"/>
      <c r="K98" s="28"/>
      <c r="L98" s="28"/>
      <c r="M98" s="28"/>
      <c r="N98" s="28"/>
    </row>
    <row r="99" ht="15.75" customHeight="1">
      <c r="A99" s="55"/>
      <c r="B99" s="55"/>
      <c r="C99" s="55"/>
      <c r="D99" s="56"/>
      <c r="E99" s="56"/>
      <c r="F99" s="38" t="s">
        <v>27</v>
      </c>
      <c r="G99" s="50"/>
      <c r="H99" s="57">
        <f>VLOOKUP(F99,$A$14:$B$14,2,TRUE)</f>
        <v>6500</v>
      </c>
      <c r="I99" s="52">
        <f t="shared" si="1"/>
        <v>0</v>
      </c>
      <c r="J99" s="56"/>
      <c r="K99" s="28"/>
      <c r="L99" s="28"/>
      <c r="M99" s="28"/>
      <c r="N99" s="28"/>
    </row>
    <row r="100" ht="15.75" customHeight="1">
      <c r="A100" s="55"/>
      <c r="B100" s="55"/>
      <c r="C100" s="55"/>
      <c r="D100" s="56"/>
      <c r="E100" s="56"/>
      <c r="F100" s="38" t="s">
        <v>28</v>
      </c>
      <c r="G100" s="50">
        <f>6+5.5+8</f>
        <v>19.5</v>
      </c>
      <c r="H100" s="57">
        <f>VLOOKUP(F100,$A$15:$B$15,2,TRUE)</f>
        <v>1800</v>
      </c>
      <c r="I100" s="52">
        <f t="shared" si="1"/>
        <v>35100</v>
      </c>
      <c r="J100" s="56"/>
      <c r="K100" s="28"/>
      <c r="L100" s="28"/>
      <c r="M100" s="28"/>
      <c r="N100" s="28"/>
    </row>
    <row r="101" ht="15.75" customHeight="1">
      <c r="A101" s="55"/>
      <c r="B101" s="55"/>
      <c r="C101" s="55"/>
      <c r="D101" s="56"/>
      <c r="E101" s="56"/>
      <c r="F101" s="38" t="s">
        <v>29</v>
      </c>
      <c r="G101" s="50"/>
      <c r="H101" s="57">
        <f>VLOOKUP(F101,$A$16:$B$16,2,TRUE)</f>
        <v>1300</v>
      </c>
      <c r="I101" s="52">
        <f t="shared" si="1"/>
        <v>0</v>
      </c>
      <c r="J101" s="56"/>
      <c r="K101" s="28"/>
      <c r="L101" s="28"/>
      <c r="M101" s="28"/>
      <c r="N101" s="28"/>
    </row>
    <row r="102" ht="15.75" customHeight="1">
      <c r="A102" s="55"/>
      <c r="B102" s="55"/>
      <c r="C102" s="55"/>
      <c r="D102" s="56"/>
      <c r="E102" s="56"/>
      <c r="F102" s="38" t="s">
        <v>30</v>
      </c>
      <c r="G102" s="50"/>
      <c r="H102" s="57">
        <f>VLOOKUP(F102,$A$17:$B$17,2,TRUE)</f>
        <v>5000</v>
      </c>
      <c r="I102" s="52">
        <f t="shared" si="1"/>
        <v>0</v>
      </c>
      <c r="J102" s="56"/>
      <c r="K102" s="28"/>
      <c r="L102" s="28"/>
      <c r="M102" s="28"/>
      <c r="N102" s="28"/>
    </row>
    <row r="103" ht="15.75" customHeight="1">
      <c r="A103" s="55"/>
      <c r="B103" s="55"/>
      <c r="C103" s="55"/>
      <c r="D103" s="56"/>
      <c r="E103" s="56"/>
      <c r="F103" s="38" t="s">
        <v>32</v>
      </c>
      <c r="G103" s="50"/>
      <c r="H103" s="57">
        <f>VLOOKUP(F103,$A$18:$B$18,2,TRUE)</f>
        <v>2500</v>
      </c>
      <c r="I103" s="52">
        <f t="shared" si="1"/>
        <v>0</v>
      </c>
      <c r="J103" s="56"/>
      <c r="K103" s="28"/>
      <c r="L103" s="28"/>
      <c r="M103" s="28"/>
      <c r="N103" s="28"/>
    </row>
    <row r="104" ht="15.75" customHeight="1">
      <c r="A104" s="55"/>
      <c r="B104" s="55"/>
      <c r="C104" s="55"/>
      <c r="D104" s="56"/>
      <c r="E104" s="56"/>
      <c r="F104" s="38" t="s">
        <v>34</v>
      </c>
      <c r="G104" s="50"/>
      <c r="H104" s="57">
        <f>VLOOKUP(F104,$A$19:$B$19,2,TRUE)</f>
        <v>9000</v>
      </c>
      <c r="I104" s="52">
        <f t="shared" si="1"/>
        <v>0</v>
      </c>
      <c r="J104" s="56"/>
      <c r="K104" s="28"/>
      <c r="L104" s="28"/>
      <c r="M104" s="28"/>
      <c r="N104" s="28"/>
    </row>
    <row r="105" ht="15.75" customHeight="1">
      <c r="A105" s="55"/>
      <c r="B105" s="55"/>
      <c r="C105" s="55"/>
      <c r="D105" s="56"/>
      <c r="E105" s="56"/>
      <c r="F105" s="38" t="s">
        <v>55</v>
      </c>
      <c r="G105" s="50"/>
      <c r="H105" s="57">
        <f>VLOOKUP(F105,$A$20:$B$20,2,TRUE)</f>
        <v>250</v>
      </c>
      <c r="I105" s="52">
        <f t="shared" si="1"/>
        <v>0</v>
      </c>
      <c r="J105" s="56"/>
      <c r="K105" s="28"/>
      <c r="L105" s="28"/>
      <c r="M105" s="28"/>
      <c r="N105" s="28"/>
    </row>
    <row r="106" ht="15.75" customHeight="1">
      <c r="A106" s="55"/>
      <c r="B106" s="55"/>
      <c r="C106" s="55"/>
      <c r="D106" s="56"/>
      <c r="E106" s="56"/>
      <c r="F106" s="38" t="s">
        <v>13</v>
      </c>
      <c r="G106" s="50"/>
      <c r="H106" s="57">
        <f>VLOOKUP(F106,$A$21:$B$21,2,TRUE)</f>
        <v>300</v>
      </c>
      <c r="I106" s="52">
        <f t="shared" si="1"/>
        <v>0</v>
      </c>
      <c r="J106" s="56"/>
      <c r="K106" s="28"/>
      <c r="L106" s="28"/>
      <c r="M106" s="28"/>
      <c r="N106" s="28"/>
    </row>
    <row r="107" ht="15.75" customHeight="1">
      <c r="A107" s="55"/>
      <c r="B107" s="55"/>
      <c r="C107" s="55"/>
      <c r="D107" s="56"/>
      <c r="E107" s="56"/>
      <c r="F107" s="38" t="s">
        <v>9</v>
      </c>
      <c r="G107" s="50"/>
      <c r="H107" s="57">
        <f>VLOOKUP(F107,$A$22:$B$22,2,TRUE)</f>
        <v>1800</v>
      </c>
      <c r="I107" s="52">
        <f t="shared" si="1"/>
        <v>0</v>
      </c>
      <c r="J107" s="56"/>
      <c r="K107" s="28"/>
      <c r="L107" s="28"/>
      <c r="M107" s="28"/>
      <c r="N107" s="28"/>
    </row>
    <row r="108" ht="15.75" customHeight="1">
      <c r="A108" s="55"/>
      <c r="B108" s="55"/>
      <c r="C108" s="55"/>
      <c r="D108" s="56"/>
      <c r="E108" s="56"/>
      <c r="F108" s="38" t="s">
        <v>15</v>
      </c>
      <c r="G108" s="50">
        <v>3.0</v>
      </c>
      <c r="H108" s="57">
        <f>VLOOKUP(F107,$A$23:$B$23,2,TRUE)</f>
        <v>4000</v>
      </c>
      <c r="I108" s="52">
        <f t="shared" si="1"/>
        <v>12000</v>
      </c>
      <c r="J108" s="56"/>
      <c r="K108" s="28"/>
      <c r="L108" s="28"/>
      <c r="M108" s="28"/>
      <c r="N108" s="28"/>
    </row>
    <row r="109" ht="15.75" customHeight="1">
      <c r="A109" s="55"/>
      <c r="B109" s="55"/>
      <c r="C109" s="55"/>
      <c r="D109" s="14"/>
      <c r="E109" s="14"/>
      <c r="F109" s="38" t="s">
        <v>56</v>
      </c>
      <c r="G109" s="50"/>
      <c r="H109" s="57">
        <f>VLOOKUP(F108,$A$24:$B$24,2,TRUE)</f>
        <v>500</v>
      </c>
      <c r="I109" s="52">
        <f t="shared" si="1"/>
        <v>0</v>
      </c>
      <c r="J109" s="14"/>
      <c r="K109" s="28"/>
      <c r="L109" s="28"/>
      <c r="M109" s="28"/>
      <c r="N109" s="28"/>
    </row>
    <row r="110" ht="15.75" customHeight="1">
      <c r="A110" s="55"/>
      <c r="B110" s="55"/>
      <c r="C110" s="55"/>
      <c r="D110" s="65" t="s">
        <v>61</v>
      </c>
      <c r="E110" s="4"/>
      <c r="F110" s="4"/>
      <c r="G110" s="4"/>
      <c r="H110" s="4"/>
      <c r="I110" s="5"/>
      <c r="J110" s="66">
        <f>SUM(J5:J109)</f>
        <v>205775</v>
      </c>
      <c r="K110" s="28"/>
      <c r="L110" s="28"/>
      <c r="M110" s="28"/>
      <c r="N110" s="28"/>
    </row>
    <row r="111" ht="15.75" customHeight="1">
      <c r="A111" s="27"/>
      <c r="B111" s="27"/>
      <c r="C111" s="27"/>
      <c r="D111" s="27"/>
      <c r="E111" s="27"/>
      <c r="F111" s="28"/>
      <c r="G111" s="28"/>
      <c r="H111" s="28"/>
      <c r="I111" s="28"/>
      <c r="J111" s="29"/>
      <c r="K111" s="28"/>
      <c r="L111" s="28"/>
      <c r="M111" s="28"/>
      <c r="N111" s="28"/>
    </row>
    <row r="112" ht="15.75" customHeight="1">
      <c r="A112" s="27"/>
      <c r="B112" s="27"/>
      <c r="C112" s="27"/>
      <c r="D112" s="27"/>
      <c r="E112" s="27"/>
      <c r="F112" s="28"/>
      <c r="G112" s="28"/>
      <c r="H112" s="28"/>
      <c r="I112" s="28"/>
      <c r="J112" s="29"/>
      <c r="K112" s="28"/>
      <c r="L112" s="28"/>
      <c r="M112" s="28"/>
      <c r="N112" s="28"/>
    </row>
    <row r="113" ht="15.75" customHeight="1">
      <c r="A113" s="27"/>
      <c r="B113" s="27"/>
      <c r="C113" s="27"/>
      <c r="D113" s="27"/>
      <c r="E113" s="27"/>
      <c r="F113" s="28"/>
      <c r="G113" s="28"/>
      <c r="H113" s="28"/>
      <c r="I113" s="28"/>
      <c r="J113" s="29"/>
      <c r="K113" s="28"/>
      <c r="L113" s="28"/>
      <c r="M113" s="28"/>
      <c r="N113" s="28"/>
    </row>
    <row r="114" ht="15.75" customHeight="1">
      <c r="A114" s="27"/>
      <c r="B114" s="27"/>
      <c r="C114" s="27"/>
      <c r="D114" s="27"/>
      <c r="E114" s="27"/>
      <c r="F114" s="28"/>
      <c r="G114" s="28"/>
      <c r="H114" s="28"/>
      <c r="I114" s="28"/>
      <c r="J114" s="29"/>
      <c r="K114" s="28"/>
      <c r="L114" s="28"/>
      <c r="M114" s="28"/>
      <c r="N114" s="28"/>
    </row>
    <row r="115" ht="15.75" customHeight="1">
      <c r="A115" s="27"/>
      <c r="B115" s="27"/>
      <c r="C115" s="27"/>
      <c r="D115" s="27"/>
      <c r="E115" s="27"/>
      <c r="F115" s="28"/>
      <c r="G115" s="28"/>
      <c r="H115" s="28"/>
      <c r="I115" s="28"/>
      <c r="J115" s="29"/>
      <c r="K115" s="28"/>
      <c r="L115" s="28"/>
      <c r="M115" s="28"/>
      <c r="N115" s="28"/>
    </row>
    <row r="116" ht="15.75" customHeight="1">
      <c r="A116" s="27"/>
      <c r="B116" s="27"/>
      <c r="C116" s="27"/>
      <c r="D116" s="27"/>
      <c r="E116" s="27"/>
      <c r="F116" s="28"/>
      <c r="G116" s="28"/>
      <c r="H116" s="28"/>
      <c r="I116" s="28"/>
      <c r="J116" s="29"/>
      <c r="K116" s="28"/>
      <c r="L116" s="28"/>
      <c r="M116" s="28"/>
      <c r="N116" s="28"/>
    </row>
    <row r="117" ht="15.75" customHeight="1">
      <c r="A117" s="27"/>
      <c r="B117" s="27"/>
      <c r="C117" s="27"/>
      <c r="D117" s="27"/>
      <c r="E117" s="27"/>
      <c r="F117" s="28"/>
      <c r="G117" s="28"/>
      <c r="H117" s="28"/>
      <c r="I117" s="28"/>
      <c r="J117" s="29"/>
      <c r="K117" s="28"/>
      <c r="L117" s="28"/>
      <c r="M117" s="28"/>
      <c r="N117" s="28"/>
    </row>
    <row r="118" ht="15.75" customHeight="1">
      <c r="A118" s="27"/>
      <c r="B118" s="27"/>
      <c r="C118" s="27"/>
      <c r="D118" s="27"/>
      <c r="E118" s="27"/>
      <c r="F118" s="28"/>
      <c r="G118" s="28"/>
      <c r="H118" s="28"/>
      <c r="I118" s="28"/>
      <c r="J118" s="29"/>
      <c r="K118" s="28"/>
      <c r="L118" s="28"/>
      <c r="M118" s="28"/>
      <c r="N118" s="28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A220" s="27"/>
      <c r="B220" s="27"/>
      <c r="C220" s="27"/>
      <c r="D220" s="27"/>
      <c r="E220" s="27"/>
      <c r="J220" s="29"/>
    </row>
    <row r="221" ht="15.75" customHeight="1">
      <c r="A221" s="27"/>
      <c r="B221" s="27"/>
      <c r="C221" s="27"/>
      <c r="D221" s="27"/>
      <c r="E221" s="27"/>
      <c r="J221" s="29"/>
    </row>
    <row r="222" ht="15.75" customHeight="1">
      <c r="A222" s="27"/>
      <c r="B222" s="27"/>
      <c r="C222" s="27"/>
      <c r="D222" s="27"/>
      <c r="E222" s="27"/>
      <c r="J222" s="29"/>
    </row>
    <row r="223" ht="15.75" customHeight="1">
      <c r="A223" s="27"/>
      <c r="B223" s="27"/>
      <c r="C223" s="27"/>
      <c r="D223" s="27"/>
      <c r="E223" s="27"/>
      <c r="J223" s="29"/>
    </row>
    <row r="224" ht="15.75" customHeight="1">
      <c r="A224" s="27"/>
      <c r="B224" s="27"/>
      <c r="C224" s="27"/>
      <c r="D224" s="27"/>
      <c r="E224" s="27"/>
      <c r="J224" s="29"/>
    </row>
    <row r="225" ht="15.75" customHeight="1">
      <c r="A225" s="27"/>
      <c r="B225" s="27"/>
      <c r="C225" s="27"/>
      <c r="D225" s="27"/>
      <c r="E225" s="27"/>
      <c r="J225" s="29"/>
    </row>
    <row r="226" ht="15.75" customHeight="1">
      <c r="A226" s="27"/>
      <c r="B226" s="27"/>
      <c r="C226" s="27"/>
      <c r="D226" s="27"/>
      <c r="E226" s="27"/>
      <c r="J226" s="29"/>
    </row>
    <row r="227" ht="15.75" customHeight="1">
      <c r="A227" s="27"/>
      <c r="B227" s="27"/>
      <c r="C227" s="27"/>
      <c r="D227" s="27"/>
      <c r="E227" s="27"/>
      <c r="J227" s="29"/>
    </row>
    <row r="228" ht="15.75" customHeight="1">
      <c r="A228" s="27"/>
      <c r="B228" s="27"/>
      <c r="C228" s="27"/>
      <c r="D228" s="27"/>
      <c r="E228" s="27"/>
      <c r="J228" s="29"/>
    </row>
    <row r="229" ht="15.75" customHeight="1">
      <c r="A229" s="27"/>
      <c r="B229" s="27"/>
      <c r="C229" s="27"/>
      <c r="D229" s="27"/>
      <c r="E229" s="27"/>
      <c r="J229" s="29"/>
    </row>
    <row r="230" ht="15.75" customHeight="1">
      <c r="A230" s="27"/>
      <c r="B230" s="27"/>
      <c r="C230" s="27"/>
      <c r="D230" s="27"/>
      <c r="E230" s="27"/>
      <c r="J230" s="29"/>
    </row>
    <row r="231" ht="15.75" customHeight="1">
      <c r="A231" s="27"/>
      <c r="B231" s="27"/>
      <c r="C231" s="27"/>
      <c r="D231" s="27"/>
      <c r="E231" s="27"/>
      <c r="J231" s="29"/>
    </row>
    <row r="232" ht="15.75" customHeight="1">
      <c r="A232" s="27"/>
      <c r="B232" s="27"/>
      <c r="C232" s="27"/>
      <c r="D232" s="27"/>
      <c r="E232" s="27"/>
      <c r="J232" s="29"/>
    </row>
    <row r="233" ht="15.75" customHeight="1">
      <c r="A233" s="27"/>
      <c r="B233" s="27"/>
      <c r="C233" s="27"/>
      <c r="D233" s="27"/>
      <c r="E233" s="27"/>
      <c r="J233" s="29"/>
    </row>
    <row r="234" ht="15.75" customHeight="1">
      <c r="A234" s="27"/>
      <c r="B234" s="27"/>
      <c r="C234" s="27"/>
      <c r="D234" s="27"/>
      <c r="E234" s="27"/>
      <c r="J234" s="29"/>
    </row>
    <row r="235" ht="15.75" customHeight="1">
      <c r="A235" s="27"/>
      <c r="B235" s="27"/>
      <c r="C235" s="27"/>
      <c r="D235" s="27"/>
      <c r="E235" s="27"/>
      <c r="J235" s="29"/>
    </row>
    <row r="236" ht="15.75" customHeight="1">
      <c r="A236" s="27"/>
      <c r="B236" s="27"/>
      <c r="C236" s="27"/>
      <c r="D236" s="27"/>
      <c r="E236" s="27"/>
      <c r="J236" s="29"/>
    </row>
    <row r="237" ht="15.75" customHeight="1">
      <c r="A237" s="27"/>
      <c r="B237" s="27"/>
      <c r="C237" s="27"/>
      <c r="D237" s="27"/>
      <c r="E237" s="27"/>
      <c r="J237" s="29"/>
    </row>
    <row r="238" ht="15.75" customHeight="1">
      <c r="A238" s="27"/>
      <c r="B238" s="27"/>
      <c r="C238" s="27"/>
      <c r="D238" s="27"/>
      <c r="E238" s="27"/>
      <c r="J238" s="29"/>
    </row>
    <row r="239" ht="15.75" customHeight="1">
      <c r="A239" s="27"/>
      <c r="B239" s="27"/>
      <c r="C239" s="27"/>
      <c r="D239" s="27"/>
      <c r="E239" s="27"/>
      <c r="J239" s="29"/>
    </row>
    <row r="240" ht="15.75" customHeight="1">
      <c r="A240" s="27"/>
      <c r="B240" s="27"/>
      <c r="C240" s="27"/>
      <c r="D240" s="27"/>
      <c r="E240" s="27"/>
      <c r="J240" s="29"/>
    </row>
    <row r="241" ht="15.75" customHeight="1">
      <c r="A241" s="27"/>
      <c r="B241" s="27"/>
      <c r="C241" s="27"/>
      <c r="D241" s="27"/>
      <c r="E241" s="27"/>
      <c r="J241" s="29"/>
    </row>
    <row r="242" ht="15.75" customHeight="1">
      <c r="A242" s="27"/>
      <c r="B242" s="27"/>
      <c r="C242" s="27"/>
      <c r="D242" s="27"/>
      <c r="E242" s="27"/>
      <c r="J242" s="29"/>
    </row>
    <row r="243" ht="15.75" customHeight="1">
      <c r="A243" s="27"/>
      <c r="B243" s="27"/>
      <c r="C243" s="27"/>
      <c r="D243" s="27"/>
      <c r="E243" s="27"/>
      <c r="J243" s="29"/>
    </row>
    <row r="244" ht="15.75" customHeight="1">
      <c r="A244" s="27"/>
      <c r="B244" s="27"/>
      <c r="C244" s="27"/>
      <c r="D244" s="27"/>
      <c r="E244" s="27"/>
      <c r="J244" s="29"/>
    </row>
    <row r="245" ht="15.75" customHeight="1">
      <c r="A245" s="27"/>
      <c r="B245" s="27"/>
      <c r="C245" s="27"/>
      <c r="D245" s="27"/>
      <c r="E245" s="27"/>
      <c r="J245" s="29"/>
    </row>
    <row r="246" ht="15.75" customHeight="1">
      <c r="A246" s="27"/>
      <c r="B246" s="27"/>
      <c r="C246" s="27"/>
      <c r="D246" s="27"/>
      <c r="E246" s="27"/>
      <c r="J246" s="29"/>
    </row>
    <row r="247" ht="15.75" customHeight="1">
      <c r="A247" s="27"/>
      <c r="B247" s="27"/>
      <c r="C247" s="27"/>
      <c r="D247" s="27"/>
      <c r="E247" s="27"/>
      <c r="J247" s="29"/>
    </row>
    <row r="248" ht="15.75" customHeight="1">
      <c r="A248" s="27"/>
      <c r="B248" s="27"/>
      <c r="C248" s="27"/>
      <c r="D248" s="27"/>
      <c r="E248" s="27"/>
      <c r="J248" s="29"/>
    </row>
    <row r="249" ht="15.75" customHeight="1">
      <c r="A249" s="27"/>
      <c r="B249" s="27"/>
      <c r="C249" s="27"/>
      <c r="D249" s="27"/>
      <c r="E249" s="27"/>
      <c r="J249" s="29"/>
    </row>
    <row r="250" ht="15.75" customHeight="1">
      <c r="A250" s="27"/>
      <c r="B250" s="27"/>
      <c r="C250" s="27"/>
      <c r="D250" s="27"/>
      <c r="E250" s="27"/>
      <c r="J250" s="29"/>
    </row>
    <row r="251" ht="15.75" customHeight="1">
      <c r="A251" s="27"/>
      <c r="B251" s="27"/>
      <c r="C251" s="27"/>
      <c r="D251" s="27"/>
      <c r="E251" s="27"/>
      <c r="J251" s="29"/>
    </row>
    <row r="252" ht="15.75" customHeight="1">
      <c r="A252" s="27"/>
      <c r="B252" s="27"/>
      <c r="C252" s="27"/>
      <c r="D252" s="27"/>
      <c r="E252" s="27"/>
      <c r="J252" s="29"/>
    </row>
    <row r="253" ht="15.75" customHeight="1">
      <c r="A253" s="27"/>
      <c r="B253" s="27"/>
      <c r="C253" s="27"/>
      <c r="D253" s="27"/>
      <c r="E253" s="27"/>
      <c r="J253" s="29"/>
    </row>
    <row r="254" ht="15.75" customHeight="1">
      <c r="A254" s="27"/>
      <c r="B254" s="27"/>
      <c r="C254" s="27"/>
      <c r="D254" s="27"/>
      <c r="E254" s="27"/>
      <c r="J254" s="29"/>
    </row>
    <row r="255" ht="15.75" customHeight="1">
      <c r="A255" s="27"/>
      <c r="B255" s="27"/>
      <c r="C255" s="27"/>
      <c r="D255" s="27"/>
      <c r="E255" s="27"/>
      <c r="J255" s="29"/>
    </row>
    <row r="256" ht="15.75" customHeight="1">
      <c r="A256" s="27"/>
      <c r="B256" s="27"/>
      <c r="C256" s="27"/>
      <c r="D256" s="27"/>
      <c r="E256" s="27"/>
      <c r="J256" s="29"/>
    </row>
    <row r="257" ht="15.75" customHeight="1">
      <c r="A257" s="27"/>
      <c r="B257" s="27"/>
      <c r="C257" s="27"/>
      <c r="D257" s="27"/>
      <c r="E257" s="27"/>
      <c r="J257" s="29"/>
    </row>
    <row r="258" ht="15.75" customHeight="1">
      <c r="A258" s="27"/>
      <c r="B258" s="27"/>
      <c r="C258" s="27"/>
      <c r="D258" s="27"/>
      <c r="E258" s="27"/>
      <c r="J258" s="29"/>
    </row>
    <row r="259" ht="15.75" customHeight="1">
      <c r="A259" s="27"/>
      <c r="B259" s="27"/>
      <c r="C259" s="27"/>
      <c r="D259" s="27"/>
      <c r="E259" s="27"/>
      <c r="J259" s="29"/>
    </row>
    <row r="260" ht="15.75" customHeight="1">
      <c r="A260" s="27"/>
      <c r="B260" s="27"/>
      <c r="C260" s="27"/>
      <c r="D260" s="27"/>
      <c r="E260" s="27"/>
      <c r="J260" s="29"/>
    </row>
    <row r="261" ht="15.75" customHeight="1">
      <c r="A261" s="27"/>
      <c r="B261" s="27"/>
      <c r="C261" s="27"/>
      <c r="D261" s="27"/>
      <c r="E261" s="27"/>
      <c r="J261" s="29"/>
    </row>
    <row r="262" ht="15.75" customHeight="1">
      <c r="J262" s="29"/>
    </row>
    <row r="263" ht="15.75" customHeight="1">
      <c r="J263" s="29"/>
    </row>
    <row r="264" ht="15.75" customHeight="1">
      <c r="J264" s="29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</sheetData>
  <mergeCells count="20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D89:D109"/>
    <mergeCell ref="E89:E109"/>
    <mergeCell ref="D110:I110"/>
    <mergeCell ref="D26:D46"/>
    <mergeCell ref="E26:E46"/>
    <mergeCell ref="J26:J46"/>
    <mergeCell ref="D47:D67"/>
    <mergeCell ref="E47:E67"/>
    <mergeCell ref="D68:D88"/>
    <mergeCell ref="E68:E8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5" t="s">
        <v>36</v>
      </c>
      <c r="B1" s="26"/>
      <c r="C1" s="27"/>
      <c r="D1" s="27"/>
      <c r="E1" s="27"/>
      <c r="F1" s="28"/>
      <c r="G1" s="28"/>
      <c r="H1" s="28"/>
      <c r="I1" s="28"/>
      <c r="J1" s="29"/>
      <c r="K1" s="28"/>
      <c r="L1" s="28"/>
      <c r="M1" s="28"/>
      <c r="N1" s="28"/>
    </row>
    <row r="2" ht="15.75" customHeight="1">
      <c r="A2" s="30" t="s">
        <v>37</v>
      </c>
      <c r="B2" s="26"/>
      <c r="C2" s="31"/>
      <c r="D2" s="31" t="s">
        <v>38</v>
      </c>
      <c r="K2" s="28"/>
      <c r="L2" s="32" t="s">
        <v>39</v>
      </c>
      <c r="M2" s="33"/>
      <c r="N2" s="28"/>
    </row>
    <row r="3" ht="15.75" customHeight="1">
      <c r="A3" s="34" t="s">
        <v>40</v>
      </c>
      <c r="B3" s="35" t="s">
        <v>41</v>
      </c>
      <c r="C3" s="27"/>
      <c r="D3" s="27"/>
      <c r="E3" s="27"/>
      <c r="F3" s="28"/>
      <c r="G3" s="28"/>
      <c r="H3" s="28"/>
      <c r="I3" s="28"/>
      <c r="J3" s="36"/>
      <c r="K3" s="28"/>
      <c r="L3" s="37"/>
      <c r="M3" s="12"/>
      <c r="N3" s="28"/>
    </row>
    <row r="4" ht="15.75" customHeight="1">
      <c r="A4" s="38" t="s">
        <v>17</v>
      </c>
      <c r="B4" s="39">
        <v>3000.0</v>
      </c>
      <c r="C4" s="40"/>
      <c r="D4" s="41" t="s">
        <v>1</v>
      </c>
      <c r="E4" s="41" t="s">
        <v>42</v>
      </c>
      <c r="F4" s="42" t="s">
        <v>43</v>
      </c>
      <c r="G4" s="43" t="s">
        <v>44</v>
      </c>
      <c r="H4" s="43" t="s">
        <v>45</v>
      </c>
      <c r="I4" s="44" t="s">
        <v>46</v>
      </c>
      <c r="J4" s="45" t="s">
        <v>47</v>
      </c>
      <c r="K4" s="28"/>
      <c r="L4" s="46" t="s">
        <v>48</v>
      </c>
      <c r="M4" s="46" t="s">
        <v>44</v>
      </c>
      <c r="N4" s="28"/>
    </row>
    <row r="5" ht="15.75" customHeight="1">
      <c r="A5" s="38" t="s">
        <v>49</v>
      </c>
      <c r="B5" s="39">
        <v>3100.0</v>
      </c>
      <c r="C5" s="47"/>
      <c r="D5" s="48">
        <v>1.0</v>
      </c>
      <c r="E5" s="49" t="s">
        <v>82</v>
      </c>
      <c r="F5" s="38" t="s">
        <v>17</v>
      </c>
      <c r="G5" s="50">
        <v>1.5</v>
      </c>
      <c r="H5" s="51">
        <f>VLOOKUP(F5,$A$4:$B$4,2,TRUE)</f>
        <v>3000</v>
      </c>
      <c r="I5" s="52">
        <f t="shared" ref="I5:I67" si="1">G5*H5</f>
        <v>4500</v>
      </c>
      <c r="J5" s="53">
        <f>SUM(I5:I25)</f>
        <v>44100</v>
      </c>
      <c r="K5" s="28"/>
      <c r="L5" s="38" t="s">
        <v>17</v>
      </c>
      <c r="M5" s="54">
        <f>SUMIF(F5:F67,"Gelas bersih",G5:G67)</f>
        <v>3.5</v>
      </c>
      <c r="N5" s="28"/>
    </row>
    <row r="6" ht="15.75" customHeight="1">
      <c r="A6" s="38" t="s">
        <v>51</v>
      </c>
      <c r="B6" s="39">
        <v>800.0</v>
      </c>
      <c r="C6" s="55"/>
      <c r="D6" s="56"/>
      <c r="E6" s="56"/>
      <c r="F6" s="38" t="s">
        <v>49</v>
      </c>
      <c r="G6" s="50">
        <v>4.0</v>
      </c>
      <c r="H6" s="57">
        <f>VLOOKUP(F6,$A$5:$B$5,2,TRUE)</f>
        <v>3100</v>
      </c>
      <c r="I6" s="52">
        <f t="shared" si="1"/>
        <v>12400</v>
      </c>
      <c r="J6" s="56"/>
      <c r="K6" s="28"/>
      <c r="L6" s="38" t="s">
        <v>49</v>
      </c>
      <c r="M6" s="54">
        <f>SUMIF(F6:F68,"Botol bersih",G6:G68)</f>
        <v>8</v>
      </c>
      <c r="N6" s="28"/>
    </row>
    <row r="7" ht="15.75" customHeight="1">
      <c r="A7" s="38" t="s">
        <v>20</v>
      </c>
      <c r="B7" s="39">
        <v>2100.0</v>
      </c>
      <c r="C7" s="55"/>
      <c r="D7" s="56"/>
      <c r="E7" s="56"/>
      <c r="F7" s="38" t="s">
        <v>51</v>
      </c>
      <c r="G7" s="50"/>
      <c r="H7" s="57">
        <f>VLOOKUP(F7,$A$6:$B$6,2,TRUE)</f>
        <v>800</v>
      </c>
      <c r="I7" s="52">
        <f t="shared" si="1"/>
        <v>0</v>
      </c>
      <c r="J7" s="56"/>
      <c r="K7" s="28"/>
      <c r="L7" s="38" t="s">
        <v>51</v>
      </c>
      <c r="M7" s="54">
        <f>SUMIF(F7:F68,"Botol Warna",G7:G68)</f>
        <v>0</v>
      </c>
      <c r="N7" s="28"/>
    </row>
    <row r="8" ht="15.75" customHeight="1">
      <c r="A8" s="38" t="s">
        <v>21</v>
      </c>
      <c r="B8" s="39">
        <v>2600.0</v>
      </c>
      <c r="C8" s="58"/>
      <c r="D8" s="56"/>
      <c r="E8" s="56"/>
      <c r="F8" s="38" t="s">
        <v>20</v>
      </c>
      <c r="G8" s="50">
        <v>1.0</v>
      </c>
      <c r="H8" s="57">
        <f>VLOOKUP(F8,$A$7:$B$7,2,TRUE)</f>
        <v>2100</v>
      </c>
      <c r="I8" s="52">
        <f t="shared" si="1"/>
        <v>2100</v>
      </c>
      <c r="J8" s="56"/>
      <c r="K8" s="28"/>
      <c r="L8" s="38" t="s">
        <v>20</v>
      </c>
      <c r="M8" s="54">
        <f>SUMIF(F8:F69,"Tutup botol",G8:G69)</f>
        <v>2</v>
      </c>
      <c r="N8" s="28"/>
    </row>
    <row r="9" ht="15.75" customHeight="1">
      <c r="A9" s="38" t="s">
        <v>52</v>
      </c>
      <c r="B9" s="39">
        <v>800.0</v>
      </c>
      <c r="C9" s="55"/>
      <c r="D9" s="56"/>
      <c r="E9" s="56"/>
      <c r="F9" s="38" t="s">
        <v>21</v>
      </c>
      <c r="G9" s="50"/>
      <c r="H9" s="57">
        <f>VLOOKUP(F9, $A$8:$B$8, 2, FALSE)</f>
        <v>2600</v>
      </c>
      <c r="I9" s="52">
        <f t="shared" si="1"/>
        <v>0</v>
      </c>
      <c r="J9" s="56"/>
      <c r="K9" s="28"/>
      <c r="L9" s="38" t="s">
        <v>21</v>
      </c>
      <c r="M9" s="54">
        <f>SUMIF(F9:F70,"Tutup galon",G9:G70)</f>
        <v>0</v>
      </c>
      <c r="N9" s="28"/>
    </row>
    <row r="10" ht="15.75" customHeight="1">
      <c r="A10" s="38" t="s">
        <v>23</v>
      </c>
      <c r="B10" s="39">
        <v>1500.0</v>
      </c>
      <c r="C10" s="55"/>
      <c r="D10" s="56"/>
      <c r="E10" s="56"/>
      <c r="F10" s="38" t="s">
        <v>52</v>
      </c>
      <c r="G10" s="50">
        <f>6.5+2+5.5</f>
        <v>14</v>
      </c>
      <c r="H10" s="57">
        <f>VLOOKUP(F10, $A$9:$B$9, 2, FALSE)</f>
        <v>800</v>
      </c>
      <c r="I10" s="52">
        <f t="shared" si="1"/>
        <v>11200</v>
      </c>
      <c r="J10" s="56"/>
      <c r="K10" s="28"/>
      <c r="L10" s="38" t="s">
        <v>52</v>
      </c>
      <c r="M10" s="54">
        <f>SUMIF(F10:F72,"Emberan/Atum",G10:G72)</f>
        <v>17</v>
      </c>
      <c r="N10" s="28"/>
    </row>
    <row r="11" ht="15.75" customHeight="1">
      <c r="A11" s="38" t="s">
        <v>24</v>
      </c>
      <c r="B11" s="39">
        <v>1300.0</v>
      </c>
      <c r="C11" s="55"/>
      <c r="D11" s="56"/>
      <c r="E11" s="56"/>
      <c r="F11" s="38" t="s">
        <v>23</v>
      </c>
      <c r="G11" s="50"/>
      <c r="H11" s="57">
        <f>VLOOKUP(F11,$A$10:$B$10,2,TRUE)</f>
        <v>1500</v>
      </c>
      <c r="I11" s="52">
        <f t="shared" si="1"/>
        <v>0</v>
      </c>
      <c r="J11" s="56"/>
      <c r="K11" s="28"/>
      <c r="L11" s="38" t="s">
        <v>23</v>
      </c>
      <c r="M11" s="54">
        <f>SUMIF(F11:F73,"Kardus",G11:G73)</f>
        <v>0</v>
      </c>
      <c r="N11" s="28"/>
    </row>
    <row r="12" ht="15.75" customHeight="1">
      <c r="A12" s="38" t="s">
        <v>53</v>
      </c>
      <c r="B12" s="39">
        <v>1000.0</v>
      </c>
      <c r="C12" s="55"/>
      <c r="D12" s="56"/>
      <c r="E12" s="56"/>
      <c r="F12" s="38" t="s">
        <v>24</v>
      </c>
      <c r="G12" s="50"/>
      <c r="H12" s="57">
        <f>VLOOKUP(F12,$A$11:$B$11,2,TRUE)</f>
        <v>1300</v>
      </c>
      <c r="I12" s="52">
        <f t="shared" si="1"/>
        <v>0</v>
      </c>
      <c r="J12" s="56"/>
      <c r="K12" s="28"/>
      <c r="L12" s="38" t="s">
        <v>24</v>
      </c>
      <c r="M12" s="54">
        <f>SUMIF(F12:F74,"Kertas Putihan/ HVS",G12:G74)</f>
        <v>0</v>
      </c>
      <c r="N12" s="28"/>
    </row>
    <row r="13" ht="15.75" customHeight="1">
      <c r="A13" s="38" t="s">
        <v>26</v>
      </c>
      <c r="B13" s="39">
        <v>500.0</v>
      </c>
      <c r="C13" s="55"/>
      <c r="D13" s="56"/>
      <c r="E13" s="56"/>
      <c r="F13" s="38" t="s">
        <v>54</v>
      </c>
      <c r="G13" s="50"/>
      <c r="H13" s="57">
        <f>VLOOKUP(F13,$A$12:$B$12,2,TRUE)</f>
        <v>1000</v>
      </c>
      <c r="I13" s="52">
        <f t="shared" si="1"/>
        <v>0</v>
      </c>
      <c r="J13" s="56"/>
      <c r="K13" s="28"/>
      <c r="L13" s="38" t="s">
        <v>54</v>
      </c>
      <c r="M13" s="54">
        <f>SUMIF(F13:F76,"Buku/LKS",G13:G76)</f>
        <v>0</v>
      </c>
      <c r="N13" s="28"/>
    </row>
    <row r="14" ht="15.75" customHeight="1">
      <c r="A14" s="38" t="s">
        <v>27</v>
      </c>
      <c r="B14" s="39">
        <v>6500.0</v>
      </c>
      <c r="C14" s="47"/>
      <c r="D14" s="56"/>
      <c r="E14" s="56"/>
      <c r="F14" s="38" t="s">
        <v>26</v>
      </c>
      <c r="G14" s="50"/>
      <c r="H14" s="57">
        <f>VLOOKUP(F14,$A$13:$B$13,2,TRUE)</f>
        <v>500</v>
      </c>
      <c r="I14" s="52">
        <f t="shared" si="1"/>
        <v>0</v>
      </c>
      <c r="J14" s="56"/>
      <c r="K14" s="28"/>
      <c r="L14" s="38" t="s">
        <v>26</v>
      </c>
      <c r="M14" s="54">
        <f>SUMIF(F14:F77,"Duplex",G14:G77)</f>
        <v>1</v>
      </c>
      <c r="N14" s="28"/>
    </row>
    <row r="15" ht="15.75" customHeight="1">
      <c r="A15" s="38" t="s">
        <v>28</v>
      </c>
      <c r="B15" s="39">
        <v>1800.0</v>
      </c>
      <c r="C15" s="58"/>
      <c r="D15" s="56"/>
      <c r="E15" s="56"/>
      <c r="F15" s="38" t="s">
        <v>27</v>
      </c>
      <c r="G15" s="50">
        <v>1.0</v>
      </c>
      <c r="H15" s="57">
        <f>VLOOKUP(F15,$A$14:$B$14,2,TRUE)</f>
        <v>6500</v>
      </c>
      <c r="I15" s="52">
        <f t="shared" si="1"/>
        <v>6500</v>
      </c>
      <c r="J15" s="56"/>
      <c r="K15" s="28"/>
      <c r="L15" s="38" t="s">
        <v>27</v>
      </c>
      <c r="M15" s="54">
        <f>SUMIF(F15:F78,"Alumunium",G15:G78)</f>
        <v>1</v>
      </c>
      <c r="N15" s="28"/>
    </row>
    <row r="16" ht="15.75" customHeight="1">
      <c r="A16" s="38" t="s">
        <v>29</v>
      </c>
      <c r="B16" s="39">
        <v>1300.0</v>
      </c>
      <c r="C16" s="55"/>
      <c r="D16" s="56"/>
      <c r="E16" s="56"/>
      <c r="F16" s="38" t="s">
        <v>28</v>
      </c>
      <c r="G16" s="50"/>
      <c r="H16" s="57">
        <f>VLOOKUP(F16,$A$15:$B$15,2,TRUE)</f>
        <v>1800</v>
      </c>
      <c r="I16" s="52">
        <f t="shared" si="1"/>
        <v>0</v>
      </c>
      <c r="J16" s="56"/>
      <c r="K16" s="28"/>
      <c r="L16" s="38" t="s">
        <v>28</v>
      </c>
      <c r="M16" s="54">
        <f>SUMIF(F16:F79,"Besi",G16:G79)</f>
        <v>0</v>
      </c>
      <c r="N16" s="28"/>
    </row>
    <row r="17" ht="15.75" customHeight="1">
      <c r="A17" s="38" t="s">
        <v>30</v>
      </c>
      <c r="B17" s="39">
        <v>5000.0</v>
      </c>
      <c r="C17" s="58"/>
      <c r="D17" s="56"/>
      <c r="E17" s="56"/>
      <c r="F17" s="38" t="s">
        <v>29</v>
      </c>
      <c r="G17" s="50">
        <v>3.0</v>
      </c>
      <c r="H17" s="57">
        <f>VLOOKUP(F17,$A$16:$B$16,2,TRUE)</f>
        <v>1300</v>
      </c>
      <c r="I17" s="52">
        <f t="shared" si="1"/>
        <v>3900</v>
      </c>
      <c r="J17" s="56"/>
      <c r="K17" s="28"/>
      <c r="L17" s="38" t="s">
        <v>29</v>
      </c>
      <c r="M17" s="54">
        <f>SUMIF(F17:F80,"Kaleng kue/susu",G17:G80)</f>
        <v>6</v>
      </c>
      <c r="N17" s="28"/>
    </row>
    <row r="18" ht="15.75" customHeight="1">
      <c r="A18" s="38" t="s">
        <v>32</v>
      </c>
      <c r="B18" s="39">
        <v>2500.0</v>
      </c>
      <c r="C18" s="59"/>
      <c r="D18" s="56"/>
      <c r="E18" s="56"/>
      <c r="F18" s="38" t="s">
        <v>30</v>
      </c>
      <c r="G18" s="50">
        <v>0.5</v>
      </c>
      <c r="H18" s="57">
        <f>VLOOKUP(F18,$A$17:$B$17,2,TRUE)</f>
        <v>5000</v>
      </c>
      <c r="I18" s="52">
        <f t="shared" si="1"/>
        <v>2500</v>
      </c>
      <c r="J18" s="56"/>
      <c r="K18" s="28"/>
      <c r="L18" s="38" t="s">
        <v>30</v>
      </c>
      <c r="M18" s="54">
        <f>SUMIF(F18:F81,"Kaleng Minuman",G18:G81)</f>
        <v>0.5</v>
      </c>
      <c r="N18" s="28"/>
    </row>
    <row r="19" ht="15.75" customHeight="1">
      <c r="A19" s="38" t="s">
        <v>34</v>
      </c>
      <c r="B19" s="39">
        <v>9000.0</v>
      </c>
      <c r="C19" s="47"/>
      <c r="D19" s="56"/>
      <c r="E19" s="56"/>
      <c r="F19" s="38" t="s">
        <v>32</v>
      </c>
      <c r="G19" s="50"/>
      <c r="H19" s="57">
        <f>VLOOKUP(F19,$A$18:$B$18,2,TRUE)</f>
        <v>2500</v>
      </c>
      <c r="I19" s="52">
        <f t="shared" si="1"/>
        <v>0</v>
      </c>
      <c r="J19" s="56"/>
      <c r="K19" s="28"/>
      <c r="L19" s="38" t="s">
        <v>32</v>
      </c>
      <c r="M19" s="54">
        <f>SUMIF(F19:F83,"Stanless",G19:G83)</f>
        <v>0</v>
      </c>
      <c r="N19" s="28"/>
    </row>
    <row r="20" ht="15.75" customHeight="1">
      <c r="A20" s="38" t="s">
        <v>55</v>
      </c>
      <c r="B20" s="39">
        <v>250.0</v>
      </c>
      <c r="C20" s="58"/>
      <c r="D20" s="56"/>
      <c r="E20" s="56"/>
      <c r="F20" s="38" t="s">
        <v>34</v>
      </c>
      <c r="G20" s="50"/>
      <c r="H20" s="57">
        <f>VLOOKUP(F20,$A$19:$B$19,2,TRUE)</f>
        <v>9000</v>
      </c>
      <c r="I20" s="52">
        <f t="shared" si="1"/>
        <v>0</v>
      </c>
      <c r="J20" s="56"/>
      <c r="K20" s="28"/>
      <c r="L20" s="38" t="s">
        <v>34</v>
      </c>
      <c r="M20" s="54">
        <f>SUMIF(F20:F84,"Aki Motor",G20:G84)</f>
        <v>0</v>
      </c>
      <c r="N20" s="28"/>
    </row>
    <row r="21" ht="15.75" customHeight="1">
      <c r="A21" s="38" t="s">
        <v>13</v>
      </c>
      <c r="B21" s="39">
        <v>300.0</v>
      </c>
      <c r="C21" s="55"/>
      <c r="D21" s="56"/>
      <c r="E21" s="56"/>
      <c r="F21" s="38" t="s">
        <v>55</v>
      </c>
      <c r="G21" s="50"/>
      <c r="H21" s="57">
        <f>VLOOKUP(F21,$A$20:$B$20,2,TRUE)</f>
        <v>250</v>
      </c>
      <c r="I21" s="52">
        <f t="shared" si="1"/>
        <v>0</v>
      </c>
      <c r="J21" s="56"/>
      <c r="K21" s="28"/>
      <c r="L21" s="38" t="s">
        <v>55</v>
      </c>
      <c r="M21" s="54">
        <f>SUMIF(F21:F87,"Plastik Keresek",G21:G87)</f>
        <v>2.5</v>
      </c>
      <c r="N21" s="28"/>
    </row>
    <row r="22" ht="15.75" customHeight="1">
      <c r="A22" s="38" t="s">
        <v>9</v>
      </c>
      <c r="B22" s="39">
        <v>1800.0</v>
      </c>
      <c r="C22" s="55"/>
      <c r="D22" s="56"/>
      <c r="E22" s="56"/>
      <c r="F22" s="38" t="s">
        <v>13</v>
      </c>
      <c r="G22" s="50"/>
      <c r="H22" s="57">
        <f>VLOOKUP(F22,$A$21:$B$21,2,TRUE)</f>
        <v>300</v>
      </c>
      <c r="I22" s="52">
        <f t="shared" si="1"/>
        <v>0</v>
      </c>
      <c r="J22" s="56"/>
      <c r="K22" s="28"/>
      <c r="L22" s="38" t="s">
        <v>13</v>
      </c>
      <c r="M22" s="54">
        <f>SUMIF(F22:F89,"Beling",G22:G89)</f>
        <v>3.5</v>
      </c>
      <c r="N22" s="28"/>
    </row>
    <row r="23" ht="15.75" customHeight="1">
      <c r="A23" s="38" t="s">
        <v>15</v>
      </c>
      <c r="B23" s="60">
        <v>4000.0</v>
      </c>
      <c r="C23" s="55"/>
      <c r="D23" s="56"/>
      <c r="E23" s="56"/>
      <c r="F23" s="38" t="s">
        <v>9</v>
      </c>
      <c r="G23" s="50"/>
      <c r="H23" s="57">
        <f>VLOOKUP(F23,$A$22:$B$22,2,TRUE)</f>
        <v>1800</v>
      </c>
      <c r="I23" s="52">
        <f t="shared" si="1"/>
        <v>0</v>
      </c>
      <c r="J23" s="56"/>
      <c r="K23" s="28"/>
      <c r="L23" s="38" t="s">
        <v>9</v>
      </c>
      <c r="M23" s="54">
        <f>SUMIF(F23:F91,"Paku",G23:G91)</f>
        <v>0</v>
      </c>
      <c r="N23" s="28"/>
    </row>
    <row r="24" ht="15.75" customHeight="1">
      <c r="A24" s="38" t="s">
        <v>56</v>
      </c>
      <c r="B24" s="39">
        <v>500.0</v>
      </c>
      <c r="C24" s="55"/>
      <c r="D24" s="56"/>
      <c r="E24" s="56"/>
      <c r="F24" s="38" t="s">
        <v>15</v>
      </c>
      <c r="G24" s="50"/>
      <c r="H24" s="57">
        <f>VLOOKUP(F23,$A$23:$B$23,2,TRUE)</f>
        <v>4000</v>
      </c>
      <c r="I24" s="52">
        <f t="shared" si="1"/>
        <v>0</v>
      </c>
      <c r="J24" s="56"/>
      <c r="K24" s="28"/>
      <c r="L24" s="38" t="s">
        <v>15</v>
      </c>
      <c r="M24" s="54">
        <f>SUMIF(F24:F92,"Minyak Jelantah",G24:G92)</f>
        <v>1</v>
      </c>
      <c r="N24" s="28"/>
    </row>
    <row r="25" ht="15.75" customHeight="1">
      <c r="A25" s="55"/>
      <c r="B25" s="55"/>
      <c r="C25" s="55"/>
      <c r="D25" s="14"/>
      <c r="E25" s="14"/>
      <c r="F25" s="38" t="s">
        <v>56</v>
      </c>
      <c r="G25" s="50">
        <v>2.0</v>
      </c>
      <c r="H25" s="57">
        <f>VLOOKUP(F24,$A$24:$B$24,2,TRUE)</f>
        <v>500</v>
      </c>
      <c r="I25" s="52">
        <f t="shared" si="1"/>
        <v>1000</v>
      </c>
      <c r="J25" s="14"/>
      <c r="K25" s="28"/>
      <c r="L25" s="38" t="s">
        <v>56</v>
      </c>
      <c r="M25" s="54">
        <f>SUMIF(F25:F93,"Lainnya",G25:G93)</f>
        <v>7</v>
      </c>
      <c r="N25" s="28"/>
    </row>
    <row r="26" ht="15.75" customHeight="1">
      <c r="A26" s="55"/>
      <c r="B26" s="55"/>
      <c r="C26" s="55"/>
      <c r="D26" s="48">
        <v>2.0</v>
      </c>
      <c r="E26" s="49" t="s">
        <v>83</v>
      </c>
      <c r="F26" s="38" t="s">
        <v>17</v>
      </c>
      <c r="G26" s="50"/>
      <c r="H26" s="51">
        <f>VLOOKUP(F26,$A$4:$B$4,2,TRUE)</f>
        <v>3000</v>
      </c>
      <c r="I26" s="52">
        <f t="shared" si="1"/>
        <v>0</v>
      </c>
      <c r="J26" s="53">
        <f>SUM(I26:I46)</f>
        <v>3950</v>
      </c>
      <c r="K26" s="28"/>
      <c r="L26" s="28"/>
      <c r="M26" s="28"/>
      <c r="N26" s="28"/>
    </row>
    <row r="27" ht="15.75" customHeight="1">
      <c r="A27" s="61"/>
      <c r="B27" s="61"/>
      <c r="C27" s="55"/>
      <c r="D27" s="56"/>
      <c r="E27" s="56"/>
      <c r="F27" s="38" t="s">
        <v>49</v>
      </c>
      <c r="G27" s="50"/>
      <c r="H27" s="57">
        <f>VLOOKUP(F27,$A$5:$B$5,2,TRUE)</f>
        <v>3100</v>
      </c>
      <c r="I27" s="52">
        <f t="shared" si="1"/>
        <v>0</v>
      </c>
      <c r="J27" s="56"/>
      <c r="K27" s="28"/>
      <c r="L27" s="28"/>
      <c r="M27" s="28"/>
      <c r="N27" s="28"/>
    </row>
    <row r="28" ht="15.75" customHeight="1">
      <c r="A28" s="61"/>
      <c r="B28" s="61"/>
      <c r="C28" s="55"/>
      <c r="D28" s="56"/>
      <c r="E28" s="56"/>
      <c r="F28" s="38" t="s">
        <v>51</v>
      </c>
      <c r="G28" s="50"/>
      <c r="H28" s="57">
        <f>VLOOKUP(F28,$A$6:$B$6,2,TRUE)</f>
        <v>800</v>
      </c>
      <c r="I28" s="52">
        <f t="shared" si="1"/>
        <v>0</v>
      </c>
      <c r="J28" s="56"/>
      <c r="K28" s="28"/>
      <c r="L28" s="28"/>
      <c r="M28" s="28"/>
      <c r="N28" s="28"/>
    </row>
    <row r="29" ht="15.75" customHeight="1">
      <c r="A29" s="62"/>
      <c r="B29" s="62"/>
      <c r="C29" s="55"/>
      <c r="D29" s="56"/>
      <c r="E29" s="56"/>
      <c r="F29" s="38" t="s">
        <v>20</v>
      </c>
      <c r="G29" s="50"/>
      <c r="H29" s="57">
        <f>VLOOKUP(F29,$A$7:$B$7,2,TRUE)</f>
        <v>2100</v>
      </c>
      <c r="I29" s="52">
        <f t="shared" si="1"/>
        <v>0</v>
      </c>
      <c r="J29" s="56"/>
      <c r="K29" s="28"/>
      <c r="L29" s="28"/>
      <c r="M29" s="28"/>
      <c r="N29" s="28"/>
    </row>
    <row r="30" ht="15.75" customHeight="1">
      <c r="A30" s="63"/>
      <c r="B30" s="62"/>
      <c r="C30" s="55"/>
      <c r="D30" s="56"/>
      <c r="E30" s="56"/>
      <c r="F30" s="38" t="s">
        <v>21</v>
      </c>
      <c r="G30" s="50"/>
      <c r="H30" s="57">
        <f>VLOOKUP(F30, $A$8:$B$8, 2, FALSE)</f>
        <v>2600</v>
      </c>
      <c r="I30" s="52">
        <f t="shared" si="1"/>
        <v>0</v>
      </c>
      <c r="J30" s="56"/>
      <c r="K30" s="28"/>
      <c r="L30" s="28"/>
      <c r="M30" s="28"/>
      <c r="N30" s="28"/>
    </row>
    <row r="31" ht="15.75" customHeight="1">
      <c r="A31" s="63"/>
      <c r="B31" s="62"/>
      <c r="C31" s="55"/>
      <c r="D31" s="56"/>
      <c r="E31" s="56"/>
      <c r="F31" s="38" t="s">
        <v>52</v>
      </c>
      <c r="G31" s="50">
        <v>3.0</v>
      </c>
      <c r="H31" s="57">
        <f>VLOOKUP(F31, $A$9:$B$9, 2, FALSE)</f>
        <v>800</v>
      </c>
      <c r="I31" s="52">
        <f t="shared" si="1"/>
        <v>2400</v>
      </c>
      <c r="J31" s="56"/>
      <c r="K31" s="28"/>
      <c r="L31" s="28"/>
      <c r="M31" s="28"/>
      <c r="N31" s="28"/>
    </row>
    <row r="32" ht="15.75" customHeight="1">
      <c r="A32" s="63"/>
      <c r="B32" s="62"/>
      <c r="C32" s="55"/>
      <c r="D32" s="56"/>
      <c r="E32" s="56"/>
      <c r="F32" s="38" t="s">
        <v>23</v>
      </c>
      <c r="G32" s="50"/>
      <c r="H32" s="57">
        <f>VLOOKUP(F32,$A$10:$B$10,2,TRUE)</f>
        <v>1500</v>
      </c>
      <c r="I32" s="52">
        <f t="shared" si="1"/>
        <v>0</v>
      </c>
      <c r="J32" s="56"/>
      <c r="K32" s="28"/>
      <c r="L32" s="28"/>
      <c r="M32" s="28"/>
      <c r="N32" s="28"/>
    </row>
    <row r="33" ht="15.75" customHeight="1">
      <c r="A33" s="63"/>
      <c r="B33" s="62"/>
      <c r="C33" s="55"/>
      <c r="D33" s="56"/>
      <c r="E33" s="56"/>
      <c r="F33" s="38" t="s">
        <v>24</v>
      </c>
      <c r="G33" s="50"/>
      <c r="H33" s="57">
        <f>VLOOKUP(F33,$A$11:$B$11,2,TRUE)</f>
        <v>1300</v>
      </c>
      <c r="I33" s="52">
        <f t="shared" si="1"/>
        <v>0</v>
      </c>
      <c r="J33" s="56"/>
      <c r="K33" s="28"/>
      <c r="L33" s="28"/>
      <c r="M33" s="28"/>
      <c r="N33" s="28"/>
    </row>
    <row r="34" ht="15.75" customHeight="1">
      <c r="A34" s="63"/>
      <c r="B34" s="62"/>
      <c r="C34" s="55"/>
      <c r="D34" s="56"/>
      <c r="E34" s="56"/>
      <c r="F34" s="38" t="s">
        <v>54</v>
      </c>
      <c r="G34" s="50"/>
      <c r="H34" s="57">
        <f>VLOOKUP(F34,$A$12:$B$12,2,TRUE)</f>
        <v>1000</v>
      </c>
      <c r="I34" s="52">
        <f t="shared" si="1"/>
        <v>0</v>
      </c>
      <c r="J34" s="56"/>
      <c r="K34" s="28"/>
      <c r="L34" s="28"/>
      <c r="M34" s="28"/>
      <c r="N34" s="28"/>
    </row>
    <row r="35" ht="15.75" customHeight="1">
      <c r="A35" s="63"/>
      <c r="B35" s="62"/>
      <c r="C35" s="55"/>
      <c r="D35" s="56"/>
      <c r="E35" s="56"/>
      <c r="F35" s="38" t="s">
        <v>26</v>
      </c>
      <c r="G35" s="50">
        <v>1.0</v>
      </c>
      <c r="H35" s="57">
        <f>VLOOKUP(F35,$A$13:$B$13,2,TRUE)</f>
        <v>500</v>
      </c>
      <c r="I35" s="52">
        <f t="shared" si="1"/>
        <v>500</v>
      </c>
      <c r="J35" s="56"/>
      <c r="K35" s="28"/>
      <c r="L35" s="28"/>
      <c r="M35" s="28"/>
      <c r="N35" s="28"/>
    </row>
    <row r="36" ht="15.75" customHeight="1">
      <c r="A36" s="63"/>
      <c r="B36" s="62"/>
      <c r="C36" s="55"/>
      <c r="D36" s="56"/>
      <c r="E36" s="56"/>
      <c r="F36" s="38" t="s">
        <v>27</v>
      </c>
      <c r="G36" s="50"/>
      <c r="H36" s="57">
        <f>VLOOKUP(F36,$A$14:$B$14,2,TRUE)</f>
        <v>6500</v>
      </c>
      <c r="I36" s="52">
        <f t="shared" si="1"/>
        <v>0</v>
      </c>
      <c r="J36" s="56"/>
      <c r="K36" s="28"/>
      <c r="L36" s="28"/>
      <c r="M36" s="28"/>
      <c r="N36" s="28"/>
    </row>
    <row r="37" ht="15.75" customHeight="1">
      <c r="A37" s="63"/>
      <c r="B37" s="62"/>
      <c r="C37" s="55"/>
      <c r="D37" s="56"/>
      <c r="E37" s="56"/>
      <c r="F37" s="38" t="s">
        <v>28</v>
      </c>
      <c r="G37" s="50"/>
      <c r="H37" s="57">
        <f>VLOOKUP(F37,$A$15:$B$15,2,TRUE)</f>
        <v>1800</v>
      </c>
      <c r="I37" s="52">
        <f t="shared" si="1"/>
        <v>0</v>
      </c>
      <c r="J37" s="56"/>
      <c r="K37" s="28"/>
      <c r="L37" s="28"/>
      <c r="M37" s="28"/>
      <c r="N37" s="28"/>
    </row>
    <row r="38" ht="15.75" customHeight="1">
      <c r="A38" s="63"/>
      <c r="B38" s="62"/>
      <c r="C38" s="55"/>
      <c r="D38" s="56"/>
      <c r="E38" s="56"/>
      <c r="F38" s="38" t="s">
        <v>29</v>
      </c>
      <c r="G38" s="50"/>
      <c r="H38" s="57">
        <f>VLOOKUP(F38,$A$16:$B$16,2,TRUE)</f>
        <v>1300</v>
      </c>
      <c r="I38" s="52">
        <f t="shared" si="1"/>
        <v>0</v>
      </c>
      <c r="J38" s="56"/>
      <c r="K38" s="28"/>
      <c r="L38" s="28"/>
      <c r="M38" s="28"/>
      <c r="N38" s="28"/>
    </row>
    <row r="39" ht="15.75" customHeight="1">
      <c r="A39" s="63"/>
      <c r="B39" s="62"/>
      <c r="C39" s="55"/>
      <c r="D39" s="56"/>
      <c r="E39" s="56"/>
      <c r="F39" s="38" t="s">
        <v>30</v>
      </c>
      <c r="G39" s="50"/>
      <c r="H39" s="57">
        <f>VLOOKUP(F39,$A$17:$B$17,2,TRUE)</f>
        <v>5000</v>
      </c>
      <c r="I39" s="52">
        <f t="shared" si="1"/>
        <v>0</v>
      </c>
      <c r="J39" s="56"/>
      <c r="K39" s="28"/>
      <c r="L39" s="28"/>
      <c r="M39" s="28"/>
      <c r="N39" s="28"/>
    </row>
    <row r="40" ht="15.75" customHeight="1">
      <c r="A40" s="63"/>
      <c r="B40" s="62"/>
      <c r="C40" s="55"/>
      <c r="D40" s="56"/>
      <c r="E40" s="56"/>
      <c r="F40" s="38" t="s">
        <v>32</v>
      </c>
      <c r="G40" s="50"/>
      <c r="H40" s="57">
        <f>VLOOKUP(F40,$A$18:$B$18,2,TRUE)</f>
        <v>2500</v>
      </c>
      <c r="I40" s="52">
        <f t="shared" si="1"/>
        <v>0</v>
      </c>
      <c r="J40" s="56"/>
      <c r="K40" s="28"/>
      <c r="L40" s="28"/>
      <c r="M40" s="28"/>
      <c r="N40" s="28"/>
    </row>
    <row r="41" ht="15.75" customHeight="1">
      <c r="A41" s="63"/>
      <c r="B41" s="62"/>
      <c r="C41" s="55"/>
      <c r="D41" s="56"/>
      <c r="E41" s="56"/>
      <c r="F41" s="38" t="s">
        <v>34</v>
      </c>
      <c r="G41" s="50"/>
      <c r="H41" s="57">
        <f>VLOOKUP(F41,$A$19:$B$19,2,TRUE)</f>
        <v>9000</v>
      </c>
      <c r="I41" s="52">
        <f t="shared" si="1"/>
        <v>0</v>
      </c>
      <c r="J41" s="56"/>
      <c r="K41" s="28"/>
      <c r="L41" s="28"/>
      <c r="M41" s="28"/>
      <c r="N41" s="28"/>
    </row>
    <row r="42" ht="15.75" customHeight="1">
      <c r="A42" s="63"/>
      <c r="B42" s="62"/>
      <c r="C42" s="55"/>
      <c r="D42" s="56"/>
      <c r="E42" s="56"/>
      <c r="F42" s="38" t="s">
        <v>55</v>
      </c>
      <c r="G42" s="50"/>
      <c r="H42" s="57">
        <f>VLOOKUP(F42,$A$20:$B$20,2,TRUE)</f>
        <v>250</v>
      </c>
      <c r="I42" s="52">
        <f t="shared" si="1"/>
        <v>0</v>
      </c>
      <c r="J42" s="56"/>
      <c r="K42" s="28"/>
      <c r="L42" s="28"/>
      <c r="M42" s="28"/>
      <c r="N42" s="28"/>
    </row>
    <row r="43" ht="15.75" customHeight="1">
      <c r="A43" s="63"/>
      <c r="B43" s="62"/>
      <c r="C43" s="55"/>
      <c r="D43" s="56"/>
      <c r="E43" s="56"/>
      <c r="F43" s="38" t="s">
        <v>13</v>
      </c>
      <c r="G43" s="50">
        <v>3.5</v>
      </c>
      <c r="H43" s="57">
        <f>VLOOKUP(F43,$A$21:$B$21,2,TRUE)</f>
        <v>300</v>
      </c>
      <c r="I43" s="52">
        <f t="shared" si="1"/>
        <v>1050</v>
      </c>
      <c r="J43" s="56"/>
      <c r="K43" s="28"/>
      <c r="L43" s="28"/>
      <c r="M43" s="28"/>
      <c r="N43" s="28"/>
    </row>
    <row r="44" ht="15.75" customHeight="1">
      <c r="A44" s="63"/>
      <c r="B44" s="62"/>
      <c r="C44" s="55"/>
      <c r="D44" s="56"/>
      <c r="E44" s="56"/>
      <c r="F44" s="38" t="s">
        <v>9</v>
      </c>
      <c r="G44" s="50"/>
      <c r="H44" s="57">
        <f>VLOOKUP(F44,$A$22:$B$22,2,TRUE)</f>
        <v>1800</v>
      </c>
      <c r="I44" s="52">
        <f t="shared" si="1"/>
        <v>0</v>
      </c>
      <c r="J44" s="56"/>
      <c r="K44" s="28"/>
      <c r="L44" s="28"/>
      <c r="M44" s="28"/>
      <c r="N44" s="28"/>
    </row>
    <row r="45" ht="15.75" customHeight="1">
      <c r="A45" s="63"/>
      <c r="B45" s="62"/>
      <c r="C45" s="55"/>
      <c r="D45" s="56"/>
      <c r="E45" s="56"/>
      <c r="F45" s="38" t="s">
        <v>15</v>
      </c>
      <c r="G45" s="50"/>
      <c r="H45" s="57">
        <f>VLOOKUP(F44,$A$23:$B$23,2,TRUE)</f>
        <v>4000</v>
      </c>
      <c r="I45" s="52">
        <f t="shared" si="1"/>
        <v>0</v>
      </c>
      <c r="J45" s="56"/>
      <c r="K45" s="28"/>
      <c r="L45" s="28"/>
      <c r="M45" s="28"/>
      <c r="N45" s="28"/>
    </row>
    <row r="46" ht="15.75" customHeight="1">
      <c r="A46" s="63"/>
      <c r="B46" s="62"/>
      <c r="C46" s="55"/>
      <c r="D46" s="14"/>
      <c r="E46" s="14"/>
      <c r="F46" s="38" t="s">
        <v>56</v>
      </c>
      <c r="G46" s="50"/>
      <c r="H46" s="57">
        <f>VLOOKUP(F45,$A$24:$B$24,2,TRUE)</f>
        <v>500</v>
      </c>
      <c r="I46" s="52">
        <f t="shared" si="1"/>
        <v>0</v>
      </c>
      <c r="J46" s="14"/>
      <c r="K46" s="28"/>
      <c r="L46" s="28"/>
      <c r="M46" s="28"/>
      <c r="N46" s="28"/>
    </row>
    <row r="47" ht="15.75" customHeight="1">
      <c r="A47" s="63"/>
      <c r="B47" s="62"/>
      <c r="C47" s="55"/>
      <c r="D47" s="48">
        <v>3.0</v>
      </c>
      <c r="E47" s="64" t="s">
        <v>84</v>
      </c>
      <c r="F47" s="38" t="s">
        <v>17</v>
      </c>
      <c r="G47" s="50">
        <v>2.0</v>
      </c>
      <c r="H47" s="51">
        <f>VLOOKUP(F47,$A$4:$B$4,2,TRUE)</f>
        <v>3000</v>
      </c>
      <c r="I47" s="52">
        <f t="shared" si="1"/>
        <v>6000</v>
      </c>
      <c r="J47" s="53">
        <f>SUM(I47:I67)</f>
        <v>31525</v>
      </c>
      <c r="K47" s="28"/>
      <c r="L47" s="28"/>
      <c r="M47" s="28"/>
      <c r="N47" s="28"/>
    </row>
    <row r="48" ht="15.75" customHeight="1">
      <c r="A48" s="63"/>
      <c r="B48" s="62"/>
      <c r="C48" s="55"/>
      <c r="D48" s="56"/>
      <c r="E48" s="56"/>
      <c r="F48" s="38" t="s">
        <v>49</v>
      </c>
      <c r="G48" s="50">
        <f>2+2</f>
        <v>4</v>
      </c>
      <c r="H48" s="57">
        <f>VLOOKUP(F48,$A$5:$B$5,2,TRUE)</f>
        <v>3100</v>
      </c>
      <c r="I48" s="52">
        <f t="shared" si="1"/>
        <v>12400</v>
      </c>
      <c r="J48" s="56"/>
      <c r="K48" s="28"/>
      <c r="L48" s="28"/>
      <c r="M48" s="28"/>
      <c r="N48" s="28"/>
    </row>
    <row r="49" ht="15.75" customHeight="1">
      <c r="A49" s="63"/>
      <c r="B49" s="62"/>
      <c r="C49" s="55"/>
      <c r="D49" s="56"/>
      <c r="E49" s="56"/>
      <c r="F49" s="38" t="s">
        <v>51</v>
      </c>
      <c r="G49" s="50"/>
      <c r="H49" s="57">
        <f>VLOOKUP(F49,$A$6:$B$6,2,TRUE)</f>
        <v>800</v>
      </c>
      <c r="I49" s="52">
        <f t="shared" si="1"/>
        <v>0</v>
      </c>
      <c r="J49" s="56"/>
      <c r="K49" s="28"/>
      <c r="L49" s="28"/>
      <c r="M49" s="28"/>
      <c r="N49" s="28"/>
    </row>
    <row r="50" ht="15.75" customHeight="1">
      <c r="A50" s="63"/>
      <c r="B50" s="62"/>
      <c r="C50" s="55"/>
      <c r="D50" s="56"/>
      <c r="E50" s="56"/>
      <c r="F50" s="38" t="s">
        <v>20</v>
      </c>
      <c r="G50" s="50">
        <v>1.0</v>
      </c>
      <c r="H50" s="57">
        <f>VLOOKUP(F50,$A$7:$B$7,2,TRUE)</f>
        <v>2100</v>
      </c>
      <c r="I50" s="52">
        <f t="shared" si="1"/>
        <v>2100</v>
      </c>
      <c r="J50" s="56"/>
      <c r="K50" s="28"/>
      <c r="L50" s="28"/>
      <c r="M50" s="28"/>
      <c r="N50" s="28"/>
    </row>
    <row r="51" ht="15.75" customHeight="1">
      <c r="A51" s="47"/>
      <c r="B51" s="47"/>
      <c r="C51" s="55"/>
      <c r="D51" s="56"/>
      <c r="E51" s="56"/>
      <c r="F51" s="38" t="s">
        <v>21</v>
      </c>
      <c r="G51" s="50"/>
      <c r="H51" s="57">
        <f>VLOOKUP(F51, $A$8:$B$8, 2, FALSE)</f>
        <v>2600</v>
      </c>
      <c r="I51" s="52">
        <f t="shared" si="1"/>
        <v>0</v>
      </c>
      <c r="J51" s="56"/>
      <c r="K51" s="28"/>
      <c r="L51" s="28"/>
      <c r="M51" s="28"/>
      <c r="N51" s="28"/>
    </row>
    <row r="52" ht="15.75" customHeight="1">
      <c r="A52" s="47"/>
      <c r="B52" s="47"/>
      <c r="C52" s="55"/>
      <c r="D52" s="56"/>
      <c r="E52" s="56"/>
      <c r="F52" s="38" t="s">
        <v>52</v>
      </c>
      <c r="G52" s="50"/>
      <c r="H52" s="57">
        <f>VLOOKUP(F52, $A$9:$B$9, 2, FALSE)</f>
        <v>800</v>
      </c>
      <c r="I52" s="52">
        <f t="shared" si="1"/>
        <v>0</v>
      </c>
      <c r="J52" s="56"/>
      <c r="K52" s="28"/>
      <c r="L52" s="28"/>
      <c r="M52" s="28"/>
      <c r="N52" s="28"/>
    </row>
    <row r="53" ht="15.75" customHeight="1">
      <c r="A53" s="47"/>
      <c r="B53" s="47"/>
      <c r="C53" s="55"/>
      <c r="D53" s="56"/>
      <c r="E53" s="56"/>
      <c r="F53" s="38" t="s">
        <v>23</v>
      </c>
      <c r="G53" s="50"/>
      <c r="H53" s="57">
        <f>VLOOKUP(F53,$A$10:$B$10,2,TRUE)</f>
        <v>1500</v>
      </c>
      <c r="I53" s="52">
        <f t="shared" si="1"/>
        <v>0</v>
      </c>
      <c r="J53" s="56"/>
      <c r="K53" s="28"/>
      <c r="L53" s="28"/>
      <c r="M53" s="28"/>
      <c r="N53" s="28"/>
    </row>
    <row r="54" ht="15.75" customHeight="1">
      <c r="A54" s="47"/>
      <c r="B54" s="47"/>
      <c r="C54" s="55"/>
      <c r="D54" s="56"/>
      <c r="E54" s="56"/>
      <c r="F54" s="38" t="s">
        <v>24</v>
      </c>
      <c r="G54" s="50"/>
      <c r="H54" s="57">
        <f>VLOOKUP(F54,$A$11:$B$11,2,TRUE)</f>
        <v>1300</v>
      </c>
      <c r="I54" s="52">
        <f t="shared" si="1"/>
        <v>0</v>
      </c>
      <c r="J54" s="56"/>
      <c r="K54" s="28"/>
      <c r="L54" s="28"/>
      <c r="M54" s="28"/>
      <c r="N54" s="28"/>
    </row>
    <row r="55" ht="15.75" customHeight="1">
      <c r="A55" s="47"/>
      <c r="B55" s="47"/>
      <c r="C55" s="55"/>
      <c r="D55" s="56"/>
      <c r="E55" s="56"/>
      <c r="F55" s="38" t="s">
        <v>54</v>
      </c>
      <c r="G55" s="50"/>
      <c r="H55" s="57">
        <f>VLOOKUP(F55,$A$12:$B$12,2,TRUE)</f>
        <v>1000</v>
      </c>
      <c r="I55" s="52">
        <f t="shared" si="1"/>
        <v>0</v>
      </c>
      <c r="J55" s="56"/>
      <c r="K55" s="28"/>
      <c r="L55" s="28"/>
      <c r="M55" s="28"/>
      <c r="N55" s="28"/>
    </row>
    <row r="56" ht="15.75" customHeight="1">
      <c r="A56" s="47"/>
      <c r="B56" s="47"/>
      <c r="C56" s="55"/>
      <c r="D56" s="56"/>
      <c r="E56" s="56"/>
      <c r="F56" s="38" t="s">
        <v>26</v>
      </c>
      <c r="G56" s="50"/>
      <c r="H56" s="57">
        <f>VLOOKUP(F56,$A$13:$B$13,2,TRUE)</f>
        <v>500</v>
      </c>
      <c r="I56" s="52">
        <f t="shared" si="1"/>
        <v>0</v>
      </c>
      <c r="J56" s="56"/>
      <c r="K56" s="28"/>
      <c r="L56" s="28"/>
      <c r="M56" s="28"/>
      <c r="N56" s="28"/>
    </row>
    <row r="57" ht="15.75" customHeight="1">
      <c r="A57" s="47"/>
      <c r="B57" s="47"/>
      <c r="C57" s="55"/>
      <c r="D57" s="56"/>
      <c r="E57" s="56"/>
      <c r="F57" s="38" t="s">
        <v>27</v>
      </c>
      <c r="G57" s="50"/>
      <c r="H57" s="57">
        <f>VLOOKUP(F57,$A$14:$B$14,2,TRUE)</f>
        <v>6500</v>
      </c>
      <c r="I57" s="52">
        <f t="shared" si="1"/>
        <v>0</v>
      </c>
      <c r="J57" s="56"/>
      <c r="K57" s="28"/>
      <c r="L57" s="28"/>
      <c r="M57" s="28"/>
      <c r="N57" s="28"/>
    </row>
    <row r="58" ht="15.75" customHeight="1">
      <c r="A58" s="55"/>
      <c r="B58" s="55"/>
      <c r="C58" s="55"/>
      <c r="D58" s="56"/>
      <c r="E58" s="56"/>
      <c r="F58" s="38" t="s">
        <v>28</v>
      </c>
      <c r="G58" s="50"/>
      <c r="H58" s="57">
        <f>VLOOKUP(F58,$A$15:$B$15,2,TRUE)</f>
        <v>1800</v>
      </c>
      <c r="I58" s="52">
        <f t="shared" si="1"/>
        <v>0</v>
      </c>
      <c r="J58" s="56"/>
      <c r="K58" s="28"/>
      <c r="L58" s="28"/>
      <c r="M58" s="28"/>
      <c r="N58" s="28"/>
    </row>
    <row r="59" ht="15.75" customHeight="1">
      <c r="A59" s="55"/>
      <c r="B59" s="55"/>
      <c r="C59" s="55"/>
      <c r="D59" s="56"/>
      <c r="E59" s="56"/>
      <c r="F59" s="38" t="s">
        <v>29</v>
      </c>
      <c r="G59" s="50">
        <v>3.0</v>
      </c>
      <c r="H59" s="57">
        <f>VLOOKUP(F59,$A$16:$B$16,2,TRUE)</f>
        <v>1300</v>
      </c>
      <c r="I59" s="52">
        <f t="shared" si="1"/>
        <v>3900</v>
      </c>
      <c r="J59" s="56"/>
      <c r="K59" s="28"/>
      <c r="L59" s="28"/>
      <c r="M59" s="28"/>
      <c r="N59" s="28"/>
    </row>
    <row r="60" ht="15.75" customHeight="1">
      <c r="A60" s="55"/>
      <c r="B60" s="55"/>
      <c r="C60" s="55"/>
      <c r="D60" s="56"/>
      <c r="E60" s="56"/>
      <c r="F60" s="38" t="s">
        <v>30</v>
      </c>
      <c r="G60" s="50"/>
      <c r="H60" s="57">
        <f>VLOOKUP(F60,$A$17:$B$17,2,TRUE)</f>
        <v>5000</v>
      </c>
      <c r="I60" s="52">
        <f t="shared" si="1"/>
        <v>0</v>
      </c>
      <c r="J60" s="56"/>
      <c r="K60" s="28"/>
      <c r="L60" s="28"/>
      <c r="M60" s="28"/>
      <c r="N60" s="28"/>
    </row>
    <row r="61" ht="15.75" customHeight="1">
      <c r="A61" s="55"/>
      <c r="B61" s="55"/>
      <c r="C61" s="55"/>
      <c r="D61" s="56"/>
      <c r="E61" s="56"/>
      <c r="F61" s="38" t="s">
        <v>32</v>
      </c>
      <c r="G61" s="50"/>
      <c r="H61" s="57">
        <f>VLOOKUP(F61,$A$18:$B$18,2,TRUE)</f>
        <v>2500</v>
      </c>
      <c r="I61" s="52">
        <f t="shared" si="1"/>
        <v>0</v>
      </c>
      <c r="J61" s="56"/>
      <c r="K61" s="28"/>
      <c r="L61" s="28"/>
      <c r="M61" s="28"/>
      <c r="N61" s="28"/>
    </row>
    <row r="62" ht="15.75" customHeight="1">
      <c r="A62" s="55"/>
      <c r="B62" s="55"/>
      <c r="C62" s="55"/>
      <c r="D62" s="56"/>
      <c r="E62" s="56"/>
      <c r="F62" s="38" t="s">
        <v>34</v>
      </c>
      <c r="G62" s="50"/>
      <c r="H62" s="57">
        <f>VLOOKUP(F62,$A$19:$B$19,2,TRUE)</f>
        <v>9000</v>
      </c>
      <c r="I62" s="52">
        <f t="shared" si="1"/>
        <v>0</v>
      </c>
      <c r="J62" s="56"/>
      <c r="K62" s="28"/>
      <c r="L62" s="28"/>
      <c r="M62" s="28"/>
      <c r="N62" s="28"/>
    </row>
    <row r="63" ht="15.75" customHeight="1">
      <c r="A63" s="55"/>
      <c r="B63" s="55"/>
      <c r="C63" s="55"/>
      <c r="D63" s="56"/>
      <c r="E63" s="56"/>
      <c r="F63" s="38" t="s">
        <v>55</v>
      </c>
      <c r="G63" s="50">
        <v>2.5</v>
      </c>
      <c r="H63" s="57">
        <f>VLOOKUP(F63,$A$20:$B$20,2,TRUE)</f>
        <v>250</v>
      </c>
      <c r="I63" s="52">
        <f t="shared" si="1"/>
        <v>625</v>
      </c>
      <c r="J63" s="56"/>
      <c r="K63" s="28"/>
      <c r="L63" s="28"/>
      <c r="M63" s="28"/>
      <c r="N63" s="28"/>
    </row>
    <row r="64" ht="15.75" customHeight="1">
      <c r="A64" s="55"/>
      <c r="B64" s="55"/>
      <c r="C64" s="55"/>
      <c r="D64" s="56"/>
      <c r="E64" s="56"/>
      <c r="F64" s="38" t="s">
        <v>13</v>
      </c>
      <c r="G64" s="50"/>
      <c r="H64" s="57">
        <f>VLOOKUP(F64,$A$21:$B$21,2,TRUE)</f>
        <v>300</v>
      </c>
      <c r="I64" s="52">
        <f t="shared" si="1"/>
        <v>0</v>
      </c>
      <c r="J64" s="56"/>
      <c r="K64" s="28"/>
      <c r="L64" s="28"/>
      <c r="M64" s="28"/>
      <c r="N64" s="28"/>
    </row>
    <row r="65" ht="15.75" customHeight="1">
      <c r="A65" s="55"/>
      <c r="B65" s="55"/>
      <c r="C65" s="55"/>
      <c r="D65" s="56"/>
      <c r="E65" s="56"/>
      <c r="F65" s="38" t="s">
        <v>9</v>
      </c>
      <c r="G65" s="50"/>
      <c r="H65" s="57">
        <f>VLOOKUP(F65,$A$22:$B$22,2,TRUE)</f>
        <v>1800</v>
      </c>
      <c r="I65" s="52">
        <f t="shared" si="1"/>
        <v>0</v>
      </c>
      <c r="J65" s="56"/>
      <c r="K65" s="28"/>
      <c r="L65" s="28"/>
      <c r="M65" s="28"/>
      <c r="N65" s="28"/>
    </row>
    <row r="66" ht="15.75" customHeight="1">
      <c r="A66" s="55"/>
      <c r="B66" s="55"/>
      <c r="C66" s="55"/>
      <c r="D66" s="56"/>
      <c r="E66" s="56"/>
      <c r="F66" s="38" t="s">
        <v>15</v>
      </c>
      <c r="G66" s="50">
        <v>1.0</v>
      </c>
      <c r="H66" s="57">
        <f>VLOOKUP(F65,$A$23:$B$23,2,TRUE)</f>
        <v>4000</v>
      </c>
      <c r="I66" s="52">
        <f t="shared" si="1"/>
        <v>4000</v>
      </c>
      <c r="J66" s="56"/>
      <c r="K66" s="28"/>
      <c r="L66" s="28"/>
      <c r="M66" s="28"/>
      <c r="N66" s="28"/>
    </row>
    <row r="67" ht="15.75" customHeight="1">
      <c r="A67" s="55"/>
      <c r="B67" s="55"/>
      <c r="C67" s="55"/>
      <c r="D67" s="14"/>
      <c r="E67" s="14"/>
      <c r="F67" s="38" t="s">
        <v>56</v>
      </c>
      <c r="G67" s="50">
        <f>3.5+1.5</f>
        <v>5</v>
      </c>
      <c r="H67" s="57">
        <f>VLOOKUP(F66,$A$24:$B$24,2,TRUE)</f>
        <v>500</v>
      </c>
      <c r="I67" s="52">
        <f t="shared" si="1"/>
        <v>2500</v>
      </c>
      <c r="J67" s="14"/>
      <c r="K67" s="28"/>
      <c r="L67" s="28"/>
      <c r="M67" s="28"/>
      <c r="N67" s="28"/>
    </row>
    <row r="68" ht="15.75" customHeight="1">
      <c r="A68" s="55"/>
      <c r="B68" s="55"/>
      <c r="C68" s="55"/>
      <c r="D68" s="65" t="s">
        <v>61</v>
      </c>
      <c r="E68" s="4"/>
      <c r="F68" s="4"/>
      <c r="G68" s="4"/>
      <c r="H68" s="4"/>
      <c r="I68" s="5"/>
      <c r="J68" s="66">
        <f>SUM(J5:J67)</f>
        <v>79575</v>
      </c>
      <c r="K68" s="28"/>
      <c r="L68" s="28"/>
      <c r="M68" s="28"/>
      <c r="N68" s="28"/>
    </row>
    <row r="69" ht="15.75" customHeight="1">
      <c r="A69" s="27"/>
      <c r="B69" s="27"/>
      <c r="C69" s="27"/>
      <c r="D69" s="27"/>
      <c r="E69" s="27"/>
      <c r="F69" s="28"/>
      <c r="G69" s="28"/>
      <c r="H69" s="28"/>
      <c r="I69" s="28"/>
      <c r="J69" s="29"/>
      <c r="K69" s="28"/>
      <c r="L69" s="28"/>
      <c r="M69" s="28"/>
      <c r="N69" s="28"/>
    </row>
    <row r="70" ht="15.75" customHeight="1">
      <c r="A70" s="27"/>
      <c r="B70" s="27"/>
      <c r="C70" s="27"/>
      <c r="D70" s="27"/>
      <c r="E70" s="27"/>
      <c r="F70" s="28"/>
      <c r="G70" s="28"/>
      <c r="H70" s="28"/>
      <c r="I70" s="28"/>
      <c r="J70" s="29"/>
      <c r="K70" s="28"/>
      <c r="L70" s="28"/>
      <c r="M70" s="28"/>
      <c r="N70" s="28"/>
    </row>
    <row r="71" ht="15.75" customHeight="1">
      <c r="A71" s="27"/>
      <c r="B71" s="27"/>
      <c r="C71" s="27"/>
      <c r="D71" s="27"/>
      <c r="E71" s="27"/>
      <c r="F71" s="28"/>
      <c r="G71" s="28"/>
      <c r="H71" s="28"/>
      <c r="I71" s="28"/>
      <c r="J71" s="29"/>
      <c r="K71" s="28"/>
      <c r="L71" s="28"/>
      <c r="M71" s="28"/>
      <c r="N71" s="28"/>
    </row>
    <row r="72" ht="15.75" customHeight="1">
      <c r="A72" s="27"/>
      <c r="B72" s="27"/>
      <c r="C72" s="27"/>
      <c r="D72" s="27"/>
      <c r="E72" s="27"/>
      <c r="F72" s="28"/>
      <c r="G72" s="28"/>
      <c r="H72" s="28"/>
      <c r="I72" s="28"/>
      <c r="J72" s="29"/>
      <c r="K72" s="28"/>
      <c r="L72" s="28"/>
      <c r="M72" s="28"/>
      <c r="N72" s="28"/>
    </row>
    <row r="73" ht="15.75" customHeight="1">
      <c r="A73" s="27"/>
      <c r="B73" s="27"/>
      <c r="C73" s="27"/>
      <c r="D73" s="27"/>
      <c r="E73" s="27"/>
      <c r="F73" s="28"/>
      <c r="G73" s="28"/>
      <c r="H73" s="28"/>
      <c r="I73" s="28"/>
      <c r="J73" s="29"/>
      <c r="K73" s="28"/>
      <c r="L73" s="28"/>
      <c r="M73" s="28"/>
      <c r="N73" s="28"/>
    </row>
    <row r="74" ht="15.75" customHeight="1">
      <c r="A74" s="27"/>
      <c r="B74" s="27"/>
      <c r="C74" s="27"/>
      <c r="D74" s="27"/>
      <c r="E74" s="27"/>
      <c r="F74" s="28"/>
      <c r="G74" s="28"/>
      <c r="H74" s="28"/>
      <c r="I74" s="28"/>
      <c r="J74" s="29"/>
      <c r="K74" s="28"/>
      <c r="L74" s="28"/>
      <c r="M74" s="28"/>
      <c r="N74" s="28"/>
    </row>
    <row r="75" ht="15.75" customHeight="1">
      <c r="A75" s="27"/>
      <c r="B75" s="27"/>
      <c r="C75" s="27"/>
      <c r="D75" s="27"/>
      <c r="E75" s="27"/>
      <c r="F75" s="28"/>
      <c r="G75" s="28"/>
      <c r="H75" s="28"/>
      <c r="I75" s="28"/>
      <c r="J75" s="29"/>
      <c r="K75" s="28"/>
      <c r="L75" s="28"/>
      <c r="M75" s="28"/>
      <c r="N75" s="28"/>
    </row>
    <row r="76" ht="15.75" customHeight="1">
      <c r="A76" s="27"/>
      <c r="B76" s="27"/>
      <c r="C76" s="27"/>
      <c r="D76" s="27"/>
      <c r="E76" s="27"/>
      <c r="F76" s="28"/>
      <c r="G76" s="28"/>
      <c r="H76" s="28"/>
      <c r="I76" s="28"/>
      <c r="J76" s="29"/>
      <c r="K76" s="28"/>
      <c r="L76" s="28"/>
      <c r="M76" s="28"/>
      <c r="N76" s="28"/>
    </row>
    <row r="77" ht="15.75" customHeight="1">
      <c r="A77" s="27"/>
      <c r="B77" s="27"/>
      <c r="C77" s="27"/>
      <c r="D77" s="27"/>
      <c r="E77" s="27"/>
      <c r="J77" s="29"/>
    </row>
    <row r="78" ht="15.75" customHeight="1">
      <c r="A78" s="27"/>
      <c r="B78" s="27"/>
      <c r="C78" s="27"/>
      <c r="D78" s="27"/>
      <c r="E78" s="27"/>
      <c r="J78" s="29"/>
    </row>
    <row r="79" ht="15.75" customHeight="1">
      <c r="A79" s="27"/>
      <c r="B79" s="27"/>
      <c r="C79" s="27"/>
      <c r="D79" s="27"/>
      <c r="E79" s="27"/>
      <c r="J79" s="29"/>
    </row>
    <row r="80" ht="15.75" customHeight="1">
      <c r="A80" s="27"/>
      <c r="B80" s="27"/>
      <c r="C80" s="27"/>
      <c r="D80" s="27"/>
      <c r="E80" s="27"/>
      <c r="J80" s="29"/>
    </row>
    <row r="81" ht="15.75" customHeight="1">
      <c r="A81" s="27"/>
      <c r="B81" s="27"/>
      <c r="C81" s="27"/>
      <c r="D81" s="27"/>
      <c r="E81" s="27"/>
      <c r="J81" s="29"/>
    </row>
    <row r="82" ht="15.75" customHeight="1">
      <c r="A82" s="27"/>
      <c r="B82" s="27"/>
      <c r="C82" s="27"/>
      <c r="D82" s="27"/>
      <c r="E82" s="27"/>
      <c r="J82" s="29"/>
    </row>
    <row r="83" ht="15.75" customHeight="1">
      <c r="A83" s="27"/>
      <c r="B83" s="27"/>
      <c r="C83" s="27"/>
      <c r="D83" s="27"/>
      <c r="E83" s="27"/>
      <c r="J83" s="29"/>
    </row>
    <row r="84" ht="15.75" customHeight="1">
      <c r="A84" s="27"/>
      <c r="B84" s="27"/>
      <c r="C84" s="27"/>
      <c r="D84" s="27"/>
      <c r="E84" s="27"/>
      <c r="J84" s="29"/>
    </row>
    <row r="85" ht="15.75" customHeight="1">
      <c r="A85" s="27"/>
      <c r="B85" s="27"/>
      <c r="C85" s="27"/>
      <c r="D85" s="27"/>
      <c r="E85" s="27"/>
      <c r="J85" s="29"/>
    </row>
    <row r="86" ht="15.75" customHeight="1">
      <c r="A86" s="27"/>
      <c r="B86" s="27"/>
      <c r="C86" s="27"/>
      <c r="D86" s="27"/>
      <c r="E86" s="27"/>
      <c r="J86" s="29"/>
    </row>
    <row r="87" ht="15.75" customHeight="1">
      <c r="A87" s="27"/>
      <c r="B87" s="27"/>
      <c r="C87" s="27"/>
      <c r="D87" s="27"/>
      <c r="E87" s="27"/>
      <c r="J87" s="29"/>
    </row>
    <row r="88" ht="15.75" customHeight="1">
      <c r="A88" s="27"/>
      <c r="B88" s="27"/>
      <c r="C88" s="27"/>
      <c r="D88" s="27"/>
      <c r="E88" s="27"/>
      <c r="J88" s="29"/>
    </row>
    <row r="89" ht="15.75" customHeight="1">
      <c r="A89" s="27"/>
      <c r="B89" s="27"/>
      <c r="C89" s="27"/>
      <c r="D89" s="27"/>
      <c r="E89" s="27"/>
      <c r="J89" s="29"/>
    </row>
    <row r="90" ht="15.75" customHeight="1">
      <c r="A90" s="27"/>
      <c r="B90" s="27"/>
      <c r="C90" s="27"/>
      <c r="D90" s="27"/>
      <c r="E90" s="27"/>
      <c r="J90" s="29"/>
    </row>
    <row r="91" ht="15.75" customHeight="1">
      <c r="A91" s="27"/>
      <c r="B91" s="27"/>
      <c r="C91" s="27"/>
      <c r="D91" s="27"/>
      <c r="E91" s="27"/>
      <c r="J91" s="29"/>
    </row>
    <row r="92" ht="15.75" customHeight="1">
      <c r="A92" s="27"/>
      <c r="B92" s="27"/>
      <c r="C92" s="27"/>
      <c r="D92" s="27"/>
      <c r="E92" s="27"/>
      <c r="J92" s="29"/>
    </row>
    <row r="93" ht="15.75" customHeight="1">
      <c r="A93" s="27"/>
      <c r="B93" s="27"/>
      <c r="C93" s="27"/>
      <c r="D93" s="27"/>
      <c r="E93" s="27"/>
      <c r="J93" s="29"/>
    </row>
    <row r="94" ht="15.75" customHeight="1">
      <c r="A94" s="27"/>
      <c r="B94" s="27"/>
      <c r="C94" s="27"/>
      <c r="D94" s="27"/>
      <c r="E94" s="27"/>
      <c r="J94" s="29"/>
    </row>
    <row r="95" ht="15.75" customHeight="1">
      <c r="A95" s="27"/>
      <c r="B95" s="27"/>
      <c r="C95" s="27"/>
      <c r="D95" s="27"/>
      <c r="E95" s="27"/>
      <c r="J95" s="29"/>
    </row>
    <row r="96" ht="15.75" customHeight="1">
      <c r="A96" s="27"/>
      <c r="B96" s="27"/>
      <c r="C96" s="27"/>
      <c r="D96" s="27"/>
      <c r="E96" s="27"/>
      <c r="J96" s="29"/>
    </row>
    <row r="97" ht="15.75" customHeight="1">
      <c r="A97" s="27"/>
      <c r="B97" s="27"/>
      <c r="C97" s="27"/>
      <c r="D97" s="27"/>
      <c r="E97" s="27"/>
      <c r="J97" s="29"/>
    </row>
    <row r="98" ht="15.75" customHeight="1">
      <c r="A98" s="27"/>
      <c r="B98" s="27"/>
      <c r="C98" s="27"/>
      <c r="D98" s="27"/>
      <c r="E98" s="27"/>
      <c r="J98" s="29"/>
    </row>
    <row r="99" ht="15.75" customHeight="1">
      <c r="A99" s="27"/>
      <c r="B99" s="27"/>
      <c r="C99" s="27"/>
      <c r="D99" s="27"/>
      <c r="E99" s="27"/>
      <c r="J99" s="29"/>
    </row>
    <row r="100" ht="15.75" customHeight="1">
      <c r="A100" s="27"/>
      <c r="B100" s="27"/>
      <c r="C100" s="27"/>
      <c r="D100" s="27"/>
      <c r="E100" s="27"/>
      <c r="J100" s="29"/>
    </row>
    <row r="101" ht="15.75" customHeight="1">
      <c r="A101" s="27"/>
      <c r="B101" s="27"/>
      <c r="C101" s="27"/>
      <c r="D101" s="27"/>
      <c r="E101" s="27"/>
      <c r="J101" s="29"/>
    </row>
    <row r="102" ht="15.75" customHeight="1">
      <c r="A102" s="27"/>
      <c r="B102" s="27"/>
      <c r="C102" s="27"/>
      <c r="D102" s="27"/>
      <c r="E102" s="27"/>
      <c r="J102" s="29"/>
    </row>
    <row r="103" ht="15.75" customHeight="1">
      <c r="A103" s="27"/>
      <c r="B103" s="27"/>
      <c r="C103" s="27"/>
      <c r="D103" s="27"/>
      <c r="E103" s="27"/>
      <c r="J103" s="29"/>
    </row>
    <row r="104" ht="15.75" customHeight="1">
      <c r="A104" s="27"/>
      <c r="B104" s="27"/>
      <c r="C104" s="27"/>
      <c r="D104" s="27"/>
      <c r="E104" s="27"/>
      <c r="J104" s="29"/>
    </row>
    <row r="105" ht="15.75" customHeight="1">
      <c r="A105" s="27"/>
      <c r="B105" s="27"/>
      <c r="C105" s="27"/>
      <c r="D105" s="27"/>
      <c r="E105" s="27"/>
      <c r="J105" s="29"/>
    </row>
    <row r="106" ht="15.75" customHeight="1">
      <c r="A106" s="27"/>
      <c r="B106" s="27"/>
      <c r="C106" s="27"/>
      <c r="D106" s="27"/>
      <c r="E106" s="27"/>
      <c r="J106" s="29"/>
    </row>
    <row r="107" ht="15.75" customHeight="1">
      <c r="A107" s="27"/>
      <c r="B107" s="27"/>
      <c r="C107" s="27"/>
      <c r="D107" s="27"/>
      <c r="E107" s="27"/>
      <c r="J107" s="29"/>
    </row>
    <row r="108" ht="15.75" customHeight="1">
      <c r="A108" s="27"/>
      <c r="B108" s="27"/>
      <c r="C108" s="27"/>
      <c r="D108" s="27"/>
      <c r="E108" s="27"/>
      <c r="J108" s="29"/>
    </row>
    <row r="109" ht="15.75" customHeight="1">
      <c r="A109" s="27"/>
      <c r="B109" s="27"/>
      <c r="C109" s="27"/>
      <c r="D109" s="27"/>
      <c r="E109" s="27"/>
      <c r="J109" s="29"/>
    </row>
    <row r="110" ht="15.75" customHeight="1">
      <c r="A110" s="27"/>
      <c r="B110" s="27"/>
      <c r="C110" s="27"/>
      <c r="D110" s="27"/>
      <c r="E110" s="27"/>
      <c r="J110" s="29"/>
    </row>
    <row r="111" ht="15.75" customHeight="1">
      <c r="A111" s="27"/>
      <c r="B111" s="27"/>
      <c r="C111" s="27"/>
      <c r="D111" s="27"/>
      <c r="E111" s="27"/>
      <c r="J111" s="29"/>
    </row>
    <row r="112" ht="15.75" customHeight="1">
      <c r="A112" s="27"/>
      <c r="B112" s="27"/>
      <c r="C112" s="27"/>
      <c r="D112" s="27"/>
      <c r="E112" s="27"/>
      <c r="J112" s="29"/>
    </row>
    <row r="113" ht="15.75" customHeight="1">
      <c r="A113" s="27"/>
      <c r="B113" s="27"/>
      <c r="C113" s="27"/>
      <c r="D113" s="27"/>
      <c r="E113" s="27"/>
      <c r="J113" s="29"/>
    </row>
    <row r="114" ht="15.75" customHeight="1">
      <c r="A114" s="27"/>
      <c r="B114" s="27"/>
      <c r="C114" s="27"/>
      <c r="D114" s="27"/>
      <c r="E114" s="27"/>
      <c r="J114" s="29"/>
    </row>
    <row r="115" ht="15.75" customHeight="1">
      <c r="A115" s="27"/>
      <c r="B115" s="27"/>
      <c r="C115" s="27"/>
      <c r="D115" s="27"/>
      <c r="E115" s="27"/>
      <c r="J115" s="29"/>
    </row>
    <row r="116" ht="15.75" customHeight="1">
      <c r="A116" s="27"/>
      <c r="B116" s="27"/>
      <c r="C116" s="27"/>
      <c r="D116" s="27"/>
      <c r="E116" s="27"/>
      <c r="J116" s="29"/>
    </row>
    <row r="117" ht="15.75" customHeight="1">
      <c r="A117" s="27"/>
      <c r="B117" s="27"/>
      <c r="C117" s="27"/>
      <c r="D117" s="27"/>
      <c r="E117" s="27"/>
      <c r="J117" s="29"/>
    </row>
    <row r="118" ht="15.75" customHeight="1">
      <c r="A118" s="27"/>
      <c r="B118" s="27"/>
      <c r="C118" s="27"/>
      <c r="D118" s="27"/>
      <c r="E118" s="27"/>
      <c r="J118" s="29"/>
    </row>
    <row r="119" ht="15.75" customHeight="1">
      <c r="A119" s="27"/>
      <c r="B119" s="27"/>
      <c r="C119" s="27"/>
      <c r="D119" s="27"/>
      <c r="E119" s="27"/>
      <c r="J119" s="29"/>
    </row>
    <row r="120" ht="15.75" customHeight="1">
      <c r="A120" s="27"/>
      <c r="B120" s="27"/>
      <c r="C120" s="27"/>
      <c r="D120" s="27"/>
      <c r="E120" s="27"/>
      <c r="J120" s="29"/>
    </row>
    <row r="121" ht="15.75" customHeight="1">
      <c r="A121" s="27"/>
      <c r="B121" s="27"/>
      <c r="C121" s="27"/>
      <c r="D121" s="27"/>
      <c r="E121" s="27"/>
      <c r="J121" s="29"/>
    </row>
    <row r="122" ht="15.75" customHeight="1">
      <c r="A122" s="27"/>
      <c r="B122" s="27"/>
      <c r="C122" s="27"/>
      <c r="D122" s="27"/>
      <c r="E122" s="27"/>
      <c r="J122" s="29"/>
    </row>
    <row r="123" ht="15.75" customHeight="1">
      <c r="A123" s="27"/>
      <c r="B123" s="27"/>
      <c r="C123" s="27"/>
      <c r="D123" s="27"/>
      <c r="E123" s="27"/>
      <c r="J123" s="29"/>
    </row>
    <row r="124" ht="15.75" customHeight="1">
      <c r="A124" s="27"/>
      <c r="B124" s="27"/>
      <c r="C124" s="27"/>
      <c r="D124" s="27"/>
      <c r="E124" s="27"/>
      <c r="J124" s="29"/>
    </row>
    <row r="125" ht="15.75" customHeight="1">
      <c r="A125" s="27"/>
      <c r="B125" s="27"/>
      <c r="C125" s="27"/>
      <c r="D125" s="27"/>
      <c r="E125" s="27"/>
      <c r="J125" s="29"/>
    </row>
    <row r="126" ht="15.75" customHeight="1">
      <c r="A126" s="27"/>
      <c r="B126" s="27"/>
      <c r="C126" s="27"/>
      <c r="D126" s="27"/>
      <c r="E126" s="27"/>
      <c r="J126" s="29"/>
    </row>
    <row r="127" ht="15.75" customHeight="1">
      <c r="A127" s="27"/>
      <c r="B127" s="27"/>
      <c r="C127" s="27"/>
      <c r="D127" s="27"/>
      <c r="E127" s="27"/>
      <c r="J127" s="29"/>
    </row>
    <row r="128" ht="15.75" customHeight="1">
      <c r="A128" s="27"/>
      <c r="B128" s="27"/>
      <c r="C128" s="27"/>
      <c r="D128" s="27"/>
      <c r="E128" s="27"/>
      <c r="J128" s="29"/>
    </row>
    <row r="129" ht="15.75" customHeight="1">
      <c r="A129" s="27"/>
      <c r="B129" s="27"/>
      <c r="C129" s="27"/>
      <c r="D129" s="27"/>
      <c r="E129" s="27"/>
      <c r="J129" s="29"/>
    </row>
    <row r="130" ht="15.75" customHeight="1">
      <c r="A130" s="27"/>
      <c r="B130" s="27"/>
      <c r="C130" s="27"/>
      <c r="D130" s="27"/>
      <c r="E130" s="27"/>
      <c r="J130" s="29"/>
    </row>
    <row r="131" ht="15.75" customHeight="1">
      <c r="A131" s="27"/>
      <c r="B131" s="27"/>
      <c r="C131" s="27"/>
      <c r="D131" s="27"/>
      <c r="E131" s="27"/>
      <c r="J131" s="29"/>
    </row>
    <row r="132" ht="15.75" customHeight="1">
      <c r="A132" s="27"/>
      <c r="B132" s="27"/>
      <c r="C132" s="27"/>
      <c r="D132" s="27"/>
      <c r="E132" s="27"/>
      <c r="J132" s="29"/>
    </row>
    <row r="133" ht="15.75" customHeight="1">
      <c r="A133" s="27"/>
      <c r="B133" s="27"/>
      <c r="C133" s="27"/>
      <c r="D133" s="27"/>
      <c r="E133" s="27"/>
      <c r="J133" s="29"/>
    </row>
    <row r="134" ht="15.75" customHeight="1">
      <c r="A134" s="27"/>
      <c r="B134" s="27"/>
      <c r="C134" s="27"/>
      <c r="D134" s="27"/>
      <c r="E134" s="27"/>
      <c r="J134" s="29"/>
    </row>
    <row r="135" ht="15.75" customHeight="1">
      <c r="A135" s="27"/>
      <c r="B135" s="27"/>
      <c r="C135" s="27"/>
      <c r="D135" s="27"/>
      <c r="E135" s="27"/>
      <c r="J135" s="29"/>
    </row>
    <row r="136" ht="15.75" customHeight="1">
      <c r="A136" s="27"/>
      <c r="B136" s="27"/>
      <c r="C136" s="27"/>
      <c r="D136" s="27"/>
      <c r="E136" s="27"/>
      <c r="J136" s="29"/>
    </row>
    <row r="137" ht="15.75" customHeight="1">
      <c r="A137" s="27"/>
      <c r="B137" s="27"/>
      <c r="C137" s="27"/>
      <c r="D137" s="27"/>
      <c r="E137" s="27"/>
      <c r="J137" s="29"/>
    </row>
    <row r="138" ht="15.75" customHeight="1">
      <c r="A138" s="27"/>
      <c r="B138" s="27"/>
      <c r="C138" s="27"/>
      <c r="D138" s="27"/>
      <c r="E138" s="27"/>
      <c r="J138" s="29"/>
    </row>
    <row r="139" ht="15.75" customHeight="1">
      <c r="A139" s="27"/>
      <c r="B139" s="27"/>
      <c r="C139" s="27"/>
      <c r="D139" s="27"/>
      <c r="E139" s="27"/>
      <c r="J139" s="29"/>
    </row>
    <row r="140" ht="15.75" customHeight="1">
      <c r="A140" s="27"/>
      <c r="B140" s="27"/>
      <c r="C140" s="27"/>
      <c r="D140" s="27"/>
      <c r="E140" s="27"/>
      <c r="J140" s="29"/>
    </row>
    <row r="141" ht="15.75" customHeight="1">
      <c r="A141" s="27"/>
      <c r="B141" s="27"/>
      <c r="C141" s="27"/>
      <c r="D141" s="27"/>
      <c r="E141" s="27"/>
      <c r="J141" s="29"/>
    </row>
    <row r="142" ht="15.75" customHeight="1">
      <c r="A142" s="27"/>
      <c r="B142" s="27"/>
      <c r="C142" s="27"/>
      <c r="D142" s="27"/>
      <c r="E142" s="27"/>
      <c r="J142" s="29"/>
    </row>
    <row r="143" ht="15.75" customHeight="1">
      <c r="A143" s="27"/>
      <c r="B143" s="27"/>
      <c r="C143" s="27"/>
      <c r="D143" s="27"/>
      <c r="E143" s="27"/>
      <c r="J143" s="29"/>
    </row>
    <row r="144" ht="15.75" customHeight="1">
      <c r="A144" s="27"/>
      <c r="B144" s="27"/>
      <c r="C144" s="27"/>
      <c r="D144" s="27"/>
      <c r="E144" s="27"/>
      <c r="J144" s="29"/>
    </row>
    <row r="145" ht="15.75" customHeight="1">
      <c r="A145" s="27"/>
      <c r="B145" s="27"/>
      <c r="C145" s="27"/>
      <c r="D145" s="27"/>
      <c r="E145" s="27"/>
      <c r="J145" s="29"/>
    </row>
    <row r="146" ht="15.75" customHeight="1">
      <c r="A146" s="27"/>
      <c r="B146" s="27"/>
      <c r="C146" s="27"/>
      <c r="D146" s="27"/>
      <c r="E146" s="27"/>
      <c r="J146" s="29"/>
    </row>
    <row r="147" ht="15.75" customHeight="1">
      <c r="A147" s="27"/>
      <c r="B147" s="27"/>
      <c r="C147" s="27"/>
      <c r="D147" s="27"/>
      <c r="E147" s="27"/>
      <c r="J147" s="29"/>
    </row>
    <row r="148" ht="15.75" customHeight="1">
      <c r="A148" s="27"/>
      <c r="B148" s="27"/>
      <c r="C148" s="27"/>
      <c r="D148" s="27"/>
      <c r="E148" s="27"/>
      <c r="J148" s="29"/>
    </row>
    <row r="149" ht="15.75" customHeight="1">
      <c r="A149" s="27"/>
      <c r="B149" s="27"/>
      <c r="C149" s="27"/>
      <c r="D149" s="27"/>
      <c r="E149" s="27"/>
      <c r="J149" s="29"/>
    </row>
    <row r="150" ht="15.75" customHeight="1">
      <c r="A150" s="27"/>
      <c r="B150" s="27"/>
      <c r="C150" s="27"/>
      <c r="D150" s="27"/>
      <c r="E150" s="27"/>
      <c r="J150" s="29"/>
    </row>
    <row r="151" ht="15.75" customHeight="1">
      <c r="A151" s="27"/>
      <c r="B151" s="27"/>
      <c r="C151" s="27"/>
      <c r="D151" s="27"/>
      <c r="E151" s="27"/>
      <c r="J151" s="29"/>
    </row>
    <row r="152" ht="15.75" customHeight="1">
      <c r="A152" s="27"/>
      <c r="B152" s="27"/>
      <c r="C152" s="27"/>
      <c r="D152" s="27"/>
      <c r="E152" s="27"/>
      <c r="J152" s="29"/>
    </row>
    <row r="153" ht="15.75" customHeight="1">
      <c r="A153" s="27"/>
      <c r="B153" s="27"/>
      <c r="C153" s="27"/>
      <c r="D153" s="27"/>
      <c r="E153" s="27"/>
      <c r="J153" s="29"/>
    </row>
    <row r="154" ht="15.75" customHeight="1">
      <c r="A154" s="27"/>
      <c r="B154" s="27"/>
      <c r="C154" s="27"/>
      <c r="D154" s="27"/>
      <c r="E154" s="27"/>
      <c r="J154" s="29"/>
    </row>
    <row r="155" ht="15.75" customHeight="1">
      <c r="A155" s="27"/>
      <c r="B155" s="27"/>
      <c r="C155" s="27"/>
      <c r="D155" s="27"/>
      <c r="E155" s="27"/>
      <c r="J155" s="29"/>
    </row>
    <row r="156" ht="15.75" customHeight="1">
      <c r="A156" s="27"/>
      <c r="B156" s="27"/>
      <c r="C156" s="27"/>
      <c r="D156" s="27"/>
      <c r="E156" s="27"/>
      <c r="J156" s="29"/>
    </row>
    <row r="157" ht="15.75" customHeight="1">
      <c r="A157" s="27"/>
      <c r="B157" s="27"/>
      <c r="C157" s="27"/>
      <c r="D157" s="27"/>
      <c r="E157" s="27"/>
      <c r="J157" s="29"/>
    </row>
    <row r="158" ht="15.75" customHeight="1">
      <c r="A158" s="27"/>
      <c r="B158" s="27"/>
      <c r="C158" s="27"/>
      <c r="D158" s="27"/>
      <c r="E158" s="27"/>
      <c r="J158" s="29"/>
    </row>
    <row r="159" ht="15.75" customHeight="1">
      <c r="A159" s="27"/>
      <c r="B159" s="27"/>
      <c r="C159" s="27"/>
      <c r="D159" s="27"/>
      <c r="E159" s="27"/>
      <c r="J159" s="29"/>
    </row>
    <row r="160" ht="15.75" customHeight="1">
      <c r="A160" s="27"/>
      <c r="B160" s="27"/>
      <c r="C160" s="27"/>
      <c r="D160" s="27"/>
      <c r="E160" s="27"/>
      <c r="J160" s="29"/>
    </row>
    <row r="161" ht="15.75" customHeight="1">
      <c r="A161" s="27"/>
      <c r="B161" s="27"/>
      <c r="C161" s="27"/>
      <c r="D161" s="27"/>
      <c r="E161" s="27"/>
      <c r="J161" s="29"/>
    </row>
    <row r="162" ht="15.75" customHeight="1">
      <c r="A162" s="27"/>
      <c r="B162" s="27"/>
      <c r="C162" s="27"/>
      <c r="D162" s="27"/>
      <c r="E162" s="27"/>
      <c r="J162" s="29"/>
    </row>
    <row r="163" ht="15.75" customHeight="1">
      <c r="A163" s="27"/>
      <c r="B163" s="27"/>
      <c r="C163" s="27"/>
      <c r="D163" s="27"/>
      <c r="E163" s="27"/>
      <c r="J163" s="29"/>
    </row>
    <row r="164" ht="15.75" customHeight="1">
      <c r="A164" s="27"/>
      <c r="B164" s="27"/>
      <c r="C164" s="27"/>
      <c r="D164" s="27"/>
      <c r="E164" s="27"/>
      <c r="J164" s="29"/>
    </row>
    <row r="165" ht="15.75" customHeight="1">
      <c r="A165" s="27"/>
      <c r="B165" s="27"/>
      <c r="C165" s="27"/>
      <c r="D165" s="27"/>
      <c r="E165" s="27"/>
      <c r="J165" s="29"/>
    </row>
    <row r="166" ht="15.75" customHeight="1">
      <c r="A166" s="27"/>
      <c r="B166" s="27"/>
      <c r="C166" s="27"/>
      <c r="D166" s="27"/>
      <c r="E166" s="27"/>
      <c r="J166" s="29"/>
    </row>
    <row r="167" ht="15.75" customHeight="1">
      <c r="A167" s="27"/>
      <c r="B167" s="27"/>
      <c r="C167" s="27"/>
      <c r="D167" s="27"/>
      <c r="E167" s="27"/>
      <c r="J167" s="29"/>
    </row>
    <row r="168" ht="15.75" customHeight="1">
      <c r="A168" s="27"/>
      <c r="B168" s="27"/>
      <c r="C168" s="27"/>
      <c r="D168" s="27"/>
      <c r="E168" s="27"/>
      <c r="J168" s="29"/>
    </row>
    <row r="169" ht="15.75" customHeight="1">
      <c r="A169" s="27"/>
      <c r="B169" s="27"/>
      <c r="C169" s="27"/>
      <c r="D169" s="27"/>
      <c r="E169" s="27"/>
      <c r="J169" s="29"/>
    </row>
    <row r="170" ht="15.75" customHeight="1">
      <c r="A170" s="27"/>
      <c r="B170" s="27"/>
      <c r="C170" s="27"/>
      <c r="D170" s="27"/>
      <c r="E170" s="27"/>
      <c r="J170" s="29"/>
    </row>
    <row r="171" ht="15.75" customHeight="1">
      <c r="A171" s="27"/>
      <c r="B171" s="27"/>
      <c r="C171" s="27"/>
      <c r="D171" s="27"/>
      <c r="E171" s="27"/>
      <c r="J171" s="29"/>
    </row>
    <row r="172" ht="15.75" customHeight="1">
      <c r="A172" s="27"/>
      <c r="B172" s="27"/>
      <c r="C172" s="27"/>
      <c r="D172" s="27"/>
      <c r="E172" s="27"/>
      <c r="J172" s="29"/>
    </row>
    <row r="173" ht="15.75" customHeight="1">
      <c r="A173" s="27"/>
      <c r="B173" s="27"/>
      <c r="C173" s="27"/>
      <c r="D173" s="27"/>
      <c r="E173" s="27"/>
      <c r="J173" s="29"/>
    </row>
    <row r="174" ht="15.75" customHeight="1">
      <c r="A174" s="27"/>
      <c r="B174" s="27"/>
      <c r="C174" s="27"/>
      <c r="D174" s="27"/>
      <c r="E174" s="27"/>
      <c r="J174" s="29"/>
    </row>
    <row r="175" ht="15.75" customHeight="1">
      <c r="A175" s="27"/>
      <c r="B175" s="27"/>
      <c r="C175" s="27"/>
      <c r="D175" s="27"/>
      <c r="E175" s="27"/>
      <c r="J175" s="29"/>
    </row>
    <row r="176" ht="15.75" customHeight="1">
      <c r="A176" s="27"/>
      <c r="B176" s="27"/>
      <c r="C176" s="27"/>
      <c r="D176" s="27"/>
      <c r="E176" s="27"/>
      <c r="J176" s="29"/>
    </row>
    <row r="177" ht="15.75" customHeight="1">
      <c r="A177" s="27"/>
      <c r="B177" s="27"/>
      <c r="C177" s="27"/>
      <c r="D177" s="27"/>
      <c r="E177" s="27"/>
      <c r="J177" s="29"/>
    </row>
    <row r="178" ht="15.75" customHeight="1">
      <c r="A178" s="27"/>
      <c r="B178" s="27"/>
      <c r="C178" s="27"/>
      <c r="D178" s="27"/>
      <c r="E178" s="27"/>
      <c r="J178" s="29"/>
    </row>
    <row r="179" ht="15.75" customHeight="1">
      <c r="A179" s="27"/>
      <c r="B179" s="27"/>
      <c r="C179" s="27"/>
      <c r="D179" s="27"/>
      <c r="E179" s="27"/>
      <c r="J179" s="29"/>
    </row>
    <row r="180" ht="15.75" customHeight="1">
      <c r="A180" s="27"/>
      <c r="B180" s="27"/>
      <c r="C180" s="27"/>
      <c r="D180" s="27"/>
      <c r="E180" s="27"/>
      <c r="J180" s="29"/>
    </row>
    <row r="181" ht="15.75" customHeight="1">
      <c r="A181" s="27"/>
      <c r="B181" s="27"/>
      <c r="C181" s="27"/>
      <c r="D181" s="27"/>
      <c r="E181" s="27"/>
      <c r="J181" s="29"/>
    </row>
    <row r="182" ht="15.75" customHeight="1">
      <c r="A182" s="27"/>
      <c r="B182" s="27"/>
      <c r="C182" s="27"/>
      <c r="D182" s="27"/>
      <c r="E182" s="27"/>
      <c r="J182" s="29"/>
    </row>
    <row r="183" ht="15.75" customHeight="1">
      <c r="A183" s="27"/>
      <c r="B183" s="27"/>
      <c r="C183" s="27"/>
      <c r="D183" s="27"/>
      <c r="E183" s="27"/>
      <c r="J183" s="29"/>
    </row>
    <row r="184" ht="15.75" customHeight="1">
      <c r="A184" s="27"/>
      <c r="B184" s="27"/>
      <c r="C184" s="27"/>
      <c r="D184" s="27"/>
      <c r="E184" s="27"/>
      <c r="J184" s="29"/>
    </row>
    <row r="185" ht="15.75" customHeight="1">
      <c r="A185" s="27"/>
      <c r="B185" s="27"/>
      <c r="C185" s="27"/>
      <c r="D185" s="27"/>
      <c r="E185" s="27"/>
      <c r="J185" s="29"/>
    </row>
    <row r="186" ht="15.75" customHeight="1">
      <c r="A186" s="27"/>
      <c r="B186" s="27"/>
      <c r="C186" s="27"/>
      <c r="D186" s="27"/>
      <c r="E186" s="27"/>
      <c r="J186" s="29"/>
    </row>
    <row r="187" ht="15.75" customHeight="1">
      <c r="A187" s="27"/>
      <c r="B187" s="27"/>
      <c r="C187" s="27"/>
      <c r="D187" s="27"/>
      <c r="E187" s="27"/>
      <c r="J187" s="29"/>
    </row>
    <row r="188" ht="15.75" customHeight="1">
      <c r="A188" s="27"/>
      <c r="B188" s="27"/>
      <c r="C188" s="27"/>
      <c r="D188" s="27"/>
      <c r="E188" s="27"/>
      <c r="J188" s="29"/>
    </row>
    <row r="189" ht="15.75" customHeight="1">
      <c r="A189" s="27"/>
      <c r="B189" s="27"/>
      <c r="C189" s="27"/>
      <c r="D189" s="27"/>
      <c r="E189" s="27"/>
      <c r="J189" s="29"/>
    </row>
    <row r="190" ht="15.75" customHeight="1">
      <c r="A190" s="27"/>
      <c r="B190" s="27"/>
      <c r="C190" s="27"/>
      <c r="D190" s="27"/>
      <c r="E190" s="27"/>
      <c r="J190" s="29"/>
    </row>
    <row r="191" ht="15.75" customHeight="1">
      <c r="A191" s="27"/>
      <c r="B191" s="27"/>
      <c r="C191" s="27"/>
      <c r="D191" s="27"/>
      <c r="E191" s="27"/>
      <c r="J191" s="29"/>
    </row>
    <row r="192" ht="15.75" customHeight="1">
      <c r="A192" s="27"/>
      <c r="B192" s="27"/>
      <c r="C192" s="27"/>
      <c r="D192" s="27"/>
      <c r="E192" s="27"/>
      <c r="J192" s="29"/>
    </row>
    <row r="193" ht="15.75" customHeight="1">
      <c r="A193" s="27"/>
      <c r="B193" s="27"/>
      <c r="C193" s="27"/>
      <c r="D193" s="27"/>
      <c r="E193" s="27"/>
      <c r="J193" s="29"/>
    </row>
    <row r="194" ht="15.75" customHeight="1">
      <c r="A194" s="27"/>
      <c r="B194" s="27"/>
      <c r="C194" s="27"/>
      <c r="D194" s="27"/>
      <c r="E194" s="27"/>
      <c r="J194" s="29"/>
    </row>
    <row r="195" ht="15.75" customHeight="1">
      <c r="A195" s="27"/>
      <c r="B195" s="27"/>
      <c r="C195" s="27"/>
      <c r="D195" s="27"/>
      <c r="E195" s="27"/>
      <c r="J195" s="29"/>
    </row>
    <row r="196" ht="15.75" customHeight="1">
      <c r="A196" s="27"/>
      <c r="B196" s="27"/>
      <c r="C196" s="27"/>
      <c r="D196" s="27"/>
      <c r="E196" s="27"/>
      <c r="J196" s="29"/>
    </row>
    <row r="197" ht="15.75" customHeight="1">
      <c r="A197" s="27"/>
      <c r="B197" s="27"/>
      <c r="C197" s="27"/>
      <c r="D197" s="27"/>
      <c r="E197" s="27"/>
      <c r="J197" s="29"/>
    </row>
    <row r="198" ht="15.75" customHeight="1">
      <c r="A198" s="27"/>
      <c r="B198" s="27"/>
      <c r="C198" s="27"/>
      <c r="D198" s="27"/>
      <c r="E198" s="27"/>
      <c r="J198" s="29"/>
    </row>
    <row r="199" ht="15.75" customHeight="1">
      <c r="A199" s="27"/>
      <c r="B199" s="27"/>
      <c r="C199" s="27"/>
      <c r="D199" s="27"/>
      <c r="E199" s="27"/>
      <c r="J199" s="29"/>
    </row>
    <row r="200" ht="15.75" customHeight="1">
      <c r="A200" s="27"/>
      <c r="B200" s="27"/>
      <c r="C200" s="27"/>
      <c r="D200" s="27"/>
      <c r="E200" s="27"/>
      <c r="J200" s="29"/>
    </row>
    <row r="201" ht="15.75" customHeight="1">
      <c r="A201" s="27"/>
      <c r="B201" s="27"/>
      <c r="C201" s="27"/>
      <c r="D201" s="27"/>
      <c r="E201" s="27"/>
      <c r="J201" s="29"/>
    </row>
    <row r="202" ht="15.75" customHeight="1">
      <c r="A202" s="27"/>
      <c r="B202" s="27"/>
      <c r="C202" s="27"/>
      <c r="D202" s="27"/>
      <c r="E202" s="27"/>
      <c r="J202" s="29"/>
    </row>
    <row r="203" ht="15.75" customHeight="1">
      <c r="A203" s="27"/>
      <c r="B203" s="27"/>
      <c r="C203" s="27"/>
      <c r="D203" s="27"/>
      <c r="E203" s="27"/>
      <c r="J203" s="29"/>
    </row>
    <row r="204" ht="15.75" customHeight="1">
      <c r="A204" s="27"/>
      <c r="B204" s="27"/>
      <c r="C204" s="27"/>
      <c r="D204" s="27"/>
      <c r="E204" s="27"/>
      <c r="J204" s="29"/>
    </row>
    <row r="205" ht="15.75" customHeight="1">
      <c r="A205" s="27"/>
      <c r="B205" s="27"/>
      <c r="C205" s="27"/>
      <c r="D205" s="27"/>
      <c r="E205" s="27"/>
      <c r="J205" s="29"/>
    </row>
    <row r="206" ht="15.75" customHeight="1">
      <c r="A206" s="27"/>
      <c r="B206" s="27"/>
      <c r="C206" s="27"/>
      <c r="D206" s="27"/>
      <c r="E206" s="27"/>
      <c r="J206" s="29"/>
    </row>
    <row r="207" ht="15.75" customHeight="1">
      <c r="A207" s="27"/>
      <c r="B207" s="27"/>
      <c r="C207" s="27"/>
      <c r="D207" s="27"/>
      <c r="E207" s="27"/>
      <c r="J207" s="29"/>
    </row>
    <row r="208" ht="15.75" customHeight="1">
      <c r="A208" s="27"/>
      <c r="B208" s="27"/>
      <c r="C208" s="27"/>
      <c r="D208" s="27"/>
      <c r="E208" s="27"/>
      <c r="J208" s="29"/>
    </row>
    <row r="209" ht="15.75" customHeight="1">
      <c r="A209" s="27"/>
      <c r="B209" s="27"/>
      <c r="C209" s="27"/>
      <c r="D209" s="27"/>
      <c r="E209" s="27"/>
      <c r="J209" s="29"/>
    </row>
    <row r="210" ht="15.75" customHeight="1">
      <c r="A210" s="27"/>
      <c r="B210" s="27"/>
      <c r="C210" s="27"/>
      <c r="D210" s="27"/>
      <c r="E210" s="27"/>
      <c r="J210" s="29"/>
    </row>
    <row r="211" ht="15.75" customHeight="1">
      <c r="A211" s="27"/>
      <c r="B211" s="27"/>
      <c r="C211" s="27"/>
      <c r="D211" s="27"/>
      <c r="E211" s="27"/>
      <c r="J211" s="29"/>
    </row>
    <row r="212" ht="15.75" customHeight="1">
      <c r="A212" s="27"/>
      <c r="B212" s="27"/>
      <c r="C212" s="27"/>
      <c r="D212" s="27"/>
      <c r="E212" s="27"/>
      <c r="J212" s="29"/>
    </row>
    <row r="213" ht="15.75" customHeight="1">
      <c r="A213" s="27"/>
      <c r="B213" s="27"/>
      <c r="C213" s="27"/>
      <c r="D213" s="27"/>
      <c r="E213" s="27"/>
      <c r="J213" s="29"/>
    </row>
    <row r="214" ht="15.75" customHeight="1">
      <c r="A214" s="27"/>
      <c r="B214" s="27"/>
      <c r="C214" s="27"/>
      <c r="D214" s="27"/>
      <c r="E214" s="27"/>
      <c r="J214" s="29"/>
    </row>
    <row r="215" ht="15.75" customHeight="1">
      <c r="A215" s="27"/>
      <c r="B215" s="27"/>
      <c r="C215" s="27"/>
      <c r="D215" s="27"/>
      <c r="E215" s="27"/>
      <c r="J215" s="29"/>
    </row>
    <row r="216" ht="15.75" customHeight="1">
      <c r="A216" s="27"/>
      <c r="B216" s="27"/>
      <c r="C216" s="27"/>
      <c r="D216" s="27"/>
      <c r="E216" s="27"/>
      <c r="J216" s="29"/>
    </row>
    <row r="217" ht="15.75" customHeight="1">
      <c r="A217" s="27"/>
      <c r="B217" s="27"/>
      <c r="C217" s="27"/>
      <c r="D217" s="27"/>
      <c r="E217" s="27"/>
      <c r="J217" s="29"/>
    </row>
    <row r="218" ht="15.75" customHeight="1">
      <c r="A218" s="27"/>
      <c r="B218" s="27"/>
      <c r="C218" s="27"/>
      <c r="D218" s="27"/>
      <c r="E218" s="27"/>
      <c r="J218" s="29"/>
    </row>
    <row r="219" ht="15.75" customHeight="1">
      <c r="A219" s="27"/>
      <c r="B219" s="27"/>
      <c r="C219" s="27"/>
      <c r="D219" s="27"/>
      <c r="E219" s="27"/>
      <c r="J219" s="29"/>
    </row>
    <row r="220" ht="15.75" customHeight="1">
      <c r="J220" s="29"/>
    </row>
    <row r="221" ht="15.75" customHeight="1">
      <c r="J221" s="29"/>
    </row>
    <row r="222" ht="15.75" customHeight="1">
      <c r="J222" s="29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14">
    <mergeCell ref="D26:D46"/>
    <mergeCell ref="E26:E46"/>
    <mergeCell ref="J26:J46"/>
    <mergeCell ref="D47:D67"/>
    <mergeCell ref="E47:E67"/>
    <mergeCell ref="J47:J67"/>
    <mergeCell ref="D68:I68"/>
    <mergeCell ref="A1:B1"/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