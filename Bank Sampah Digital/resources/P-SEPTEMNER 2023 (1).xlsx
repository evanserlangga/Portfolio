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" sheetId="1" r:id="rId4"/>
    <sheet state="visible" name="Kepuh " sheetId="2" r:id="rId5"/>
    <sheet state="visible" name="Pakojan" sheetId="3" r:id="rId6"/>
    <sheet state="visible" name="cempaka" sheetId="4" r:id="rId7"/>
    <sheet state="visible" name="adi Gunawan personal anyer" sheetId="5" r:id="rId8"/>
    <sheet state="visible" name="Anyer RT 3" sheetId="6" r:id="rId9"/>
    <sheet state="visible" name="anyer RT 1" sheetId="7" r:id="rId10"/>
  </sheets>
  <definedNames/>
  <calcPr/>
  <extLst>
    <ext uri="GoogleSheetsCustomDataVersion2">
      <go:sheetsCustomData xmlns:go="http://customooxmlschemas.google.com/" r:id="rId11" roundtripDataChecksum="I2dCBV+o4s2B+CjOVe7XMCkSoPL2Us49xN1wL4DFEow="/>
    </ext>
  </extLst>
</workbook>
</file>

<file path=xl/sharedStrings.xml><?xml version="1.0" encoding="utf-8"?>
<sst xmlns="http://schemas.openxmlformats.org/spreadsheetml/2006/main" count="1037" uniqueCount="82">
  <si>
    <t>No</t>
  </si>
  <si>
    <t>Nama Barang</t>
  </si>
  <si>
    <t>KG</t>
  </si>
  <si>
    <t>TOTAL KATEGORI SAMPAH TERANGKUT</t>
  </si>
  <si>
    <t>RT 01</t>
  </si>
  <si>
    <t>RT 03</t>
  </si>
  <si>
    <t>CEMPAKA</t>
  </si>
  <si>
    <t>PAKOJAN</t>
  </si>
  <si>
    <t>KEPUH</t>
  </si>
  <si>
    <t>Personal</t>
  </si>
  <si>
    <t>Plastik</t>
  </si>
  <si>
    <t>Kertas</t>
  </si>
  <si>
    <t>Beling</t>
  </si>
  <si>
    <t>Logam</t>
  </si>
  <si>
    <t>Minyak Jelantah</t>
  </si>
  <si>
    <t>Multilayer</t>
  </si>
  <si>
    <t>Gelas bersih</t>
  </si>
  <si>
    <t>Botol bersih putih</t>
  </si>
  <si>
    <t>Botol Warna</t>
  </si>
  <si>
    <t>Tutup botol</t>
  </si>
  <si>
    <t>Tutup galon</t>
  </si>
  <si>
    <t>Hitam</t>
  </si>
  <si>
    <t>Plastik campur</t>
  </si>
  <si>
    <t>Kardus</t>
  </si>
  <si>
    <t>Kertas Putihan/ HVS</t>
  </si>
  <si>
    <t>Koran/Buku</t>
  </si>
  <si>
    <t>Duplex</t>
  </si>
  <si>
    <t>Alumunium</t>
  </si>
  <si>
    <t>Besi</t>
  </si>
  <si>
    <t>Kaleng kue/susu</t>
  </si>
  <si>
    <t>Kaleng Minuman</t>
  </si>
  <si>
    <t>Stanless</t>
  </si>
  <si>
    <t>Tembaga</t>
  </si>
  <si>
    <t>Aki Motor</t>
  </si>
  <si>
    <t>Paralon</t>
  </si>
  <si>
    <t>Plastik bening</t>
  </si>
  <si>
    <t>Plastik Warna</t>
  </si>
  <si>
    <t>Selang</t>
  </si>
  <si>
    <t>10,5</t>
  </si>
  <si>
    <t>Pecahan</t>
  </si>
  <si>
    <t>Paku</t>
  </si>
  <si>
    <t>DAFTAR HARGA</t>
  </si>
  <si>
    <t>Data Penimbangan Bulan  2023</t>
  </si>
  <si>
    <t>Rekap Barang</t>
  </si>
  <si>
    <t>JENIS SAMPAH</t>
  </si>
  <si>
    <t>HARGA</t>
  </si>
  <si>
    <t xml:space="preserve">Nama Titik </t>
  </si>
  <si>
    <t xml:space="preserve">Jumlah Nasabah </t>
  </si>
  <si>
    <t>Nama Nasabah</t>
  </si>
  <si>
    <t>Jenis Sampah</t>
  </si>
  <si>
    <t>Jumlah</t>
  </si>
  <si>
    <t>Harga</t>
  </si>
  <si>
    <t>Jumlah Total</t>
  </si>
  <si>
    <t>Jumlah Saldo</t>
  </si>
  <si>
    <t>Jenis sampah</t>
  </si>
  <si>
    <t>Botol bersih</t>
  </si>
  <si>
    <t>Samiyah</t>
  </si>
  <si>
    <t>Botol warna</t>
  </si>
  <si>
    <t>Lainnya</t>
  </si>
  <si>
    <t>Nurul Komariyah</t>
  </si>
  <si>
    <t>Total Transaksi</t>
  </si>
  <si>
    <t>Suhartini</t>
  </si>
  <si>
    <t>Ratu Ulfi</t>
  </si>
  <si>
    <t>subandiah</t>
  </si>
  <si>
    <t>tuftiah</t>
  </si>
  <si>
    <t>turini</t>
  </si>
  <si>
    <t>nunung</t>
  </si>
  <si>
    <t>multi layer</t>
  </si>
  <si>
    <t>eha julehah</t>
  </si>
  <si>
    <t>adi gunawan</t>
  </si>
  <si>
    <t>Hadijah</t>
  </si>
  <si>
    <t>Asmawati</t>
  </si>
  <si>
    <t>Imam Hambali</t>
  </si>
  <si>
    <t>Sutilah</t>
  </si>
  <si>
    <t>Hikmatur Rochman</t>
  </si>
  <si>
    <t>bayinah</t>
  </si>
  <si>
    <t>multilayer</t>
  </si>
  <si>
    <t>bu ayi nurhayati</t>
  </si>
  <si>
    <t>Ai rohaeti</t>
  </si>
  <si>
    <t>iin sriroyanti</t>
  </si>
  <si>
    <t>1,5.</t>
  </si>
  <si>
    <t>Wati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</si>
</sst>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&quot;Times New Roman&quot;"/>
    </font>
    <font>
      <color theme="1"/>
      <name val="Arial"/>
      <scheme val="minor"/>
    </font>
    <font/>
    <font>
      <sz val="11.0"/>
      <color theme="1"/>
      <name val="&quot;Times New Roman&quot;"/>
    </font>
    <font>
      <sz val="12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sz val="14.0"/>
      <color theme="1"/>
      <name val="Arial"/>
    </font>
    <font>
      <b/>
      <sz val="12.0"/>
      <color theme="1"/>
      <name val="Times New Roman"/>
    </font>
    <font>
      <b/>
      <sz val="10.0"/>
      <color theme="1"/>
      <name val="Times New Roman"/>
    </font>
    <font>
      <b/>
      <sz val="12.0"/>
      <color rgb="FF000000"/>
      <name val="Arial"/>
    </font>
    <font>
      <sz val="12.0"/>
      <color rgb="FF000000"/>
      <name val="Arial"/>
    </font>
    <font>
      <sz val="10.0"/>
      <color rgb="FF000000"/>
      <name val="Arial"/>
    </font>
    <font>
      <b/>
      <sz val="11.0"/>
      <color theme="1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3C78D8"/>
        <bgColor rgb="FF3C78D8"/>
      </patternFill>
    </fill>
    <fill>
      <patternFill patternType="solid">
        <fgColor rgb="FFFF0000"/>
        <bgColor rgb="FFFF0000"/>
      </patternFill>
    </fill>
  </fills>
  <borders count="17">
    <border/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shrinkToFit="0" vertical="bottom" wrapText="1"/>
    </xf>
    <xf borderId="2" fillId="2" fontId="2" numFmtId="0" xfId="0" applyAlignment="1" applyBorder="1" applyFont="1">
      <alignment horizontal="center" shrinkToFit="0" vertical="bottom" wrapText="1"/>
    </xf>
    <xf borderId="3" fillId="2" fontId="3" numFmtId="0" xfId="0" applyBorder="1" applyFont="1"/>
    <xf borderId="3" fillId="0" fontId="4" numFmtId="0" xfId="0" applyBorder="1" applyFont="1"/>
    <xf borderId="4" fillId="0" fontId="4" numFmtId="0" xfId="0" applyBorder="1" applyFont="1"/>
    <xf borderId="4" fillId="2" fontId="3" numFmtId="0" xfId="0" applyBorder="1" applyFont="1"/>
    <xf borderId="2" fillId="0" fontId="1" numFmtId="0" xfId="0" applyAlignment="1" applyBorder="1" applyFont="1">
      <alignment vertical="bottom"/>
    </xf>
    <xf borderId="3" fillId="2" fontId="2" numFmtId="0" xfId="0" applyAlignment="1" applyBorder="1" applyFont="1">
      <alignment horizontal="center" shrinkToFit="0" vertical="bottom" wrapText="1"/>
    </xf>
    <xf borderId="5" fillId="0" fontId="4" numFmtId="0" xfId="0" applyBorder="1" applyFont="1"/>
    <xf borderId="4" fillId="2" fontId="5" numFmtId="0" xfId="0" applyAlignment="1" applyBorder="1" applyFont="1">
      <alignment horizontal="center" shrinkToFit="0" vertical="bottom" wrapText="1"/>
    </xf>
    <xf borderId="4" fillId="2" fontId="5" numFmtId="0" xfId="0" applyAlignment="1" applyBorder="1" applyFont="1">
      <alignment horizontal="center" readingOrder="0" shrinkToFit="0" vertical="bottom" wrapText="1"/>
    </xf>
    <xf borderId="4" fillId="0" fontId="2" numFmtId="0" xfId="0" applyAlignment="1" applyBorder="1" applyFont="1">
      <alignment horizontal="center" shrinkToFit="0" vertical="bottom" wrapText="1"/>
    </xf>
    <xf borderId="5" fillId="0" fontId="5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shrinkToFit="0" vertical="bottom" wrapText="1"/>
    </xf>
    <xf borderId="4" fillId="0" fontId="6" numFmtId="0" xfId="0" applyAlignment="1" applyBorder="1" applyFont="1">
      <alignment horizontal="center" readingOrder="0" shrinkToFit="0" vertical="bottom" wrapText="1"/>
    </xf>
    <xf borderId="4" fillId="0" fontId="6" numFmtId="0" xfId="0" applyAlignment="1" applyBorder="1" applyFont="1">
      <alignment horizontal="center" readingOrder="0" vertical="bottom"/>
    </xf>
    <xf borderId="4" fillId="3" fontId="2" numFmtId="0" xfId="0" applyAlignment="1" applyBorder="1" applyFill="1" applyFont="1">
      <alignment horizontal="center" shrinkToFit="0" vertical="bottom" wrapText="1"/>
    </xf>
    <xf borderId="4" fillId="0" fontId="5" numFmtId="0" xfId="0" applyAlignment="1" applyBorder="1" applyFont="1">
      <alignment horizontal="center" shrinkToFit="0" vertical="bottom" wrapText="1"/>
    </xf>
    <xf borderId="0" fillId="3" fontId="1" numFmtId="0" xfId="0" applyAlignment="1" applyFont="1">
      <alignment vertical="bottom"/>
    </xf>
    <xf borderId="6" fillId="4" fontId="7" numFmtId="0" xfId="0" applyAlignment="1" applyBorder="1" applyFill="1" applyFont="1">
      <alignment vertical="center"/>
    </xf>
    <xf borderId="0" fillId="0" fontId="8" numFmtId="0" xfId="0" applyAlignment="1" applyFont="1">
      <alignment vertical="center"/>
    </xf>
    <xf borderId="0" fillId="0" fontId="8" numFmtId="0" xfId="0" applyFont="1"/>
    <xf borderId="0" fillId="0" fontId="8" numFmtId="3" xfId="0" applyFont="1" applyNumberFormat="1"/>
    <xf borderId="7" fillId="5" fontId="9" numFmtId="0" xfId="0" applyAlignment="1" applyBorder="1" applyFill="1" applyFont="1">
      <alignment horizontal="center"/>
    </xf>
    <xf borderId="8" fillId="0" fontId="4" numFmtId="0" xfId="0" applyBorder="1" applyFont="1"/>
    <xf borderId="0" fillId="0" fontId="9" numFmtId="0" xfId="0" applyAlignment="1" applyFont="1">
      <alignment horizontal="center" vertical="center"/>
    </xf>
    <xf borderId="9" fillId="0" fontId="10" numFmtId="0" xfId="0" applyAlignment="1" applyBorder="1" applyFont="1">
      <alignment horizontal="center" vertical="center"/>
    </xf>
    <xf borderId="10" fillId="0" fontId="4" numFmtId="0" xfId="0" applyBorder="1" applyFont="1"/>
    <xf borderId="11" fillId="5" fontId="9" numFmtId="0" xfId="0" applyAlignment="1" applyBorder="1" applyFont="1">
      <alignment horizontal="center"/>
    </xf>
    <xf borderId="11" fillId="5" fontId="9" numFmtId="3" xfId="0" applyAlignment="1" applyBorder="1" applyFont="1" applyNumberFormat="1">
      <alignment horizontal="center"/>
    </xf>
    <xf borderId="6" fillId="6" fontId="8" numFmtId="0" xfId="0" applyAlignment="1" applyBorder="1" applyFill="1" applyFont="1">
      <alignment vertical="center"/>
    </xf>
    <xf borderId="6" fillId="6" fontId="11" numFmtId="0" xfId="0" applyAlignment="1" applyBorder="1" applyFont="1">
      <alignment vertical="center"/>
    </xf>
    <xf borderId="6" fillId="6" fontId="7" numFmtId="0" xfId="0" applyBorder="1" applyFont="1"/>
    <xf borderId="6" fillId="6" fontId="11" numFmtId="0" xfId="0" applyAlignment="1" applyBorder="1" applyFont="1">
      <alignment horizontal="center"/>
    </xf>
    <xf borderId="6" fillId="6" fontId="8" numFmtId="0" xfId="0" applyBorder="1" applyFont="1"/>
    <xf borderId="6" fillId="6" fontId="11" numFmtId="3" xfId="0" applyAlignment="1" applyBorder="1" applyFont="1" applyNumberFormat="1">
      <alignment vertical="center"/>
    </xf>
    <xf borderId="12" fillId="0" fontId="4" numFmtId="0" xfId="0" applyBorder="1" applyFont="1"/>
    <xf borderId="11" fillId="7" fontId="12" numFmtId="0" xfId="0" applyBorder="1" applyFill="1" applyFont="1"/>
    <xf borderId="11" fillId="4" fontId="13" numFmtId="3" xfId="0" applyAlignment="1" applyBorder="1" applyFont="1" applyNumberFormat="1">
      <alignment horizontal="center"/>
    </xf>
    <xf borderId="0" fillId="0" fontId="14" numFmtId="0" xfId="0" applyAlignment="1" applyFont="1">
      <alignment horizontal="center" vertical="center"/>
    </xf>
    <xf borderId="11" fillId="0" fontId="14" numFmtId="0" xfId="0" applyAlignment="1" applyBorder="1" applyFont="1">
      <alignment horizontal="center" vertical="center"/>
    </xf>
    <xf borderId="5" fillId="0" fontId="14" numFmtId="0" xfId="0" applyAlignment="1" applyBorder="1" applyFont="1">
      <alignment horizontal="center" vertical="center"/>
    </xf>
    <xf borderId="5" fillId="0" fontId="14" numFmtId="0" xfId="0" applyBorder="1" applyFont="1"/>
    <xf borderId="11" fillId="0" fontId="14" numFmtId="0" xfId="0" applyAlignment="1" applyBorder="1" applyFont="1">
      <alignment horizontal="center"/>
    </xf>
    <xf borderId="11" fillId="0" fontId="14" numFmtId="3" xfId="0" applyAlignment="1" applyBorder="1" applyFont="1" applyNumberFormat="1">
      <alignment horizontal="center" vertical="center"/>
    </xf>
    <xf borderId="11" fillId="0" fontId="6" numFmtId="0" xfId="0" applyAlignment="1" applyBorder="1" applyFont="1">
      <alignment horizontal="center"/>
    </xf>
    <xf borderId="0" fillId="0" fontId="15" numFmtId="0" xfId="0" applyAlignment="1" applyFont="1">
      <alignment horizontal="center" vertical="center"/>
    </xf>
    <xf borderId="13" fillId="0" fontId="15" numFmtId="0" xfId="0" applyAlignment="1" applyBorder="1" applyFont="1">
      <alignment horizontal="center" vertical="center"/>
    </xf>
    <xf borderId="13" fillId="0" fontId="8" numFmtId="0" xfId="0" applyAlignment="1" applyBorder="1" applyFont="1">
      <alignment horizontal="center" vertical="center"/>
    </xf>
    <xf borderId="11" fillId="0" fontId="15" numFmtId="0" xfId="0" applyBorder="1" applyFont="1"/>
    <xf borderId="11" fillId="0" fontId="8" numFmtId="0" xfId="0" applyAlignment="1" applyBorder="1" applyFont="1">
      <alignment horizontal="center"/>
    </xf>
    <xf borderId="0" fillId="0" fontId="8" numFmtId="3" xfId="0" applyAlignment="1" applyFont="1" applyNumberFormat="1">
      <alignment horizontal="center"/>
    </xf>
    <xf borderId="11" fillId="0" fontId="15" numFmtId="0" xfId="0" applyAlignment="1" applyBorder="1" applyFont="1">
      <alignment horizontal="center"/>
    </xf>
    <xf borderId="13" fillId="0" fontId="16" numFmtId="3" xfId="0" applyAlignment="1" applyBorder="1" applyFont="1" applyNumberFormat="1">
      <alignment horizontal="center" vertical="center"/>
    </xf>
    <xf borderId="1" fillId="0" fontId="4" numFmtId="0" xfId="0" applyBorder="1" applyFont="1"/>
    <xf borderId="11" fillId="0" fontId="8" numFmtId="3" xfId="0" applyAlignment="1" applyBorder="1" applyFont="1" applyNumberFormat="1">
      <alignment horizontal="center"/>
    </xf>
    <xf borderId="11" fillId="4" fontId="17" numFmtId="3" xfId="0" applyAlignment="1" applyBorder="1" applyFont="1" applyNumberFormat="1">
      <alignment horizontal="center"/>
    </xf>
    <xf borderId="14" fillId="0" fontId="15" numFmtId="0" xfId="0" applyAlignment="1" applyBorder="1" applyFont="1">
      <alignment horizontal="center" vertical="center"/>
    </xf>
    <xf borderId="15" fillId="0" fontId="4" numFmtId="0" xfId="0" applyBorder="1" applyFont="1"/>
    <xf borderId="16" fillId="0" fontId="4" numFmtId="0" xfId="0" applyBorder="1" applyFont="1"/>
    <xf borderId="11" fillId="0" fontId="16" numFmtId="3" xfId="0" applyAlignment="1" applyBorder="1" applyFont="1" applyNumberFormat="1">
      <alignment horizontal="center" vertical="center"/>
    </xf>
    <xf borderId="13" fillId="3" fontId="8" numFmtId="0" xfId="0" applyAlignment="1" applyBorder="1" applyFont="1">
      <alignment horizontal="center" vertical="center"/>
    </xf>
    <xf borderId="6" fillId="8" fontId="7" numFmtId="0" xfId="0" applyAlignment="1" applyBorder="1" applyFill="1" applyFont="1">
      <alignment vertical="center"/>
    </xf>
    <xf borderId="13" fillId="0" fontId="8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8.0"/>
    <col customWidth="1" min="3" max="3" width="20.88"/>
  </cols>
  <sheetData>
    <row r="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B3" s="2" t="s">
        <v>0</v>
      </c>
      <c r="C3" s="3" t="s">
        <v>1</v>
      </c>
      <c r="D3" s="4"/>
      <c r="E3" s="5"/>
      <c r="F3" s="5"/>
      <c r="G3" s="5"/>
      <c r="H3" s="6"/>
      <c r="I3" s="7"/>
      <c r="J3" s="3" t="s">
        <v>2</v>
      </c>
      <c r="K3" s="8"/>
      <c r="L3" s="9" t="s">
        <v>3</v>
      </c>
      <c r="M3" s="5"/>
      <c r="N3" s="5"/>
      <c r="O3" s="5"/>
      <c r="P3" s="5"/>
      <c r="Q3" s="6"/>
    </row>
    <row r="4">
      <c r="B4" s="10"/>
      <c r="C4" s="6"/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2" t="s">
        <v>9</v>
      </c>
      <c r="J4" s="6"/>
      <c r="K4" s="8"/>
      <c r="L4" s="13" t="s">
        <v>10</v>
      </c>
      <c r="M4" s="13" t="s">
        <v>11</v>
      </c>
      <c r="N4" s="13" t="s">
        <v>12</v>
      </c>
      <c r="O4" s="13" t="s">
        <v>13</v>
      </c>
      <c r="P4" s="13" t="s">
        <v>14</v>
      </c>
      <c r="Q4" s="13" t="s">
        <v>15</v>
      </c>
    </row>
    <row r="5">
      <c r="B5" s="14">
        <v>1.0</v>
      </c>
      <c r="C5" s="15" t="s">
        <v>16</v>
      </c>
      <c r="D5" s="16">
        <v>0.5</v>
      </c>
      <c r="E5" s="16">
        <v>1.5</v>
      </c>
      <c r="F5" s="17">
        <v>0.0</v>
      </c>
      <c r="G5" s="16">
        <v>0.5</v>
      </c>
      <c r="H5" s="16">
        <v>2.0</v>
      </c>
      <c r="I5" s="16">
        <v>2.0</v>
      </c>
      <c r="J5" s="18">
        <f t="shared" ref="J5:J31" si="1">SUM(D5:I5)</f>
        <v>6.5</v>
      </c>
      <c r="K5" s="8"/>
      <c r="L5" s="19">
        <f>J5+J6+J7+J8+J9+J10+J11+J23+J24+J25</f>
        <v>104.75</v>
      </c>
      <c r="M5" s="19">
        <f>J12+J13+J14+J15</f>
        <v>120.5</v>
      </c>
      <c r="N5" s="19">
        <f>J27+J28</f>
        <v>16.5</v>
      </c>
      <c r="O5" s="19">
        <f>J16+J17+J18+J19+J20+J21+J29</f>
        <v>14.5</v>
      </c>
      <c r="P5" s="19">
        <f>J30</f>
        <v>33.5</v>
      </c>
      <c r="Q5" s="19">
        <f>J31</f>
        <v>34</v>
      </c>
    </row>
    <row r="6">
      <c r="B6" s="14">
        <v>2.0</v>
      </c>
      <c r="C6" s="15" t="s">
        <v>17</v>
      </c>
      <c r="D6" s="16">
        <v>3.5</v>
      </c>
      <c r="E6" s="16">
        <v>4.5</v>
      </c>
      <c r="F6" s="17">
        <v>4.0</v>
      </c>
      <c r="G6" s="16">
        <v>0.5</v>
      </c>
      <c r="H6" s="16">
        <v>2.0</v>
      </c>
      <c r="I6" s="16">
        <v>3.5</v>
      </c>
      <c r="J6" s="18">
        <f t="shared" si="1"/>
        <v>18</v>
      </c>
      <c r="K6" s="1"/>
      <c r="L6" s="1"/>
      <c r="M6" s="1"/>
      <c r="N6" s="1"/>
      <c r="O6" s="1"/>
      <c r="P6" s="1"/>
      <c r="Q6" s="1"/>
    </row>
    <row r="7">
      <c r="B7" s="14">
        <v>3.0</v>
      </c>
      <c r="C7" s="15" t="s">
        <v>18</v>
      </c>
      <c r="D7" s="16">
        <v>0.0</v>
      </c>
      <c r="E7" s="16">
        <v>0.0</v>
      </c>
      <c r="F7" s="17">
        <v>0.0</v>
      </c>
      <c r="G7" s="16">
        <v>0.0</v>
      </c>
      <c r="H7" s="16">
        <v>0.0</v>
      </c>
      <c r="I7" s="16">
        <v>0.5</v>
      </c>
      <c r="J7" s="18">
        <f t="shared" si="1"/>
        <v>0.5</v>
      </c>
      <c r="K7" s="1"/>
      <c r="L7" s="1"/>
      <c r="M7" s="1"/>
      <c r="N7" s="1"/>
      <c r="O7" s="1"/>
      <c r="P7" s="1"/>
      <c r="Q7" s="1"/>
    </row>
    <row r="8">
      <c r="B8" s="14">
        <v>4.0</v>
      </c>
      <c r="C8" s="15" t="s">
        <v>19</v>
      </c>
      <c r="D8" s="16">
        <v>1.25</v>
      </c>
      <c r="E8" s="16">
        <v>0.5</v>
      </c>
      <c r="F8" s="17">
        <v>0.0</v>
      </c>
      <c r="G8" s="16">
        <v>0.0</v>
      </c>
      <c r="H8" s="16">
        <v>0.25</v>
      </c>
      <c r="I8" s="16">
        <v>0.5</v>
      </c>
      <c r="J8" s="18">
        <f t="shared" si="1"/>
        <v>2.5</v>
      </c>
      <c r="K8" s="1"/>
      <c r="L8" s="1"/>
      <c r="M8" s="1"/>
      <c r="N8" s="1"/>
      <c r="O8" s="1"/>
      <c r="P8" s="1"/>
      <c r="Q8" s="1"/>
    </row>
    <row r="9">
      <c r="B9" s="14">
        <v>5.0</v>
      </c>
      <c r="C9" s="15" t="s">
        <v>20</v>
      </c>
      <c r="D9" s="16">
        <v>0.0</v>
      </c>
      <c r="E9" s="16">
        <v>0.0</v>
      </c>
      <c r="F9" s="17">
        <v>0.0</v>
      </c>
      <c r="G9" s="16">
        <v>0.0</v>
      </c>
      <c r="H9" s="16">
        <v>0.25</v>
      </c>
      <c r="I9" s="16">
        <v>0.0</v>
      </c>
      <c r="J9" s="18">
        <f t="shared" si="1"/>
        <v>0.25</v>
      </c>
      <c r="K9" s="1"/>
      <c r="L9" s="1"/>
      <c r="M9" s="1"/>
      <c r="N9" s="1"/>
      <c r="O9" s="1"/>
      <c r="P9" s="1"/>
      <c r="Q9" s="20"/>
    </row>
    <row r="10">
      <c r="B10" s="14">
        <v>6.0</v>
      </c>
      <c r="C10" s="15" t="s">
        <v>21</v>
      </c>
      <c r="D10" s="16">
        <v>18.0</v>
      </c>
      <c r="E10" s="16">
        <v>15.0</v>
      </c>
      <c r="F10" s="17">
        <v>13.0</v>
      </c>
      <c r="G10" s="16">
        <v>1.5</v>
      </c>
      <c r="H10" s="16">
        <v>0.0</v>
      </c>
      <c r="I10" s="16">
        <v>11.5</v>
      </c>
      <c r="J10" s="18">
        <f t="shared" si="1"/>
        <v>59</v>
      </c>
      <c r="K10" s="1"/>
      <c r="L10" s="1"/>
      <c r="M10" s="1"/>
      <c r="N10" s="1"/>
      <c r="O10" s="1"/>
      <c r="P10" s="1"/>
      <c r="Q10" s="1"/>
    </row>
    <row r="11">
      <c r="B11" s="14">
        <v>7.0</v>
      </c>
      <c r="C11" s="15" t="s">
        <v>22</v>
      </c>
      <c r="D11" s="16">
        <v>3.5</v>
      </c>
      <c r="E11" s="16">
        <v>1.0</v>
      </c>
      <c r="F11" s="17">
        <v>1.0</v>
      </c>
      <c r="G11" s="16">
        <v>0.5</v>
      </c>
      <c r="H11" s="16">
        <v>1.5</v>
      </c>
      <c r="I11" s="16">
        <v>4.0</v>
      </c>
      <c r="J11" s="18">
        <f t="shared" si="1"/>
        <v>11.5</v>
      </c>
      <c r="K11" s="1"/>
      <c r="L11" s="1"/>
      <c r="M11" s="1"/>
      <c r="N11" s="1"/>
      <c r="O11" s="1"/>
      <c r="P11" s="1"/>
      <c r="Q11" s="1"/>
    </row>
    <row r="12">
      <c r="B12" s="14">
        <v>8.0</v>
      </c>
      <c r="C12" s="15" t="s">
        <v>23</v>
      </c>
      <c r="D12" s="16">
        <v>14.0</v>
      </c>
      <c r="E12" s="16">
        <v>24.0</v>
      </c>
      <c r="F12" s="17">
        <v>12.0</v>
      </c>
      <c r="G12" s="16">
        <v>3.0</v>
      </c>
      <c r="H12" s="16">
        <v>10.5</v>
      </c>
      <c r="I12" s="16">
        <v>32.0</v>
      </c>
      <c r="J12" s="18">
        <f t="shared" si="1"/>
        <v>95.5</v>
      </c>
      <c r="K12" s="1"/>
      <c r="L12" s="1"/>
      <c r="M12" s="1"/>
      <c r="N12" s="1"/>
      <c r="O12" s="1"/>
      <c r="P12" s="1"/>
      <c r="Q12" s="1"/>
    </row>
    <row r="13">
      <c r="B13" s="14">
        <v>9.0</v>
      </c>
      <c r="C13" s="15" t="s">
        <v>24</v>
      </c>
      <c r="D13" s="16">
        <v>0.0</v>
      </c>
      <c r="E13" s="16">
        <v>0.0</v>
      </c>
      <c r="F13" s="17">
        <v>0.0</v>
      </c>
      <c r="G13" s="16">
        <v>0.0</v>
      </c>
      <c r="H13" s="16">
        <v>0.0</v>
      </c>
      <c r="I13" s="16">
        <v>0.0</v>
      </c>
      <c r="J13" s="18">
        <f t="shared" si="1"/>
        <v>0</v>
      </c>
      <c r="K13" s="1"/>
      <c r="L13" s="1"/>
      <c r="M13" s="1"/>
      <c r="N13" s="1"/>
      <c r="O13" s="1"/>
      <c r="P13" s="1"/>
      <c r="Q13" s="1"/>
    </row>
    <row r="14">
      <c r="B14" s="14">
        <v>10.0</v>
      </c>
      <c r="C14" s="15" t="s">
        <v>25</v>
      </c>
      <c r="D14" s="16">
        <v>0.0</v>
      </c>
      <c r="E14" s="16">
        <v>0.0</v>
      </c>
      <c r="F14" s="17">
        <v>0.0</v>
      </c>
      <c r="G14" s="16">
        <v>0.0</v>
      </c>
      <c r="H14" s="16">
        <v>0.0</v>
      </c>
      <c r="I14" s="16">
        <v>0.0</v>
      </c>
      <c r="J14" s="18">
        <f t="shared" si="1"/>
        <v>0</v>
      </c>
      <c r="K14" s="1"/>
      <c r="L14" s="1"/>
      <c r="M14" s="1"/>
      <c r="N14" s="1"/>
      <c r="O14" s="1"/>
      <c r="P14" s="1"/>
      <c r="Q14" s="1"/>
    </row>
    <row r="15">
      <c r="B15" s="14">
        <v>11.0</v>
      </c>
      <c r="C15" s="15" t="s">
        <v>26</v>
      </c>
      <c r="D15" s="16">
        <v>8.5</v>
      </c>
      <c r="E15" s="16">
        <v>4.0</v>
      </c>
      <c r="F15" s="17">
        <v>2.5</v>
      </c>
      <c r="G15" s="16">
        <v>0.5</v>
      </c>
      <c r="H15" s="16">
        <v>2.5</v>
      </c>
      <c r="I15" s="16">
        <v>7.0</v>
      </c>
      <c r="J15" s="18">
        <f t="shared" si="1"/>
        <v>25</v>
      </c>
      <c r="K15" s="1"/>
      <c r="L15" s="1"/>
      <c r="M15" s="1"/>
      <c r="N15" s="1"/>
      <c r="O15" s="1"/>
      <c r="P15" s="1"/>
      <c r="Q15" s="1"/>
    </row>
    <row r="16">
      <c r="B16" s="14">
        <v>12.0</v>
      </c>
      <c r="C16" s="15" t="s">
        <v>27</v>
      </c>
      <c r="D16" s="16">
        <v>0.5</v>
      </c>
      <c r="E16" s="16">
        <v>0.5</v>
      </c>
      <c r="F16" s="17">
        <v>0.0</v>
      </c>
      <c r="G16" s="16">
        <v>0.0</v>
      </c>
      <c r="H16" s="16">
        <v>0.0</v>
      </c>
      <c r="I16" s="16">
        <v>0.0</v>
      </c>
      <c r="J16" s="18">
        <f t="shared" si="1"/>
        <v>1</v>
      </c>
      <c r="K16" s="1"/>
      <c r="L16" s="1"/>
      <c r="M16" s="1"/>
      <c r="N16" s="1"/>
      <c r="O16" s="1"/>
      <c r="P16" s="1"/>
      <c r="Q16" s="1"/>
    </row>
    <row r="17">
      <c r="B17" s="14">
        <v>13.0</v>
      </c>
      <c r="C17" s="15" t="s">
        <v>28</v>
      </c>
      <c r="D17" s="16">
        <v>4.5</v>
      </c>
      <c r="E17" s="16">
        <v>0.0</v>
      </c>
      <c r="F17" s="17">
        <v>0.0</v>
      </c>
      <c r="G17" s="16">
        <v>0.0</v>
      </c>
      <c r="H17" s="16">
        <v>0.0</v>
      </c>
      <c r="I17" s="16">
        <v>0.0</v>
      </c>
      <c r="J17" s="18">
        <f t="shared" si="1"/>
        <v>4.5</v>
      </c>
      <c r="K17" s="1"/>
      <c r="L17" s="1"/>
      <c r="M17" s="1"/>
      <c r="N17" s="1"/>
      <c r="O17" s="1"/>
      <c r="P17" s="1"/>
      <c r="Q17" s="1"/>
    </row>
    <row r="18">
      <c r="B18" s="14">
        <v>14.0</v>
      </c>
      <c r="C18" s="15" t="s">
        <v>29</v>
      </c>
      <c r="D18" s="16">
        <v>3.0</v>
      </c>
      <c r="E18" s="16">
        <v>0.0</v>
      </c>
      <c r="F18" s="17">
        <v>0.0</v>
      </c>
      <c r="G18" s="16">
        <v>0.0</v>
      </c>
      <c r="H18" s="16">
        <v>0.0</v>
      </c>
      <c r="I18" s="16">
        <v>1.5</v>
      </c>
      <c r="J18" s="18">
        <f t="shared" si="1"/>
        <v>4.5</v>
      </c>
      <c r="K18" s="1"/>
      <c r="L18" s="1"/>
      <c r="M18" s="1"/>
      <c r="N18" s="1"/>
      <c r="O18" s="1"/>
      <c r="P18" s="1"/>
      <c r="Q18" s="1"/>
    </row>
    <row r="19">
      <c r="B19" s="14">
        <v>15.0</v>
      </c>
      <c r="C19" s="15" t="s">
        <v>30</v>
      </c>
      <c r="D19" s="16">
        <v>0.5</v>
      </c>
      <c r="E19" s="16">
        <v>0.0</v>
      </c>
      <c r="F19" s="17">
        <v>0.5</v>
      </c>
      <c r="G19" s="16">
        <v>0.0</v>
      </c>
      <c r="H19" s="16">
        <v>0.0</v>
      </c>
      <c r="I19" s="16">
        <v>0.0</v>
      </c>
      <c r="J19" s="18">
        <f t="shared" si="1"/>
        <v>1</v>
      </c>
      <c r="K19" s="1"/>
      <c r="L19" s="1"/>
      <c r="M19" s="1"/>
      <c r="N19" s="1"/>
      <c r="O19" s="1"/>
      <c r="P19" s="1"/>
      <c r="Q19" s="1"/>
    </row>
    <row r="20">
      <c r="B20" s="14">
        <v>16.0</v>
      </c>
      <c r="C20" s="15" t="s">
        <v>31</v>
      </c>
      <c r="D20" s="16">
        <v>0.0</v>
      </c>
      <c r="E20" s="16">
        <v>0.0</v>
      </c>
      <c r="F20" s="17">
        <v>0.0</v>
      </c>
      <c r="G20" s="16">
        <v>0.0</v>
      </c>
      <c r="H20" s="16">
        <v>0.0</v>
      </c>
      <c r="I20" s="16">
        <v>0.5</v>
      </c>
      <c r="J20" s="18">
        <f t="shared" si="1"/>
        <v>0.5</v>
      </c>
      <c r="K20" s="1"/>
      <c r="L20" s="1"/>
      <c r="M20" s="1"/>
      <c r="N20" s="1"/>
      <c r="O20" s="1"/>
      <c r="P20" s="1"/>
      <c r="Q20" s="1"/>
    </row>
    <row r="21">
      <c r="B21" s="14">
        <v>17.0</v>
      </c>
      <c r="C21" s="15" t="s">
        <v>32</v>
      </c>
      <c r="D21" s="16">
        <v>0.0</v>
      </c>
      <c r="E21" s="16">
        <v>0.0</v>
      </c>
      <c r="F21" s="17">
        <v>0.0</v>
      </c>
      <c r="G21" s="16">
        <v>0.0</v>
      </c>
      <c r="H21" s="16">
        <v>0.0</v>
      </c>
      <c r="I21" s="16">
        <v>0.0</v>
      </c>
      <c r="J21" s="18">
        <f t="shared" si="1"/>
        <v>0</v>
      </c>
      <c r="K21" s="1"/>
      <c r="L21" s="1"/>
      <c r="M21" s="1"/>
      <c r="N21" s="1"/>
      <c r="O21" s="1"/>
      <c r="P21" s="1"/>
      <c r="Q21" s="1"/>
    </row>
    <row r="22">
      <c r="B22" s="14">
        <v>18.0</v>
      </c>
      <c r="C22" s="15" t="s">
        <v>33</v>
      </c>
      <c r="D22" s="16">
        <v>0.0</v>
      </c>
      <c r="E22" s="16">
        <v>0.0</v>
      </c>
      <c r="F22" s="17">
        <v>0.0</v>
      </c>
      <c r="G22" s="16">
        <v>0.0</v>
      </c>
      <c r="H22" s="16">
        <v>0.0</v>
      </c>
      <c r="I22" s="16">
        <v>0.0</v>
      </c>
      <c r="J22" s="18">
        <f t="shared" si="1"/>
        <v>0</v>
      </c>
      <c r="K22" s="1"/>
      <c r="L22" s="1"/>
      <c r="M22" s="1"/>
      <c r="N22" s="1"/>
      <c r="O22" s="1"/>
      <c r="P22" s="1"/>
      <c r="Q22" s="1"/>
    </row>
    <row r="23">
      <c r="B23" s="14">
        <v>19.0</v>
      </c>
      <c r="C23" s="15" t="s">
        <v>34</v>
      </c>
      <c r="D23" s="16">
        <v>0.0</v>
      </c>
      <c r="E23" s="16">
        <v>0.0</v>
      </c>
      <c r="F23" s="17">
        <v>0.0</v>
      </c>
      <c r="G23" s="16">
        <v>0.0</v>
      </c>
      <c r="H23" s="16">
        <v>0.0</v>
      </c>
      <c r="I23" s="16">
        <v>0.0</v>
      </c>
      <c r="J23" s="18">
        <f t="shared" si="1"/>
        <v>0</v>
      </c>
      <c r="K23" s="1"/>
      <c r="L23" s="1"/>
      <c r="M23" s="1"/>
      <c r="N23" s="1"/>
      <c r="O23" s="1"/>
      <c r="P23" s="1"/>
      <c r="Q23" s="1"/>
    </row>
    <row r="24">
      <c r="B24" s="14">
        <v>20.0</v>
      </c>
      <c r="C24" s="15" t="s">
        <v>35</v>
      </c>
      <c r="D24" s="16">
        <v>2.5</v>
      </c>
      <c r="E24" s="16">
        <v>1.0</v>
      </c>
      <c r="F24" s="17">
        <v>2.0</v>
      </c>
      <c r="G24" s="16">
        <v>0.0</v>
      </c>
      <c r="H24" s="16">
        <v>0.0</v>
      </c>
      <c r="I24" s="16">
        <v>0.0</v>
      </c>
      <c r="J24" s="18">
        <f t="shared" si="1"/>
        <v>5.5</v>
      </c>
      <c r="K24" s="1"/>
      <c r="L24" s="1"/>
      <c r="M24" s="1"/>
      <c r="N24" s="1"/>
      <c r="O24" s="1"/>
      <c r="P24" s="1"/>
      <c r="Q24" s="1"/>
    </row>
    <row r="25">
      <c r="B25" s="14">
        <v>21.0</v>
      </c>
      <c r="C25" s="15" t="s">
        <v>36</v>
      </c>
      <c r="D25" s="16">
        <v>1.0</v>
      </c>
      <c r="E25" s="16">
        <v>0.0</v>
      </c>
      <c r="F25" s="17">
        <v>0.0</v>
      </c>
      <c r="G25" s="16">
        <v>0.0</v>
      </c>
      <c r="H25" s="16">
        <v>0.0</v>
      </c>
      <c r="I25" s="16">
        <v>0.0</v>
      </c>
      <c r="J25" s="18">
        <f t="shared" si="1"/>
        <v>1</v>
      </c>
      <c r="K25" s="1"/>
      <c r="L25" s="1"/>
      <c r="M25" s="1"/>
      <c r="N25" s="1"/>
      <c r="O25" s="1"/>
      <c r="P25" s="1"/>
      <c r="Q25" s="1"/>
    </row>
    <row r="26">
      <c r="B26" s="14">
        <v>22.0</v>
      </c>
      <c r="C26" s="15" t="s">
        <v>37</v>
      </c>
      <c r="D26" s="16">
        <v>0.0</v>
      </c>
      <c r="E26" s="16">
        <v>0.0</v>
      </c>
      <c r="F26" s="17">
        <v>0.0</v>
      </c>
      <c r="G26" s="16">
        <v>0.0</v>
      </c>
      <c r="H26" s="16">
        <v>0.0</v>
      </c>
      <c r="I26" s="16">
        <v>0.0</v>
      </c>
      <c r="J26" s="18">
        <f t="shared" si="1"/>
        <v>0</v>
      </c>
      <c r="K26" s="1"/>
      <c r="L26" s="1"/>
      <c r="M26" s="1"/>
      <c r="N26" s="1"/>
      <c r="O26" s="1"/>
      <c r="P26" s="1"/>
      <c r="Q26" s="1"/>
    </row>
    <row r="27">
      <c r="B27" s="14">
        <v>23.0</v>
      </c>
      <c r="C27" s="15" t="s">
        <v>12</v>
      </c>
      <c r="D27" s="16">
        <v>5.0</v>
      </c>
      <c r="E27" s="16" t="s">
        <v>38</v>
      </c>
      <c r="F27" s="17">
        <v>0.0</v>
      </c>
      <c r="G27" s="16">
        <v>3.5</v>
      </c>
      <c r="H27" s="16">
        <v>3.5</v>
      </c>
      <c r="I27" s="16">
        <v>4.5</v>
      </c>
      <c r="J27" s="18">
        <f t="shared" si="1"/>
        <v>16.5</v>
      </c>
      <c r="K27" s="1"/>
      <c r="L27" s="1"/>
      <c r="M27" s="1"/>
      <c r="N27" s="1"/>
      <c r="O27" s="1"/>
      <c r="P27" s="1"/>
      <c r="Q27" s="1"/>
    </row>
    <row r="28">
      <c r="B28" s="14">
        <v>24.0</v>
      </c>
      <c r="C28" s="15" t="s">
        <v>39</v>
      </c>
      <c r="D28" s="16">
        <v>0.0</v>
      </c>
      <c r="E28" s="16">
        <v>0.0</v>
      </c>
      <c r="F28" s="17">
        <v>0.0</v>
      </c>
      <c r="G28" s="16">
        <v>0.0</v>
      </c>
      <c r="H28" s="16">
        <v>0.0</v>
      </c>
      <c r="I28" s="16">
        <v>0.0</v>
      </c>
      <c r="J28" s="18">
        <f t="shared" si="1"/>
        <v>0</v>
      </c>
      <c r="K28" s="1"/>
      <c r="L28" s="1"/>
      <c r="M28" s="1"/>
      <c r="N28" s="1"/>
      <c r="O28" s="1"/>
      <c r="P28" s="1"/>
      <c r="Q28" s="1"/>
    </row>
    <row r="29">
      <c r="B29" s="14">
        <v>25.0</v>
      </c>
      <c r="C29" s="15" t="s">
        <v>40</v>
      </c>
      <c r="D29" s="16">
        <v>3.0</v>
      </c>
      <c r="E29" s="16">
        <v>0.0</v>
      </c>
      <c r="F29" s="17">
        <v>0.0</v>
      </c>
      <c r="G29" s="16">
        <v>0.0</v>
      </c>
      <c r="H29" s="16">
        <v>0.0</v>
      </c>
      <c r="I29" s="16">
        <v>0.0</v>
      </c>
      <c r="J29" s="18">
        <f t="shared" si="1"/>
        <v>3</v>
      </c>
      <c r="K29" s="1"/>
      <c r="L29" s="1"/>
      <c r="M29" s="1"/>
      <c r="N29" s="1"/>
      <c r="O29" s="1"/>
      <c r="P29" s="1"/>
      <c r="Q29" s="1"/>
    </row>
    <row r="30">
      <c r="B30" s="14">
        <v>26.0</v>
      </c>
      <c r="C30" s="15" t="s">
        <v>14</v>
      </c>
      <c r="D30" s="16">
        <v>26.5</v>
      </c>
      <c r="E30" s="16">
        <v>0.0</v>
      </c>
      <c r="F30" s="17">
        <v>7.0</v>
      </c>
      <c r="G30" s="16">
        <v>0.0</v>
      </c>
      <c r="H30" s="16">
        <v>0.0</v>
      </c>
      <c r="I30" s="16">
        <v>0.0</v>
      </c>
      <c r="J30" s="18">
        <f t="shared" si="1"/>
        <v>33.5</v>
      </c>
      <c r="K30" s="1"/>
      <c r="L30" s="1"/>
      <c r="M30" s="1"/>
      <c r="N30" s="1"/>
      <c r="O30" s="1"/>
      <c r="P30" s="1"/>
      <c r="Q30" s="1"/>
    </row>
    <row r="31">
      <c r="B31" s="14">
        <v>27.0</v>
      </c>
      <c r="C31" s="15" t="s">
        <v>15</v>
      </c>
      <c r="D31" s="16">
        <v>14.5</v>
      </c>
      <c r="E31" s="16">
        <v>12.0</v>
      </c>
      <c r="F31" s="17">
        <v>3.0</v>
      </c>
      <c r="G31" s="16">
        <v>0.0</v>
      </c>
      <c r="H31" s="16">
        <v>1.0</v>
      </c>
      <c r="I31" s="16">
        <v>3.5</v>
      </c>
      <c r="J31" s="18">
        <f t="shared" si="1"/>
        <v>34</v>
      </c>
      <c r="K31" s="1"/>
      <c r="L31" s="1"/>
      <c r="M31" s="1"/>
      <c r="N31" s="1"/>
      <c r="O31" s="1"/>
      <c r="P31" s="1"/>
      <c r="Q31" s="1"/>
    </row>
  </sheetData>
  <mergeCells count="5">
    <mergeCell ref="B3:B4"/>
    <mergeCell ref="C3:C4"/>
    <mergeCell ref="D3:H3"/>
    <mergeCell ref="J3:J4"/>
    <mergeCell ref="L3:Q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21"/>
      <c r="B1" s="22"/>
      <c r="C1" s="22"/>
      <c r="D1" s="22"/>
      <c r="E1" s="22"/>
      <c r="F1" s="23"/>
      <c r="G1" s="23"/>
      <c r="H1" s="23"/>
      <c r="I1" s="23"/>
      <c r="J1" s="24"/>
      <c r="K1" s="23"/>
      <c r="L1" s="23"/>
      <c r="M1" s="23"/>
      <c r="N1" s="23"/>
    </row>
    <row r="2" ht="15.75" customHeight="1">
      <c r="A2" s="25" t="s">
        <v>41</v>
      </c>
      <c r="B2" s="26"/>
      <c r="C2" s="27"/>
      <c r="D2" s="27" t="s">
        <v>42</v>
      </c>
      <c r="K2" s="23"/>
      <c r="L2" s="28" t="s">
        <v>43</v>
      </c>
      <c r="M2" s="29"/>
      <c r="N2" s="23"/>
    </row>
    <row r="3">
      <c r="A3" s="30" t="s">
        <v>44</v>
      </c>
      <c r="B3" s="31" t="s">
        <v>45</v>
      </c>
      <c r="C3" s="22"/>
      <c r="D3" s="32"/>
      <c r="E3" s="33" t="s">
        <v>46</v>
      </c>
      <c r="F3" s="34"/>
      <c r="G3" s="35"/>
      <c r="H3" s="36"/>
      <c r="I3" s="36"/>
      <c r="J3" s="37" t="s">
        <v>47</v>
      </c>
      <c r="K3" s="23"/>
      <c r="L3" s="38"/>
      <c r="M3" s="6"/>
      <c r="N3" s="23"/>
    </row>
    <row r="4" ht="15.75" customHeight="1">
      <c r="A4" s="39" t="s">
        <v>16</v>
      </c>
      <c r="B4" s="40">
        <v>3000.0</v>
      </c>
      <c r="C4" s="41"/>
      <c r="D4" s="42" t="s">
        <v>0</v>
      </c>
      <c r="E4" s="43" t="s">
        <v>48</v>
      </c>
      <c r="F4" s="44" t="s">
        <v>49</v>
      </c>
      <c r="G4" s="45" t="s">
        <v>50</v>
      </c>
      <c r="H4" s="45" t="s">
        <v>51</v>
      </c>
      <c r="I4" s="45" t="s">
        <v>52</v>
      </c>
      <c r="J4" s="46" t="s">
        <v>53</v>
      </c>
      <c r="K4" s="23"/>
      <c r="L4" s="47" t="s">
        <v>54</v>
      </c>
      <c r="M4" s="47" t="s">
        <v>50</v>
      </c>
      <c r="N4" s="23"/>
    </row>
    <row r="5" ht="15.75" customHeight="1">
      <c r="A5" s="39" t="s">
        <v>55</v>
      </c>
      <c r="B5" s="40">
        <v>2500.0</v>
      </c>
      <c r="C5" s="48"/>
      <c r="D5" s="49">
        <v>1.0</v>
      </c>
      <c r="E5" s="50" t="s">
        <v>56</v>
      </c>
      <c r="F5" s="51" t="s">
        <v>16</v>
      </c>
      <c r="G5" s="52"/>
      <c r="H5" s="53">
        <f>VLOOKUP(F5,$A$4:$B$4,2,TRUE)</f>
        <v>3000</v>
      </c>
      <c r="I5" s="54">
        <f t="shared" ref="I5:I58" si="1">G5*H5</f>
        <v>0</v>
      </c>
      <c r="J5" s="55">
        <f>SUM(I5:I31)</f>
        <v>20000</v>
      </c>
      <c r="K5" s="23"/>
      <c r="L5" s="51" t="s">
        <v>16</v>
      </c>
      <c r="M5" s="47">
        <f>SUMIF(F5:F58,"Gelas bersih",G5:G58)</f>
        <v>2</v>
      </c>
      <c r="N5" s="23"/>
    </row>
    <row r="6" ht="15.75" customHeight="1">
      <c r="A6" s="39" t="s">
        <v>57</v>
      </c>
      <c r="B6" s="40">
        <v>1200.0</v>
      </c>
      <c r="C6" s="48"/>
      <c r="D6" s="56"/>
      <c r="E6" s="56"/>
      <c r="F6" s="51" t="s">
        <v>55</v>
      </c>
      <c r="G6" s="52"/>
      <c r="H6" s="57">
        <f>VLOOKUP(F6,$A$5:$B$5,2,TRUE)</f>
        <v>2500</v>
      </c>
      <c r="I6" s="54">
        <f t="shared" si="1"/>
        <v>0</v>
      </c>
      <c r="J6" s="56"/>
      <c r="K6" s="23"/>
      <c r="L6" s="51" t="s">
        <v>55</v>
      </c>
      <c r="M6" s="47">
        <f>SUMIF(F6:F59,"Botol bersih",G6:G59)</f>
        <v>2</v>
      </c>
      <c r="N6" s="23"/>
    </row>
    <row r="7" ht="15.75" customHeight="1">
      <c r="A7" s="39" t="s">
        <v>19</v>
      </c>
      <c r="B7" s="40">
        <v>2100.0</v>
      </c>
      <c r="C7" s="48"/>
      <c r="D7" s="56"/>
      <c r="E7" s="56"/>
      <c r="F7" s="51" t="s">
        <v>57</v>
      </c>
      <c r="G7" s="52"/>
      <c r="H7" s="57">
        <f>VLOOKUP(F7,$A$6:$B$6,2,TRUE)</f>
        <v>1200</v>
      </c>
      <c r="I7" s="54">
        <f t="shared" si="1"/>
        <v>0</v>
      </c>
      <c r="J7" s="56"/>
      <c r="K7" s="23"/>
      <c r="L7" s="51" t="s">
        <v>57</v>
      </c>
      <c r="M7" s="47">
        <f>SUMIF(F7:F59,"Botol Warna",G7:G59)</f>
        <v>0</v>
      </c>
      <c r="N7" s="23"/>
    </row>
    <row r="8" ht="15.75" customHeight="1">
      <c r="A8" s="39" t="s">
        <v>20</v>
      </c>
      <c r="B8" s="40">
        <v>3000.0</v>
      </c>
      <c r="C8" s="48"/>
      <c r="D8" s="56"/>
      <c r="E8" s="56"/>
      <c r="F8" s="51" t="s">
        <v>19</v>
      </c>
      <c r="G8" s="52"/>
      <c r="H8" s="57">
        <f>VLOOKUP(F8,$A$7:$B$7,2,TRUE)</f>
        <v>2100</v>
      </c>
      <c r="I8" s="54">
        <f t="shared" si="1"/>
        <v>0</v>
      </c>
      <c r="J8" s="56"/>
      <c r="K8" s="23"/>
      <c r="L8" s="51" t="s">
        <v>19</v>
      </c>
      <c r="M8" s="47">
        <f>SUMIF(F8:F60,"Tutup botol",G8:G60)</f>
        <v>0.25</v>
      </c>
      <c r="N8" s="23"/>
    </row>
    <row r="9" ht="15.75" customHeight="1">
      <c r="A9" s="39" t="s">
        <v>21</v>
      </c>
      <c r="B9" s="40">
        <v>500.0</v>
      </c>
      <c r="C9" s="48"/>
      <c r="D9" s="56"/>
      <c r="E9" s="56"/>
      <c r="F9" s="51" t="s">
        <v>20</v>
      </c>
      <c r="G9" s="52"/>
      <c r="H9" s="57">
        <f>VLOOKUP(F9,$A$8:$B$8,2,TRUE)</f>
        <v>3000</v>
      </c>
      <c r="I9" s="54">
        <f t="shared" si="1"/>
        <v>0</v>
      </c>
      <c r="J9" s="56"/>
      <c r="K9" s="23"/>
      <c r="L9" s="51" t="s">
        <v>20</v>
      </c>
      <c r="M9" s="47">
        <f>SUMIF(F9:F61,"Tutup galon",G9:G61)</f>
        <v>0.25</v>
      </c>
      <c r="N9" s="23"/>
    </row>
    <row r="10" ht="15.75" customHeight="1">
      <c r="A10" s="39" t="s">
        <v>22</v>
      </c>
      <c r="B10" s="40">
        <v>1800.0</v>
      </c>
      <c r="C10" s="48"/>
      <c r="D10" s="56"/>
      <c r="E10" s="56"/>
      <c r="F10" s="51" t="s">
        <v>21</v>
      </c>
      <c r="G10" s="52"/>
      <c r="H10" s="57">
        <f>VLOOKUP(F10,$A$9:$B$9,2,TRUE)</f>
        <v>500</v>
      </c>
      <c r="I10" s="54">
        <f t="shared" si="1"/>
        <v>0</v>
      </c>
      <c r="J10" s="56"/>
      <c r="K10" s="23"/>
      <c r="L10" s="51" t="s">
        <v>21</v>
      </c>
      <c r="M10" s="47">
        <f>SUMIF(F10:F62,"Hitam",G10:G62)</f>
        <v>0</v>
      </c>
      <c r="N10" s="23"/>
    </row>
    <row r="11" ht="15.75" customHeight="1">
      <c r="A11" s="39" t="s">
        <v>23</v>
      </c>
      <c r="B11" s="40">
        <v>1500.0</v>
      </c>
      <c r="C11" s="48"/>
      <c r="D11" s="56"/>
      <c r="E11" s="56"/>
      <c r="F11" s="51" t="s">
        <v>22</v>
      </c>
      <c r="G11" s="52">
        <v>1.5</v>
      </c>
      <c r="H11" s="57">
        <f>VLOOKUP(F11,$A$10:$B$10,2,TRUE)</f>
        <v>1800</v>
      </c>
      <c r="I11" s="54">
        <f t="shared" si="1"/>
        <v>2700</v>
      </c>
      <c r="J11" s="56"/>
      <c r="K11" s="23"/>
      <c r="L11" s="51" t="s">
        <v>22</v>
      </c>
      <c r="M11" s="47">
        <f>SUMIF(F11:F63,"Plastik Campur",G11:G63)</f>
        <v>1.5</v>
      </c>
      <c r="N11" s="23"/>
    </row>
    <row r="12" ht="15.75" customHeight="1">
      <c r="A12" s="39" t="s">
        <v>24</v>
      </c>
      <c r="B12" s="40">
        <v>1400.0</v>
      </c>
      <c r="C12" s="48"/>
      <c r="D12" s="56"/>
      <c r="E12" s="56"/>
      <c r="F12" s="51" t="s">
        <v>23</v>
      </c>
      <c r="G12" s="52">
        <v>10.5</v>
      </c>
      <c r="H12" s="57">
        <f>VLOOKUP(F12,$A$11:$B$11,2,TRUE)</f>
        <v>1500</v>
      </c>
      <c r="I12" s="54">
        <f t="shared" si="1"/>
        <v>15750</v>
      </c>
      <c r="J12" s="56"/>
      <c r="K12" s="23"/>
      <c r="L12" s="51" t="s">
        <v>23</v>
      </c>
      <c r="M12" s="47">
        <f>SUMIF(F12:F64,"Kardus",G12:G64)</f>
        <v>10.5</v>
      </c>
      <c r="N12" s="23"/>
    </row>
    <row r="13" ht="15.75" customHeight="1">
      <c r="A13" s="39" t="s">
        <v>25</v>
      </c>
      <c r="B13" s="40">
        <v>1000.0</v>
      </c>
      <c r="C13" s="48"/>
      <c r="D13" s="56"/>
      <c r="E13" s="56"/>
      <c r="F13" s="51" t="s">
        <v>24</v>
      </c>
      <c r="G13" s="52"/>
      <c r="H13" s="57">
        <f>VLOOKUP(F13,$A$12:$B$12,2,TRUE)</f>
        <v>1400</v>
      </c>
      <c r="I13" s="54">
        <f t="shared" si="1"/>
        <v>0</v>
      </c>
      <c r="J13" s="56"/>
      <c r="K13" s="23"/>
      <c r="L13" s="51" t="s">
        <v>24</v>
      </c>
      <c r="M13" s="47">
        <f>SUMIF(F13:F65,"Kertas Putihan/ HVS",G13:G65)</f>
        <v>0</v>
      </c>
      <c r="N13" s="23"/>
    </row>
    <row r="14" ht="15.75" customHeight="1">
      <c r="A14" s="39" t="s">
        <v>26</v>
      </c>
      <c r="B14" s="40">
        <v>500.0</v>
      </c>
      <c r="C14" s="48"/>
      <c r="D14" s="56"/>
      <c r="E14" s="56"/>
      <c r="F14" s="51" t="s">
        <v>25</v>
      </c>
      <c r="G14" s="52"/>
      <c r="H14" s="57">
        <f>VLOOKUP(F14,$A$13:$B$13,2,TRUE)</f>
        <v>1000</v>
      </c>
      <c r="I14" s="54">
        <f t="shared" si="1"/>
        <v>0</v>
      </c>
      <c r="J14" s="56"/>
      <c r="K14" s="23"/>
      <c r="L14" s="51" t="s">
        <v>25</v>
      </c>
      <c r="M14" s="47">
        <f>SUMIF(F14:F66,"Koran/Buku",G14:G66)</f>
        <v>0</v>
      </c>
      <c r="N14" s="23"/>
    </row>
    <row r="15" ht="15.75" customHeight="1">
      <c r="A15" s="39" t="s">
        <v>27</v>
      </c>
      <c r="B15" s="40">
        <v>7500.0</v>
      </c>
      <c r="C15" s="48"/>
      <c r="D15" s="56"/>
      <c r="E15" s="56"/>
      <c r="F15" s="51" t="s">
        <v>26</v>
      </c>
      <c r="G15" s="52">
        <v>1.0</v>
      </c>
      <c r="H15" s="57">
        <f>VLOOKUP(F15,$A$14:$B$14,2,TRUE)</f>
        <v>500</v>
      </c>
      <c r="I15" s="54">
        <f t="shared" si="1"/>
        <v>500</v>
      </c>
      <c r="J15" s="56"/>
      <c r="K15" s="23"/>
      <c r="L15" s="51" t="s">
        <v>26</v>
      </c>
      <c r="M15" s="47">
        <f>SUMIF(F15:F67,"Duplex",G15:G67)</f>
        <v>2.5</v>
      </c>
      <c r="N15" s="23"/>
    </row>
    <row r="16" ht="15.75" customHeight="1">
      <c r="A16" s="39" t="s">
        <v>28</v>
      </c>
      <c r="B16" s="40">
        <v>2000.0</v>
      </c>
      <c r="C16" s="48"/>
      <c r="D16" s="56"/>
      <c r="E16" s="56"/>
      <c r="F16" s="51" t="s">
        <v>27</v>
      </c>
      <c r="G16" s="52"/>
      <c r="H16" s="57">
        <f>VLOOKUP(F16,$A$15:$B$15,2,TRUE)</f>
        <v>7500</v>
      </c>
      <c r="I16" s="54">
        <f t="shared" si="1"/>
        <v>0</v>
      </c>
      <c r="J16" s="56"/>
      <c r="K16" s="23"/>
      <c r="L16" s="51" t="s">
        <v>27</v>
      </c>
      <c r="M16" s="47">
        <f>SUMIF(F16:F68,"Alumunium",G16:G68)</f>
        <v>0</v>
      </c>
      <c r="N16" s="23"/>
    </row>
    <row r="17" ht="15.75" customHeight="1">
      <c r="A17" s="39" t="s">
        <v>29</v>
      </c>
      <c r="B17" s="40">
        <v>1200.0</v>
      </c>
      <c r="C17" s="48"/>
      <c r="D17" s="56"/>
      <c r="E17" s="56"/>
      <c r="F17" s="51" t="s">
        <v>28</v>
      </c>
      <c r="G17" s="52"/>
      <c r="H17" s="57">
        <f>VLOOKUP(F17,$A$16:$B$16,2,TRUE)</f>
        <v>2000</v>
      </c>
      <c r="I17" s="54">
        <f t="shared" si="1"/>
        <v>0</v>
      </c>
      <c r="J17" s="56"/>
      <c r="K17" s="23"/>
      <c r="L17" s="51" t="s">
        <v>28</v>
      </c>
      <c r="M17" s="47">
        <f>SUMIF(F17:F69,"Besi",G17:G69)</f>
        <v>0</v>
      </c>
      <c r="N17" s="23"/>
    </row>
    <row r="18" ht="15.75" customHeight="1">
      <c r="A18" s="39" t="s">
        <v>30</v>
      </c>
      <c r="B18" s="40">
        <v>5000.0</v>
      </c>
      <c r="C18" s="48"/>
      <c r="D18" s="56"/>
      <c r="E18" s="56"/>
      <c r="F18" s="51" t="s">
        <v>29</v>
      </c>
      <c r="G18" s="52"/>
      <c r="H18" s="57">
        <f>VLOOKUP(F18,$A$17:$B$17,2,TRUE)</f>
        <v>1200</v>
      </c>
      <c r="I18" s="54">
        <f t="shared" si="1"/>
        <v>0</v>
      </c>
      <c r="J18" s="56"/>
      <c r="K18" s="23"/>
      <c r="L18" s="51" t="s">
        <v>29</v>
      </c>
      <c r="M18" s="47">
        <f>SUMIF(F18:F70,"Kaleng kue/susu",G18:G70)</f>
        <v>0</v>
      </c>
      <c r="N18" s="23"/>
    </row>
    <row r="19" ht="15.75" customHeight="1">
      <c r="A19" s="39" t="s">
        <v>31</v>
      </c>
      <c r="B19" s="40">
        <v>2700.0</v>
      </c>
      <c r="C19" s="48"/>
      <c r="D19" s="56"/>
      <c r="E19" s="56"/>
      <c r="F19" s="51" t="s">
        <v>30</v>
      </c>
      <c r="G19" s="52"/>
      <c r="H19" s="57">
        <f>VLOOKUP(F19,$A$18:$B$18,2,TRUE)</f>
        <v>5000</v>
      </c>
      <c r="I19" s="54">
        <f t="shared" si="1"/>
        <v>0</v>
      </c>
      <c r="J19" s="56"/>
      <c r="K19" s="23"/>
      <c r="L19" s="51" t="s">
        <v>30</v>
      </c>
      <c r="M19" s="47">
        <f>SUMIF(F19:F71,"Kaleng Minuman",G19:G71)</f>
        <v>0</v>
      </c>
      <c r="N19" s="23"/>
    </row>
    <row r="20" ht="15.75" customHeight="1">
      <c r="A20" s="39" t="s">
        <v>32</v>
      </c>
      <c r="B20" s="40">
        <v>50000.0</v>
      </c>
      <c r="C20" s="48"/>
      <c r="D20" s="56"/>
      <c r="E20" s="56"/>
      <c r="F20" s="51" t="s">
        <v>31</v>
      </c>
      <c r="G20" s="52"/>
      <c r="H20" s="57">
        <f>VLOOKUP(F20,$A$19:$B$19,2,TRUE)</f>
        <v>2700</v>
      </c>
      <c r="I20" s="54">
        <f t="shared" si="1"/>
        <v>0</v>
      </c>
      <c r="J20" s="56"/>
      <c r="K20" s="23"/>
      <c r="L20" s="51" t="s">
        <v>31</v>
      </c>
      <c r="M20" s="47">
        <f>SUMIF(F20:F72,"Stanless",G20:G72)</f>
        <v>0</v>
      </c>
      <c r="N20" s="23"/>
    </row>
    <row r="21" ht="15.75" customHeight="1">
      <c r="A21" s="39" t="s">
        <v>33</v>
      </c>
      <c r="B21" s="40">
        <v>10000.0</v>
      </c>
      <c r="C21" s="48"/>
      <c r="D21" s="56"/>
      <c r="E21" s="56"/>
      <c r="F21" s="51" t="s">
        <v>32</v>
      </c>
      <c r="G21" s="52"/>
      <c r="H21" s="57">
        <f>VLOOKUP(F21,$A$20:$B$20,2,TRUE)</f>
        <v>50000</v>
      </c>
      <c r="I21" s="54">
        <f t="shared" si="1"/>
        <v>0</v>
      </c>
      <c r="J21" s="56"/>
      <c r="K21" s="23"/>
      <c r="L21" s="51" t="s">
        <v>32</v>
      </c>
      <c r="M21" s="47">
        <f>SUMIF(F21:F73,"Tembaga",G21:G73)</f>
        <v>0</v>
      </c>
      <c r="N21" s="23"/>
    </row>
    <row r="22" ht="15.75" customHeight="1">
      <c r="A22" s="39" t="s">
        <v>34</v>
      </c>
      <c r="B22" s="40">
        <v>1000.0</v>
      </c>
      <c r="C22" s="48"/>
      <c r="D22" s="56"/>
      <c r="E22" s="56"/>
      <c r="F22" s="51" t="s">
        <v>33</v>
      </c>
      <c r="G22" s="52"/>
      <c r="H22" s="57">
        <f>VLOOKUP(F22,$A$21:$B$21,2,TRUE)</f>
        <v>10000</v>
      </c>
      <c r="I22" s="54">
        <f t="shared" si="1"/>
        <v>0</v>
      </c>
      <c r="J22" s="56"/>
      <c r="K22" s="23"/>
      <c r="L22" s="51" t="s">
        <v>33</v>
      </c>
      <c r="M22" s="47">
        <f>SUMIF(F22:F74,"Aki Motor",G22:G74)</f>
        <v>0</v>
      </c>
      <c r="N22" s="23"/>
    </row>
    <row r="23" ht="15.75" customHeight="1">
      <c r="A23" s="39" t="s">
        <v>35</v>
      </c>
      <c r="B23" s="40">
        <v>500.0</v>
      </c>
      <c r="C23" s="48"/>
      <c r="D23" s="56"/>
      <c r="E23" s="56"/>
      <c r="F23" s="51" t="s">
        <v>34</v>
      </c>
      <c r="G23" s="52"/>
      <c r="H23" s="57">
        <f>VLOOKUP(F23,$A$22:$B$22,2,TRUE)</f>
        <v>1000</v>
      </c>
      <c r="I23" s="54">
        <f t="shared" si="1"/>
        <v>0</v>
      </c>
      <c r="J23" s="56"/>
      <c r="K23" s="23"/>
      <c r="L23" s="51" t="s">
        <v>34</v>
      </c>
      <c r="M23" s="47">
        <f>SUMIF(F23:F75,"Paralon",G23:G75)</f>
        <v>0</v>
      </c>
      <c r="N23" s="23"/>
    </row>
    <row r="24" ht="15.75" customHeight="1">
      <c r="A24" s="39" t="s">
        <v>36</v>
      </c>
      <c r="B24" s="40">
        <v>200.0</v>
      </c>
      <c r="C24" s="48"/>
      <c r="D24" s="56"/>
      <c r="E24" s="56"/>
      <c r="F24" s="51" t="s">
        <v>35</v>
      </c>
      <c r="G24" s="52"/>
      <c r="H24" s="57">
        <f>VLOOKUP(F24,$A$23:$B$23,2,TRUE)</f>
        <v>500</v>
      </c>
      <c r="I24" s="54">
        <f t="shared" si="1"/>
        <v>0</v>
      </c>
      <c r="J24" s="56"/>
      <c r="K24" s="23"/>
      <c r="L24" s="51" t="s">
        <v>35</v>
      </c>
      <c r="M24" s="47">
        <f>SUMIF(F24:F76,"Plastik bening",G24:G76)</f>
        <v>0</v>
      </c>
      <c r="N24" s="23"/>
    </row>
    <row r="25" ht="15.75" customHeight="1">
      <c r="A25" s="39" t="s">
        <v>37</v>
      </c>
      <c r="B25" s="40">
        <v>1300.0</v>
      </c>
      <c r="C25" s="48"/>
      <c r="D25" s="56"/>
      <c r="E25" s="56"/>
      <c r="F25" s="51" t="s">
        <v>36</v>
      </c>
      <c r="G25" s="52"/>
      <c r="H25" s="57">
        <f>VLOOKUP(F25,$A$24:$B$24,2,TRUE)</f>
        <v>200</v>
      </c>
      <c r="I25" s="54">
        <f t="shared" si="1"/>
        <v>0</v>
      </c>
      <c r="J25" s="56"/>
      <c r="K25" s="23"/>
      <c r="L25" s="51" t="s">
        <v>36</v>
      </c>
      <c r="M25" s="47">
        <f>SUMIF(F25:F77,"Plastik Warna",G25:G77)</f>
        <v>0</v>
      </c>
      <c r="N25" s="23"/>
    </row>
    <row r="26" ht="15.75" customHeight="1">
      <c r="A26" s="39" t="s">
        <v>12</v>
      </c>
      <c r="B26" s="40">
        <v>300.0</v>
      </c>
      <c r="C26" s="48"/>
      <c r="D26" s="56"/>
      <c r="E26" s="56"/>
      <c r="F26" s="51" t="s">
        <v>37</v>
      </c>
      <c r="G26" s="52"/>
      <c r="H26" s="57">
        <f>VLOOKUP(F26,$A$25:$B$25,2,TRUE)</f>
        <v>1300</v>
      </c>
      <c r="I26" s="54">
        <f t="shared" si="1"/>
        <v>0</v>
      </c>
      <c r="J26" s="56"/>
      <c r="K26" s="23"/>
      <c r="L26" s="51" t="s">
        <v>37</v>
      </c>
      <c r="M26" s="47">
        <f>SUMIF(F26:F78,"Selang",G26:G78)</f>
        <v>0</v>
      </c>
      <c r="N26" s="23"/>
    </row>
    <row r="27" ht="15.75" customHeight="1">
      <c r="A27" s="39" t="s">
        <v>39</v>
      </c>
      <c r="B27" s="40">
        <v>0.0</v>
      </c>
      <c r="C27" s="48"/>
      <c r="D27" s="56"/>
      <c r="E27" s="56"/>
      <c r="F27" s="51" t="s">
        <v>12</v>
      </c>
      <c r="G27" s="52">
        <v>3.5</v>
      </c>
      <c r="H27" s="57">
        <f>VLOOKUP(F27,$A$26:$B$26,2,TRUE)</f>
        <v>300</v>
      </c>
      <c r="I27" s="54">
        <f t="shared" si="1"/>
        <v>1050</v>
      </c>
      <c r="J27" s="56"/>
      <c r="K27" s="23"/>
      <c r="L27" s="51" t="s">
        <v>12</v>
      </c>
      <c r="M27" s="47">
        <f>SUMIF(F27:F79,"Beling",G27:G79)</f>
        <v>3.5</v>
      </c>
      <c r="N27" s="23"/>
    </row>
    <row r="28" ht="15.75" customHeight="1">
      <c r="A28" s="39" t="s">
        <v>40</v>
      </c>
      <c r="B28" s="40">
        <v>1700.0</v>
      </c>
      <c r="C28" s="48"/>
      <c r="D28" s="56"/>
      <c r="E28" s="56"/>
      <c r="F28" s="51" t="s">
        <v>39</v>
      </c>
      <c r="G28" s="52"/>
      <c r="H28" s="57">
        <f>VLOOKUP(F28,$A$27:$B$27,2,TRUE)</f>
        <v>0</v>
      </c>
      <c r="I28" s="54">
        <f t="shared" si="1"/>
        <v>0</v>
      </c>
      <c r="J28" s="56"/>
      <c r="K28" s="23"/>
      <c r="L28" s="51" t="s">
        <v>39</v>
      </c>
      <c r="M28" s="47">
        <f>SUMIF(F28:F80,"Pecahan",G28:G80)</f>
        <v>0</v>
      </c>
      <c r="N28" s="23"/>
    </row>
    <row r="29" ht="15.75" customHeight="1">
      <c r="A29" s="39" t="s">
        <v>14</v>
      </c>
      <c r="B29" s="58">
        <v>4500.0</v>
      </c>
      <c r="C29" s="48"/>
      <c r="D29" s="56"/>
      <c r="E29" s="56"/>
      <c r="F29" s="51" t="s">
        <v>40</v>
      </c>
      <c r="G29" s="52"/>
      <c r="H29" s="57">
        <f>VLOOKUP(F28,$A$28:$B$28,2,TRUE)</f>
        <v>1700</v>
      </c>
      <c r="I29" s="54">
        <f t="shared" si="1"/>
        <v>0</v>
      </c>
      <c r="J29" s="56"/>
      <c r="K29" s="23"/>
      <c r="L29" s="51" t="s">
        <v>40</v>
      </c>
      <c r="M29" s="47">
        <f>SUMIF(F29:F82,"Paku",G29:G82)</f>
        <v>0</v>
      </c>
      <c r="N29" s="23"/>
    </row>
    <row r="30" ht="15.75" customHeight="1">
      <c r="A30" s="39" t="s">
        <v>58</v>
      </c>
      <c r="B30" s="40"/>
      <c r="C30" s="48"/>
      <c r="D30" s="56"/>
      <c r="E30" s="56"/>
      <c r="F30" s="51" t="s">
        <v>14</v>
      </c>
      <c r="G30" s="52"/>
      <c r="H30" s="57">
        <f>VLOOKUP(F29,$A$29:$B$29,2,TRUE)</f>
        <v>4500</v>
      </c>
      <c r="I30" s="54">
        <f t="shared" si="1"/>
        <v>0</v>
      </c>
      <c r="J30" s="56"/>
      <c r="K30" s="23"/>
      <c r="L30" s="51" t="s">
        <v>14</v>
      </c>
      <c r="M30" s="47">
        <f>SUMIF(F30:F83,"Minyak Jelantah",G30:G83)</f>
        <v>0</v>
      </c>
      <c r="N30" s="23"/>
    </row>
    <row r="31" ht="15.75" customHeight="1">
      <c r="A31" s="48"/>
      <c r="B31" s="48"/>
      <c r="C31" s="48"/>
      <c r="D31" s="10"/>
      <c r="E31" s="10"/>
      <c r="F31" s="51" t="s">
        <v>58</v>
      </c>
      <c r="G31" s="52"/>
      <c r="H31" s="57" t="str">
        <f>VLOOKUP(F30,$A$30:$B$30,2,TRUE)</f>
        <v/>
      </c>
      <c r="I31" s="54">
        <f t="shared" si="1"/>
        <v>0</v>
      </c>
      <c r="J31" s="10"/>
      <c r="K31" s="23"/>
      <c r="L31" s="51" t="s">
        <v>58</v>
      </c>
      <c r="M31" s="47">
        <f>SUMIF(F31:F84,"Lainnya",G31:G84)</f>
        <v>1</v>
      </c>
      <c r="N31" s="23"/>
    </row>
    <row r="32" ht="15.75" customHeight="1">
      <c r="A32" s="48"/>
      <c r="B32" s="48"/>
      <c r="C32" s="48"/>
      <c r="D32" s="49">
        <v>2.0</v>
      </c>
      <c r="E32" s="50" t="s">
        <v>59</v>
      </c>
      <c r="F32" s="51" t="s">
        <v>16</v>
      </c>
      <c r="G32" s="52">
        <v>2.0</v>
      </c>
      <c r="H32" s="53">
        <f>VLOOKUP(F32,$A$4:$B$4,2,TRUE)</f>
        <v>3000</v>
      </c>
      <c r="I32" s="54">
        <f t="shared" si="1"/>
        <v>6000</v>
      </c>
      <c r="J32" s="55">
        <f>SUM(I32:I58)</f>
        <v>13025</v>
      </c>
      <c r="K32" s="23"/>
      <c r="L32" s="23"/>
      <c r="M32" s="23"/>
      <c r="N32" s="23"/>
    </row>
    <row r="33" ht="15.75" customHeight="1">
      <c r="A33" s="48"/>
      <c r="B33" s="48"/>
      <c r="C33" s="48"/>
      <c r="D33" s="56"/>
      <c r="E33" s="56"/>
      <c r="F33" s="51" t="s">
        <v>55</v>
      </c>
      <c r="G33" s="52">
        <v>2.0</v>
      </c>
      <c r="H33" s="57">
        <f>VLOOKUP(F33,$A$5:$B$5,2,TRUE)</f>
        <v>2500</v>
      </c>
      <c r="I33" s="54">
        <f t="shared" si="1"/>
        <v>5000</v>
      </c>
      <c r="J33" s="56"/>
      <c r="K33" s="23"/>
      <c r="L33" s="23"/>
      <c r="M33" s="23"/>
      <c r="N33" s="23"/>
    </row>
    <row r="34" ht="15.75" customHeight="1">
      <c r="A34" s="48"/>
      <c r="B34" s="48"/>
      <c r="C34" s="48"/>
      <c r="D34" s="56"/>
      <c r="E34" s="56"/>
      <c r="F34" s="51" t="s">
        <v>57</v>
      </c>
      <c r="G34" s="52"/>
      <c r="H34" s="57">
        <f>VLOOKUP(F34,$A$6:$B$6,2,TRUE)</f>
        <v>1200</v>
      </c>
      <c r="I34" s="54">
        <f t="shared" si="1"/>
        <v>0</v>
      </c>
      <c r="J34" s="56"/>
      <c r="K34" s="23"/>
      <c r="L34" s="23"/>
      <c r="M34" s="23"/>
      <c r="N34" s="23"/>
    </row>
    <row r="35" ht="15.75" customHeight="1">
      <c r="A35" s="48"/>
      <c r="B35" s="48"/>
      <c r="C35" s="48"/>
      <c r="D35" s="56"/>
      <c r="E35" s="56"/>
      <c r="F35" s="51" t="s">
        <v>19</v>
      </c>
      <c r="G35" s="52">
        <v>0.25</v>
      </c>
      <c r="H35" s="57">
        <f>VLOOKUP(F35,$A$7:$B$7,2,TRUE)</f>
        <v>2100</v>
      </c>
      <c r="I35" s="54">
        <f t="shared" si="1"/>
        <v>525</v>
      </c>
      <c r="J35" s="56"/>
      <c r="K35" s="23"/>
      <c r="L35" s="23"/>
      <c r="M35" s="23"/>
      <c r="N35" s="23"/>
    </row>
    <row r="36" ht="15.75" customHeight="1">
      <c r="A36" s="48"/>
      <c r="B36" s="48"/>
      <c r="C36" s="48"/>
      <c r="D36" s="56"/>
      <c r="E36" s="56"/>
      <c r="F36" s="51" t="s">
        <v>20</v>
      </c>
      <c r="G36" s="52">
        <v>0.25</v>
      </c>
      <c r="H36" s="57">
        <f>VLOOKUP(F36,$A$8:$B$8,2,TRUE)</f>
        <v>3000</v>
      </c>
      <c r="I36" s="54">
        <f t="shared" si="1"/>
        <v>750</v>
      </c>
      <c r="J36" s="56"/>
      <c r="K36" s="23"/>
      <c r="L36" s="23"/>
      <c r="M36" s="23"/>
      <c r="N36" s="23"/>
    </row>
    <row r="37" ht="15.75" customHeight="1">
      <c r="A37" s="48"/>
      <c r="B37" s="48"/>
      <c r="C37" s="48"/>
      <c r="D37" s="56"/>
      <c r="E37" s="56"/>
      <c r="F37" s="51" t="s">
        <v>21</v>
      </c>
      <c r="G37" s="52"/>
      <c r="H37" s="57">
        <f>VLOOKUP(F37,$A$9:$B$9,2,TRUE)</f>
        <v>500</v>
      </c>
      <c r="I37" s="54">
        <f t="shared" si="1"/>
        <v>0</v>
      </c>
      <c r="J37" s="56"/>
      <c r="K37" s="23"/>
      <c r="L37" s="23"/>
      <c r="M37" s="23"/>
      <c r="N37" s="23"/>
    </row>
    <row r="38" ht="15.75" customHeight="1">
      <c r="A38" s="48"/>
      <c r="B38" s="48"/>
      <c r="C38" s="48"/>
      <c r="D38" s="56"/>
      <c r="E38" s="56"/>
      <c r="F38" s="51" t="s">
        <v>22</v>
      </c>
      <c r="G38" s="52"/>
      <c r="H38" s="57">
        <f>VLOOKUP(F38,$A$10:$B$10,2,TRUE)</f>
        <v>1800</v>
      </c>
      <c r="I38" s="54">
        <f t="shared" si="1"/>
        <v>0</v>
      </c>
      <c r="J38" s="56"/>
      <c r="K38" s="23"/>
      <c r="L38" s="23"/>
      <c r="M38" s="23"/>
      <c r="N38" s="23"/>
    </row>
    <row r="39" ht="15.75" customHeight="1">
      <c r="A39" s="48"/>
      <c r="B39" s="48"/>
      <c r="C39" s="48"/>
      <c r="D39" s="56"/>
      <c r="E39" s="56"/>
      <c r="F39" s="51" t="s">
        <v>23</v>
      </c>
      <c r="G39" s="52"/>
      <c r="H39" s="57">
        <f>VLOOKUP(F39,$A$11:$B$11,2,TRUE)</f>
        <v>1500</v>
      </c>
      <c r="I39" s="54">
        <f t="shared" si="1"/>
        <v>0</v>
      </c>
      <c r="J39" s="56"/>
      <c r="K39" s="23"/>
      <c r="L39" s="23"/>
      <c r="M39" s="23"/>
      <c r="N39" s="23"/>
    </row>
    <row r="40" ht="15.75" customHeight="1">
      <c r="A40" s="48"/>
      <c r="B40" s="48"/>
      <c r="C40" s="48"/>
      <c r="D40" s="56"/>
      <c r="E40" s="56"/>
      <c r="F40" s="51" t="s">
        <v>24</v>
      </c>
      <c r="G40" s="52"/>
      <c r="H40" s="57">
        <f>VLOOKUP(F40,$A$12:$B$12,2,TRUE)</f>
        <v>1400</v>
      </c>
      <c r="I40" s="54">
        <f t="shared" si="1"/>
        <v>0</v>
      </c>
      <c r="J40" s="56"/>
      <c r="K40" s="23"/>
      <c r="L40" s="23"/>
      <c r="M40" s="23"/>
      <c r="N40" s="23"/>
    </row>
    <row r="41" ht="15.75" customHeight="1">
      <c r="A41" s="48"/>
      <c r="B41" s="48"/>
      <c r="C41" s="48"/>
      <c r="D41" s="56"/>
      <c r="E41" s="56"/>
      <c r="F41" s="51" t="s">
        <v>25</v>
      </c>
      <c r="G41" s="52"/>
      <c r="H41" s="57">
        <f>VLOOKUP(F41,$A$13:$B$13,2,TRUE)</f>
        <v>1000</v>
      </c>
      <c r="I41" s="54">
        <f t="shared" si="1"/>
        <v>0</v>
      </c>
      <c r="J41" s="56"/>
      <c r="K41" s="23"/>
      <c r="L41" s="23"/>
      <c r="M41" s="23"/>
      <c r="N41" s="23"/>
    </row>
    <row r="42" ht="15.75" customHeight="1">
      <c r="A42" s="48"/>
      <c r="B42" s="48"/>
      <c r="C42" s="48"/>
      <c r="D42" s="56"/>
      <c r="E42" s="56"/>
      <c r="F42" s="51" t="s">
        <v>26</v>
      </c>
      <c r="G42" s="52">
        <v>1.5</v>
      </c>
      <c r="H42" s="57">
        <f>VLOOKUP(F42,$A$14:$B$14,2,TRUE)</f>
        <v>500</v>
      </c>
      <c r="I42" s="54">
        <f t="shared" si="1"/>
        <v>750</v>
      </c>
      <c r="J42" s="56"/>
      <c r="K42" s="23"/>
      <c r="L42" s="23"/>
      <c r="M42" s="23"/>
      <c r="N42" s="23"/>
    </row>
    <row r="43" ht="15.75" customHeight="1">
      <c r="A43" s="48"/>
      <c r="B43" s="48"/>
      <c r="C43" s="48"/>
      <c r="D43" s="56"/>
      <c r="E43" s="56"/>
      <c r="F43" s="51" t="s">
        <v>27</v>
      </c>
      <c r="G43" s="52"/>
      <c r="H43" s="57">
        <f>VLOOKUP(F43,$A$15:$B$15,2,TRUE)</f>
        <v>7500</v>
      </c>
      <c r="I43" s="54">
        <f t="shared" si="1"/>
        <v>0</v>
      </c>
      <c r="J43" s="56"/>
      <c r="K43" s="23"/>
      <c r="L43" s="23"/>
      <c r="M43" s="23"/>
      <c r="N43" s="23"/>
    </row>
    <row r="44" ht="15.75" customHeight="1">
      <c r="A44" s="48"/>
      <c r="B44" s="48"/>
      <c r="C44" s="48"/>
      <c r="D44" s="56"/>
      <c r="E44" s="56"/>
      <c r="F44" s="51" t="s">
        <v>28</v>
      </c>
      <c r="G44" s="52"/>
      <c r="H44" s="57">
        <f>VLOOKUP(F44,$A$16:$B$16,2,TRUE)</f>
        <v>2000</v>
      </c>
      <c r="I44" s="54">
        <f t="shared" si="1"/>
        <v>0</v>
      </c>
      <c r="J44" s="56"/>
      <c r="K44" s="23"/>
      <c r="L44" s="23"/>
      <c r="M44" s="23"/>
      <c r="N44" s="23"/>
    </row>
    <row r="45" ht="15.75" customHeight="1">
      <c r="A45" s="48"/>
      <c r="B45" s="48"/>
      <c r="C45" s="48"/>
      <c r="D45" s="56"/>
      <c r="E45" s="56"/>
      <c r="F45" s="51" t="s">
        <v>29</v>
      </c>
      <c r="G45" s="52"/>
      <c r="H45" s="57">
        <f>VLOOKUP(F45,$A$17:$B$17,2,TRUE)</f>
        <v>1200</v>
      </c>
      <c r="I45" s="54">
        <f t="shared" si="1"/>
        <v>0</v>
      </c>
      <c r="J45" s="56"/>
      <c r="K45" s="23"/>
      <c r="L45" s="23"/>
      <c r="M45" s="23"/>
      <c r="N45" s="23"/>
    </row>
    <row r="46" ht="15.75" customHeight="1">
      <c r="A46" s="48"/>
      <c r="B46" s="48"/>
      <c r="C46" s="48"/>
      <c r="D46" s="56"/>
      <c r="E46" s="56"/>
      <c r="F46" s="51" t="s">
        <v>30</v>
      </c>
      <c r="G46" s="52"/>
      <c r="H46" s="57">
        <f>VLOOKUP(F46,$A$18:$B$18,2,TRUE)</f>
        <v>5000</v>
      </c>
      <c r="I46" s="54">
        <f t="shared" si="1"/>
        <v>0</v>
      </c>
      <c r="J46" s="56"/>
      <c r="K46" s="23"/>
      <c r="L46" s="23"/>
      <c r="M46" s="23"/>
      <c r="N46" s="23"/>
    </row>
    <row r="47" ht="15.75" customHeight="1">
      <c r="A47" s="48"/>
      <c r="B47" s="48"/>
      <c r="C47" s="48"/>
      <c r="D47" s="56"/>
      <c r="E47" s="56"/>
      <c r="F47" s="51" t="s">
        <v>31</v>
      </c>
      <c r="G47" s="52"/>
      <c r="H47" s="57">
        <f>VLOOKUP(F47,$A$19:$B$19,2,TRUE)</f>
        <v>2700</v>
      </c>
      <c r="I47" s="54">
        <f t="shared" si="1"/>
        <v>0</v>
      </c>
      <c r="J47" s="56"/>
      <c r="K47" s="23"/>
      <c r="L47" s="23"/>
      <c r="M47" s="23"/>
      <c r="N47" s="23"/>
    </row>
    <row r="48" ht="15.75" customHeight="1">
      <c r="A48" s="48"/>
      <c r="B48" s="48"/>
      <c r="C48" s="48"/>
      <c r="D48" s="56"/>
      <c r="E48" s="56"/>
      <c r="F48" s="51" t="s">
        <v>32</v>
      </c>
      <c r="G48" s="52"/>
      <c r="H48" s="57">
        <f>VLOOKUP(F48,$A$20:$B$20,2,TRUE)</f>
        <v>50000</v>
      </c>
      <c r="I48" s="54">
        <f t="shared" si="1"/>
        <v>0</v>
      </c>
      <c r="J48" s="56"/>
      <c r="K48" s="23"/>
      <c r="L48" s="23"/>
      <c r="M48" s="23"/>
      <c r="N48" s="23"/>
    </row>
    <row r="49" ht="15.75" customHeight="1">
      <c r="A49" s="48"/>
      <c r="B49" s="48"/>
      <c r="C49" s="48"/>
      <c r="D49" s="56"/>
      <c r="E49" s="56"/>
      <c r="F49" s="51" t="s">
        <v>33</v>
      </c>
      <c r="G49" s="52"/>
      <c r="H49" s="57">
        <f>VLOOKUP(F49,$A$21:$B$21,2,TRUE)</f>
        <v>10000</v>
      </c>
      <c r="I49" s="54">
        <f t="shared" si="1"/>
        <v>0</v>
      </c>
      <c r="J49" s="56"/>
      <c r="K49" s="23"/>
      <c r="L49" s="23"/>
      <c r="M49" s="23"/>
      <c r="N49" s="23"/>
    </row>
    <row r="50" ht="15.75" customHeight="1">
      <c r="A50" s="48"/>
      <c r="B50" s="48"/>
      <c r="C50" s="48"/>
      <c r="D50" s="56"/>
      <c r="E50" s="56"/>
      <c r="F50" s="51" t="s">
        <v>34</v>
      </c>
      <c r="G50" s="52"/>
      <c r="H50" s="57">
        <f>VLOOKUP(F50,$A$22:$B$22,2,TRUE)</f>
        <v>1000</v>
      </c>
      <c r="I50" s="54">
        <f t="shared" si="1"/>
        <v>0</v>
      </c>
      <c r="J50" s="56"/>
      <c r="K50" s="23"/>
      <c r="L50" s="23"/>
      <c r="M50" s="23"/>
      <c r="N50" s="23"/>
    </row>
    <row r="51" ht="15.75" customHeight="1">
      <c r="A51" s="48"/>
      <c r="B51" s="48"/>
      <c r="C51" s="48"/>
      <c r="D51" s="56"/>
      <c r="E51" s="56"/>
      <c r="F51" s="51" t="s">
        <v>35</v>
      </c>
      <c r="G51" s="52"/>
      <c r="H51" s="57">
        <f>VLOOKUP(F51,$A$23:$B$23,2,TRUE)</f>
        <v>500</v>
      </c>
      <c r="I51" s="54">
        <f t="shared" si="1"/>
        <v>0</v>
      </c>
      <c r="J51" s="56"/>
      <c r="K51" s="23"/>
      <c r="L51" s="23"/>
      <c r="M51" s="23"/>
      <c r="N51" s="23"/>
    </row>
    <row r="52" ht="15.75" customHeight="1">
      <c r="A52" s="48"/>
      <c r="B52" s="48"/>
      <c r="C52" s="48"/>
      <c r="D52" s="56"/>
      <c r="E52" s="56"/>
      <c r="F52" s="51" t="s">
        <v>36</v>
      </c>
      <c r="G52" s="52"/>
      <c r="H52" s="57">
        <f>VLOOKUP(F52,$A$24:$B$24,2,TRUE)</f>
        <v>200</v>
      </c>
      <c r="I52" s="54">
        <f t="shared" si="1"/>
        <v>0</v>
      </c>
      <c r="J52" s="56"/>
      <c r="K52" s="23"/>
      <c r="L52" s="23"/>
      <c r="M52" s="23"/>
      <c r="N52" s="23"/>
    </row>
    <row r="53" ht="15.75" customHeight="1">
      <c r="A53" s="48"/>
      <c r="B53" s="48"/>
      <c r="C53" s="48"/>
      <c r="D53" s="56"/>
      <c r="E53" s="56"/>
      <c r="F53" s="51" t="s">
        <v>37</v>
      </c>
      <c r="G53" s="52"/>
      <c r="H53" s="57">
        <f>VLOOKUP(F53,$A$25:$B$25,2,TRUE)</f>
        <v>1300</v>
      </c>
      <c r="I53" s="54">
        <f t="shared" si="1"/>
        <v>0</v>
      </c>
      <c r="J53" s="56"/>
      <c r="K53" s="23"/>
      <c r="L53" s="23"/>
      <c r="M53" s="23"/>
      <c r="N53" s="23"/>
    </row>
    <row r="54" ht="15.75" customHeight="1">
      <c r="A54" s="48"/>
      <c r="B54" s="48"/>
      <c r="C54" s="48"/>
      <c r="D54" s="56"/>
      <c r="E54" s="56"/>
      <c r="F54" s="51" t="s">
        <v>12</v>
      </c>
      <c r="G54" s="52"/>
      <c r="H54" s="57">
        <f>VLOOKUP(F54,$A$26:$B$26,2,TRUE)</f>
        <v>300</v>
      </c>
      <c r="I54" s="54">
        <f t="shared" si="1"/>
        <v>0</v>
      </c>
      <c r="J54" s="56"/>
      <c r="K54" s="23"/>
      <c r="L54" s="23"/>
      <c r="M54" s="23"/>
      <c r="N54" s="23"/>
    </row>
    <row r="55" ht="15.75" customHeight="1">
      <c r="A55" s="48"/>
      <c r="B55" s="48"/>
      <c r="C55" s="48"/>
      <c r="D55" s="56"/>
      <c r="E55" s="56"/>
      <c r="F55" s="51" t="s">
        <v>39</v>
      </c>
      <c r="G55" s="52"/>
      <c r="H55" s="57">
        <f>VLOOKUP(F55,$A$27:$B$27,2,TRUE)</f>
        <v>0</v>
      </c>
      <c r="I55" s="54">
        <f t="shared" si="1"/>
        <v>0</v>
      </c>
      <c r="J55" s="56"/>
      <c r="K55" s="23"/>
      <c r="L55" s="23"/>
      <c r="M55" s="23"/>
      <c r="N55" s="23"/>
    </row>
    <row r="56" ht="15.75" customHeight="1">
      <c r="A56" s="48"/>
      <c r="B56" s="48"/>
      <c r="C56" s="48"/>
      <c r="D56" s="56"/>
      <c r="E56" s="56"/>
      <c r="F56" s="51" t="s">
        <v>40</v>
      </c>
      <c r="G56" s="52"/>
      <c r="H56" s="57">
        <f>VLOOKUP(F55,$A$28:$B$28,2,TRUE)</f>
        <v>1700</v>
      </c>
      <c r="I56" s="54">
        <f t="shared" si="1"/>
        <v>0</v>
      </c>
      <c r="J56" s="56"/>
      <c r="K56" s="23"/>
      <c r="L56" s="23"/>
      <c r="M56" s="23"/>
      <c r="N56" s="23"/>
    </row>
    <row r="57" ht="15.75" customHeight="1">
      <c r="A57" s="48"/>
      <c r="B57" s="48"/>
      <c r="C57" s="48"/>
      <c r="D57" s="56"/>
      <c r="E57" s="56"/>
      <c r="F57" s="51" t="s">
        <v>14</v>
      </c>
      <c r="G57" s="52"/>
      <c r="H57" s="57">
        <f>VLOOKUP(F56,$A$29:$B$29,2,TRUE)</f>
        <v>4500</v>
      </c>
      <c r="I57" s="54">
        <f t="shared" si="1"/>
        <v>0</v>
      </c>
      <c r="J57" s="56"/>
      <c r="K57" s="23"/>
      <c r="L57" s="23"/>
      <c r="M57" s="23"/>
      <c r="N57" s="23"/>
    </row>
    <row r="58" ht="15.75" customHeight="1">
      <c r="A58" s="48"/>
      <c r="B58" s="48"/>
      <c r="C58" s="48"/>
      <c r="D58" s="10"/>
      <c r="E58" s="10"/>
      <c r="F58" s="51" t="s">
        <v>58</v>
      </c>
      <c r="G58" s="52">
        <v>1.0</v>
      </c>
      <c r="H58" s="57" t="str">
        <f>VLOOKUP(F57,$A$30:$B$30,2,TRUE)</f>
        <v/>
      </c>
      <c r="I58" s="54">
        <f t="shared" si="1"/>
        <v>0</v>
      </c>
      <c r="J58" s="10"/>
      <c r="K58" s="23"/>
      <c r="L58" s="23"/>
      <c r="M58" s="23"/>
      <c r="N58" s="23"/>
    </row>
    <row r="59" ht="15.75" customHeight="1">
      <c r="A59" s="48"/>
      <c r="B59" s="48"/>
      <c r="C59" s="48"/>
      <c r="D59" s="59" t="s">
        <v>60</v>
      </c>
      <c r="E59" s="60"/>
      <c r="F59" s="60"/>
      <c r="G59" s="60"/>
      <c r="H59" s="60"/>
      <c r="I59" s="61"/>
      <c r="J59" s="62">
        <f>SUM(J5:J58)</f>
        <v>33025</v>
      </c>
      <c r="K59" s="23"/>
      <c r="L59" s="23"/>
      <c r="M59" s="23"/>
      <c r="N59" s="23"/>
    </row>
    <row r="60" ht="15.75" customHeight="1">
      <c r="A60" s="22"/>
      <c r="B60" s="22"/>
      <c r="C60" s="22"/>
      <c r="D60" s="22"/>
      <c r="E60" s="22"/>
      <c r="F60" s="23"/>
      <c r="G60" s="23"/>
      <c r="H60" s="23"/>
      <c r="I60" s="23"/>
      <c r="J60" s="24"/>
      <c r="K60" s="23"/>
      <c r="L60" s="23"/>
      <c r="M60" s="23"/>
      <c r="N60" s="23"/>
    </row>
    <row r="61" ht="15.75" customHeight="1">
      <c r="A61" s="22"/>
      <c r="B61" s="22"/>
      <c r="C61" s="22"/>
      <c r="D61" s="22"/>
      <c r="E61" s="22"/>
      <c r="F61" s="23"/>
      <c r="G61" s="23"/>
      <c r="H61" s="23"/>
      <c r="I61" s="23"/>
      <c r="J61" s="24"/>
      <c r="K61" s="23"/>
      <c r="L61" s="23"/>
      <c r="M61" s="23"/>
      <c r="N61" s="23"/>
    </row>
    <row r="62" ht="15.75" customHeight="1">
      <c r="A62" s="22"/>
      <c r="B62" s="22"/>
      <c r="C62" s="22"/>
      <c r="D62" s="22"/>
      <c r="E62" s="22"/>
      <c r="F62" s="23"/>
      <c r="G62" s="23"/>
      <c r="H62" s="23"/>
      <c r="I62" s="23"/>
      <c r="J62" s="24"/>
      <c r="K62" s="23"/>
      <c r="L62" s="23"/>
      <c r="M62" s="23"/>
      <c r="N62" s="23"/>
    </row>
    <row r="63" ht="15.75" customHeight="1">
      <c r="A63" s="22"/>
      <c r="B63" s="22"/>
      <c r="C63" s="22"/>
      <c r="D63" s="22"/>
      <c r="E63" s="22"/>
      <c r="F63" s="23"/>
      <c r="G63" s="23"/>
      <c r="H63" s="23"/>
      <c r="I63" s="23"/>
      <c r="J63" s="24"/>
      <c r="K63" s="23"/>
      <c r="L63" s="23"/>
      <c r="M63" s="23"/>
      <c r="N63" s="23"/>
    </row>
    <row r="64" ht="15.75" customHeight="1">
      <c r="A64" s="22"/>
      <c r="B64" s="22"/>
      <c r="C64" s="22"/>
      <c r="D64" s="22"/>
      <c r="E64" s="22"/>
      <c r="F64" s="23"/>
      <c r="G64" s="23"/>
      <c r="H64" s="23"/>
      <c r="I64" s="23"/>
      <c r="J64" s="24"/>
      <c r="K64" s="23"/>
      <c r="L64" s="23"/>
      <c r="M64" s="23"/>
      <c r="N64" s="23"/>
    </row>
    <row r="65" ht="15.75" customHeight="1">
      <c r="A65" s="22"/>
      <c r="B65" s="22"/>
      <c r="C65" s="22"/>
      <c r="D65" s="22"/>
      <c r="E65" s="22"/>
      <c r="F65" s="23"/>
      <c r="G65" s="23"/>
      <c r="H65" s="23"/>
      <c r="I65" s="23"/>
      <c r="J65" s="24"/>
      <c r="K65" s="23"/>
      <c r="L65" s="23"/>
      <c r="M65" s="23"/>
      <c r="N65" s="23"/>
    </row>
    <row r="66" ht="15.75" customHeight="1">
      <c r="A66" s="22"/>
      <c r="B66" s="22"/>
      <c r="C66" s="22"/>
      <c r="D66" s="22"/>
      <c r="E66" s="22"/>
      <c r="F66" s="23"/>
      <c r="G66" s="23"/>
      <c r="H66" s="23"/>
      <c r="I66" s="23"/>
      <c r="J66" s="24"/>
      <c r="K66" s="23"/>
      <c r="L66" s="23"/>
      <c r="M66" s="23"/>
      <c r="N66" s="23"/>
    </row>
    <row r="67" ht="15.75" customHeight="1">
      <c r="A67" s="22"/>
      <c r="B67" s="22"/>
      <c r="C67" s="22"/>
      <c r="D67" s="22"/>
      <c r="E67" s="22"/>
      <c r="F67" s="23"/>
      <c r="G67" s="23"/>
      <c r="H67" s="23"/>
      <c r="I67" s="23"/>
      <c r="J67" s="24"/>
      <c r="K67" s="23"/>
      <c r="L67" s="23"/>
      <c r="M67" s="23"/>
      <c r="N67" s="23"/>
    </row>
    <row r="68" ht="15.75" customHeight="1">
      <c r="A68" s="22"/>
      <c r="B68" s="22"/>
      <c r="C68" s="22"/>
      <c r="D68" s="22"/>
      <c r="E68" s="22"/>
      <c r="J68" s="24"/>
    </row>
    <row r="69" ht="15.75" customHeight="1">
      <c r="A69" s="22"/>
      <c r="B69" s="22"/>
      <c r="C69" s="22"/>
      <c r="D69" s="22"/>
      <c r="E69" s="22"/>
      <c r="J69" s="24"/>
    </row>
    <row r="70" ht="15.75" customHeight="1">
      <c r="A70" s="22"/>
      <c r="B70" s="22"/>
      <c r="C70" s="22"/>
      <c r="D70" s="22"/>
      <c r="E70" s="22"/>
      <c r="J70" s="24"/>
    </row>
    <row r="71" ht="15.75" customHeight="1">
      <c r="A71" s="22"/>
      <c r="B71" s="22"/>
      <c r="C71" s="22"/>
      <c r="D71" s="22"/>
      <c r="E71" s="22"/>
      <c r="J71" s="24"/>
    </row>
    <row r="72" ht="15.75" customHeight="1">
      <c r="A72" s="22"/>
      <c r="B72" s="22"/>
      <c r="C72" s="22"/>
      <c r="D72" s="22"/>
      <c r="E72" s="22"/>
      <c r="J72" s="24"/>
    </row>
    <row r="73" ht="15.75" customHeight="1">
      <c r="A73" s="22"/>
      <c r="B73" s="22"/>
      <c r="C73" s="22"/>
      <c r="D73" s="22"/>
      <c r="E73" s="22"/>
      <c r="J73" s="24"/>
    </row>
    <row r="74" ht="15.75" customHeight="1">
      <c r="A74" s="22"/>
      <c r="B74" s="22"/>
      <c r="C74" s="22"/>
      <c r="D74" s="22"/>
      <c r="E74" s="22"/>
      <c r="J74" s="24"/>
    </row>
    <row r="75" ht="15.75" customHeight="1">
      <c r="A75" s="22"/>
      <c r="B75" s="22"/>
      <c r="C75" s="22"/>
      <c r="D75" s="22"/>
      <c r="E75" s="22"/>
      <c r="J75" s="24"/>
    </row>
    <row r="76" ht="15.75" customHeight="1">
      <c r="A76" s="22"/>
      <c r="B76" s="22"/>
      <c r="C76" s="22"/>
      <c r="D76" s="22"/>
      <c r="E76" s="22"/>
      <c r="J76" s="24"/>
    </row>
    <row r="77" ht="15.75" customHeight="1">
      <c r="A77" s="22"/>
      <c r="B77" s="22"/>
      <c r="C77" s="22"/>
      <c r="D77" s="22"/>
      <c r="E77" s="22"/>
      <c r="J77" s="24"/>
    </row>
    <row r="78" ht="15.75" customHeight="1">
      <c r="A78" s="22"/>
      <c r="B78" s="22"/>
      <c r="C78" s="22"/>
      <c r="D78" s="22"/>
      <c r="E78" s="22"/>
      <c r="J78" s="24"/>
    </row>
    <row r="79" ht="15.75" customHeight="1">
      <c r="A79" s="22"/>
      <c r="B79" s="22"/>
      <c r="C79" s="22"/>
      <c r="D79" s="22"/>
      <c r="E79" s="22"/>
      <c r="J79" s="24"/>
    </row>
    <row r="80" ht="15.75" customHeight="1">
      <c r="A80" s="22"/>
      <c r="B80" s="22"/>
      <c r="C80" s="22"/>
      <c r="D80" s="22"/>
      <c r="E80" s="22"/>
      <c r="J80" s="24"/>
    </row>
    <row r="81" ht="15.75" customHeight="1">
      <c r="A81" s="22"/>
      <c r="B81" s="22"/>
      <c r="C81" s="22"/>
      <c r="D81" s="22"/>
      <c r="E81" s="22"/>
      <c r="J81" s="24"/>
    </row>
    <row r="82" ht="15.75" customHeight="1">
      <c r="A82" s="22"/>
      <c r="B82" s="22"/>
      <c r="C82" s="22"/>
      <c r="D82" s="22"/>
      <c r="E82" s="22"/>
      <c r="J82" s="24"/>
    </row>
    <row r="83" ht="15.75" customHeight="1">
      <c r="A83" s="22"/>
      <c r="B83" s="22"/>
      <c r="C83" s="22"/>
      <c r="D83" s="22"/>
      <c r="E83" s="22"/>
      <c r="J83" s="24"/>
    </row>
    <row r="84" ht="15.75" customHeight="1">
      <c r="A84" s="22"/>
      <c r="B84" s="22"/>
      <c r="C84" s="22"/>
      <c r="D84" s="22"/>
      <c r="E84" s="22"/>
      <c r="J84" s="24"/>
    </row>
    <row r="85" ht="15.75" customHeight="1">
      <c r="A85" s="22"/>
      <c r="B85" s="22"/>
      <c r="C85" s="22"/>
      <c r="D85" s="22"/>
      <c r="E85" s="22"/>
      <c r="J85" s="24"/>
    </row>
    <row r="86" ht="15.75" customHeight="1">
      <c r="A86" s="22"/>
      <c r="B86" s="22"/>
      <c r="C86" s="22"/>
      <c r="D86" s="22"/>
      <c r="E86" s="22"/>
      <c r="J86" s="24"/>
    </row>
    <row r="87" ht="15.75" customHeight="1">
      <c r="A87" s="22"/>
      <c r="B87" s="22"/>
      <c r="C87" s="22"/>
      <c r="D87" s="22"/>
      <c r="E87" s="22"/>
      <c r="J87" s="24"/>
    </row>
    <row r="88" ht="15.75" customHeight="1">
      <c r="A88" s="22"/>
      <c r="B88" s="22"/>
      <c r="C88" s="22"/>
      <c r="D88" s="22"/>
      <c r="E88" s="22"/>
      <c r="J88" s="24"/>
    </row>
    <row r="89" ht="15.75" customHeight="1">
      <c r="A89" s="22"/>
      <c r="B89" s="22"/>
      <c r="C89" s="22"/>
      <c r="D89" s="22"/>
      <c r="E89" s="22"/>
      <c r="J89" s="24"/>
    </row>
    <row r="90" ht="15.75" customHeight="1">
      <c r="A90" s="22"/>
      <c r="B90" s="22"/>
      <c r="C90" s="22"/>
      <c r="D90" s="22"/>
      <c r="E90" s="22"/>
      <c r="J90" s="24"/>
    </row>
    <row r="91" ht="15.75" customHeight="1">
      <c r="A91" s="22"/>
      <c r="B91" s="22"/>
      <c r="C91" s="22"/>
      <c r="D91" s="22"/>
      <c r="E91" s="22"/>
      <c r="J91" s="24"/>
    </row>
    <row r="92" ht="15.75" customHeight="1">
      <c r="A92" s="22"/>
      <c r="B92" s="22"/>
      <c r="C92" s="22"/>
      <c r="D92" s="22"/>
      <c r="E92" s="22"/>
      <c r="J92" s="24"/>
    </row>
    <row r="93" ht="15.75" customHeight="1">
      <c r="A93" s="22"/>
      <c r="B93" s="22"/>
      <c r="C93" s="22"/>
      <c r="D93" s="22"/>
      <c r="E93" s="22"/>
      <c r="J93" s="24"/>
    </row>
    <row r="94" ht="15.75" customHeight="1">
      <c r="A94" s="22"/>
      <c r="B94" s="22"/>
      <c r="C94" s="22"/>
      <c r="D94" s="22"/>
      <c r="E94" s="22"/>
      <c r="J94" s="24"/>
    </row>
    <row r="95" ht="15.75" customHeight="1">
      <c r="A95" s="22"/>
      <c r="B95" s="22"/>
      <c r="C95" s="22"/>
      <c r="D95" s="22"/>
      <c r="E95" s="22"/>
      <c r="J95" s="24"/>
    </row>
    <row r="96" ht="15.75" customHeight="1">
      <c r="A96" s="22"/>
      <c r="B96" s="22"/>
      <c r="C96" s="22"/>
      <c r="D96" s="22"/>
      <c r="E96" s="22"/>
      <c r="J96" s="24"/>
    </row>
    <row r="97" ht="15.75" customHeight="1">
      <c r="A97" s="22"/>
      <c r="B97" s="22"/>
      <c r="C97" s="22"/>
      <c r="D97" s="22"/>
      <c r="E97" s="22"/>
      <c r="J97" s="24"/>
    </row>
    <row r="98" ht="15.75" customHeight="1">
      <c r="A98" s="22"/>
      <c r="B98" s="22"/>
      <c r="C98" s="22"/>
      <c r="D98" s="22"/>
      <c r="E98" s="22"/>
      <c r="J98" s="24"/>
    </row>
    <row r="99" ht="15.75" customHeight="1">
      <c r="A99" s="22"/>
      <c r="B99" s="22"/>
      <c r="C99" s="22"/>
      <c r="D99" s="22"/>
      <c r="E99" s="22"/>
      <c r="J99" s="24"/>
    </row>
    <row r="100" ht="15.75" customHeight="1">
      <c r="A100" s="22"/>
      <c r="B100" s="22"/>
      <c r="C100" s="22"/>
      <c r="D100" s="22"/>
      <c r="E100" s="22"/>
      <c r="J100" s="24"/>
    </row>
    <row r="101" ht="15.75" customHeight="1">
      <c r="A101" s="22"/>
      <c r="B101" s="22"/>
      <c r="C101" s="22"/>
      <c r="D101" s="22"/>
      <c r="E101" s="22"/>
      <c r="J101" s="24"/>
    </row>
    <row r="102" ht="15.75" customHeight="1">
      <c r="A102" s="22"/>
      <c r="B102" s="22"/>
      <c r="C102" s="22"/>
      <c r="D102" s="22"/>
      <c r="E102" s="22"/>
      <c r="J102" s="24"/>
    </row>
    <row r="103" ht="15.75" customHeight="1">
      <c r="A103" s="22"/>
      <c r="B103" s="22"/>
      <c r="C103" s="22"/>
      <c r="D103" s="22"/>
      <c r="E103" s="22"/>
      <c r="J103" s="24"/>
    </row>
    <row r="104" ht="15.75" customHeight="1">
      <c r="A104" s="22"/>
      <c r="B104" s="22"/>
      <c r="C104" s="22"/>
      <c r="D104" s="22"/>
      <c r="E104" s="22"/>
      <c r="J104" s="24"/>
    </row>
    <row r="105" ht="15.75" customHeight="1">
      <c r="A105" s="22"/>
      <c r="B105" s="22"/>
      <c r="C105" s="22"/>
      <c r="D105" s="22"/>
      <c r="E105" s="22"/>
      <c r="J105" s="24"/>
    </row>
    <row r="106" ht="15.75" customHeight="1">
      <c r="A106" s="22"/>
      <c r="B106" s="22"/>
      <c r="C106" s="22"/>
      <c r="D106" s="22"/>
      <c r="E106" s="22"/>
      <c r="J106" s="24"/>
    </row>
    <row r="107" ht="15.75" customHeight="1">
      <c r="A107" s="22"/>
      <c r="B107" s="22"/>
      <c r="C107" s="22"/>
      <c r="D107" s="22"/>
      <c r="E107" s="22"/>
      <c r="J107" s="24"/>
    </row>
    <row r="108" ht="15.75" customHeight="1">
      <c r="A108" s="22"/>
      <c r="B108" s="22"/>
      <c r="C108" s="22"/>
      <c r="D108" s="22"/>
      <c r="E108" s="22"/>
      <c r="J108" s="24"/>
    </row>
    <row r="109" ht="15.75" customHeight="1">
      <c r="A109" s="22"/>
      <c r="B109" s="22"/>
      <c r="C109" s="22"/>
      <c r="D109" s="22"/>
      <c r="E109" s="22"/>
      <c r="J109" s="24"/>
    </row>
    <row r="110" ht="15.75" customHeight="1">
      <c r="A110" s="22"/>
      <c r="B110" s="22"/>
      <c r="C110" s="22"/>
      <c r="D110" s="22"/>
      <c r="E110" s="22"/>
      <c r="J110" s="24"/>
    </row>
    <row r="111" ht="15.75" customHeight="1">
      <c r="A111" s="22"/>
      <c r="B111" s="22"/>
      <c r="C111" s="22"/>
      <c r="D111" s="22"/>
      <c r="E111" s="22"/>
      <c r="J111" s="24"/>
    </row>
    <row r="112" ht="15.75" customHeight="1">
      <c r="A112" s="22"/>
      <c r="B112" s="22"/>
      <c r="C112" s="22"/>
      <c r="D112" s="22"/>
      <c r="E112" s="22"/>
      <c r="J112" s="24"/>
    </row>
    <row r="113" ht="15.75" customHeight="1">
      <c r="A113" s="22"/>
      <c r="B113" s="22"/>
      <c r="C113" s="22"/>
      <c r="D113" s="22"/>
      <c r="E113" s="22"/>
      <c r="J113" s="24"/>
    </row>
    <row r="114" ht="15.75" customHeight="1">
      <c r="A114" s="22"/>
      <c r="B114" s="22"/>
      <c r="C114" s="22"/>
      <c r="D114" s="22"/>
      <c r="E114" s="22"/>
      <c r="J114" s="24"/>
    </row>
    <row r="115" ht="15.75" customHeight="1">
      <c r="A115" s="22"/>
      <c r="B115" s="22"/>
      <c r="C115" s="22"/>
      <c r="D115" s="22"/>
      <c r="E115" s="22"/>
      <c r="J115" s="24"/>
    </row>
    <row r="116" ht="15.75" customHeight="1">
      <c r="A116" s="22"/>
      <c r="B116" s="22"/>
      <c r="C116" s="22"/>
      <c r="D116" s="22"/>
      <c r="E116" s="22"/>
      <c r="J116" s="24"/>
    </row>
    <row r="117" ht="15.75" customHeight="1">
      <c r="A117" s="22"/>
      <c r="B117" s="22"/>
      <c r="C117" s="22"/>
      <c r="D117" s="22"/>
      <c r="E117" s="22"/>
      <c r="J117" s="24"/>
    </row>
    <row r="118" ht="15.75" customHeight="1">
      <c r="A118" s="22"/>
      <c r="B118" s="22"/>
      <c r="C118" s="22"/>
      <c r="D118" s="22"/>
      <c r="E118" s="22"/>
      <c r="J118" s="24"/>
    </row>
    <row r="119" ht="15.75" customHeight="1">
      <c r="A119" s="22"/>
      <c r="B119" s="22"/>
      <c r="C119" s="22"/>
      <c r="D119" s="22"/>
      <c r="E119" s="22"/>
      <c r="J119" s="24"/>
    </row>
    <row r="120" ht="15.75" customHeight="1">
      <c r="A120" s="22"/>
      <c r="B120" s="22"/>
      <c r="C120" s="22"/>
      <c r="D120" s="22"/>
      <c r="E120" s="22"/>
      <c r="J120" s="24"/>
    </row>
    <row r="121" ht="15.75" customHeight="1">
      <c r="A121" s="22"/>
      <c r="B121" s="22"/>
      <c r="C121" s="22"/>
      <c r="D121" s="22"/>
      <c r="E121" s="22"/>
      <c r="J121" s="24"/>
    </row>
    <row r="122" ht="15.75" customHeight="1">
      <c r="A122" s="22"/>
      <c r="B122" s="22"/>
      <c r="C122" s="22"/>
      <c r="D122" s="22"/>
      <c r="E122" s="22"/>
      <c r="J122" s="24"/>
    </row>
    <row r="123" ht="15.75" customHeight="1">
      <c r="A123" s="22"/>
      <c r="B123" s="22"/>
      <c r="C123" s="22"/>
      <c r="D123" s="22"/>
      <c r="E123" s="22"/>
      <c r="J123" s="24"/>
    </row>
    <row r="124" ht="15.75" customHeight="1">
      <c r="A124" s="22"/>
      <c r="B124" s="22"/>
      <c r="C124" s="22"/>
      <c r="D124" s="22"/>
      <c r="E124" s="22"/>
      <c r="J124" s="24"/>
    </row>
    <row r="125" ht="15.75" customHeight="1">
      <c r="A125" s="22"/>
      <c r="B125" s="22"/>
      <c r="C125" s="22"/>
      <c r="D125" s="22"/>
      <c r="E125" s="22"/>
      <c r="J125" s="24"/>
    </row>
    <row r="126" ht="15.75" customHeight="1">
      <c r="A126" s="22"/>
      <c r="B126" s="22"/>
      <c r="C126" s="22"/>
      <c r="D126" s="22"/>
      <c r="E126" s="22"/>
      <c r="J126" s="24"/>
    </row>
    <row r="127" ht="15.75" customHeight="1">
      <c r="A127" s="22"/>
      <c r="B127" s="22"/>
      <c r="C127" s="22"/>
      <c r="D127" s="22"/>
      <c r="E127" s="22"/>
      <c r="J127" s="24"/>
    </row>
    <row r="128" ht="15.75" customHeight="1">
      <c r="A128" s="22"/>
      <c r="B128" s="22"/>
      <c r="C128" s="22"/>
      <c r="D128" s="22"/>
      <c r="E128" s="22"/>
      <c r="J128" s="24"/>
    </row>
    <row r="129" ht="15.75" customHeight="1">
      <c r="A129" s="22"/>
      <c r="B129" s="22"/>
      <c r="C129" s="22"/>
      <c r="D129" s="22"/>
      <c r="E129" s="22"/>
      <c r="J129" s="24"/>
    </row>
    <row r="130" ht="15.75" customHeight="1">
      <c r="A130" s="22"/>
      <c r="B130" s="22"/>
      <c r="C130" s="22"/>
      <c r="D130" s="22"/>
      <c r="E130" s="22"/>
      <c r="J130" s="24"/>
    </row>
    <row r="131" ht="15.75" customHeight="1">
      <c r="A131" s="22"/>
      <c r="B131" s="22"/>
      <c r="C131" s="22"/>
      <c r="D131" s="22"/>
      <c r="E131" s="22"/>
      <c r="J131" s="24"/>
    </row>
    <row r="132" ht="15.75" customHeight="1">
      <c r="A132" s="22"/>
      <c r="B132" s="22"/>
      <c r="C132" s="22"/>
      <c r="D132" s="22"/>
      <c r="E132" s="22"/>
      <c r="J132" s="24"/>
    </row>
    <row r="133" ht="15.75" customHeight="1">
      <c r="A133" s="22"/>
      <c r="B133" s="22"/>
      <c r="C133" s="22"/>
      <c r="D133" s="22"/>
      <c r="E133" s="22"/>
      <c r="J133" s="24"/>
    </row>
    <row r="134" ht="15.75" customHeight="1">
      <c r="A134" s="22"/>
      <c r="B134" s="22"/>
      <c r="C134" s="22"/>
      <c r="D134" s="22"/>
      <c r="E134" s="22"/>
      <c r="J134" s="24"/>
    </row>
    <row r="135" ht="15.75" customHeight="1">
      <c r="A135" s="22"/>
      <c r="B135" s="22"/>
      <c r="C135" s="22"/>
      <c r="D135" s="22"/>
      <c r="E135" s="22"/>
      <c r="J135" s="24"/>
    </row>
    <row r="136" ht="15.75" customHeight="1">
      <c r="A136" s="22"/>
      <c r="B136" s="22"/>
      <c r="C136" s="22"/>
      <c r="D136" s="22"/>
      <c r="E136" s="22"/>
      <c r="J136" s="24"/>
    </row>
    <row r="137" ht="15.75" customHeight="1">
      <c r="A137" s="22"/>
      <c r="B137" s="22"/>
      <c r="C137" s="22"/>
      <c r="D137" s="22"/>
      <c r="E137" s="22"/>
      <c r="J137" s="24"/>
    </row>
    <row r="138" ht="15.75" customHeight="1">
      <c r="A138" s="22"/>
      <c r="B138" s="22"/>
      <c r="C138" s="22"/>
      <c r="D138" s="22"/>
      <c r="E138" s="22"/>
      <c r="J138" s="24"/>
    </row>
    <row r="139" ht="15.75" customHeight="1">
      <c r="A139" s="22"/>
      <c r="B139" s="22"/>
      <c r="C139" s="22"/>
      <c r="D139" s="22"/>
      <c r="E139" s="22"/>
      <c r="J139" s="24"/>
    </row>
    <row r="140" ht="15.75" customHeight="1">
      <c r="A140" s="22"/>
      <c r="B140" s="22"/>
      <c r="C140" s="22"/>
      <c r="D140" s="22"/>
      <c r="E140" s="22"/>
      <c r="J140" s="24"/>
    </row>
    <row r="141" ht="15.75" customHeight="1">
      <c r="A141" s="22"/>
      <c r="B141" s="22"/>
      <c r="C141" s="22"/>
      <c r="D141" s="22"/>
      <c r="E141" s="22"/>
      <c r="J141" s="24"/>
    </row>
    <row r="142" ht="15.75" customHeight="1">
      <c r="A142" s="22"/>
      <c r="B142" s="22"/>
      <c r="C142" s="22"/>
      <c r="D142" s="22"/>
      <c r="E142" s="22"/>
      <c r="J142" s="24"/>
    </row>
    <row r="143" ht="15.75" customHeight="1">
      <c r="A143" s="22"/>
      <c r="B143" s="22"/>
      <c r="C143" s="22"/>
      <c r="D143" s="22"/>
      <c r="E143" s="22"/>
      <c r="J143" s="24"/>
    </row>
    <row r="144" ht="15.75" customHeight="1">
      <c r="A144" s="22"/>
      <c r="B144" s="22"/>
      <c r="C144" s="22"/>
      <c r="D144" s="22"/>
      <c r="E144" s="22"/>
      <c r="J144" s="24"/>
    </row>
    <row r="145" ht="15.75" customHeight="1">
      <c r="A145" s="22"/>
      <c r="B145" s="22"/>
      <c r="C145" s="22"/>
      <c r="D145" s="22"/>
      <c r="E145" s="22"/>
      <c r="J145" s="24"/>
    </row>
    <row r="146" ht="15.75" customHeight="1">
      <c r="A146" s="22"/>
      <c r="B146" s="22"/>
      <c r="C146" s="22"/>
      <c r="D146" s="22"/>
      <c r="E146" s="22"/>
      <c r="J146" s="24"/>
    </row>
    <row r="147" ht="15.75" customHeight="1">
      <c r="A147" s="22"/>
      <c r="B147" s="22"/>
      <c r="C147" s="22"/>
      <c r="D147" s="22"/>
      <c r="E147" s="22"/>
      <c r="J147" s="24"/>
    </row>
    <row r="148" ht="15.75" customHeight="1">
      <c r="A148" s="22"/>
      <c r="B148" s="22"/>
      <c r="C148" s="22"/>
      <c r="D148" s="22"/>
      <c r="E148" s="22"/>
      <c r="J148" s="24"/>
    </row>
    <row r="149" ht="15.75" customHeight="1">
      <c r="A149" s="22"/>
      <c r="B149" s="22"/>
      <c r="C149" s="22"/>
      <c r="D149" s="22"/>
      <c r="E149" s="22"/>
      <c r="J149" s="24"/>
    </row>
    <row r="150" ht="15.75" customHeight="1">
      <c r="A150" s="22"/>
      <c r="B150" s="22"/>
      <c r="C150" s="22"/>
      <c r="D150" s="22"/>
      <c r="E150" s="22"/>
      <c r="J150" s="24"/>
    </row>
    <row r="151" ht="15.75" customHeight="1">
      <c r="A151" s="22"/>
      <c r="B151" s="22"/>
      <c r="C151" s="22"/>
      <c r="D151" s="22"/>
      <c r="E151" s="22"/>
      <c r="J151" s="24"/>
    </row>
    <row r="152" ht="15.75" customHeight="1">
      <c r="A152" s="22"/>
      <c r="B152" s="22"/>
      <c r="C152" s="22"/>
      <c r="D152" s="22"/>
      <c r="E152" s="22"/>
      <c r="J152" s="24"/>
    </row>
    <row r="153" ht="15.75" customHeight="1">
      <c r="A153" s="22"/>
      <c r="B153" s="22"/>
      <c r="C153" s="22"/>
      <c r="D153" s="22"/>
      <c r="E153" s="22"/>
      <c r="J153" s="24"/>
    </row>
    <row r="154" ht="15.75" customHeight="1">
      <c r="A154" s="22"/>
      <c r="B154" s="22"/>
      <c r="C154" s="22"/>
      <c r="D154" s="22"/>
      <c r="E154" s="22"/>
      <c r="J154" s="24"/>
    </row>
    <row r="155" ht="15.75" customHeight="1">
      <c r="A155" s="22"/>
      <c r="B155" s="22"/>
      <c r="C155" s="22"/>
      <c r="D155" s="22"/>
      <c r="E155" s="22"/>
      <c r="J155" s="24"/>
    </row>
    <row r="156" ht="15.75" customHeight="1">
      <c r="A156" s="22"/>
      <c r="B156" s="22"/>
      <c r="C156" s="22"/>
      <c r="D156" s="22"/>
      <c r="E156" s="22"/>
      <c r="J156" s="24"/>
    </row>
    <row r="157" ht="15.75" customHeight="1">
      <c r="A157" s="22"/>
      <c r="B157" s="22"/>
      <c r="C157" s="22"/>
      <c r="D157" s="22"/>
      <c r="E157" s="22"/>
      <c r="J157" s="24"/>
    </row>
    <row r="158" ht="15.75" customHeight="1">
      <c r="A158" s="22"/>
      <c r="B158" s="22"/>
      <c r="C158" s="22"/>
      <c r="D158" s="22"/>
      <c r="E158" s="22"/>
      <c r="J158" s="24"/>
    </row>
    <row r="159" ht="15.75" customHeight="1">
      <c r="A159" s="22"/>
      <c r="B159" s="22"/>
      <c r="C159" s="22"/>
      <c r="D159" s="22"/>
      <c r="E159" s="22"/>
      <c r="J159" s="24"/>
    </row>
    <row r="160" ht="15.75" customHeight="1">
      <c r="A160" s="22"/>
      <c r="B160" s="22"/>
      <c r="C160" s="22"/>
      <c r="D160" s="22"/>
      <c r="E160" s="22"/>
      <c r="J160" s="24"/>
    </row>
    <row r="161" ht="15.75" customHeight="1">
      <c r="A161" s="22"/>
      <c r="B161" s="22"/>
      <c r="C161" s="22"/>
      <c r="D161" s="22"/>
      <c r="E161" s="22"/>
      <c r="J161" s="24"/>
    </row>
    <row r="162" ht="15.75" customHeight="1">
      <c r="A162" s="22"/>
      <c r="B162" s="22"/>
      <c r="C162" s="22"/>
      <c r="D162" s="22"/>
      <c r="E162" s="22"/>
      <c r="J162" s="24"/>
    </row>
    <row r="163" ht="15.75" customHeight="1">
      <c r="A163" s="22"/>
      <c r="B163" s="22"/>
      <c r="C163" s="22"/>
      <c r="D163" s="22"/>
      <c r="E163" s="22"/>
      <c r="J163" s="24"/>
    </row>
    <row r="164" ht="15.75" customHeight="1">
      <c r="A164" s="22"/>
      <c r="B164" s="22"/>
      <c r="C164" s="22"/>
      <c r="D164" s="22"/>
      <c r="E164" s="22"/>
      <c r="J164" s="24"/>
    </row>
    <row r="165" ht="15.75" customHeight="1">
      <c r="A165" s="22"/>
      <c r="B165" s="22"/>
      <c r="C165" s="22"/>
      <c r="D165" s="22"/>
      <c r="E165" s="22"/>
      <c r="J165" s="24"/>
    </row>
    <row r="166" ht="15.75" customHeight="1">
      <c r="A166" s="22"/>
      <c r="B166" s="22"/>
      <c r="C166" s="22"/>
      <c r="D166" s="22"/>
      <c r="E166" s="22"/>
      <c r="J166" s="24"/>
    </row>
    <row r="167" ht="15.75" customHeight="1">
      <c r="A167" s="22"/>
      <c r="B167" s="22"/>
      <c r="C167" s="22"/>
      <c r="D167" s="22"/>
      <c r="E167" s="22"/>
      <c r="J167" s="24"/>
    </row>
    <row r="168" ht="15.75" customHeight="1">
      <c r="A168" s="22"/>
      <c r="B168" s="22"/>
      <c r="C168" s="22"/>
      <c r="D168" s="22"/>
      <c r="E168" s="22"/>
      <c r="J168" s="24"/>
    </row>
    <row r="169" ht="15.75" customHeight="1">
      <c r="A169" s="22"/>
      <c r="B169" s="22"/>
      <c r="C169" s="22"/>
      <c r="D169" s="22"/>
      <c r="E169" s="22"/>
      <c r="J169" s="24"/>
    </row>
    <row r="170" ht="15.75" customHeight="1">
      <c r="A170" s="22"/>
      <c r="B170" s="22"/>
      <c r="C170" s="22"/>
      <c r="D170" s="22"/>
      <c r="E170" s="22"/>
      <c r="J170" s="24"/>
    </row>
    <row r="171" ht="15.75" customHeight="1">
      <c r="A171" s="22"/>
      <c r="B171" s="22"/>
      <c r="C171" s="22"/>
      <c r="D171" s="22"/>
      <c r="E171" s="22"/>
      <c r="J171" s="24"/>
    </row>
    <row r="172" ht="15.75" customHeight="1">
      <c r="A172" s="22"/>
      <c r="B172" s="22"/>
      <c r="C172" s="22"/>
      <c r="D172" s="22"/>
      <c r="E172" s="22"/>
      <c r="J172" s="24"/>
    </row>
    <row r="173" ht="15.75" customHeight="1">
      <c r="A173" s="22"/>
      <c r="B173" s="22"/>
      <c r="C173" s="22"/>
      <c r="D173" s="22"/>
      <c r="E173" s="22"/>
      <c r="J173" s="24"/>
    </row>
    <row r="174" ht="15.75" customHeight="1">
      <c r="A174" s="22"/>
      <c r="B174" s="22"/>
      <c r="C174" s="22"/>
      <c r="D174" s="22"/>
      <c r="E174" s="22"/>
      <c r="J174" s="24"/>
    </row>
    <row r="175" ht="15.75" customHeight="1">
      <c r="A175" s="22"/>
      <c r="B175" s="22"/>
      <c r="C175" s="22"/>
      <c r="D175" s="22"/>
      <c r="E175" s="22"/>
      <c r="J175" s="24"/>
    </row>
    <row r="176" ht="15.75" customHeight="1">
      <c r="A176" s="22"/>
      <c r="B176" s="22"/>
      <c r="C176" s="22"/>
      <c r="D176" s="22"/>
      <c r="E176" s="22"/>
      <c r="J176" s="24"/>
    </row>
    <row r="177" ht="15.75" customHeight="1">
      <c r="A177" s="22"/>
      <c r="B177" s="22"/>
      <c r="C177" s="22"/>
      <c r="D177" s="22"/>
      <c r="E177" s="22"/>
      <c r="J177" s="24"/>
    </row>
    <row r="178" ht="15.75" customHeight="1">
      <c r="A178" s="22"/>
      <c r="B178" s="22"/>
      <c r="C178" s="22"/>
      <c r="D178" s="22"/>
      <c r="E178" s="22"/>
      <c r="J178" s="24"/>
    </row>
    <row r="179" ht="15.75" customHeight="1">
      <c r="A179" s="22"/>
      <c r="B179" s="22"/>
      <c r="C179" s="22"/>
      <c r="D179" s="22"/>
      <c r="E179" s="22"/>
      <c r="J179" s="24"/>
    </row>
    <row r="180" ht="15.75" customHeight="1">
      <c r="A180" s="22"/>
      <c r="B180" s="22"/>
      <c r="C180" s="22"/>
      <c r="D180" s="22"/>
      <c r="E180" s="22"/>
      <c r="J180" s="24"/>
    </row>
    <row r="181" ht="15.75" customHeight="1">
      <c r="A181" s="22"/>
      <c r="B181" s="22"/>
      <c r="C181" s="22"/>
      <c r="D181" s="22"/>
      <c r="E181" s="22"/>
      <c r="J181" s="24"/>
    </row>
    <row r="182" ht="15.75" customHeight="1">
      <c r="A182" s="22"/>
      <c r="B182" s="22"/>
      <c r="C182" s="22"/>
      <c r="D182" s="22"/>
      <c r="E182" s="22"/>
      <c r="J182" s="24"/>
    </row>
    <row r="183" ht="15.75" customHeight="1">
      <c r="A183" s="22"/>
      <c r="B183" s="22"/>
      <c r="C183" s="22"/>
      <c r="D183" s="22"/>
      <c r="E183" s="22"/>
      <c r="J183" s="24"/>
    </row>
    <row r="184" ht="15.75" customHeight="1">
      <c r="A184" s="22"/>
      <c r="B184" s="22"/>
      <c r="C184" s="22"/>
      <c r="D184" s="22"/>
      <c r="E184" s="22"/>
      <c r="J184" s="24"/>
    </row>
    <row r="185" ht="15.75" customHeight="1">
      <c r="A185" s="22"/>
      <c r="B185" s="22"/>
      <c r="C185" s="22"/>
      <c r="D185" s="22"/>
      <c r="E185" s="22"/>
      <c r="J185" s="24"/>
    </row>
    <row r="186" ht="15.75" customHeight="1">
      <c r="A186" s="22"/>
      <c r="B186" s="22"/>
      <c r="C186" s="22"/>
      <c r="D186" s="22"/>
      <c r="E186" s="22"/>
      <c r="J186" s="24"/>
    </row>
    <row r="187" ht="15.75" customHeight="1">
      <c r="A187" s="22"/>
      <c r="B187" s="22"/>
      <c r="C187" s="22"/>
      <c r="D187" s="22"/>
      <c r="E187" s="22"/>
      <c r="J187" s="24"/>
    </row>
    <row r="188" ht="15.75" customHeight="1">
      <c r="A188" s="22"/>
      <c r="B188" s="22"/>
      <c r="C188" s="22"/>
      <c r="D188" s="22"/>
      <c r="E188" s="22"/>
      <c r="J188" s="24"/>
    </row>
    <row r="189" ht="15.75" customHeight="1">
      <c r="A189" s="22"/>
      <c r="B189" s="22"/>
      <c r="C189" s="22"/>
      <c r="D189" s="22"/>
      <c r="E189" s="22"/>
      <c r="J189" s="24"/>
    </row>
    <row r="190" ht="15.75" customHeight="1">
      <c r="A190" s="22"/>
      <c r="B190" s="22"/>
      <c r="C190" s="22"/>
      <c r="D190" s="22"/>
      <c r="E190" s="22"/>
      <c r="J190" s="24"/>
    </row>
    <row r="191" ht="15.75" customHeight="1">
      <c r="A191" s="22"/>
      <c r="B191" s="22"/>
      <c r="C191" s="22"/>
      <c r="D191" s="22"/>
      <c r="E191" s="22"/>
      <c r="J191" s="24"/>
    </row>
    <row r="192" ht="15.75" customHeight="1">
      <c r="A192" s="22"/>
      <c r="B192" s="22"/>
      <c r="C192" s="22"/>
      <c r="D192" s="22"/>
      <c r="E192" s="22"/>
      <c r="J192" s="24"/>
    </row>
    <row r="193" ht="15.75" customHeight="1">
      <c r="A193" s="22"/>
      <c r="B193" s="22"/>
      <c r="C193" s="22"/>
      <c r="D193" s="22"/>
      <c r="E193" s="22"/>
      <c r="J193" s="24"/>
    </row>
    <row r="194" ht="15.75" customHeight="1">
      <c r="A194" s="22"/>
      <c r="B194" s="22"/>
      <c r="C194" s="22"/>
      <c r="D194" s="22"/>
      <c r="E194" s="22"/>
      <c r="J194" s="24"/>
    </row>
    <row r="195" ht="15.75" customHeight="1">
      <c r="A195" s="22"/>
      <c r="B195" s="22"/>
      <c r="C195" s="22"/>
      <c r="D195" s="22"/>
      <c r="E195" s="22"/>
      <c r="J195" s="24"/>
    </row>
    <row r="196" ht="15.75" customHeight="1">
      <c r="A196" s="22"/>
      <c r="B196" s="22"/>
      <c r="C196" s="22"/>
      <c r="D196" s="22"/>
      <c r="E196" s="22"/>
      <c r="J196" s="24"/>
    </row>
    <row r="197" ht="15.75" customHeight="1">
      <c r="A197" s="22"/>
      <c r="B197" s="22"/>
      <c r="C197" s="22"/>
      <c r="D197" s="22"/>
      <c r="E197" s="22"/>
      <c r="J197" s="24"/>
    </row>
    <row r="198" ht="15.75" customHeight="1">
      <c r="A198" s="22"/>
      <c r="B198" s="22"/>
      <c r="C198" s="22"/>
      <c r="D198" s="22"/>
      <c r="E198" s="22"/>
      <c r="J198" s="24"/>
    </row>
    <row r="199" ht="15.75" customHeight="1">
      <c r="A199" s="22"/>
      <c r="B199" s="22"/>
      <c r="C199" s="22"/>
      <c r="D199" s="22"/>
      <c r="E199" s="22"/>
      <c r="J199" s="24"/>
    </row>
    <row r="200" ht="15.75" customHeight="1">
      <c r="A200" s="22"/>
      <c r="B200" s="22"/>
      <c r="C200" s="22"/>
      <c r="D200" s="22"/>
      <c r="E200" s="22"/>
      <c r="J200" s="24"/>
    </row>
    <row r="201" ht="15.75" customHeight="1">
      <c r="A201" s="22"/>
      <c r="B201" s="22"/>
      <c r="C201" s="22"/>
      <c r="D201" s="22"/>
      <c r="E201" s="22"/>
      <c r="J201" s="24"/>
    </row>
    <row r="202" ht="15.75" customHeight="1">
      <c r="A202" s="22"/>
      <c r="B202" s="22"/>
      <c r="C202" s="22"/>
      <c r="D202" s="22"/>
      <c r="E202" s="22"/>
      <c r="J202" s="24"/>
    </row>
    <row r="203" ht="15.75" customHeight="1">
      <c r="A203" s="22"/>
      <c r="B203" s="22"/>
      <c r="C203" s="22"/>
      <c r="D203" s="22"/>
      <c r="E203" s="22"/>
      <c r="J203" s="24"/>
    </row>
    <row r="204" ht="15.75" customHeight="1">
      <c r="A204" s="22"/>
      <c r="B204" s="22"/>
      <c r="C204" s="22"/>
      <c r="D204" s="22"/>
      <c r="E204" s="22"/>
      <c r="J204" s="24"/>
    </row>
    <row r="205" ht="15.75" customHeight="1">
      <c r="A205" s="22"/>
      <c r="B205" s="22"/>
      <c r="C205" s="22"/>
      <c r="D205" s="22"/>
      <c r="E205" s="22"/>
      <c r="J205" s="24"/>
    </row>
    <row r="206" ht="15.75" customHeight="1">
      <c r="A206" s="22"/>
      <c r="B206" s="22"/>
      <c r="C206" s="22"/>
      <c r="D206" s="22"/>
      <c r="E206" s="22"/>
      <c r="J206" s="24"/>
    </row>
    <row r="207" ht="15.75" customHeight="1">
      <c r="A207" s="22"/>
      <c r="B207" s="22"/>
      <c r="C207" s="22"/>
      <c r="D207" s="22"/>
      <c r="E207" s="22"/>
      <c r="J207" s="24"/>
    </row>
    <row r="208" ht="15.75" customHeight="1">
      <c r="A208" s="22"/>
      <c r="B208" s="22"/>
      <c r="C208" s="22"/>
      <c r="D208" s="22"/>
      <c r="E208" s="22"/>
      <c r="J208" s="24"/>
    </row>
    <row r="209" ht="15.75" customHeight="1">
      <c r="A209" s="22"/>
      <c r="B209" s="22"/>
      <c r="C209" s="22"/>
      <c r="D209" s="22"/>
      <c r="E209" s="22"/>
      <c r="J209" s="24"/>
    </row>
    <row r="210" ht="15.75" customHeight="1">
      <c r="A210" s="22"/>
      <c r="B210" s="22"/>
      <c r="C210" s="22"/>
      <c r="D210" s="22"/>
      <c r="E210" s="22"/>
      <c r="J210" s="24"/>
    </row>
    <row r="211" ht="15.75" customHeight="1">
      <c r="J211" s="24"/>
    </row>
    <row r="212" ht="15.75" customHeight="1">
      <c r="J212" s="24"/>
    </row>
    <row r="213" ht="15.75" customHeight="1">
      <c r="J213" s="24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J5:J31"/>
    <mergeCell ref="J32:J58"/>
    <mergeCell ref="A2:B2"/>
    <mergeCell ref="D2:J2"/>
    <mergeCell ref="L2:M3"/>
    <mergeCell ref="D5:D31"/>
    <mergeCell ref="E5:E31"/>
    <mergeCell ref="D32:D58"/>
    <mergeCell ref="E32:E58"/>
    <mergeCell ref="D59:I5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21"/>
      <c r="B1" s="22"/>
      <c r="C1" s="22"/>
      <c r="D1" s="22"/>
      <c r="E1" s="22"/>
      <c r="F1" s="23"/>
      <c r="G1" s="23"/>
      <c r="H1" s="23"/>
      <c r="I1" s="23"/>
      <c r="J1" s="24"/>
      <c r="K1" s="23"/>
      <c r="L1" s="23"/>
      <c r="M1" s="23"/>
      <c r="N1" s="23"/>
    </row>
    <row r="2" ht="15.75" customHeight="1">
      <c r="A2" s="25" t="s">
        <v>41</v>
      </c>
      <c r="B2" s="26"/>
      <c r="C2" s="27"/>
      <c r="D2" s="27" t="s">
        <v>42</v>
      </c>
      <c r="K2" s="23"/>
      <c r="L2" s="28" t="s">
        <v>43</v>
      </c>
      <c r="M2" s="29"/>
      <c r="N2" s="23"/>
    </row>
    <row r="3">
      <c r="A3" s="30" t="s">
        <v>44</v>
      </c>
      <c r="B3" s="31" t="s">
        <v>45</v>
      </c>
      <c r="C3" s="22"/>
      <c r="D3" s="32"/>
      <c r="E3" s="33" t="s">
        <v>46</v>
      </c>
      <c r="F3" s="34"/>
      <c r="G3" s="35"/>
      <c r="H3" s="36"/>
      <c r="I3" s="36"/>
      <c r="J3" s="37" t="s">
        <v>47</v>
      </c>
      <c r="K3" s="23"/>
      <c r="L3" s="38"/>
      <c r="M3" s="6"/>
      <c r="N3" s="23"/>
    </row>
    <row r="4" ht="15.75" customHeight="1">
      <c r="A4" s="39" t="s">
        <v>16</v>
      </c>
      <c r="B4" s="40">
        <v>3000.0</v>
      </c>
      <c r="C4" s="41"/>
      <c r="D4" s="42" t="s">
        <v>0</v>
      </c>
      <c r="E4" s="43" t="s">
        <v>48</v>
      </c>
      <c r="F4" s="44" t="s">
        <v>49</v>
      </c>
      <c r="G4" s="45" t="s">
        <v>50</v>
      </c>
      <c r="H4" s="45" t="s">
        <v>51</v>
      </c>
      <c r="I4" s="45" t="s">
        <v>52</v>
      </c>
      <c r="J4" s="46" t="s">
        <v>53</v>
      </c>
      <c r="K4" s="23"/>
      <c r="L4" s="47" t="s">
        <v>54</v>
      </c>
      <c r="M4" s="47" t="s">
        <v>50</v>
      </c>
      <c r="N4" s="23"/>
    </row>
    <row r="5" ht="15.75" customHeight="1">
      <c r="A5" s="39" t="s">
        <v>55</v>
      </c>
      <c r="B5" s="40">
        <v>2500.0</v>
      </c>
      <c r="C5" s="48"/>
      <c r="D5" s="49">
        <v>1.0</v>
      </c>
      <c r="E5" s="50" t="s">
        <v>61</v>
      </c>
      <c r="F5" s="51" t="s">
        <v>16</v>
      </c>
      <c r="G5" s="52">
        <v>0.5</v>
      </c>
      <c r="H5" s="53">
        <f>VLOOKUP(F5,$A$4:$B$4,2,TRUE)</f>
        <v>3000</v>
      </c>
      <c r="I5" s="54">
        <f t="shared" ref="I5:I58" si="1">G5*H5</f>
        <v>1500</v>
      </c>
      <c r="J5" s="55">
        <f>SUM(I5:I31)</f>
        <v>4750</v>
      </c>
      <c r="K5" s="23"/>
      <c r="L5" s="51" t="s">
        <v>16</v>
      </c>
      <c r="M5" s="47">
        <f>SUMIF(F5:F58,"Gelas bersih",G5:G58)</f>
        <v>0.5</v>
      </c>
      <c r="N5" s="23"/>
    </row>
    <row r="6" ht="15.75" customHeight="1">
      <c r="A6" s="39" t="s">
        <v>57</v>
      </c>
      <c r="B6" s="40">
        <v>1200.0</v>
      </c>
      <c r="C6" s="48"/>
      <c r="D6" s="56"/>
      <c r="E6" s="56"/>
      <c r="F6" s="51" t="s">
        <v>55</v>
      </c>
      <c r="G6" s="52">
        <v>0.5</v>
      </c>
      <c r="H6" s="57">
        <f>VLOOKUP(F6,$A$5:$B$5,2,TRUE)</f>
        <v>2500</v>
      </c>
      <c r="I6" s="54">
        <f t="shared" si="1"/>
        <v>1250</v>
      </c>
      <c r="J6" s="56"/>
      <c r="K6" s="23"/>
      <c r="L6" s="51" t="s">
        <v>55</v>
      </c>
      <c r="M6" s="47">
        <f>SUMIF(F6:F59,"Botol bersih",G6:G59)</f>
        <v>0.5</v>
      </c>
      <c r="N6" s="23"/>
    </row>
    <row r="7" ht="15.75" customHeight="1">
      <c r="A7" s="39" t="s">
        <v>19</v>
      </c>
      <c r="B7" s="40">
        <v>2100.0</v>
      </c>
      <c r="C7" s="48"/>
      <c r="D7" s="56"/>
      <c r="E7" s="56"/>
      <c r="F7" s="51" t="s">
        <v>57</v>
      </c>
      <c r="G7" s="52"/>
      <c r="H7" s="57">
        <f>VLOOKUP(F7,$A$6:$B$6,2,TRUE)</f>
        <v>1200</v>
      </c>
      <c r="I7" s="54">
        <f t="shared" si="1"/>
        <v>0</v>
      </c>
      <c r="J7" s="56"/>
      <c r="K7" s="23"/>
      <c r="L7" s="51" t="s">
        <v>57</v>
      </c>
      <c r="M7" s="47">
        <f>SUMIF(F7:F59,"Botol Warna",G7:G59)</f>
        <v>0</v>
      </c>
      <c r="N7" s="23"/>
    </row>
    <row r="8" ht="15.75" customHeight="1">
      <c r="A8" s="39" t="s">
        <v>20</v>
      </c>
      <c r="B8" s="40">
        <v>3000.0</v>
      </c>
      <c r="C8" s="48"/>
      <c r="D8" s="56"/>
      <c r="E8" s="56"/>
      <c r="F8" s="51" t="s">
        <v>19</v>
      </c>
      <c r="G8" s="52"/>
      <c r="H8" s="57">
        <f>VLOOKUP(F8,$A$7:$B$7,2,TRUE)</f>
        <v>2100</v>
      </c>
      <c r="I8" s="54">
        <f t="shared" si="1"/>
        <v>0</v>
      </c>
      <c r="J8" s="56"/>
      <c r="K8" s="23"/>
      <c r="L8" s="51" t="s">
        <v>19</v>
      </c>
      <c r="M8" s="47">
        <f>SUMIF(F8:F60,"Tutup botol",G8:G60)</f>
        <v>0</v>
      </c>
      <c r="N8" s="23"/>
    </row>
    <row r="9" ht="15.75" customHeight="1">
      <c r="A9" s="39" t="s">
        <v>21</v>
      </c>
      <c r="B9" s="40">
        <v>500.0</v>
      </c>
      <c r="C9" s="48"/>
      <c r="D9" s="56"/>
      <c r="E9" s="56"/>
      <c r="F9" s="51" t="s">
        <v>20</v>
      </c>
      <c r="G9" s="52"/>
      <c r="H9" s="57">
        <f>VLOOKUP(F9,$A$8:$B$8,2,TRUE)</f>
        <v>3000</v>
      </c>
      <c r="I9" s="54">
        <f t="shared" si="1"/>
        <v>0</v>
      </c>
      <c r="J9" s="56"/>
      <c r="K9" s="23"/>
      <c r="L9" s="51" t="s">
        <v>20</v>
      </c>
      <c r="M9" s="47">
        <f>SUMIF(F9:F61,"Tutup galon",G9:G61)</f>
        <v>0</v>
      </c>
      <c r="N9" s="23"/>
    </row>
    <row r="10" ht="15.75" customHeight="1">
      <c r="A10" s="39" t="s">
        <v>22</v>
      </c>
      <c r="B10" s="40">
        <v>1800.0</v>
      </c>
      <c r="C10" s="48"/>
      <c r="D10" s="56"/>
      <c r="E10" s="56"/>
      <c r="F10" s="51" t="s">
        <v>21</v>
      </c>
      <c r="G10" s="52">
        <v>0.5</v>
      </c>
      <c r="H10" s="57">
        <f>VLOOKUP(F10,$A$9:$B$9,2,TRUE)</f>
        <v>500</v>
      </c>
      <c r="I10" s="54">
        <f t="shared" si="1"/>
        <v>250</v>
      </c>
      <c r="J10" s="56"/>
      <c r="K10" s="23"/>
      <c r="L10" s="51" t="s">
        <v>21</v>
      </c>
      <c r="M10" s="47">
        <f>SUMIF(F10:F62,"Hitam",G10:G62)</f>
        <v>1.5</v>
      </c>
      <c r="N10" s="23"/>
    </row>
    <row r="11" ht="15.75" customHeight="1">
      <c r="A11" s="39" t="s">
        <v>23</v>
      </c>
      <c r="B11" s="40">
        <v>1500.0</v>
      </c>
      <c r="C11" s="48"/>
      <c r="D11" s="56"/>
      <c r="E11" s="56"/>
      <c r="F11" s="51" t="s">
        <v>22</v>
      </c>
      <c r="G11" s="52"/>
      <c r="H11" s="57">
        <f>VLOOKUP(F11,$A$10:$B$10,2,TRUE)</f>
        <v>1800</v>
      </c>
      <c r="I11" s="54">
        <f t="shared" si="1"/>
        <v>0</v>
      </c>
      <c r="J11" s="56"/>
      <c r="K11" s="23"/>
      <c r="L11" s="51" t="s">
        <v>22</v>
      </c>
      <c r="M11" s="47">
        <f>SUMIF(F11:F63,"Plastik Campur",G11:G63)</f>
        <v>0.5</v>
      </c>
      <c r="N11" s="23"/>
    </row>
    <row r="12" ht="15.75" customHeight="1">
      <c r="A12" s="39" t="s">
        <v>24</v>
      </c>
      <c r="B12" s="40">
        <v>1400.0</v>
      </c>
      <c r="C12" s="48"/>
      <c r="D12" s="56"/>
      <c r="E12" s="56"/>
      <c r="F12" s="51" t="s">
        <v>23</v>
      </c>
      <c r="G12" s="52">
        <v>1.0</v>
      </c>
      <c r="H12" s="57">
        <f>VLOOKUP(F12,$A$11:$B$11,2,TRUE)</f>
        <v>1500</v>
      </c>
      <c r="I12" s="54">
        <f t="shared" si="1"/>
        <v>1500</v>
      </c>
      <c r="J12" s="56"/>
      <c r="K12" s="23"/>
      <c r="L12" s="51" t="s">
        <v>23</v>
      </c>
      <c r="M12" s="47">
        <f>SUMIF(F12:F64,"Kardus",G12:G64)</f>
        <v>3</v>
      </c>
      <c r="N12" s="23"/>
    </row>
    <row r="13" ht="15.75" customHeight="1">
      <c r="A13" s="39" t="s">
        <v>25</v>
      </c>
      <c r="B13" s="40">
        <v>1000.0</v>
      </c>
      <c r="C13" s="48"/>
      <c r="D13" s="56"/>
      <c r="E13" s="56"/>
      <c r="F13" s="51" t="s">
        <v>24</v>
      </c>
      <c r="G13" s="52"/>
      <c r="H13" s="57">
        <f>VLOOKUP(F13,$A$12:$B$12,2,TRUE)</f>
        <v>1400</v>
      </c>
      <c r="I13" s="54">
        <f t="shared" si="1"/>
        <v>0</v>
      </c>
      <c r="J13" s="56"/>
      <c r="K13" s="23"/>
      <c r="L13" s="51" t="s">
        <v>24</v>
      </c>
      <c r="M13" s="47">
        <f>SUMIF(F13:F65,"Kertas Putihan/ HVS",G13:G65)</f>
        <v>0</v>
      </c>
      <c r="N13" s="23"/>
    </row>
    <row r="14" ht="15.75" customHeight="1">
      <c r="A14" s="39" t="s">
        <v>26</v>
      </c>
      <c r="B14" s="40">
        <v>500.0</v>
      </c>
      <c r="C14" s="48"/>
      <c r="D14" s="56"/>
      <c r="E14" s="56"/>
      <c r="F14" s="51" t="s">
        <v>25</v>
      </c>
      <c r="G14" s="52"/>
      <c r="H14" s="57">
        <f>VLOOKUP(F14,$A$13:$B$13,2,TRUE)</f>
        <v>1000</v>
      </c>
      <c r="I14" s="54">
        <f t="shared" si="1"/>
        <v>0</v>
      </c>
      <c r="J14" s="56"/>
      <c r="K14" s="23"/>
      <c r="L14" s="51" t="s">
        <v>25</v>
      </c>
      <c r="M14" s="47">
        <f>SUMIF(F14:F66,"Koran/Buku",G14:G66)</f>
        <v>0</v>
      </c>
      <c r="N14" s="23"/>
    </row>
    <row r="15" ht="15.75" customHeight="1">
      <c r="A15" s="39" t="s">
        <v>27</v>
      </c>
      <c r="B15" s="40">
        <v>7500.0</v>
      </c>
      <c r="C15" s="48"/>
      <c r="D15" s="56"/>
      <c r="E15" s="56"/>
      <c r="F15" s="51" t="s">
        <v>26</v>
      </c>
      <c r="G15" s="52">
        <v>0.5</v>
      </c>
      <c r="H15" s="57">
        <f>VLOOKUP(F15,$A$14:$B$14,2,TRUE)</f>
        <v>500</v>
      </c>
      <c r="I15" s="54">
        <f t="shared" si="1"/>
        <v>250</v>
      </c>
      <c r="J15" s="56"/>
      <c r="K15" s="23"/>
      <c r="L15" s="51" t="s">
        <v>26</v>
      </c>
      <c r="M15" s="47">
        <f>SUMIF(F15:F67,"Duplex",G15:G67)</f>
        <v>0.5</v>
      </c>
      <c r="N15" s="23"/>
    </row>
    <row r="16" ht="15.75" customHeight="1">
      <c r="A16" s="39" t="s">
        <v>28</v>
      </c>
      <c r="B16" s="40">
        <v>2000.0</v>
      </c>
      <c r="C16" s="48"/>
      <c r="D16" s="56"/>
      <c r="E16" s="56"/>
      <c r="F16" s="51" t="s">
        <v>27</v>
      </c>
      <c r="G16" s="52"/>
      <c r="H16" s="57">
        <f>VLOOKUP(F16,$A$15:$B$15,2,TRUE)</f>
        <v>7500</v>
      </c>
      <c r="I16" s="54">
        <f t="shared" si="1"/>
        <v>0</v>
      </c>
      <c r="J16" s="56"/>
      <c r="K16" s="23"/>
      <c r="L16" s="51" t="s">
        <v>27</v>
      </c>
      <c r="M16" s="47">
        <f>SUMIF(F16:F68,"Alumunium",G16:G68)</f>
        <v>0</v>
      </c>
      <c r="N16" s="23"/>
    </row>
    <row r="17" ht="15.75" customHeight="1">
      <c r="A17" s="39" t="s">
        <v>29</v>
      </c>
      <c r="B17" s="40">
        <v>1200.0</v>
      </c>
      <c r="C17" s="48"/>
      <c r="D17" s="56"/>
      <c r="E17" s="56"/>
      <c r="F17" s="51" t="s">
        <v>28</v>
      </c>
      <c r="G17" s="52"/>
      <c r="H17" s="57">
        <f>VLOOKUP(F17,$A$16:$B$16,2,TRUE)</f>
        <v>2000</v>
      </c>
      <c r="I17" s="54">
        <f t="shared" si="1"/>
        <v>0</v>
      </c>
      <c r="J17" s="56"/>
      <c r="K17" s="23"/>
      <c r="L17" s="51" t="s">
        <v>28</v>
      </c>
      <c r="M17" s="47">
        <f>SUMIF(F17:F69,"Besi",G17:G69)</f>
        <v>0</v>
      </c>
      <c r="N17" s="23"/>
    </row>
    <row r="18" ht="15.75" customHeight="1">
      <c r="A18" s="39" t="s">
        <v>30</v>
      </c>
      <c r="B18" s="40">
        <v>5000.0</v>
      </c>
      <c r="C18" s="48"/>
      <c r="D18" s="56"/>
      <c r="E18" s="56"/>
      <c r="F18" s="51" t="s">
        <v>29</v>
      </c>
      <c r="G18" s="52"/>
      <c r="H18" s="57">
        <f>VLOOKUP(F18,$A$17:$B$17,2,TRUE)</f>
        <v>1200</v>
      </c>
      <c r="I18" s="54">
        <f t="shared" si="1"/>
        <v>0</v>
      </c>
      <c r="J18" s="56"/>
      <c r="K18" s="23"/>
      <c r="L18" s="51" t="s">
        <v>29</v>
      </c>
      <c r="M18" s="47">
        <f>SUMIF(F18:F70,"Kaleng kue/susu",G18:G70)</f>
        <v>0</v>
      </c>
      <c r="N18" s="23"/>
    </row>
    <row r="19" ht="15.75" customHeight="1">
      <c r="A19" s="39" t="s">
        <v>31</v>
      </c>
      <c r="B19" s="40">
        <v>2700.0</v>
      </c>
      <c r="C19" s="48"/>
      <c r="D19" s="56"/>
      <c r="E19" s="56"/>
      <c r="F19" s="51" t="s">
        <v>30</v>
      </c>
      <c r="G19" s="52"/>
      <c r="H19" s="57">
        <f>VLOOKUP(F19,$A$18:$B$18,2,TRUE)</f>
        <v>5000</v>
      </c>
      <c r="I19" s="54">
        <f t="shared" si="1"/>
        <v>0</v>
      </c>
      <c r="J19" s="56"/>
      <c r="K19" s="23"/>
      <c r="L19" s="51" t="s">
        <v>30</v>
      </c>
      <c r="M19" s="47">
        <f>SUMIF(F19:F71,"Kaleng Minuman",G19:G71)</f>
        <v>0</v>
      </c>
      <c r="N19" s="23"/>
    </row>
    <row r="20" ht="15.75" customHeight="1">
      <c r="A20" s="39" t="s">
        <v>32</v>
      </c>
      <c r="B20" s="40">
        <v>50000.0</v>
      </c>
      <c r="C20" s="48"/>
      <c r="D20" s="56"/>
      <c r="E20" s="56"/>
      <c r="F20" s="51" t="s">
        <v>31</v>
      </c>
      <c r="G20" s="52"/>
      <c r="H20" s="57">
        <f>VLOOKUP(F20,$A$19:$B$19,2,TRUE)</f>
        <v>2700</v>
      </c>
      <c r="I20" s="54">
        <f t="shared" si="1"/>
        <v>0</v>
      </c>
      <c r="J20" s="56"/>
      <c r="K20" s="23"/>
      <c r="L20" s="51" t="s">
        <v>31</v>
      </c>
      <c r="M20" s="47">
        <f>SUMIF(F20:F72,"Stanless",G20:G72)</f>
        <v>0</v>
      </c>
      <c r="N20" s="23"/>
    </row>
    <row r="21" ht="15.75" customHeight="1">
      <c r="A21" s="39" t="s">
        <v>33</v>
      </c>
      <c r="B21" s="40">
        <v>10000.0</v>
      </c>
      <c r="C21" s="48"/>
      <c r="D21" s="56"/>
      <c r="E21" s="56"/>
      <c r="F21" s="51" t="s">
        <v>32</v>
      </c>
      <c r="G21" s="52"/>
      <c r="H21" s="57">
        <f>VLOOKUP(F21,$A$20:$B$20,2,TRUE)</f>
        <v>50000</v>
      </c>
      <c r="I21" s="54">
        <f t="shared" si="1"/>
        <v>0</v>
      </c>
      <c r="J21" s="56"/>
      <c r="K21" s="23"/>
      <c r="L21" s="51" t="s">
        <v>32</v>
      </c>
      <c r="M21" s="47">
        <f>SUMIF(F21:F73,"Tembaga",G21:G73)</f>
        <v>0</v>
      </c>
      <c r="N21" s="23"/>
    </row>
    <row r="22" ht="15.75" customHeight="1">
      <c r="A22" s="39" t="s">
        <v>34</v>
      </c>
      <c r="B22" s="40">
        <v>1000.0</v>
      </c>
      <c r="C22" s="48"/>
      <c r="D22" s="56"/>
      <c r="E22" s="56"/>
      <c r="F22" s="51" t="s">
        <v>33</v>
      </c>
      <c r="G22" s="52"/>
      <c r="H22" s="57">
        <f>VLOOKUP(F22,$A$21:$B$21,2,TRUE)</f>
        <v>10000</v>
      </c>
      <c r="I22" s="54">
        <f t="shared" si="1"/>
        <v>0</v>
      </c>
      <c r="J22" s="56"/>
      <c r="K22" s="23"/>
      <c r="L22" s="51" t="s">
        <v>33</v>
      </c>
      <c r="M22" s="47">
        <f>SUMIF(F22:F74,"Aki Motor",G22:G74)</f>
        <v>0</v>
      </c>
      <c r="N22" s="23"/>
    </row>
    <row r="23" ht="15.75" customHeight="1">
      <c r="A23" s="39" t="s">
        <v>35</v>
      </c>
      <c r="B23" s="40">
        <v>500.0</v>
      </c>
      <c r="C23" s="48"/>
      <c r="D23" s="56"/>
      <c r="E23" s="56"/>
      <c r="F23" s="51" t="s">
        <v>34</v>
      </c>
      <c r="G23" s="52"/>
      <c r="H23" s="57">
        <f>VLOOKUP(F23,$A$22:$B$22,2,TRUE)</f>
        <v>1000</v>
      </c>
      <c r="I23" s="54">
        <f t="shared" si="1"/>
        <v>0</v>
      </c>
      <c r="J23" s="56"/>
      <c r="K23" s="23"/>
      <c r="L23" s="51" t="s">
        <v>34</v>
      </c>
      <c r="M23" s="47">
        <f>SUMIF(F23:F75,"Paralon",G23:G75)</f>
        <v>0</v>
      </c>
      <c r="N23" s="23"/>
    </row>
    <row r="24" ht="15.75" customHeight="1">
      <c r="A24" s="39" t="s">
        <v>36</v>
      </c>
      <c r="B24" s="40">
        <v>200.0</v>
      </c>
      <c r="C24" s="48"/>
      <c r="D24" s="56"/>
      <c r="E24" s="56"/>
      <c r="F24" s="51" t="s">
        <v>35</v>
      </c>
      <c r="G24" s="52"/>
      <c r="H24" s="57">
        <f>VLOOKUP(F24,$A$23:$B$23,2,TRUE)</f>
        <v>500</v>
      </c>
      <c r="I24" s="54">
        <f t="shared" si="1"/>
        <v>0</v>
      </c>
      <c r="J24" s="56"/>
      <c r="K24" s="23"/>
      <c r="L24" s="51" t="s">
        <v>35</v>
      </c>
      <c r="M24" s="47">
        <f>SUMIF(F24:F76,"Plastik bening",G24:G76)</f>
        <v>0</v>
      </c>
      <c r="N24" s="23"/>
    </row>
    <row r="25" ht="15.75" customHeight="1">
      <c r="A25" s="39" t="s">
        <v>37</v>
      </c>
      <c r="B25" s="40">
        <v>1300.0</v>
      </c>
      <c r="C25" s="48"/>
      <c r="D25" s="56"/>
      <c r="E25" s="56"/>
      <c r="F25" s="51" t="s">
        <v>36</v>
      </c>
      <c r="G25" s="52"/>
      <c r="H25" s="57">
        <f>VLOOKUP(F25,$A$24:$B$24,2,TRUE)</f>
        <v>200</v>
      </c>
      <c r="I25" s="54">
        <f t="shared" si="1"/>
        <v>0</v>
      </c>
      <c r="J25" s="56"/>
      <c r="K25" s="23"/>
      <c r="L25" s="51" t="s">
        <v>36</v>
      </c>
      <c r="M25" s="47">
        <f>SUMIF(F25:F77,"Plastik Warna",G25:G77)</f>
        <v>0</v>
      </c>
      <c r="N25" s="23"/>
    </row>
    <row r="26" ht="15.75" customHeight="1">
      <c r="A26" s="39" t="s">
        <v>12</v>
      </c>
      <c r="B26" s="40">
        <v>300.0</v>
      </c>
      <c r="C26" s="48"/>
      <c r="D26" s="56"/>
      <c r="E26" s="56"/>
      <c r="F26" s="51" t="s">
        <v>37</v>
      </c>
      <c r="G26" s="52"/>
      <c r="H26" s="57">
        <f>VLOOKUP(F26,$A$25:$B$25,2,TRUE)</f>
        <v>1300</v>
      </c>
      <c r="I26" s="54">
        <f t="shared" si="1"/>
        <v>0</v>
      </c>
      <c r="J26" s="56"/>
      <c r="K26" s="23"/>
      <c r="L26" s="51" t="s">
        <v>37</v>
      </c>
      <c r="M26" s="47">
        <f>SUMIF(F26:F78,"Selang",G26:G78)</f>
        <v>0</v>
      </c>
      <c r="N26" s="23"/>
    </row>
    <row r="27" ht="15.75" customHeight="1">
      <c r="A27" s="39" t="s">
        <v>39</v>
      </c>
      <c r="B27" s="40">
        <v>0.0</v>
      </c>
      <c r="C27" s="48"/>
      <c r="D27" s="56"/>
      <c r="E27" s="56"/>
      <c r="F27" s="51" t="s">
        <v>12</v>
      </c>
      <c r="G27" s="52"/>
      <c r="H27" s="57">
        <f>VLOOKUP(F27,$A$26:$B$26,2,TRUE)</f>
        <v>300</v>
      </c>
      <c r="I27" s="54">
        <f t="shared" si="1"/>
        <v>0</v>
      </c>
      <c r="J27" s="56"/>
      <c r="K27" s="23"/>
      <c r="L27" s="51" t="s">
        <v>12</v>
      </c>
      <c r="M27" s="47">
        <f>SUMIF(F27:F79,"Beling",G27:G79)</f>
        <v>3.5</v>
      </c>
      <c r="N27" s="23"/>
    </row>
    <row r="28" ht="15.75" customHeight="1">
      <c r="A28" s="39" t="s">
        <v>40</v>
      </c>
      <c r="B28" s="40">
        <v>1700.0</v>
      </c>
      <c r="C28" s="48"/>
      <c r="D28" s="56"/>
      <c r="E28" s="56"/>
      <c r="F28" s="51" t="s">
        <v>39</v>
      </c>
      <c r="G28" s="52"/>
      <c r="H28" s="57">
        <f>VLOOKUP(F28,$A$27:$B$27,2,TRUE)</f>
        <v>0</v>
      </c>
      <c r="I28" s="54">
        <f t="shared" si="1"/>
        <v>0</v>
      </c>
      <c r="J28" s="56"/>
      <c r="K28" s="23"/>
      <c r="L28" s="51" t="s">
        <v>39</v>
      </c>
      <c r="M28" s="47">
        <f>SUMIF(F28:F80,"Pecahan",G28:G80)</f>
        <v>0</v>
      </c>
      <c r="N28" s="23"/>
    </row>
    <row r="29" ht="15.75" customHeight="1">
      <c r="A29" s="39" t="s">
        <v>14</v>
      </c>
      <c r="B29" s="58">
        <v>4500.0</v>
      </c>
      <c r="C29" s="48"/>
      <c r="D29" s="56"/>
      <c r="E29" s="56"/>
      <c r="F29" s="51" t="s">
        <v>40</v>
      </c>
      <c r="G29" s="52"/>
      <c r="H29" s="57">
        <f>VLOOKUP(F28,$A$28:$B$28,2,TRUE)</f>
        <v>1700</v>
      </c>
      <c r="I29" s="54">
        <f t="shared" si="1"/>
        <v>0</v>
      </c>
      <c r="J29" s="56"/>
      <c r="K29" s="23"/>
      <c r="L29" s="51" t="s">
        <v>40</v>
      </c>
      <c r="M29" s="47">
        <f>SUMIF(F29:F82,"Paku",G29:G82)</f>
        <v>0</v>
      </c>
      <c r="N29" s="23"/>
    </row>
    <row r="30" ht="15.75" customHeight="1">
      <c r="A30" s="39" t="s">
        <v>58</v>
      </c>
      <c r="B30" s="40">
        <v>500.0</v>
      </c>
      <c r="C30" s="48"/>
      <c r="D30" s="56"/>
      <c r="E30" s="56"/>
      <c r="F30" s="51" t="s">
        <v>14</v>
      </c>
      <c r="G30" s="52"/>
      <c r="H30" s="57">
        <f>VLOOKUP(F29,$A$29:$B$29,2,TRUE)</f>
        <v>4500</v>
      </c>
      <c r="I30" s="54">
        <f t="shared" si="1"/>
        <v>0</v>
      </c>
      <c r="J30" s="56"/>
      <c r="K30" s="23"/>
      <c r="L30" s="51" t="s">
        <v>14</v>
      </c>
      <c r="M30" s="47">
        <f>SUMIF(F30:F83,"Minyak Jelantah",G30:G83)</f>
        <v>0</v>
      </c>
      <c r="N30" s="23"/>
    </row>
    <row r="31" ht="15.75" customHeight="1">
      <c r="A31" s="48"/>
      <c r="B31" s="48"/>
      <c r="C31" s="48"/>
      <c r="D31" s="10"/>
      <c r="E31" s="10"/>
      <c r="F31" s="51" t="s">
        <v>58</v>
      </c>
      <c r="G31" s="52"/>
      <c r="H31" s="57">
        <f>VLOOKUP(F30,$A$30:$B$30,2,TRUE)</f>
        <v>500</v>
      </c>
      <c r="I31" s="54">
        <f t="shared" si="1"/>
        <v>0</v>
      </c>
      <c r="J31" s="10"/>
      <c r="K31" s="23"/>
      <c r="L31" s="51" t="s">
        <v>58</v>
      </c>
      <c r="M31" s="47">
        <f>SUMIF(F31:F84,"Lainnya",G31:G84)</f>
        <v>0</v>
      </c>
      <c r="N31" s="23"/>
    </row>
    <row r="32" ht="15.75" customHeight="1">
      <c r="A32" s="48"/>
      <c r="B32" s="48"/>
      <c r="C32" s="48"/>
      <c r="D32" s="49">
        <v>2.0</v>
      </c>
      <c r="E32" s="50" t="s">
        <v>62</v>
      </c>
      <c r="F32" s="51" t="s">
        <v>16</v>
      </c>
      <c r="G32" s="52"/>
      <c r="H32" s="53">
        <f>VLOOKUP(F32,$A$4:$B$4,2,TRUE)</f>
        <v>3000</v>
      </c>
      <c r="I32" s="54">
        <f t="shared" si="1"/>
        <v>0</v>
      </c>
      <c r="J32" s="55">
        <f>SUM(I32:I58)</f>
        <v>5450</v>
      </c>
      <c r="K32" s="23"/>
      <c r="L32" s="23"/>
      <c r="M32" s="23"/>
      <c r="N32" s="23"/>
    </row>
    <row r="33" ht="15.75" customHeight="1">
      <c r="A33" s="48"/>
      <c r="B33" s="48"/>
      <c r="C33" s="48"/>
      <c r="D33" s="56"/>
      <c r="E33" s="56"/>
      <c r="F33" s="51" t="s">
        <v>55</v>
      </c>
      <c r="G33" s="52"/>
      <c r="H33" s="57">
        <f>VLOOKUP(F33,$A$5:$B$5,2,TRUE)</f>
        <v>2500</v>
      </c>
      <c r="I33" s="54">
        <f t="shared" si="1"/>
        <v>0</v>
      </c>
      <c r="J33" s="56"/>
      <c r="K33" s="23"/>
      <c r="L33" s="23"/>
      <c r="M33" s="23"/>
      <c r="N33" s="23"/>
    </row>
    <row r="34" ht="15.75" customHeight="1">
      <c r="A34" s="48"/>
      <c r="B34" s="48"/>
      <c r="C34" s="48"/>
      <c r="D34" s="56"/>
      <c r="E34" s="56"/>
      <c r="F34" s="51" t="s">
        <v>57</v>
      </c>
      <c r="G34" s="52"/>
      <c r="H34" s="57">
        <f>VLOOKUP(F34,$A$6:$B$6,2,TRUE)</f>
        <v>1200</v>
      </c>
      <c r="I34" s="54">
        <f t="shared" si="1"/>
        <v>0</v>
      </c>
      <c r="J34" s="56"/>
      <c r="K34" s="23"/>
      <c r="L34" s="23"/>
      <c r="M34" s="23"/>
      <c r="N34" s="23"/>
    </row>
    <row r="35" ht="15.75" customHeight="1">
      <c r="A35" s="48"/>
      <c r="B35" s="48"/>
      <c r="C35" s="48"/>
      <c r="D35" s="56"/>
      <c r="E35" s="56"/>
      <c r="F35" s="51" t="s">
        <v>19</v>
      </c>
      <c r="G35" s="52"/>
      <c r="H35" s="57">
        <f>VLOOKUP(F35,$A$7:$B$7,2,TRUE)</f>
        <v>2100</v>
      </c>
      <c r="I35" s="54">
        <f t="shared" si="1"/>
        <v>0</v>
      </c>
      <c r="J35" s="56"/>
      <c r="K35" s="23"/>
      <c r="L35" s="23"/>
      <c r="M35" s="23"/>
      <c r="N35" s="23"/>
    </row>
    <row r="36" ht="15.75" customHeight="1">
      <c r="A36" s="48"/>
      <c r="B36" s="48"/>
      <c r="C36" s="48"/>
      <c r="D36" s="56"/>
      <c r="E36" s="56"/>
      <c r="F36" s="51" t="s">
        <v>20</v>
      </c>
      <c r="G36" s="52"/>
      <c r="H36" s="57">
        <f>VLOOKUP(F36,$A$8:$B$8,2,TRUE)</f>
        <v>3000</v>
      </c>
      <c r="I36" s="54">
        <f t="shared" si="1"/>
        <v>0</v>
      </c>
      <c r="J36" s="56"/>
      <c r="K36" s="23"/>
      <c r="L36" s="23"/>
      <c r="M36" s="23"/>
      <c r="N36" s="23"/>
    </row>
    <row r="37" ht="15.75" customHeight="1">
      <c r="A37" s="48"/>
      <c r="B37" s="48"/>
      <c r="C37" s="48"/>
      <c r="D37" s="56"/>
      <c r="E37" s="56"/>
      <c r="F37" s="51" t="s">
        <v>21</v>
      </c>
      <c r="G37" s="52">
        <v>1.0</v>
      </c>
      <c r="H37" s="57">
        <f>VLOOKUP(F37,$A$9:$B$9,2,TRUE)</f>
        <v>500</v>
      </c>
      <c r="I37" s="54">
        <f t="shared" si="1"/>
        <v>500</v>
      </c>
      <c r="J37" s="56"/>
      <c r="K37" s="23"/>
      <c r="L37" s="23"/>
      <c r="M37" s="23"/>
      <c r="N37" s="23"/>
    </row>
    <row r="38" ht="15.75" customHeight="1">
      <c r="A38" s="48"/>
      <c r="B38" s="48"/>
      <c r="C38" s="48"/>
      <c r="D38" s="56"/>
      <c r="E38" s="56"/>
      <c r="F38" s="51" t="s">
        <v>22</v>
      </c>
      <c r="G38" s="52">
        <v>0.5</v>
      </c>
      <c r="H38" s="57">
        <f>VLOOKUP(F38,$A$10:$B$10,2,TRUE)</f>
        <v>1800</v>
      </c>
      <c r="I38" s="54">
        <f t="shared" si="1"/>
        <v>900</v>
      </c>
      <c r="J38" s="56"/>
      <c r="K38" s="23"/>
      <c r="L38" s="23"/>
      <c r="M38" s="23"/>
      <c r="N38" s="23"/>
    </row>
    <row r="39" ht="15.75" customHeight="1">
      <c r="A39" s="48"/>
      <c r="B39" s="48"/>
      <c r="C39" s="48"/>
      <c r="D39" s="56"/>
      <c r="E39" s="56"/>
      <c r="F39" s="51" t="s">
        <v>23</v>
      </c>
      <c r="G39" s="52">
        <v>2.0</v>
      </c>
      <c r="H39" s="57">
        <f>VLOOKUP(F39,$A$11:$B$11,2,TRUE)</f>
        <v>1500</v>
      </c>
      <c r="I39" s="54">
        <f t="shared" si="1"/>
        <v>3000</v>
      </c>
      <c r="J39" s="56"/>
      <c r="K39" s="23"/>
      <c r="L39" s="23"/>
      <c r="M39" s="23"/>
      <c r="N39" s="23"/>
    </row>
    <row r="40" ht="15.75" customHeight="1">
      <c r="A40" s="48"/>
      <c r="B40" s="48"/>
      <c r="C40" s="48"/>
      <c r="D40" s="56"/>
      <c r="E40" s="56"/>
      <c r="F40" s="51" t="s">
        <v>24</v>
      </c>
      <c r="G40" s="52"/>
      <c r="H40" s="57">
        <f>VLOOKUP(F40,$A$12:$B$12,2,TRUE)</f>
        <v>1400</v>
      </c>
      <c r="I40" s="54">
        <f t="shared" si="1"/>
        <v>0</v>
      </c>
      <c r="J40" s="56"/>
      <c r="K40" s="23"/>
      <c r="L40" s="23"/>
      <c r="M40" s="23"/>
      <c r="N40" s="23"/>
    </row>
    <row r="41" ht="15.75" customHeight="1">
      <c r="A41" s="48"/>
      <c r="B41" s="48"/>
      <c r="C41" s="48"/>
      <c r="D41" s="56"/>
      <c r="E41" s="56"/>
      <c r="F41" s="51" t="s">
        <v>25</v>
      </c>
      <c r="G41" s="52"/>
      <c r="H41" s="57">
        <f>VLOOKUP(F41,$A$13:$B$13,2,TRUE)</f>
        <v>1000</v>
      </c>
      <c r="I41" s="54">
        <f t="shared" si="1"/>
        <v>0</v>
      </c>
      <c r="J41" s="56"/>
      <c r="K41" s="23"/>
      <c r="L41" s="23"/>
      <c r="M41" s="23"/>
      <c r="N41" s="23"/>
    </row>
    <row r="42" ht="15.75" customHeight="1">
      <c r="A42" s="48"/>
      <c r="B42" s="48"/>
      <c r="C42" s="48"/>
      <c r="D42" s="56"/>
      <c r="E42" s="56"/>
      <c r="F42" s="51" t="s">
        <v>26</v>
      </c>
      <c r="G42" s="52"/>
      <c r="H42" s="57">
        <f>VLOOKUP(F42,$A$14:$B$14,2,TRUE)</f>
        <v>500</v>
      </c>
      <c r="I42" s="54">
        <f t="shared" si="1"/>
        <v>0</v>
      </c>
      <c r="J42" s="56"/>
      <c r="K42" s="23"/>
      <c r="L42" s="23"/>
      <c r="M42" s="23"/>
      <c r="N42" s="23"/>
    </row>
    <row r="43" ht="15.75" customHeight="1">
      <c r="A43" s="48"/>
      <c r="B43" s="48"/>
      <c r="C43" s="48"/>
      <c r="D43" s="56"/>
      <c r="E43" s="56"/>
      <c r="F43" s="51" t="s">
        <v>27</v>
      </c>
      <c r="G43" s="52"/>
      <c r="H43" s="57">
        <f>VLOOKUP(F43,$A$15:$B$15,2,TRUE)</f>
        <v>7500</v>
      </c>
      <c r="I43" s="54">
        <f t="shared" si="1"/>
        <v>0</v>
      </c>
      <c r="J43" s="56"/>
      <c r="K43" s="23"/>
      <c r="L43" s="23"/>
      <c r="M43" s="23"/>
      <c r="N43" s="23"/>
    </row>
    <row r="44" ht="15.75" customHeight="1">
      <c r="A44" s="48"/>
      <c r="B44" s="48"/>
      <c r="C44" s="48"/>
      <c r="D44" s="56"/>
      <c r="E44" s="56"/>
      <c r="F44" s="51" t="s">
        <v>28</v>
      </c>
      <c r="G44" s="52"/>
      <c r="H44" s="57">
        <f>VLOOKUP(F44,$A$16:$B$16,2,TRUE)</f>
        <v>2000</v>
      </c>
      <c r="I44" s="54">
        <f t="shared" si="1"/>
        <v>0</v>
      </c>
      <c r="J44" s="56"/>
      <c r="K44" s="23"/>
      <c r="L44" s="23"/>
      <c r="M44" s="23"/>
      <c r="N44" s="23"/>
    </row>
    <row r="45" ht="15.75" customHeight="1">
      <c r="A45" s="48"/>
      <c r="B45" s="48"/>
      <c r="C45" s="48"/>
      <c r="D45" s="56"/>
      <c r="E45" s="56"/>
      <c r="F45" s="51" t="s">
        <v>29</v>
      </c>
      <c r="G45" s="52"/>
      <c r="H45" s="57">
        <f>VLOOKUP(F45,$A$17:$B$17,2,TRUE)</f>
        <v>1200</v>
      </c>
      <c r="I45" s="54">
        <f t="shared" si="1"/>
        <v>0</v>
      </c>
      <c r="J45" s="56"/>
      <c r="K45" s="23"/>
      <c r="L45" s="23"/>
      <c r="M45" s="23"/>
      <c r="N45" s="23"/>
    </row>
    <row r="46" ht="15.75" customHeight="1">
      <c r="A46" s="48"/>
      <c r="B46" s="48"/>
      <c r="C46" s="48"/>
      <c r="D46" s="56"/>
      <c r="E46" s="56"/>
      <c r="F46" s="51" t="s">
        <v>30</v>
      </c>
      <c r="G46" s="52"/>
      <c r="H46" s="57">
        <f>VLOOKUP(F46,$A$18:$B$18,2,TRUE)</f>
        <v>5000</v>
      </c>
      <c r="I46" s="54">
        <f t="shared" si="1"/>
        <v>0</v>
      </c>
      <c r="J46" s="56"/>
      <c r="K46" s="23"/>
      <c r="L46" s="23"/>
      <c r="M46" s="23"/>
      <c r="N46" s="23"/>
    </row>
    <row r="47" ht="15.75" customHeight="1">
      <c r="A47" s="48"/>
      <c r="B47" s="48"/>
      <c r="C47" s="48"/>
      <c r="D47" s="56"/>
      <c r="E47" s="56"/>
      <c r="F47" s="51" t="s">
        <v>31</v>
      </c>
      <c r="G47" s="52"/>
      <c r="H47" s="57">
        <f>VLOOKUP(F47,$A$19:$B$19,2,TRUE)</f>
        <v>2700</v>
      </c>
      <c r="I47" s="54">
        <f t="shared" si="1"/>
        <v>0</v>
      </c>
      <c r="J47" s="56"/>
      <c r="K47" s="23"/>
      <c r="L47" s="23"/>
      <c r="M47" s="23"/>
      <c r="N47" s="23"/>
    </row>
    <row r="48" ht="15.75" customHeight="1">
      <c r="A48" s="48"/>
      <c r="B48" s="48"/>
      <c r="C48" s="48"/>
      <c r="D48" s="56"/>
      <c r="E48" s="56"/>
      <c r="F48" s="51" t="s">
        <v>32</v>
      </c>
      <c r="G48" s="52"/>
      <c r="H48" s="57">
        <f>VLOOKUP(F48,$A$20:$B$20,2,TRUE)</f>
        <v>50000</v>
      </c>
      <c r="I48" s="54">
        <f t="shared" si="1"/>
        <v>0</v>
      </c>
      <c r="J48" s="56"/>
      <c r="K48" s="23"/>
      <c r="L48" s="23"/>
      <c r="M48" s="23"/>
      <c r="N48" s="23"/>
    </row>
    <row r="49" ht="15.75" customHeight="1">
      <c r="A49" s="48"/>
      <c r="B49" s="48"/>
      <c r="C49" s="48"/>
      <c r="D49" s="56"/>
      <c r="E49" s="56"/>
      <c r="F49" s="51" t="s">
        <v>33</v>
      </c>
      <c r="G49" s="52"/>
      <c r="H49" s="57">
        <f>VLOOKUP(F49,$A$21:$B$21,2,TRUE)</f>
        <v>10000</v>
      </c>
      <c r="I49" s="54">
        <f t="shared" si="1"/>
        <v>0</v>
      </c>
      <c r="J49" s="56"/>
      <c r="K49" s="23"/>
      <c r="L49" s="23"/>
      <c r="M49" s="23"/>
      <c r="N49" s="23"/>
    </row>
    <row r="50" ht="15.75" customHeight="1">
      <c r="A50" s="48"/>
      <c r="B50" s="48"/>
      <c r="C50" s="48"/>
      <c r="D50" s="56"/>
      <c r="E50" s="56"/>
      <c r="F50" s="51" t="s">
        <v>34</v>
      </c>
      <c r="G50" s="52"/>
      <c r="H50" s="57">
        <f>VLOOKUP(F50,$A$22:$B$22,2,TRUE)</f>
        <v>1000</v>
      </c>
      <c r="I50" s="54">
        <f t="shared" si="1"/>
        <v>0</v>
      </c>
      <c r="J50" s="56"/>
      <c r="K50" s="23"/>
      <c r="L50" s="23"/>
      <c r="M50" s="23"/>
      <c r="N50" s="23"/>
    </row>
    <row r="51" ht="15.75" customHeight="1">
      <c r="A51" s="48"/>
      <c r="B51" s="48"/>
      <c r="C51" s="48"/>
      <c r="D51" s="56"/>
      <c r="E51" s="56"/>
      <c r="F51" s="51" t="s">
        <v>35</v>
      </c>
      <c r="G51" s="52"/>
      <c r="H51" s="57">
        <f>VLOOKUP(F51,$A$23:$B$23,2,TRUE)</f>
        <v>500</v>
      </c>
      <c r="I51" s="54">
        <f t="shared" si="1"/>
        <v>0</v>
      </c>
      <c r="J51" s="56"/>
      <c r="K51" s="23"/>
      <c r="L51" s="23"/>
      <c r="M51" s="23"/>
      <c r="N51" s="23"/>
    </row>
    <row r="52" ht="15.75" customHeight="1">
      <c r="A52" s="48"/>
      <c r="B52" s="48"/>
      <c r="C52" s="48"/>
      <c r="D52" s="56"/>
      <c r="E52" s="56"/>
      <c r="F52" s="51" t="s">
        <v>36</v>
      </c>
      <c r="G52" s="52"/>
      <c r="H52" s="57">
        <f>VLOOKUP(F52,$A$24:$B$24,2,TRUE)</f>
        <v>200</v>
      </c>
      <c r="I52" s="54">
        <f t="shared" si="1"/>
        <v>0</v>
      </c>
      <c r="J52" s="56"/>
      <c r="K52" s="23"/>
      <c r="L52" s="23"/>
      <c r="M52" s="23"/>
      <c r="N52" s="23"/>
    </row>
    <row r="53" ht="15.75" customHeight="1">
      <c r="A53" s="48"/>
      <c r="B53" s="48"/>
      <c r="C53" s="48"/>
      <c r="D53" s="56"/>
      <c r="E53" s="56"/>
      <c r="F53" s="51" t="s">
        <v>37</v>
      </c>
      <c r="G53" s="52"/>
      <c r="H53" s="57">
        <f>VLOOKUP(F53,$A$25:$B$25,2,TRUE)</f>
        <v>1300</v>
      </c>
      <c r="I53" s="54">
        <f t="shared" si="1"/>
        <v>0</v>
      </c>
      <c r="J53" s="56"/>
      <c r="K53" s="23"/>
      <c r="L53" s="23"/>
      <c r="M53" s="23"/>
      <c r="N53" s="23"/>
    </row>
    <row r="54" ht="15.75" customHeight="1">
      <c r="A54" s="48"/>
      <c r="B54" s="48"/>
      <c r="C54" s="48"/>
      <c r="D54" s="56"/>
      <c r="E54" s="56"/>
      <c r="F54" s="51" t="s">
        <v>12</v>
      </c>
      <c r="G54" s="52">
        <v>3.5</v>
      </c>
      <c r="H54" s="57">
        <f>VLOOKUP(F54,$A$26:$B$26,2,TRUE)</f>
        <v>300</v>
      </c>
      <c r="I54" s="54">
        <f t="shared" si="1"/>
        <v>1050</v>
      </c>
      <c r="J54" s="56"/>
      <c r="K54" s="23"/>
      <c r="L54" s="23"/>
      <c r="M54" s="23"/>
      <c r="N54" s="23"/>
    </row>
    <row r="55" ht="15.75" customHeight="1">
      <c r="A55" s="48"/>
      <c r="B55" s="48"/>
      <c r="C55" s="48"/>
      <c r="D55" s="56"/>
      <c r="E55" s="56"/>
      <c r="F55" s="51" t="s">
        <v>39</v>
      </c>
      <c r="G55" s="52"/>
      <c r="H55" s="57">
        <f>VLOOKUP(F55,$A$27:$B$27,2,TRUE)</f>
        <v>0</v>
      </c>
      <c r="I55" s="54">
        <f t="shared" si="1"/>
        <v>0</v>
      </c>
      <c r="J55" s="56"/>
      <c r="K55" s="23"/>
      <c r="L55" s="23"/>
      <c r="M55" s="23"/>
      <c r="N55" s="23"/>
    </row>
    <row r="56" ht="15.75" customHeight="1">
      <c r="A56" s="48"/>
      <c r="B56" s="48"/>
      <c r="C56" s="48"/>
      <c r="D56" s="56"/>
      <c r="E56" s="56"/>
      <c r="F56" s="51" t="s">
        <v>40</v>
      </c>
      <c r="G56" s="52"/>
      <c r="H56" s="57">
        <f>VLOOKUP(F55,$A$28:$B$28,2,TRUE)</f>
        <v>1700</v>
      </c>
      <c r="I56" s="54">
        <f t="shared" si="1"/>
        <v>0</v>
      </c>
      <c r="J56" s="56"/>
      <c r="K56" s="23"/>
      <c r="L56" s="23"/>
      <c r="M56" s="23"/>
      <c r="N56" s="23"/>
    </row>
    <row r="57" ht="15.75" customHeight="1">
      <c r="A57" s="48"/>
      <c r="B57" s="48"/>
      <c r="C57" s="48"/>
      <c r="D57" s="56"/>
      <c r="E57" s="56"/>
      <c r="F57" s="51" t="s">
        <v>14</v>
      </c>
      <c r="G57" s="52"/>
      <c r="H57" s="57">
        <f>VLOOKUP(F56,$A$29:$B$29,2,TRUE)</f>
        <v>4500</v>
      </c>
      <c r="I57" s="54">
        <f t="shared" si="1"/>
        <v>0</v>
      </c>
      <c r="J57" s="56"/>
      <c r="K57" s="23"/>
      <c r="L57" s="23"/>
      <c r="M57" s="23"/>
      <c r="N57" s="23"/>
    </row>
    <row r="58" ht="15.75" customHeight="1">
      <c r="A58" s="48"/>
      <c r="B58" s="48"/>
      <c r="C58" s="48"/>
      <c r="D58" s="10"/>
      <c r="E58" s="10"/>
      <c r="F58" s="51" t="s">
        <v>58</v>
      </c>
      <c r="G58" s="52"/>
      <c r="H58" s="57">
        <f>VLOOKUP(F57,$A$30:$B$30,2,TRUE)</f>
        <v>500</v>
      </c>
      <c r="I58" s="54">
        <f t="shared" si="1"/>
        <v>0</v>
      </c>
      <c r="J58" s="10"/>
      <c r="K58" s="23"/>
      <c r="L58" s="23"/>
      <c r="M58" s="23"/>
      <c r="N58" s="23"/>
    </row>
    <row r="59" ht="15.75" customHeight="1">
      <c r="A59" s="48"/>
      <c r="B59" s="48"/>
      <c r="C59" s="48"/>
      <c r="D59" s="59" t="s">
        <v>60</v>
      </c>
      <c r="E59" s="60"/>
      <c r="F59" s="60"/>
      <c r="G59" s="60"/>
      <c r="H59" s="60"/>
      <c r="I59" s="61"/>
      <c r="J59" s="62">
        <f>SUM(J5:J58)</f>
        <v>10200</v>
      </c>
      <c r="K59" s="23"/>
      <c r="L59" s="23"/>
      <c r="M59" s="23"/>
      <c r="N59" s="23"/>
    </row>
    <row r="60" ht="15.75" customHeight="1">
      <c r="A60" s="22"/>
      <c r="B60" s="22"/>
      <c r="C60" s="22"/>
      <c r="D60" s="22"/>
      <c r="E60" s="22"/>
      <c r="F60" s="23"/>
      <c r="G60" s="23"/>
      <c r="H60" s="23"/>
      <c r="I60" s="23"/>
      <c r="J60" s="24"/>
      <c r="K60" s="23"/>
      <c r="L60" s="23"/>
      <c r="M60" s="23"/>
      <c r="N60" s="23"/>
    </row>
    <row r="61" ht="15.75" customHeight="1">
      <c r="A61" s="22"/>
      <c r="B61" s="22"/>
      <c r="C61" s="22"/>
      <c r="D61" s="22"/>
      <c r="E61" s="22"/>
      <c r="F61" s="23"/>
      <c r="G61" s="23"/>
      <c r="H61" s="23"/>
      <c r="I61" s="23"/>
      <c r="J61" s="24"/>
      <c r="K61" s="23"/>
      <c r="L61" s="23"/>
      <c r="M61" s="23"/>
      <c r="N61" s="23"/>
    </row>
    <row r="62" ht="15.75" customHeight="1">
      <c r="A62" s="22"/>
      <c r="B62" s="22"/>
      <c r="C62" s="22"/>
      <c r="D62" s="22"/>
      <c r="E62" s="22"/>
      <c r="F62" s="23"/>
      <c r="G62" s="23"/>
      <c r="H62" s="23"/>
      <c r="I62" s="23"/>
      <c r="J62" s="24"/>
      <c r="K62" s="23"/>
      <c r="L62" s="23"/>
      <c r="M62" s="23"/>
      <c r="N62" s="23"/>
    </row>
    <row r="63" ht="15.75" customHeight="1">
      <c r="A63" s="22"/>
      <c r="B63" s="22"/>
      <c r="C63" s="22"/>
      <c r="D63" s="22"/>
      <c r="E63" s="22"/>
      <c r="F63" s="23"/>
      <c r="G63" s="23"/>
      <c r="H63" s="23"/>
      <c r="I63" s="23"/>
      <c r="J63" s="24"/>
      <c r="K63" s="23"/>
      <c r="L63" s="23"/>
      <c r="M63" s="23"/>
      <c r="N63" s="23"/>
    </row>
    <row r="64" ht="15.75" customHeight="1">
      <c r="A64" s="22"/>
      <c r="B64" s="22"/>
      <c r="C64" s="22"/>
      <c r="D64" s="22"/>
      <c r="E64" s="22"/>
      <c r="F64" s="23"/>
      <c r="G64" s="23"/>
      <c r="H64" s="23"/>
      <c r="I64" s="23"/>
      <c r="J64" s="24"/>
      <c r="K64" s="23"/>
      <c r="L64" s="23"/>
      <c r="M64" s="23"/>
      <c r="N64" s="23"/>
    </row>
    <row r="65" ht="15.75" customHeight="1">
      <c r="A65" s="22"/>
      <c r="B65" s="22"/>
      <c r="C65" s="22"/>
      <c r="D65" s="22"/>
      <c r="E65" s="22"/>
      <c r="F65" s="23"/>
      <c r="G65" s="23"/>
      <c r="H65" s="23"/>
      <c r="I65" s="23"/>
      <c r="J65" s="24"/>
      <c r="K65" s="23"/>
      <c r="L65" s="23"/>
      <c r="M65" s="23"/>
      <c r="N65" s="23"/>
    </row>
    <row r="66" ht="15.75" customHeight="1">
      <c r="A66" s="22"/>
      <c r="B66" s="22"/>
      <c r="C66" s="22"/>
      <c r="D66" s="22"/>
      <c r="E66" s="22"/>
      <c r="F66" s="23"/>
      <c r="G66" s="23"/>
      <c r="H66" s="23"/>
      <c r="I66" s="23"/>
      <c r="J66" s="24"/>
      <c r="K66" s="23"/>
      <c r="L66" s="23"/>
      <c r="M66" s="23"/>
      <c r="N66" s="23"/>
    </row>
    <row r="67" ht="15.75" customHeight="1">
      <c r="A67" s="22"/>
      <c r="B67" s="22"/>
      <c r="C67" s="22"/>
      <c r="D67" s="22"/>
      <c r="E67" s="22"/>
      <c r="F67" s="23"/>
      <c r="G67" s="23"/>
      <c r="H67" s="23"/>
      <c r="I67" s="23"/>
      <c r="J67" s="24"/>
      <c r="K67" s="23"/>
      <c r="L67" s="23"/>
      <c r="M67" s="23"/>
      <c r="N67" s="23"/>
    </row>
    <row r="68" ht="15.75" customHeight="1">
      <c r="A68" s="22"/>
      <c r="B68" s="22"/>
      <c r="C68" s="22"/>
      <c r="D68" s="22"/>
      <c r="E68" s="22"/>
      <c r="J68" s="24"/>
    </row>
    <row r="69" ht="15.75" customHeight="1">
      <c r="A69" s="22"/>
      <c r="B69" s="22"/>
      <c r="C69" s="22"/>
      <c r="D69" s="22"/>
      <c r="E69" s="22"/>
      <c r="J69" s="24"/>
    </row>
    <row r="70" ht="15.75" customHeight="1">
      <c r="A70" s="22"/>
      <c r="B70" s="22"/>
      <c r="C70" s="22"/>
      <c r="D70" s="22"/>
      <c r="E70" s="22"/>
      <c r="J70" s="24"/>
    </row>
    <row r="71" ht="15.75" customHeight="1">
      <c r="A71" s="22"/>
      <c r="B71" s="22"/>
      <c r="C71" s="22"/>
      <c r="D71" s="22"/>
      <c r="E71" s="22"/>
      <c r="J71" s="24"/>
    </row>
    <row r="72" ht="15.75" customHeight="1">
      <c r="A72" s="22"/>
      <c r="B72" s="22"/>
      <c r="C72" s="22"/>
      <c r="D72" s="22"/>
      <c r="E72" s="22"/>
      <c r="J72" s="24"/>
    </row>
    <row r="73" ht="15.75" customHeight="1">
      <c r="A73" s="22"/>
      <c r="B73" s="22"/>
      <c r="C73" s="22"/>
      <c r="D73" s="22"/>
      <c r="E73" s="22"/>
      <c r="J73" s="24"/>
    </row>
    <row r="74" ht="15.75" customHeight="1">
      <c r="A74" s="22"/>
      <c r="B74" s="22"/>
      <c r="C74" s="22"/>
      <c r="D74" s="22"/>
      <c r="E74" s="22"/>
      <c r="J74" s="24"/>
    </row>
    <row r="75" ht="15.75" customHeight="1">
      <c r="A75" s="22"/>
      <c r="B75" s="22"/>
      <c r="C75" s="22"/>
      <c r="D75" s="22"/>
      <c r="E75" s="22"/>
      <c r="J75" s="24"/>
    </row>
    <row r="76" ht="15.75" customHeight="1">
      <c r="A76" s="22"/>
      <c r="B76" s="22"/>
      <c r="C76" s="22"/>
      <c r="D76" s="22"/>
      <c r="E76" s="22"/>
      <c r="J76" s="24"/>
    </row>
    <row r="77" ht="15.75" customHeight="1">
      <c r="A77" s="22"/>
      <c r="B77" s="22"/>
      <c r="C77" s="22"/>
      <c r="D77" s="22"/>
      <c r="E77" s="22"/>
      <c r="J77" s="24"/>
    </row>
    <row r="78" ht="15.75" customHeight="1">
      <c r="A78" s="22"/>
      <c r="B78" s="22"/>
      <c r="C78" s="22"/>
      <c r="D78" s="22"/>
      <c r="E78" s="22"/>
      <c r="J78" s="24"/>
    </row>
    <row r="79" ht="15.75" customHeight="1">
      <c r="A79" s="22"/>
      <c r="B79" s="22"/>
      <c r="C79" s="22"/>
      <c r="D79" s="22"/>
      <c r="E79" s="22"/>
      <c r="J79" s="24"/>
    </row>
    <row r="80" ht="15.75" customHeight="1">
      <c r="A80" s="22"/>
      <c r="B80" s="22"/>
      <c r="C80" s="22"/>
      <c r="D80" s="22"/>
      <c r="E80" s="22"/>
      <c r="J80" s="24"/>
    </row>
    <row r="81" ht="15.75" customHeight="1">
      <c r="A81" s="22"/>
      <c r="B81" s="22"/>
      <c r="C81" s="22"/>
      <c r="D81" s="22"/>
      <c r="E81" s="22"/>
      <c r="J81" s="24"/>
    </row>
    <row r="82" ht="15.75" customHeight="1">
      <c r="A82" s="22"/>
      <c r="B82" s="22"/>
      <c r="C82" s="22"/>
      <c r="D82" s="22"/>
      <c r="E82" s="22"/>
      <c r="J82" s="24"/>
    </row>
    <row r="83" ht="15.75" customHeight="1">
      <c r="A83" s="22"/>
      <c r="B83" s="22"/>
      <c r="C83" s="22"/>
      <c r="D83" s="22"/>
      <c r="E83" s="22"/>
      <c r="J83" s="24"/>
    </row>
    <row r="84" ht="15.75" customHeight="1">
      <c r="A84" s="22"/>
      <c r="B84" s="22"/>
      <c r="C84" s="22"/>
      <c r="D84" s="22"/>
      <c r="E84" s="22"/>
      <c r="J84" s="24"/>
    </row>
    <row r="85" ht="15.75" customHeight="1">
      <c r="A85" s="22"/>
      <c r="B85" s="22"/>
      <c r="C85" s="22"/>
      <c r="D85" s="22"/>
      <c r="E85" s="22"/>
      <c r="J85" s="24"/>
    </row>
    <row r="86" ht="15.75" customHeight="1">
      <c r="A86" s="22"/>
      <c r="B86" s="22"/>
      <c r="C86" s="22"/>
      <c r="D86" s="22"/>
      <c r="E86" s="22"/>
      <c r="J86" s="24"/>
    </row>
    <row r="87" ht="15.75" customHeight="1">
      <c r="A87" s="22"/>
      <c r="B87" s="22"/>
      <c r="C87" s="22"/>
      <c r="D87" s="22"/>
      <c r="E87" s="22"/>
      <c r="J87" s="24"/>
    </row>
    <row r="88" ht="15.75" customHeight="1">
      <c r="A88" s="22"/>
      <c r="B88" s="22"/>
      <c r="C88" s="22"/>
      <c r="D88" s="22"/>
      <c r="E88" s="22"/>
      <c r="J88" s="24"/>
    </row>
    <row r="89" ht="15.75" customHeight="1">
      <c r="A89" s="22"/>
      <c r="B89" s="22"/>
      <c r="C89" s="22"/>
      <c r="D89" s="22"/>
      <c r="E89" s="22"/>
      <c r="J89" s="24"/>
    </row>
    <row r="90" ht="15.75" customHeight="1">
      <c r="A90" s="22"/>
      <c r="B90" s="22"/>
      <c r="C90" s="22"/>
      <c r="D90" s="22"/>
      <c r="E90" s="22"/>
      <c r="J90" s="24"/>
    </row>
    <row r="91" ht="15.75" customHeight="1">
      <c r="A91" s="22"/>
      <c r="B91" s="22"/>
      <c r="C91" s="22"/>
      <c r="D91" s="22"/>
      <c r="E91" s="22"/>
      <c r="J91" s="24"/>
    </row>
    <row r="92" ht="15.75" customHeight="1">
      <c r="A92" s="22"/>
      <c r="B92" s="22"/>
      <c r="C92" s="22"/>
      <c r="D92" s="22"/>
      <c r="E92" s="22"/>
      <c r="J92" s="24"/>
    </row>
    <row r="93" ht="15.75" customHeight="1">
      <c r="A93" s="22"/>
      <c r="B93" s="22"/>
      <c r="C93" s="22"/>
      <c r="D93" s="22"/>
      <c r="E93" s="22"/>
      <c r="J93" s="24"/>
    </row>
    <row r="94" ht="15.75" customHeight="1">
      <c r="A94" s="22"/>
      <c r="B94" s="22"/>
      <c r="C94" s="22"/>
      <c r="D94" s="22"/>
      <c r="E94" s="22"/>
      <c r="J94" s="24"/>
    </row>
    <row r="95" ht="15.75" customHeight="1">
      <c r="A95" s="22"/>
      <c r="B95" s="22"/>
      <c r="C95" s="22"/>
      <c r="D95" s="22"/>
      <c r="E95" s="22"/>
      <c r="J95" s="24"/>
    </row>
    <row r="96" ht="15.75" customHeight="1">
      <c r="A96" s="22"/>
      <c r="B96" s="22"/>
      <c r="C96" s="22"/>
      <c r="D96" s="22"/>
      <c r="E96" s="22"/>
      <c r="J96" s="24"/>
    </row>
    <row r="97" ht="15.75" customHeight="1">
      <c r="A97" s="22"/>
      <c r="B97" s="22"/>
      <c r="C97" s="22"/>
      <c r="D97" s="22"/>
      <c r="E97" s="22"/>
      <c r="J97" s="24"/>
    </row>
    <row r="98" ht="15.75" customHeight="1">
      <c r="A98" s="22"/>
      <c r="B98" s="22"/>
      <c r="C98" s="22"/>
      <c r="D98" s="22"/>
      <c r="E98" s="22"/>
      <c r="J98" s="24"/>
    </row>
    <row r="99" ht="15.75" customHeight="1">
      <c r="A99" s="22"/>
      <c r="B99" s="22"/>
      <c r="C99" s="22"/>
      <c r="D99" s="22"/>
      <c r="E99" s="22"/>
      <c r="J99" s="24"/>
    </row>
    <row r="100" ht="15.75" customHeight="1">
      <c r="A100" s="22"/>
      <c r="B100" s="22"/>
      <c r="C100" s="22"/>
      <c r="D100" s="22"/>
      <c r="E100" s="22"/>
      <c r="J100" s="24"/>
    </row>
    <row r="101" ht="15.75" customHeight="1">
      <c r="A101" s="22"/>
      <c r="B101" s="22"/>
      <c r="C101" s="22"/>
      <c r="D101" s="22"/>
      <c r="E101" s="22"/>
      <c r="J101" s="24"/>
    </row>
    <row r="102" ht="15.75" customHeight="1">
      <c r="A102" s="22"/>
      <c r="B102" s="22"/>
      <c r="C102" s="22"/>
      <c r="D102" s="22"/>
      <c r="E102" s="22"/>
      <c r="J102" s="24"/>
    </row>
    <row r="103" ht="15.75" customHeight="1">
      <c r="A103" s="22"/>
      <c r="B103" s="22"/>
      <c r="C103" s="22"/>
      <c r="D103" s="22"/>
      <c r="E103" s="22"/>
      <c r="J103" s="24"/>
    </row>
    <row r="104" ht="15.75" customHeight="1">
      <c r="A104" s="22"/>
      <c r="B104" s="22"/>
      <c r="C104" s="22"/>
      <c r="D104" s="22"/>
      <c r="E104" s="22"/>
      <c r="J104" s="24"/>
    </row>
    <row r="105" ht="15.75" customHeight="1">
      <c r="A105" s="22"/>
      <c r="B105" s="22"/>
      <c r="C105" s="22"/>
      <c r="D105" s="22"/>
      <c r="E105" s="22"/>
      <c r="J105" s="24"/>
    </row>
    <row r="106" ht="15.75" customHeight="1">
      <c r="A106" s="22"/>
      <c r="B106" s="22"/>
      <c r="C106" s="22"/>
      <c r="D106" s="22"/>
      <c r="E106" s="22"/>
      <c r="J106" s="24"/>
    </row>
    <row r="107" ht="15.75" customHeight="1">
      <c r="A107" s="22"/>
      <c r="B107" s="22"/>
      <c r="C107" s="22"/>
      <c r="D107" s="22"/>
      <c r="E107" s="22"/>
      <c r="J107" s="24"/>
    </row>
    <row r="108" ht="15.75" customHeight="1">
      <c r="A108" s="22"/>
      <c r="B108" s="22"/>
      <c r="C108" s="22"/>
      <c r="D108" s="22"/>
      <c r="E108" s="22"/>
      <c r="J108" s="24"/>
    </row>
    <row r="109" ht="15.75" customHeight="1">
      <c r="A109" s="22"/>
      <c r="B109" s="22"/>
      <c r="C109" s="22"/>
      <c r="D109" s="22"/>
      <c r="E109" s="22"/>
      <c r="J109" s="24"/>
    </row>
    <row r="110" ht="15.75" customHeight="1">
      <c r="A110" s="22"/>
      <c r="B110" s="22"/>
      <c r="C110" s="22"/>
      <c r="D110" s="22"/>
      <c r="E110" s="22"/>
      <c r="J110" s="24"/>
    </row>
    <row r="111" ht="15.75" customHeight="1">
      <c r="A111" s="22"/>
      <c r="B111" s="22"/>
      <c r="C111" s="22"/>
      <c r="D111" s="22"/>
      <c r="E111" s="22"/>
      <c r="J111" s="24"/>
    </row>
    <row r="112" ht="15.75" customHeight="1">
      <c r="A112" s="22"/>
      <c r="B112" s="22"/>
      <c r="C112" s="22"/>
      <c r="D112" s="22"/>
      <c r="E112" s="22"/>
      <c r="J112" s="24"/>
    </row>
    <row r="113" ht="15.75" customHeight="1">
      <c r="A113" s="22"/>
      <c r="B113" s="22"/>
      <c r="C113" s="22"/>
      <c r="D113" s="22"/>
      <c r="E113" s="22"/>
      <c r="J113" s="24"/>
    </row>
    <row r="114" ht="15.75" customHeight="1">
      <c r="A114" s="22"/>
      <c r="B114" s="22"/>
      <c r="C114" s="22"/>
      <c r="D114" s="22"/>
      <c r="E114" s="22"/>
      <c r="J114" s="24"/>
    </row>
    <row r="115" ht="15.75" customHeight="1">
      <c r="A115" s="22"/>
      <c r="B115" s="22"/>
      <c r="C115" s="22"/>
      <c r="D115" s="22"/>
      <c r="E115" s="22"/>
      <c r="J115" s="24"/>
    </row>
    <row r="116" ht="15.75" customHeight="1">
      <c r="A116" s="22"/>
      <c r="B116" s="22"/>
      <c r="C116" s="22"/>
      <c r="D116" s="22"/>
      <c r="E116" s="22"/>
      <c r="J116" s="24"/>
    </row>
    <row r="117" ht="15.75" customHeight="1">
      <c r="A117" s="22"/>
      <c r="B117" s="22"/>
      <c r="C117" s="22"/>
      <c r="D117" s="22"/>
      <c r="E117" s="22"/>
      <c r="J117" s="24"/>
    </row>
    <row r="118" ht="15.75" customHeight="1">
      <c r="A118" s="22"/>
      <c r="B118" s="22"/>
      <c r="C118" s="22"/>
      <c r="D118" s="22"/>
      <c r="E118" s="22"/>
      <c r="J118" s="24"/>
    </row>
    <row r="119" ht="15.75" customHeight="1">
      <c r="A119" s="22"/>
      <c r="B119" s="22"/>
      <c r="C119" s="22"/>
      <c r="D119" s="22"/>
      <c r="E119" s="22"/>
      <c r="J119" s="24"/>
    </row>
    <row r="120" ht="15.75" customHeight="1">
      <c r="A120" s="22"/>
      <c r="B120" s="22"/>
      <c r="C120" s="22"/>
      <c r="D120" s="22"/>
      <c r="E120" s="22"/>
      <c r="J120" s="24"/>
    </row>
    <row r="121" ht="15.75" customHeight="1">
      <c r="A121" s="22"/>
      <c r="B121" s="22"/>
      <c r="C121" s="22"/>
      <c r="D121" s="22"/>
      <c r="E121" s="22"/>
      <c r="J121" s="24"/>
    </row>
    <row r="122" ht="15.75" customHeight="1">
      <c r="A122" s="22"/>
      <c r="B122" s="22"/>
      <c r="C122" s="22"/>
      <c r="D122" s="22"/>
      <c r="E122" s="22"/>
      <c r="J122" s="24"/>
    </row>
    <row r="123" ht="15.75" customHeight="1">
      <c r="A123" s="22"/>
      <c r="B123" s="22"/>
      <c r="C123" s="22"/>
      <c r="D123" s="22"/>
      <c r="E123" s="22"/>
      <c r="J123" s="24"/>
    </row>
    <row r="124" ht="15.75" customHeight="1">
      <c r="A124" s="22"/>
      <c r="B124" s="22"/>
      <c r="C124" s="22"/>
      <c r="D124" s="22"/>
      <c r="E124" s="22"/>
      <c r="J124" s="24"/>
    </row>
    <row r="125" ht="15.75" customHeight="1">
      <c r="A125" s="22"/>
      <c r="B125" s="22"/>
      <c r="C125" s="22"/>
      <c r="D125" s="22"/>
      <c r="E125" s="22"/>
      <c r="J125" s="24"/>
    </row>
    <row r="126" ht="15.75" customHeight="1">
      <c r="A126" s="22"/>
      <c r="B126" s="22"/>
      <c r="C126" s="22"/>
      <c r="D126" s="22"/>
      <c r="E126" s="22"/>
      <c r="J126" s="24"/>
    </row>
    <row r="127" ht="15.75" customHeight="1">
      <c r="A127" s="22"/>
      <c r="B127" s="22"/>
      <c r="C127" s="22"/>
      <c r="D127" s="22"/>
      <c r="E127" s="22"/>
      <c r="J127" s="24"/>
    </row>
    <row r="128" ht="15.75" customHeight="1">
      <c r="A128" s="22"/>
      <c r="B128" s="22"/>
      <c r="C128" s="22"/>
      <c r="D128" s="22"/>
      <c r="E128" s="22"/>
      <c r="J128" s="24"/>
    </row>
    <row r="129" ht="15.75" customHeight="1">
      <c r="A129" s="22"/>
      <c r="B129" s="22"/>
      <c r="C129" s="22"/>
      <c r="D129" s="22"/>
      <c r="E129" s="22"/>
      <c r="J129" s="24"/>
    </row>
    <row r="130" ht="15.75" customHeight="1">
      <c r="A130" s="22"/>
      <c r="B130" s="22"/>
      <c r="C130" s="22"/>
      <c r="D130" s="22"/>
      <c r="E130" s="22"/>
      <c r="J130" s="24"/>
    </row>
    <row r="131" ht="15.75" customHeight="1">
      <c r="A131" s="22"/>
      <c r="B131" s="22"/>
      <c r="C131" s="22"/>
      <c r="D131" s="22"/>
      <c r="E131" s="22"/>
      <c r="J131" s="24"/>
    </row>
    <row r="132" ht="15.75" customHeight="1">
      <c r="A132" s="22"/>
      <c r="B132" s="22"/>
      <c r="C132" s="22"/>
      <c r="D132" s="22"/>
      <c r="E132" s="22"/>
      <c r="J132" s="24"/>
    </row>
    <row r="133" ht="15.75" customHeight="1">
      <c r="A133" s="22"/>
      <c r="B133" s="22"/>
      <c r="C133" s="22"/>
      <c r="D133" s="22"/>
      <c r="E133" s="22"/>
      <c r="J133" s="24"/>
    </row>
    <row r="134" ht="15.75" customHeight="1">
      <c r="A134" s="22"/>
      <c r="B134" s="22"/>
      <c r="C134" s="22"/>
      <c r="D134" s="22"/>
      <c r="E134" s="22"/>
      <c r="J134" s="24"/>
    </row>
    <row r="135" ht="15.75" customHeight="1">
      <c r="A135" s="22"/>
      <c r="B135" s="22"/>
      <c r="C135" s="22"/>
      <c r="D135" s="22"/>
      <c r="E135" s="22"/>
      <c r="J135" s="24"/>
    </row>
    <row r="136" ht="15.75" customHeight="1">
      <c r="A136" s="22"/>
      <c r="B136" s="22"/>
      <c r="C136" s="22"/>
      <c r="D136" s="22"/>
      <c r="E136" s="22"/>
      <c r="J136" s="24"/>
    </row>
    <row r="137" ht="15.75" customHeight="1">
      <c r="A137" s="22"/>
      <c r="B137" s="22"/>
      <c r="C137" s="22"/>
      <c r="D137" s="22"/>
      <c r="E137" s="22"/>
      <c r="J137" s="24"/>
    </row>
    <row r="138" ht="15.75" customHeight="1">
      <c r="A138" s="22"/>
      <c r="B138" s="22"/>
      <c r="C138" s="22"/>
      <c r="D138" s="22"/>
      <c r="E138" s="22"/>
      <c r="J138" s="24"/>
    </row>
    <row r="139" ht="15.75" customHeight="1">
      <c r="A139" s="22"/>
      <c r="B139" s="22"/>
      <c r="C139" s="22"/>
      <c r="D139" s="22"/>
      <c r="E139" s="22"/>
      <c r="J139" s="24"/>
    </row>
    <row r="140" ht="15.75" customHeight="1">
      <c r="A140" s="22"/>
      <c r="B140" s="22"/>
      <c r="C140" s="22"/>
      <c r="D140" s="22"/>
      <c r="E140" s="22"/>
      <c r="J140" s="24"/>
    </row>
    <row r="141" ht="15.75" customHeight="1">
      <c r="A141" s="22"/>
      <c r="B141" s="22"/>
      <c r="C141" s="22"/>
      <c r="D141" s="22"/>
      <c r="E141" s="22"/>
      <c r="J141" s="24"/>
    </row>
    <row r="142" ht="15.75" customHeight="1">
      <c r="A142" s="22"/>
      <c r="B142" s="22"/>
      <c r="C142" s="22"/>
      <c r="D142" s="22"/>
      <c r="E142" s="22"/>
      <c r="J142" s="24"/>
    </row>
    <row r="143" ht="15.75" customHeight="1">
      <c r="A143" s="22"/>
      <c r="B143" s="22"/>
      <c r="C143" s="22"/>
      <c r="D143" s="22"/>
      <c r="E143" s="22"/>
      <c r="J143" s="24"/>
    </row>
    <row r="144" ht="15.75" customHeight="1">
      <c r="A144" s="22"/>
      <c r="B144" s="22"/>
      <c r="C144" s="22"/>
      <c r="D144" s="22"/>
      <c r="E144" s="22"/>
      <c r="J144" s="24"/>
    </row>
    <row r="145" ht="15.75" customHeight="1">
      <c r="A145" s="22"/>
      <c r="B145" s="22"/>
      <c r="C145" s="22"/>
      <c r="D145" s="22"/>
      <c r="E145" s="22"/>
      <c r="J145" s="24"/>
    </row>
    <row r="146" ht="15.75" customHeight="1">
      <c r="A146" s="22"/>
      <c r="B146" s="22"/>
      <c r="C146" s="22"/>
      <c r="D146" s="22"/>
      <c r="E146" s="22"/>
      <c r="J146" s="24"/>
    </row>
    <row r="147" ht="15.75" customHeight="1">
      <c r="A147" s="22"/>
      <c r="B147" s="22"/>
      <c r="C147" s="22"/>
      <c r="D147" s="22"/>
      <c r="E147" s="22"/>
      <c r="J147" s="24"/>
    </row>
    <row r="148" ht="15.75" customHeight="1">
      <c r="A148" s="22"/>
      <c r="B148" s="22"/>
      <c r="C148" s="22"/>
      <c r="D148" s="22"/>
      <c r="E148" s="22"/>
      <c r="J148" s="24"/>
    </row>
    <row r="149" ht="15.75" customHeight="1">
      <c r="A149" s="22"/>
      <c r="B149" s="22"/>
      <c r="C149" s="22"/>
      <c r="D149" s="22"/>
      <c r="E149" s="22"/>
      <c r="J149" s="24"/>
    </row>
    <row r="150" ht="15.75" customHeight="1">
      <c r="A150" s="22"/>
      <c r="B150" s="22"/>
      <c r="C150" s="22"/>
      <c r="D150" s="22"/>
      <c r="E150" s="22"/>
      <c r="J150" s="24"/>
    </row>
    <row r="151" ht="15.75" customHeight="1">
      <c r="A151" s="22"/>
      <c r="B151" s="22"/>
      <c r="C151" s="22"/>
      <c r="D151" s="22"/>
      <c r="E151" s="22"/>
      <c r="J151" s="24"/>
    </row>
    <row r="152" ht="15.75" customHeight="1">
      <c r="A152" s="22"/>
      <c r="B152" s="22"/>
      <c r="C152" s="22"/>
      <c r="D152" s="22"/>
      <c r="E152" s="22"/>
      <c r="J152" s="24"/>
    </row>
    <row r="153" ht="15.75" customHeight="1">
      <c r="A153" s="22"/>
      <c r="B153" s="22"/>
      <c r="C153" s="22"/>
      <c r="D153" s="22"/>
      <c r="E153" s="22"/>
      <c r="J153" s="24"/>
    </row>
    <row r="154" ht="15.75" customHeight="1">
      <c r="A154" s="22"/>
      <c r="B154" s="22"/>
      <c r="C154" s="22"/>
      <c r="D154" s="22"/>
      <c r="E154" s="22"/>
      <c r="J154" s="24"/>
    </row>
    <row r="155" ht="15.75" customHeight="1">
      <c r="A155" s="22"/>
      <c r="B155" s="22"/>
      <c r="C155" s="22"/>
      <c r="D155" s="22"/>
      <c r="E155" s="22"/>
      <c r="J155" s="24"/>
    </row>
    <row r="156" ht="15.75" customHeight="1">
      <c r="A156" s="22"/>
      <c r="B156" s="22"/>
      <c r="C156" s="22"/>
      <c r="D156" s="22"/>
      <c r="E156" s="22"/>
      <c r="J156" s="24"/>
    </row>
    <row r="157" ht="15.75" customHeight="1">
      <c r="A157" s="22"/>
      <c r="B157" s="22"/>
      <c r="C157" s="22"/>
      <c r="D157" s="22"/>
      <c r="E157" s="22"/>
      <c r="J157" s="24"/>
    </row>
    <row r="158" ht="15.75" customHeight="1">
      <c r="A158" s="22"/>
      <c r="B158" s="22"/>
      <c r="C158" s="22"/>
      <c r="D158" s="22"/>
      <c r="E158" s="22"/>
      <c r="J158" s="24"/>
    </row>
    <row r="159" ht="15.75" customHeight="1">
      <c r="A159" s="22"/>
      <c r="B159" s="22"/>
      <c r="C159" s="22"/>
      <c r="D159" s="22"/>
      <c r="E159" s="22"/>
      <c r="J159" s="24"/>
    </row>
    <row r="160" ht="15.75" customHeight="1">
      <c r="A160" s="22"/>
      <c r="B160" s="22"/>
      <c r="C160" s="22"/>
      <c r="D160" s="22"/>
      <c r="E160" s="22"/>
      <c r="J160" s="24"/>
    </row>
    <row r="161" ht="15.75" customHeight="1">
      <c r="A161" s="22"/>
      <c r="B161" s="22"/>
      <c r="C161" s="22"/>
      <c r="D161" s="22"/>
      <c r="E161" s="22"/>
      <c r="J161" s="24"/>
    </row>
    <row r="162" ht="15.75" customHeight="1">
      <c r="A162" s="22"/>
      <c r="B162" s="22"/>
      <c r="C162" s="22"/>
      <c r="D162" s="22"/>
      <c r="E162" s="22"/>
      <c r="J162" s="24"/>
    </row>
    <row r="163" ht="15.75" customHeight="1">
      <c r="A163" s="22"/>
      <c r="B163" s="22"/>
      <c r="C163" s="22"/>
      <c r="D163" s="22"/>
      <c r="E163" s="22"/>
      <c r="J163" s="24"/>
    </row>
    <row r="164" ht="15.75" customHeight="1">
      <c r="A164" s="22"/>
      <c r="B164" s="22"/>
      <c r="C164" s="22"/>
      <c r="D164" s="22"/>
      <c r="E164" s="22"/>
      <c r="J164" s="24"/>
    </row>
    <row r="165" ht="15.75" customHeight="1">
      <c r="A165" s="22"/>
      <c r="B165" s="22"/>
      <c r="C165" s="22"/>
      <c r="D165" s="22"/>
      <c r="E165" s="22"/>
      <c r="J165" s="24"/>
    </row>
    <row r="166" ht="15.75" customHeight="1">
      <c r="A166" s="22"/>
      <c r="B166" s="22"/>
      <c r="C166" s="22"/>
      <c r="D166" s="22"/>
      <c r="E166" s="22"/>
      <c r="J166" s="24"/>
    </row>
    <row r="167" ht="15.75" customHeight="1">
      <c r="A167" s="22"/>
      <c r="B167" s="22"/>
      <c r="C167" s="22"/>
      <c r="D167" s="22"/>
      <c r="E167" s="22"/>
      <c r="J167" s="24"/>
    </row>
    <row r="168" ht="15.75" customHeight="1">
      <c r="A168" s="22"/>
      <c r="B168" s="22"/>
      <c r="C168" s="22"/>
      <c r="D168" s="22"/>
      <c r="E168" s="22"/>
      <c r="J168" s="24"/>
    </row>
    <row r="169" ht="15.75" customHeight="1">
      <c r="A169" s="22"/>
      <c r="B169" s="22"/>
      <c r="C169" s="22"/>
      <c r="D169" s="22"/>
      <c r="E169" s="22"/>
      <c r="J169" s="24"/>
    </row>
    <row r="170" ht="15.75" customHeight="1">
      <c r="A170" s="22"/>
      <c r="B170" s="22"/>
      <c r="C170" s="22"/>
      <c r="D170" s="22"/>
      <c r="E170" s="22"/>
      <c r="J170" s="24"/>
    </row>
    <row r="171" ht="15.75" customHeight="1">
      <c r="A171" s="22"/>
      <c r="B171" s="22"/>
      <c r="C171" s="22"/>
      <c r="D171" s="22"/>
      <c r="E171" s="22"/>
      <c r="J171" s="24"/>
    </row>
    <row r="172" ht="15.75" customHeight="1">
      <c r="A172" s="22"/>
      <c r="B172" s="22"/>
      <c r="C172" s="22"/>
      <c r="D172" s="22"/>
      <c r="E172" s="22"/>
      <c r="J172" s="24"/>
    </row>
    <row r="173" ht="15.75" customHeight="1">
      <c r="A173" s="22"/>
      <c r="B173" s="22"/>
      <c r="C173" s="22"/>
      <c r="D173" s="22"/>
      <c r="E173" s="22"/>
      <c r="J173" s="24"/>
    </row>
    <row r="174" ht="15.75" customHeight="1">
      <c r="A174" s="22"/>
      <c r="B174" s="22"/>
      <c r="C174" s="22"/>
      <c r="D174" s="22"/>
      <c r="E174" s="22"/>
      <c r="J174" s="24"/>
    </row>
    <row r="175" ht="15.75" customHeight="1">
      <c r="A175" s="22"/>
      <c r="B175" s="22"/>
      <c r="C175" s="22"/>
      <c r="D175" s="22"/>
      <c r="E175" s="22"/>
      <c r="J175" s="24"/>
    </row>
    <row r="176" ht="15.75" customHeight="1">
      <c r="A176" s="22"/>
      <c r="B176" s="22"/>
      <c r="C176" s="22"/>
      <c r="D176" s="22"/>
      <c r="E176" s="22"/>
      <c r="J176" s="24"/>
    </row>
    <row r="177" ht="15.75" customHeight="1">
      <c r="A177" s="22"/>
      <c r="B177" s="22"/>
      <c r="C177" s="22"/>
      <c r="D177" s="22"/>
      <c r="E177" s="22"/>
      <c r="J177" s="24"/>
    </row>
    <row r="178" ht="15.75" customHeight="1">
      <c r="A178" s="22"/>
      <c r="B178" s="22"/>
      <c r="C178" s="22"/>
      <c r="D178" s="22"/>
      <c r="E178" s="22"/>
      <c r="J178" s="24"/>
    </row>
    <row r="179" ht="15.75" customHeight="1">
      <c r="A179" s="22"/>
      <c r="B179" s="22"/>
      <c r="C179" s="22"/>
      <c r="D179" s="22"/>
      <c r="E179" s="22"/>
      <c r="J179" s="24"/>
    </row>
    <row r="180" ht="15.75" customHeight="1">
      <c r="A180" s="22"/>
      <c r="B180" s="22"/>
      <c r="C180" s="22"/>
      <c r="D180" s="22"/>
      <c r="E180" s="22"/>
      <c r="J180" s="24"/>
    </row>
    <row r="181" ht="15.75" customHeight="1">
      <c r="A181" s="22"/>
      <c r="B181" s="22"/>
      <c r="C181" s="22"/>
      <c r="D181" s="22"/>
      <c r="E181" s="22"/>
      <c r="J181" s="24"/>
    </row>
    <row r="182" ht="15.75" customHeight="1">
      <c r="A182" s="22"/>
      <c r="B182" s="22"/>
      <c r="C182" s="22"/>
      <c r="D182" s="22"/>
      <c r="E182" s="22"/>
      <c r="J182" s="24"/>
    </row>
    <row r="183" ht="15.75" customHeight="1">
      <c r="A183" s="22"/>
      <c r="B183" s="22"/>
      <c r="C183" s="22"/>
      <c r="D183" s="22"/>
      <c r="E183" s="22"/>
      <c r="J183" s="24"/>
    </row>
    <row r="184" ht="15.75" customHeight="1">
      <c r="A184" s="22"/>
      <c r="B184" s="22"/>
      <c r="C184" s="22"/>
      <c r="D184" s="22"/>
      <c r="E184" s="22"/>
      <c r="J184" s="24"/>
    </row>
    <row r="185" ht="15.75" customHeight="1">
      <c r="A185" s="22"/>
      <c r="B185" s="22"/>
      <c r="C185" s="22"/>
      <c r="D185" s="22"/>
      <c r="E185" s="22"/>
      <c r="J185" s="24"/>
    </row>
    <row r="186" ht="15.75" customHeight="1">
      <c r="A186" s="22"/>
      <c r="B186" s="22"/>
      <c r="C186" s="22"/>
      <c r="D186" s="22"/>
      <c r="E186" s="22"/>
      <c r="J186" s="24"/>
    </row>
    <row r="187" ht="15.75" customHeight="1">
      <c r="A187" s="22"/>
      <c r="B187" s="22"/>
      <c r="C187" s="22"/>
      <c r="D187" s="22"/>
      <c r="E187" s="22"/>
      <c r="J187" s="24"/>
    </row>
    <row r="188" ht="15.75" customHeight="1">
      <c r="A188" s="22"/>
      <c r="B188" s="22"/>
      <c r="C188" s="22"/>
      <c r="D188" s="22"/>
      <c r="E188" s="22"/>
      <c r="J188" s="24"/>
    </row>
    <row r="189" ht="15.75" customHeight="1">
      <c r="A189" s="22"/>
      <c r="B189" s="22"/>
      <c r="C189" s="22"/>
      <c r="D189" s="22"/>
      <c r="E189" s="22"/>
      <c r="J189" s="24"/>
    </row>
    <row r="190" ht="15.75" customHeight="1">
      <c r="A190" s="22"/>
      <c r="B190" s="22"/>
      <c r="C190" s="22"/>
      <c r="D190" s="22"/>
      <c r="E190" s="22"/>
      <c r="J190" s="24"/>
    </row>
    <row r="191" ht="15.75" customHeight="1">
      <c r="A191" s="22"/>
      <c r="B191" s="22"/>
      <c r="C191" s="22"/>
      <c r="D191" s="22"/>
      <c r="E191" s="22"/>
      <c r="J191" s="24"/>
    </row>
    <row r="192" ht="15.75" customHeight="1">
      <c r="A192" s="22"/>
      <c r="B192" s="22"/>
      <c r="C192" s="22"/>
      <c r="D192" s="22"/>
      <c r="E192" s="22"/>
      <c r="J192" s="24"/>
    </row>
    <row r="193" ht="15.75" customHeight="1">
      <c r="A193" s="22"/>
      <c r="B193" s="22"/>
      <c r="C193" s="22"/>
      <c r="D193" s="22"/>
      <c r="E193" s="22"/>
      <c r="J193" s="24"/>
    </row>
    <row r="194" ht="15.75" customHeight="1">
      <c r="A194" s="22"/>
      <c r="B194" s="22"/>
      <c r="C194" s="22"/>
      <c r="D194" s="22"/>
      <c r="E194" s="22"/>
      <c r="J194" s="24"/>
    </row>
    <row r="195" ht="15.75" customHeight="1">
      <c r="A195" s="22"/>
      <c r="B195" s="22"/>
      <c r="C195" s="22"/>
      <c r="D195" s="22"/>
      <c r="E195" s="22"/>
      <c r="J195" s="24"/>
    </row>
    <row r="196" ht="15.75" customHeight="1">
      <c r="A196" s="22"/>
      <c r="B196" s="22"/>
      <c r="C196" s="22"/>
      <c r="D196" s="22"/>
      <c r="E196" s="22"/>
      <c r="J196" s="24"/>
    </row>
    <row r="197" ht="15.75" customHeight="1">
      <c r="A197" s="22"/>
      <c r="B197" s="22"/>
      <c r="C197" s="22"/>
      <c r="D197" s="22"/>
      <c r="E197" s="22"/>
      <c r="J197" s="24"/>
    </row>
    <row r="198" ht="15.75" customHeight="1">
      <c r="A198" s="22"/>
      <c r="B198" s="22"/>
      <c r="C198" s="22"/>
      <c r="D198" s="22"/>
      <c r="E198" s="22"/>
      <c r="J198" s="24"/>
    </row>
    <row r="199" ht="15.75" customHeight="1">
      <c r="A199" s="22"/>
      <c r="B199" s="22"/>
      <c r="C199" s="22"/>
      <c r="D199" s="22"/>
      <c r="E199" s="22"/>
      <c r="J199" s="24"/>
    </row>
    <row r="200" ht="15.75" customHeight="1">
      <c r="A200" s="22"/>
      <c r="B200" s="22"/>
      <c r="C200" s="22"/>
      <c r="D200" s="22"/>
      <c r="E200" s="22"/>
      <c r="J200" s="24"/>
    </row>
    <row r="201" ht="15.75" customHeight="1">
      <c r="A201" s="22"/>
      <c r="B201" s="22"/>
      <c r="C201" s="22"/>
      <c r="D201" s="22"/>
      <c r="E201" s="22"/>
      <c r="J201" s="24"/>
    </row>
    <row r="202" ht="15.75" customHeight="1">
      <c r="A202" s="22"/>
      <c r="B202" s="22"/>
      <c r="C202" s="22"/>
      <c r="D202" s="22"/>
      <c r="E202" s="22"/>
      <c r="J202" s="24"/>
    </row>
    <row r="203" ht="15.75" customHeight="1">
      <c r="A203" s="22"/>
      <c r="B203" s="22"/>
      <c r="C203" s="22"/>
      <c r="D203" s="22"/>
      <c r="E203" s="22"/>
      <c r="J203" s="24"/>
    </row>
    <row r="204" ht="15.75" customHeight="1">
      <c r="A204" s="22"/>
      <c r="B204" s="22"/>
      <c r="C204" s="22"/>
      <c r="D204" s="22"/>
      <c r="E204" s="22"/>
      <c r="J204" s="24"/>
    </row>
    <row r="205" ht="15.75" customHeight="1">
      <c r="A205" s="22"/>
      <c r="B205" s="22"/>
      <c r="C205" s="22"/>
      <c r="D205" s="22"/>
      <c r="E205" s="22"/>
      <c r="J205" s="24"/>
    </row>
    <row r="206" ht="15.75" customHeight="1">
      <c r="A206" s="22"/>
      <c r="B206" s="22"/>
      <c r="C206" s="22"/>
      <c r="D206" s="22"/>
      <c r="E206" s="22"/>
      <c r="J206" s="24"/>
    </row>
    <row r="207" ht="15.75" customHeight="1">
      <c r="A207" s="22"/>
      <c r="B207" s="22"/>
      <c r="C207" s="22"/>
      <c r="D207" s="22"/>
      <c r="E207" s="22"/>
      <c r="J207" s="24"/>
    </row>
    <row r="208" ht="15.75" customHeight="1">
      <c r="A208" s="22"/>
      <c r="B208" s="22"/>
      <c r="C208" s="22"/>
      <c r="D208" s="22"/>
      <c r="E208" s="22"/>
      <c r="J208" s="24"/>
    </row>
    <row r="209" ht="15.75" customHeight="1">
      <c r="A209" s="22"/>
      <c r="B209" s="22"/>
      <c r="C209" s="22"/>
      <c r="D209" s="22"/>
      <c r="E209" s="22"/>
      <c r="J209" s="24"/>
    </row>
    <row r="210" ht="15.75" customHeight="1">
      <c r="A210" s="22"/>
      <c r="B210" s="22"/>
      <c r="C210" s="22"/>
      <c r="D210" s="22"/>
      <c r="E210" s="22"/>
      <c r="J210" s="24"/>
    </row>
    <row r="211" ht="15.75" customHeight="1">
      <c r="J211" s="24"/>
    </row>
    <row r="212" ht="15.75" customHeight="1">
      <c r="J212" s="24"/>
    </row>
    <row r="213" ht="15.75" customHeight="1">
      <c r="J213" s="24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J5:J31"/>
    <mergeCell ref="J32:J58"/>
    <mergeCell ref="A2:B2"/>
    <mergeCell ref="D2:J2"/>
    <mergeCell ref="L2:M3"/>
    <mergeCell ref="D5:D31"/>
    <mergeCell ref="E5:E31"/>
    <mergeCell ref="D32:D58"/>
    <mergeCell ref="E32:E58"/>
    <mergeCell ref="D59:I5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21"/>
      <c r="B1" s="22"/>
      <c r="C1" s="22"/>
      <c r="D1" s="22"/>
      <c r="E1" s="22"/>
      <c r="F1" s="23"/>
      <c r="G1" s="23"/>
      <c r="H1" s="23"/>
      <c r="I1" s="23"/>
      <c r="J1" s="24"/>
      <c r="K1" s="23"/>
      <c r="L1" s="23"/>
      <c r="M1" s="23"/>
      <c r="N1" s="23"/>
    </row>
    <row r="2" ht="15.75" customHeight="1">
      <c r="A2" s="25" t="s">
        <v>41</v>
      </c>
      <c r="B2" s="26"/>
      <c r="C2" s="27"/>
      <c r="D2" s="27" t="s">
        <v>42</v>
      </c>
      <c r="K2" s="23"/>
      <c r="L2" s="28" t="s">
        <v>43</v>
      </c>
      <c r="M2" s="29"/>
      <c r="N2" s="23"/>
    </row>
    <row r="3">
      <c r="A3" s="30" t="s">
        <v>44</v>
      </c>
      <c r="B3" s="31" t="s">
        <v>45</v>
      </c>
      <c r="C3" s="22"/>
      <c r="D3" s="32"/>
      <c r="E3" s="33" t="s">
        <v>46</v>
      </c>
      <c r="F3" s="34"/>
      <c r="G3" s="35"/>
      <c r="H3" s="36"/>
      <c r="I3" s="36"/>
      <c r="J3" s="37" t="s">
        <v>47</v>
      </c>
      <c r="K3" s="23"/>
      <c r="L3" s="38"/>
      <c r="M3" s="6"/>
      <c r="N3" s="23"/>
    </row>
    <row r="4" ht="15.75" customHeight="1">
      <c r="A4" s="39" t="s">
        <v>16</v>
      </c>
      <c r="B4" s="40">
        <v>3000.0</v>
      </c>
      <c r="C4" s="41"/>
      <c r="D4" s="42" t="s">
        <v>0</v>
      </c>
      <c r="E4" s="43" t="s">
        <v>48</v>
      </c>
      <c r="F4" s="44" t="s">
        <v>49</v>
      </c>
      <c r="G4" s="45" t="s">
        <v>50</v>
      </c>
      <c r="H4" s="45" t="s">
        <v>51</v>
      </c>
      <c r="I4" s="45" t="s">
        <v>52</v>
      </c>
      <c r="J4" s="46" t="s">
        <v>53</v>
      </c>
      <c r="K4" s="23"/>
      <c r="L4" s="47" t="s">
        <v>54</v>
      </c>
      <c r="M4" s="47" t="s">
        <v>50</v>
      </c>
      <c r="N4" s="23"/>
    </row>
    <row r="5" ht="15.75" customHeight="1">
      <c r="A5" s="39" t="s">
        <v>55</v>
      </c>
      <c r="B5" s="40">
        <v>2500.0</v>
      </c>
      <c r="C5" s="48"/>
      <c r="D5" s="49">
        <v>1.0</v>
      </c>
      <c r="E5" s="50" t="s">
        <v>63</v>
      </c>
      <c r="F5" s="51" t="s">
        <v>16</v>
      </c>
      <c r="G5" s="52"/>
      <c r="H5" s="53">
        <f>VLOOKUP(F5,$A$4:$B$4,2,TRUE)</f>
        <v>3000</v>
      </c>
      <c r="I5" s="54">
        <f t="shared" ref="I5:I139" si="1">G5*H5</f>
        <v>0</v>
      </c>
      <c r="J5" s="55">
        <f>SUM(I5:I31)</f>
        <v>33000</v>
      </c>
      <c r="K5" s="23"/>
      <c r="L5" s="51" t="s">
        <v>16</v>
      </c>
      <c r="M5" s="47">
        <f>SUMIF(F5:F139,"Gelas bersih",G5:G139)</f>
        <v>0</v>
      </c>
      <c r="N5" s="23"/>
    </row>
    <row r="6" ht="15.75" customHeight="1">
      <c r="A6" s="39" t="s">
        <v>57</v>
      </c>
      <c r="B6" s="40">
        <v>1200.0</v>
      </c>
      <c r="C6" s="48"/>
      <c r="D6" s="56"/>
      <c r="E6" s="56"/>
      <c r="F6" s="51" t="s">
        <v>55</v>
      </c>
      <c r="G6" s="52">
        <v>1.0</v>
      </c>
      <c r="H6" s="57">
        <f>VLOOKUP(F6,$A$5:$B$5,2,TRUE)</f>
        <v>2500</v>
      </c>
      <c r="I6" s="54">
        <f t="shared" si="1"/>
        <v>2500</v>
      </c>
      <c r="J6" s="56"/>
      <c r="K6" s="23"/>
      <c r="L6" s="51" t="s">
        <v>55</v>
      </c>
      <c r="M6" s="47">
        <f>SUMIF(F6:F140,"Botol bersih",G6:G140)</f>
        <v>4</v>
      </c>
      <c r="N6" s="23"/>
    </row>
    <row r="7" ht="15.75" customHeight="1">
      <c r="A7" s="39" t="s">
        <v>19</v>
      </c>
      <c r="B7" s="40">
        <v>2100.0</v>
      </c>
      <c r="C7" s="48"/>
      <c r="D7" s="56"/>
      <c r="E7" s="56"/>
      <c r="F7" s="51" t="s">
        <v>57</v>
      </c>
      <c r="G7" s="52"/>
      <c r="H7" s="57">
        <f>VLOOKUP(F7,$A$6:$B$6,2,TRUE)</f>
        <v>1200</v>
      </c>
      <c r="I7" s="54">
        <f t="shared" si="1"/>
        <v>0</v>
      </c>
      <c r="J7" s="56"/>
      <c r="K7" s="23"/>
      <c r="L7" s="51" t="s">
        <v>57</v>
      </c>
      <c r="M7" s="47">
        <f>SUMIF(F7:F140,"Botol Warna",G7:G140)</f>
        <v>0</v>
      </c>
      <c r="N7" s="23"/>
    </row>
    <row r="8" ht="15.75" customHeight="1">
      <c r="A8" s="39" t="s">
        <v>20</v>
      </c>
      <c r="B8" s="40">
        <v>3000.0</v>
      </c>
      <c r="C8" s="48"/>
      <c r="D8" s="56"/>
      <c r="E8" s="56"/>
      <c r="F8" s="51" t="s">
        <v>19</v>
      </c>
      <c r="G8" s="52"/>
      <c r="H8" s="57">
        <f>VLOOKUP(F8,$A$7:$B$7,2,TRUE)</f>
        <v>2100</v>
      </c>
      <c r="I8" s="54">
        <f t="shared" si="1"/>
        <v>0</v>
      </c>
      <c r="J8" s="56"/>
      <c r="K8" s="23"/>
      <c r="L8" s="51" t="s">
        <v>19</v>
      </c>
      <c r="M8" s="47">
        <f>SUMIF(F8:F141,"Tutup botol",G8:G141)</f>
        <v>0</v>
      </c>
      <c r="N8" s="23"/>
    </row>
    <row r="9" ht="15.75" customHeight="1">
      <c r="A9" s="39" t="s">
        <v>21</v>
      </c>
      <c r="B9" s="40">
        <v>500.0</v>
      </c>
      <c r="C9" s="48"/>
      <c r="D9" s="56"/>
      <c r="E9" s="56"/>
      <c r="F9" s="51" t="s">
        <v>20</v>
      </c>
      <c r="G9" s="52"/>
      <c r="H9" s="57">
        <f>VLOOKUP(F9,$A$8:$B$8,2,TRUE)</f>
        <v>3000</v>
      </c>
      <c r="I9" s="54">
        <f t="shared" si="1"/>
        <v>0</v>
      </c>
      <c r="J9" s="56"/>
      <c r="K9" s="23"/>
      <c r="L9" s="51" t="s">
        <v>20</v>
      </c>
      <c r="M9" s="47">
        <f>SUMIF(F9:F142,"Tutup galon",G9:G142)</f>
        <v>0</v>
      </c>
      <c r="N9" s="23"/>
    </row>
    <row r="10" ht="15.75" customHeight="1">
      <c r="A10" s="39" t="s">
        <v>22</v>
      </c>
      <c r="B10" s="40">
        <v>1800.0</v>
      </c>
      <c r="C10" s="48"/>
      <c r="D10" s="56"/>
      <c r="E10" s="56"/>
      <c r="F10" s="51" t="s">
        <v>21</v>
      </c>
      <c r="G10" s="52">
        <v>3.5</v>
      </c>
      <c r="H10" s="57">
        <f>VLOOKUP(F10,$A$9:$B$9,2,TRUE)</f>
        <v>500</v>
      </c>
      <c r="I10" s="54">
        <f t="shared" si="1"/>
        <v>1750</v>
      </c>
      <c r="J10" s="56"/>
      <c r="K10" s="23"/>
      <c r="L10" s="51" t="s">
        <v>21</v>
      </c>
      <c r="M10" s="47">
        <f>SUMIF(F10:F143,"Hitam",G10:G143)</f>
        <v>13</v>
      </c>
      <c r="N10" s="23"/>
    </row>
    <row r="11" ht="15.75" customHeight="1">
      <c r="A11" s="39" t="s">
        <v>23</v>
      </c>
      <c r="B11" s="40">
        <v>1500.0</v>
      </c>
      <c r="C11" s="48"/>
      <c r="D11" s="56"/>
      <c r="E11" s="56"/>
      <c r="F11" s="51" t="s">
        <v>22</v>
      </c>
      <c r="G11" s="52"/>
      <c r="H11" s="57">
        <f>VLOOKUP(F11,$A$10:$B$10,2,TRUE)</f>
        <v>1800</v>
      </c>
      <c r="I11" s="54">
        <f t="shared" si="1"/>
        <v>0</v>
      </c>
      <c r="J11" s="56"/>
      <c r="K11" s="23"/>
      <c r="L11" s="51" t="s">
        <v>22</v>
      </c>
      <c r="M11" s="47">
        <f>SUMIF(F11:F144,"Plastik Campur",G11:G144)</f>
        <v>1</v>
      </c>
      <c r="N11" s="23"/>
    </row>
    <row r="12" ht="15.75" customHeight="1">
      <c r="A12" s="39" t="s">
        <v>24</v>
      </c>
      <c r="B12" s="40">
        <v>1400.0</v>
      </c>
      <c r="C12" s="48"/>
      <c r="D12" s="56"/>
      <c r="E12" s="56"/>
      <c r="F12" s="51" t="s">
        <v>23</v>
      </c>
      <c r="G12" s="52">
        <v>5.0</v>
      </c>
      <c r="H12" s="57">
        <f>VLOOKUP(F12,$A$11:$B$11,2,TRUE)</f>
        <v>1500</v>
      </c>
      <c r="I12" s="54">
        <f t="shared" si="1"/>
        <v>7500</v>
      </c>
      <c r="J12" s="56"/>
      <c r="K12" s="23"/>
      <c r="L12" s="51" t="s">
        <v>23</v>
      </c>
      <c r="M12" s="47">
        <f>SUMIF(F12:F145,"Kardus",G12:G145)</f>
        <v>12</v>
      </c>
      <c r="N12" s="23"/>
    </row>
    <row r="13" ht="15.75" customHeight="1">
      <c r="A13" s="39" t="s">
        <v>25</v>
      </c>
      <c r="B13" s="40">
        <v>1000.0</v>
      </c>
      <c r="C13" s="48"/>
      <c r="D13" s="56"/>
      <c r="E13" s="56"/>
      <c r="F13" s="51" t="s">
        <v>24</v>
      </c>
      <c r="G13" s="52"/>
      <c r="H13" s="57">
        <f>VLOOKUP(F13,$A$12:$B$12,2,TRUE)</f>
        <v>1400</v>
      </c>
      <c r="I13" s="54">
        <f t="shared" si="1"/>
        <v>0</v>
      </c>
      <c r="J13" s="56"/>
      <c r="K13" s="23"/>
      <c r="L13" s="51" t="s">
        <v>24</v>
      </c>
      <c r="M13" s="47">
        <f>SUMIF(F13:F146,"Kertas Putihan/ HVS",G13:G146)</f>
        <v>0</v>
      </c>
      <c r="N13" s="23"/>
    </row>
    <row r="14" ht="15.75" customHeight="1">
      <c r="A14" s="39" t="s">
        <v>26</v>
      </c>
      <c r="B14" s="40">
        <v>500.0</v>
      </c>
      <c r="C14" s="48"/>
      <c r="D14" s="56"/>
      <c r="E14" s="56"/>
      <c r="F14" s="51" t="s">
        <v>25</v>
      </c>
      <c r="G14" s="52"/>
      <c r="H14" s="57">
        <f>VLOOKUP(F14,$A$13:$B$13,2,TRUE)</f>
        <v>1000</v>
      </c>
      <c r="I14" s="54">
        <f t="shared" si="1"/>
        <v>0</v>
      </c>
      <c r="J14" s="56"/>
      <c r="K14" s="23"/>
      <c r="L14" s="51" t="s">
        <v>25</v>
      </c>
      <c r="M14" s="47">
        <f>SUMIF(F14:F147,"Koran/Buku",G14:G147)</f>
        <v>0</v>
      </c>
      <c r="N14" s="23"/>
    </row>
    <row r="15" ht="15.75" customHeight="1">
      <c r="A15" s="39" t="s">
        <v>27</v>
      </c>
      <c r="B15" s="40">
        <v>7500.0</v>
      </c>
      <c r="C15" s="48"/>
      <c r="D15" s="56"/>
      <c r="E15" s="56"/>
      <c r="F15" s="51" t="s">
        <v>26</v>
      </c>
      <c r="G15" s="52"/>
      <c r="H15" s="57">
        <f>VLOOKUP(F15,$A$14:$B$14,2,TRUE)</f>
        <v>500</v>
      </c>
      <c r="I15" s="54">
        <f t="shared" si="1"/>
        <v>0</v>
      </c>
      <c r="J15" s="56"/>
      <c r="K15" s="23"/>
      <c r="L15" s="51" t="s">
        <v>26</v>
      </c>
      <c r="M15" s="47">
        <f>SUMIF(F15:F148,"Duplex",G15:G148)</f>
        <v>2.5</v>
      </c>
      <c r="N15" s="23"/>
    </row>
    <row r="16" ht="15.75" customHeight="1">
      <c r="A16" s="39" t="s">
        <v>28</v>
      </c>
      <c r="B16" s="40">
        <v>2000.0</v>
      </c>
      <c r="C16" s="48"/>
      <c r="D16" s="56"/>
      <c r="E16" s="56"/>
      <c r="F16" s="51" t="s">
        <v>27</v>
      </c>
      <c r="G16" s="52"/>
      <c r="H16" s="57">
        <f>VLOOKUP(F16,$A$15:$B$15,2,TRUE)</f>
        <v>7500</v>
      </c>
      <c r="I16" s="54">
        <f t="shared" si="1"/>
        <v>0</v>
      </c>
      <c r="J16" s="56"/>
      <c r="K16" s="23"/>
      <c r="L16" s="51" t="s">
        <v>27</v>
      </c>
      <c r="M16" s="47">
        <f>SUMIF(F16:F149,"Alumunium",G16:G149)</f>
        <v>0</v>
      </c>
      <c r="N16" s="23"/>
    </row>
    <row r="17" ht="15.75" customHeight="1">
      <c r="A17" s="39" t="s">
        <v>29</v>
      </c>
      <c r="B17" s="40">
        <v>1200.0</v>
      </c>
      <c r="C17" s="48"/>
      <c r="D17" s="56"/>
      <c r="E17" s="56"/>
      <c r="F17" s="51" t="s">
        <v>28</v>
      </c>
      <c r="G17" s="52"/>
      <c r="H17" s="57">
        <f>VLOOKUP(F17,$A$16:$B$16,2,TRUE)</f>
        <v>2000</v>
      </c>
      <c r="I17" s="54">
        <f t="shared" si="1"/>
        <v>0</v>
      </c>
      <c r="J17" s="56"/>
      <c r="K17" s="23"/>
      <c r="L17" s="51" t="s">
        <v>28</v>
      </c>
      <c r="M17" s="47">
        <f>SUMIF(F17:F150,"Besi",G17:G150)</f>
        <v>0</v>
      </c>
      <c r="N17" s="23"/>
    </row>
    <row r="18" ht="15.75" customHeight="1">
      <c r="A18" s="39" t="s">
        <v>30</v>
      </c>
      <c r="B18" s="40">
        <v>5000.0</v>
      </c>
      <c r="C18" s="48"/>
      <c r="D18" s="56"/>
      <c r="E18" s="56"/>
      <c r="F18" s="51" t="s">
        <v>29</v>
      </c>
      <c r="G18" s="52"/>
      <c r="H18" s="57">
        <f>VLOOKUP(F18,$A$17:$B$17,2,TRUE)</f>
        <v>1200</v>
      </c>
      <c r="I18" s="54">
        <f t="shared" si="1"/>
        <v>0</v>
      </c>
      <c r="J18" s="56"/>
      <c r="K18" s="23"/>
      <c r="L18" s="51" t="s">
        <v>29</v>
      </c>
      <c r="M18" s="47">
        <f>SUMIF(F18:F151,"Kaleng kue/susu",G18:G151)</f>
        <v>0</v>
      </c>
      <c r="N18" s="23"/>
    </row>
    <row r="19" ht="15.75" customHeight="1">
      <c r="A19" s="39" t="s">
        <v>31</v>
      </c>
      <c r="B19" s="40">
        <v>2700.0</v>
      </c>
      <c r="C19" s="48"/>
      <c r="D19" s="56"/>
      <c r="E19" s="56"/>
      <c r="F19" s="51" t="s">
        <v>30</v>
      </c>
      <c r="G19" s="52">
        <v>0.5</v>
      </c>
      <c r="H19" s="57">
        <f>VLOOKUP(F19,$A$18:$B$18,2,TRUE)</f>
        <v>5000</v>
      </c>
      <c r="I19" s="54">
        <f t="shared" si="1"/>
        <v>2500</v>
      </c>
      <c r="J19" s="56"/>
      <c r="K19" s="23"/>
      <c r="L19" s="51" t="s">
        <v>30</v>
      </c>
      <c r="M19" s="47">
        <f>SUMIF(F19:F152,"Kaleng Minuman",G19:G152)</f>
        <v>0.5</v>
      </c>
      <c r="N19" s="23"/>
    </row>
    <row r="20" ht="15.75" customHeight="1">
      <c r="A20" s="39" t="s">
        <v>32</v>
      </c>
      <c r="B20" s="40">
        <v>50000.0</v>
      </c>
      <c r="C20" s="48"/>
      <c r="D20" s="56"/>
      <c r="E20" s="56"/>
      <c r="F20" s="51" t="s">
        <v>31</v>
      </c>
      <c r="G20" s="52"/>
      <c r="H20" s="57">
        <f>VLOOKUP(F20,$A$19:$B$19,2,TRUE)</f>
        <v>2700</v>
      </c>
      <c r="I20" s="54">
        <f t="shared" si="1"/>
        <v>0</v>
      </c>
      <c r="J20" s="56"/>
      <c r="K20" s="23"/>
      <c r="L20" s="51" t="s">
        <v>31</v>
      </c>
      <c r="M20" s="47">
        <f>SUMIF(F20:F153,"Stanless",G20:G153)</f>
        <v>0</v>
      </c>
      <c r="N20" s="23"/>
    </row>
    <row r="21" ht="15.75" customHeight="1">
      <c r="A21" s="39" t="s">
        <v>33</v>
      </c>
      <c r="B21" s="40">
        <v>10000.0</v>
      </c>
      <c r="C21" s="48"/>
      <c r="D21" s="56"/>
      <c r="E21" s="56"/>
      <c r="F21" s="51" t="s">
        <v>32</v>
      </c>
      <c r="G21" s="52"/>
      <c r="H21" s="57">
        <f>VLOOKUP(F21,$A$20:$B$20,2,TRUE)</f>
        <v>50000</v>
      </c>
      <c r="I21" s="54">
        <f t="shared" si="1"/>
        <v>0</v>
      </c>
      <c r="J21" s="56"/>
      <c r="K21" s="23"/>
      <c r="L21" s="51" t="s">
        <v>32</v>
      </c>
      <c r="M21" s="47">
        <f>SUMIF(F21:F154,"Tembaga",G21:G154)</f>
        <v>0</v>
      </c>
      <c r="N21" s="23"/>
    </row>
    <row r="22" ht="15.75" customHeight="1">
      <c r="A22" s="39" t="s">
        <v>34</v>
      </c>
      <c r="B22" s="40">
        <v>1000.0</v>
      </c>
      <c r="C22" s="48"/>
      <c r="D22" s="56"/>
      <c r="E22" s="56"/>
      <c r="F22" s="51" t="s">
        <v>33</v>
      </c>
      <c r="G22" s="52"/>
      <c r="H22" s="57">
        <f>VLOOKUP(F22,$A$21:$B$21,2,TRUE)</f>
        <v>10000</v>
      </c>
      <c r="I22" s="54">
        <f t="shared" si="1"/>
        <v>0</v>
      </c>
      <c r="J22" s="56"/>
      <c r="K22" s="23"/>
      <c r="L22" s="51" t="s">
        <v>33</v>
      </c>
      <c r="M22" s="47">
        <f>SUMIF(F22:F155,"Aki Motor",G22:G155)</f>
        <v>0</v>
      </c>
      <c r="N22" s="23"/>
    </row>
    <row r="23" ht="15.75" customHeight="1">
      <c r="A23" s="39" t="s">
        <v>35</v>
      </c>
      <c r="B23" s="40">
        <v>500.0</v>
      </c>
      <c r="C23" s="48"/>
      <c r="D23" s="56"/>
      <c r="E23" s="56"/>
      <c r="F23" s="51" t="s">
        <v>34</v>
      </c>
      <c r="G23" s="52"/>
      <c r="H23" s="57">
        <f>VLOOKUP(F23,$A$22:$B$22,2,TRUE)</f>
        <v>1000</v>
      </c>
      <c r="I23" s="54">
        <f t="shared" si="1"/>
        <v>0</v>
      </c>
      <c r="J23" s="56"/>
      <c r="K23" s="23"/>
      <c r="L23" s="51" t="s">
        <v>34</v>
      </c>
      <c r="M23" s="47">
        <f>SUMIF(F23:F156,"Paralon",G23:G156)</f>
        <v>0</v>
      </c>
      <c r="N23" s="23"/>
    </row>
    <row r="24" ht="15.75" customHeight="1">
      <c r="A24" s="39" t="s">
        <v>36</v>
      </c>
      <c r="B24" s="40">
        <v>200.0</v>
      </c>
      <c r="C24" s="48"/>
      <c r="D24" s="56"/>
      <c r="E24" s="56"/>
      <c r="F24" s="51" t="s">
        <v>35</v>
      </c>
      <c r="G24" s="52">
        <v>1.5</v>
      </c>
      <c r="H24" s="57">
        <f>VLOOKUP(F24,$A$23:$B$23,2,TRUE)</f>
        <v>500</v>
      </c>
      <c r="I24" s="54">
        <f t="shared" si="1"/>
        <v>750</v>
      </c>
      <c r="J24" s="56"/>
      <c r="K24" s="23"/>
      <c r="L24" s="51" t="s">
        <v>35</v>
      </c>
      <c r="M24" s="47">
        <f>SUMIF(F24:F157,"Plastik bening",G24:G157)</f>
        <v>2</v>
      </c>
      <c r="N24" s="23"/>
    </row>
    <row r="25" ht="15.75" customHeight="1">
      <c r="A25" s="39" t="s">
        <v>37</v>
      </c>
      <c r="B25" s="40">
        <v>1300.0</v>
      </c>
      <c r="C25" s="48"/>
      <c r="D25" s="56"/>
      <c r="E25" s="56"/>
      <c r="F25" s="51" t="s">
        <v>36</v>
      </c>
      <c r="G25" s="52"/>
      <c r="H25" s="57">
        <f>VLOOKUP(F25,$A$24:$B$24,2,TRUE)</f>
        <v>200</v>
      </c>
      <c r="I25" s="54">
        <f t="shared" si="1"/>
        <v>0</v>
      </c>
      <c r="J25" s="56"/>
      <c r="K25" s="23"/>
      <c r="L25" s="51" t="s">
        <v>36</v>
      </c>
      <c r="M25" s="47">
        <f>SUMIF(F25:F158,"Plastik Warna",G25:G158)</f>
        <v>0</v>
      </c>
      <c r="N25" s="23"/>
    </row>
    <row r="26" ht="15.75" customHeight="1">
      <c r="A26" s="39" t="s">
        <v>12</v>
      </c>
      <c r="B26" s="40">
        <v>300.0</v>
      </c>
      <c r="C26" s="48"/>
      <c r="D26" s="56"/>
      <c r="E26" s="56"/>
      <c r="F26" s="51" t="s">
        <v>37</v>
      </c>
      <c r="G26" s="52"/>
      <c r="H26" s="57">
        <f>VLOOKUP(F26,$A$25:$B$25,2,TRUE)</f>
        <v>1300</v>
      </c>
      <c r="I26" s="54">
        <f t="shared" si="1"/>
        <v>0</v>
      </c>
      <c r="J26" s="56"/>
      <c r="K26" s="23"/>
      <c r="L26" s="51" t="s">
        <v>37</v>
      </c>
      <c r="M26" s="47">
        <f>SUMIF(F26:F159,"Selang",G26:G159)</f>
        <v>0</v>
      </c>
      <c r="N26" s="23"/>
    </row>
    <row r="27" ht="15.75" customHeight="1">
      <c r="A27" s="39" t="s">
        <v>39</v>
      </c>
      <c r="B27" s="40">
        <v>0.0</v>
      </c>
      <c r="C27" s="48"/>
      <c r="D27" s="56"/>
      <c r="E27" s="56"/>
      <c r="F27" s="51" t="s">
        <v>12</v>
      </c>
      <c r="G27" s="52"/>
      <c r="H27" s="57">
        <f>VLOOKUP(F27,$A$26:$B$26,2,TRUE)</f>
        <v>300</v>
      </c>
      <c r="I27" s="54">
        <f t="shared" si="1"/>
        <v>0</v>
      </c>
      <c r="J27" s="56"/>
      <c r="K27" s="23"/>
      <c r="L27" s="51" t="s">
        <v>12</v>
      </c>
      <c r="M27" s="47">
        <f>SUMIF(F27:F160,"Beling",G27:G160)</f>
        <v>0</v>
      </c>
      <c r="N27" s="23"/>
    </row>
    <row r="28" ht="15.75" customHeight="1">
      <c r="A28" s="39" t="s">
        <v>40</v>
      </c>
      <c r="B28" s="40">
        <v>1700.0</v>
      </c>
      <c r="C28" s="48"/>
      <c r="D28" s="56"/>
      <c r="E28" s="56"/>
      <c r="F28" s="51" t="s">
        <v>39</v>
      </c>
      <c r="G28" s="52"/>
      <c r="H28" s="57">
        <f>VLOOKUP(F28,$A$27:$B$27,2,TRUE)</f>
        <v>0</v>
      </c>
      <c r="I28" s="54">
        <f t="shared" si="1"/>
        <v>0</v>
      </c>
      <c r="J28" s="56"/>
      <c r="K28" s="23"/>
      <c r="L28" s="51" t="s">
        <v>39</v>
      </c>
      <c r="M28" s="47">
        <f>SUMIF(F28:F161,"Pecahan",G28:G161)</f>
        <v>0</v>
      </c>
      <c r="N28" s="23"/>
    </row>
    <row r="29" ht="15.75" customHeight="1">
      <c r="A29" s="39" t="s">
        <v>14</v>
      </c>
      <c r="B29" s="58">
        <v>4500.0</v>
      </c>
      <c r="C29" s="48"/>
      <c r="D29" s="56"/>
      <c r="E29" s="56"/>
      <c r="F29" s="51" t="s">
        <v>40</v>
      </c>
      <c r="G29" s="52"/>
      <c r="H29" s="57">
        <f>VLOOKUP(F28,$A$28:$B$28,2,TRUE)</f>
        <v>1700</v>
      </c>
      <c r="I29" s="54">
        <f t="shared" si="1"/>
        <v>0</v>
      </c>
      <c r="J29" s="56"/>
      <c r="K29" s="23"/>
      <c r="L29" s="51" t="s">
        <v>40</v>
      </c>
      <c r="M29" s="47">
        <f>SUMIF(F29:F163,"Paku",G29:G163)</f>
        <v>0</v>
      </c>
      <c r="N29" s="23"/>
    </row>
    <row r="30" ht="15.75" customHeight="1">
      <c r="A30" s="39" t="s">
        <v>58</v>
      </c>
      <c r="B30" s="40">
        <v>500.0</v>
      </c>
      <c r="C30" s="48"/>
      <c r="D30" s="56"/>
      <c r="E30" s="56"/>
      <c r="F30" s="51" t="s">
        <v>14</v>
      </c>
      <c r="G30" s="52">
        <v>4.0</v>
      </c>
      <c r="H30" s="57">
        <f>VLOOKUP(F29,$A$29:$B$29,2,TRUE)</f>
        <v>4500</v>
      </c>
      <c r="I30" s="54">
        <f t="shared" si="1"/>
        <v>18000</v>
      </c>
      <c r="J30" s="56"/>
      <c r="K30" s="23"/>
      <c r="L30" s="51" t="s">
        <v>14</v>
      </c>
      <c r="M30" s="47">
        <f>SUMIF(F30:F164,"Minyak Jelantah",G30:G164)</f>
        <v>7</v>
      </c>
      <c r="N30" s="23"/>
    </row>
    <row r="31" ht="15.75" customHeight="1">
      <c r="A31" s="48"/>
      <c r="B31" s="48"/>
      <c r="C31" s="48"/>
      <c r="D31" s="10"/>
      <c r="E31" s="10"/>
      <c r="F31" s="51" t="s">
        <v>58</v>
      </c>
      <c r="G31" s="52"/>
      <c r="H31" s="57">
        <f>VLOOKUP(F30,$A$30:$B$30,2,TRUE)</f>
        <v>500</v>
      </c>
      <c r="I31" s="54">
        <f t="shared" si="1"/>
        <v>0</v>
      </c>
      <c r="J31" s="10"/>
      <c r="K31" s="23"/>
      <c r="L31" s="51" t="s">
        <v>58</v>
      </c>
      <c r="M31" s="47">
        <f>SUMIF(F31:F165,"Lainnya",G31:G165)</f>
        <v>3</v>
      </c>
      <c r="N31" s="23"/>
    </row>
    <row r="32" ht="15.75" customHeight="1">
      <c r="A32" s="48"/>
      <c r="B32" s="48"/>
      <c r="C32" s="48"/>
      <c r="D32" s="49">
        <v>2.0</v>
      </c>
      <c r="E32" s="50" t="s">
        <v>64</v>
      </c>
      <c r="F32" s="51" t="s">
        <v>16</v>
      </c>
      <c r="G32" s="52"/>
      <c r="H32" s="53">
        <f>VLOOKUP(F32,$A$4:$B$4,2,TRUE)</f>
        <v>3000</v>
      </c>
      <c r="I32" s="54">
        <f t="shared" si="1"/>
        <v>0</v>
      </c>
      <c r="J32" s="55">
        <f>SUM(I32:I58)</f>
        <v>19800</v>
      </c>
      <c r="K32" s="23"/>
      <c r="L32" s="23"/>
      <c r="M32" s="23"/>
      <c r="N32" s="23"/>
    </row>
    <row r="33" ht="15.75" customHeight="1">
      <c r="A33" s="48"/>
      <c r="B33" s="48"/>
      <c r="C33" s="48"/>
      <c r="D33" s="56"/>
      <c r="E33" s="56"/>
      <c r="F33" s="51" t="s">
        <v>55</v>
      </c>
      <c r="G33" s="52"/>
      <c r="H33" s="57">
        <f>VLOOKUP(F33,$A$5:$B$5,2,TRUE)</f>
        <v>2500</v>
      </c>
      <c r="I33" s="54">
        <f t="shared" si="1"/>
        <v>0</v>
      </c>
      <c r="J33" s="56"/>
      <c r="K33" s="23"/>
      <c r="L33" s="23"/>
      <c r="M33" s="23"/>
      <c r="N33" s="23"/>
    </row>
    <row r="34" ht="15.75" customHeight="1">
      <c r="A34" s="48"/>
      <c r="B34" s="48"/>
      <c r="C34" s="48"/>
      <c r="D34" s="56"/>
      <c r="E34" s="56"/>
      <c r="F34" s="51" t="s">
        <v>57</v>
      </c>
      <c r="G34" s="52"/>
      <c r="H34" s="57">
        <f>VLOOKUP(F34,$A$6:$B$6,2,TRUE)</f>
        <v>1200</v>
      </c>
      <c r="I34" s="54">
        <f t="shared" si="1"/>
        <v>0</v>
      </c>
      <c r="J34" s="56"/>
      <c r="K34" s="23"/>
      <c r="L34" s="23"/>
      <c r="M34" s="23"/>
      <c r="N34" s="23"/>
    </row>
    <row r="35" ht="15.75" customHeight="1">
      <c r="A35" s="48"/>
      <c r="B35" s="48"/>
      <c r="C35" s="48"/>
      <c r="D35" s="56"/>
      <c r="E35" s="56"/>
      <c r="F35" s="51" t="s">
        <v>19</v>
      </c>
      <c r="G35" s="52"/>
      <c r="H35" s="57">
        <f>VLOOKUP(F35,$A$7:$B$7,2,TRUE)</f>
        <v>2100</v>
      </c>
      <c r="I35" s="54">
        <f t="shared" si="1"/>
        <v>0</v>
      </c>
      <c r="J35" s="56"/>
      <c r="K35" s="23"/>
      <c r="L35" s="23"/>
      <c r="M35" s="23"/>
      <c r="N35" s="23"/>
    </row>
    <row r="36" ht="15.75" customHeight="1">
      <c r="A36" s="48"/>
      <c r="B36" s="48"/>
      <c r="C36" s="48"/>
      <c r="D36" s="56"/>
      <c r="E36" s="56"/>
      <c r="F36" s="51" t="s">
        <v>20</v>
      </c>
      <c r="G36" s="52"/>
      <c r="H36" s="57">
        <f>VLOOKUP(F36,$A$8:$B$8,2,TRUE)</f>
        <v>3000</v>
      </c>
      <c r="I36" s="54">
        <f t="shared" si="1"/>
        <v>0</v>
      </c>
      <c r="J36" s="56"/>
      <c r="K36" s="23"/>
      <c r="L36" s="23"/>
      <c r="M36" s="23"/>
      <c r="N36" s="23"/>
    </row>
    <row r="37" ht="15.75" customHeight="1">
      <c r="A37" s="48"/>
      <c r="B37" s="48"/>
      <c r="C37" s="48"/>
      <c r="D37" s="56"/>
      <c r="E37" s="56"/>
      <c r="F37" s="51" t="s">
        <v>21</v>
      </c>
      <c r="G37" s="52">
        <f>1.5+3</f>
        <v>4.5</v>
      </c>
      <c r="H37" s="57">
        <f>VLOOKUP(F37,$A$9:$B$9,2,TRUE)</f>
        <v>500</v>
      </c>
      <c r="I37" s="54">
        <f t="shared" si="1"/>
        <v>2250</v>
      </c>
      <c r="J37" s="56"/>
      <c r="K37" s="23"/>
      <c r="L37" s="23"/>
      <c r="M37" s="23"/>
      <c r="N37" s="23"/>
    </row>
    <row r="38" ht="15.75" customHeight="1">
      <c r="A38" s="48"/>
      <c r="B38" s="48"/>
      <c r="C38" s="48"/>
      <c r="D38" s="56"/>
      <c r="E38" s="56"/>
      <c r="F38" s="51" t="s">
        <v>22</v>
      </c>
      <c r="G38" s="52">
        <v>1.0</v>
      </c>
      <c r="H38" s="57">
        <f>VLOOKUP(F38,$A$10:$B$10,2,TRUE)</f>
        <v>1800</v>
      </c>
      <c r="I38" s="54">
        <f t="shared" si="1"/>
        <v>1800</v>
      </c>
      <c r="J38" s="56"/>
      <c r="K38" s="23"/>
      <c r="L38" s="23"/>
      <c r="M38" s="23"/>
      <c r="N38" s="23"/>
    </row>
    <row r="39" ht="15.75" customHeight="1">
      <c r="A39" s="48"/>
      <c r="B39" s="48"/>
      <c r="C39" s="48"/>
      <c r="D39" s="56"/>
      <c r="E39" s="56"/>
      <c r="F39" s="51" t="s">
        <v>23</v>
      </c>
      <c r="G39" s="52">
        <v>1.5</v>
      </c>
      <c r="H39" s="57">
        <f>VLOOKUP(F39,$A$11:$B$11,2,TRUE)</f>
        <v>1500</v>
      </c>
      <c r="I39" s="54">
        <f t="shared" si="1"/>
        <v>2250</v>
      </c>
      <c r="J39" s="56"/>
      <c r="K39" s="23"/>
      <c r="L39" s="23"/>
      <c r="M39" s="23"/>
      <c r="N39" s="23"/>
    </row>
    <row r="40" ht="15.75" customHeight="1">
      <c r="A40" s="48"/>
      <c r="B40" s="48"/>
      <c r="C40" s="48"/>
      <c r="D40" s="56"/>
      <c r="E40" s="56"/>
      <c r="F40" s="51" t="s">
        <v>24</v>
      </c>
      <c r="G40" s="52"/>
      <c r="H40" s="57">
        <f>VLOOKUP(F40,$A$12:$B$12,2,TRUE)</f>
        <v>1400</v>
      </c>
      <c r="I40" s="54">
        <f t="shared" si="1"/>
        <v>0</v>
      </c>
      <c r="J40" s="56"/>
      <c r="K40" s="23"/>
      <c r="L40" s="23"/>
      <c r="M40" s="23"/>
      <c r="N40" s="23"/>
    </row>
    <row r="41" ht="15.75" customHeight="1">
      <c r="A41" s="48"/>
      <c r="B41" s="48"/>
      <c r="C41" s="48"/>
      <c r="D41" s="56"/>
      <c r="E41" s="56"/>
      <c r="F41" s="51" t="s">
        <v>25</v>
      </c>
      <c r="G41" s="52"/>
      <c r="H41" s="57">
        <f>VLOOKUP(F41,$A$13:$B$13,2,TRUE)</f>
        <v>1000</v>
      </c>
      <c r="I41" s="54">
        <f t="shared" si="1"/>
        <v>0</v>
      </c>
      <c r="J41" s="56"/>
      <c r="K41" s="23"/>
      <c r="L41" s="23"/>
      <c r="M41" s="23"/>
      <c r="N41" s="23"/>
    </row>
    <row r="42" ht="15.75" customHeight="1">
      <c r="A42" s="48"/>
      <c r="B42" s="48"/>
      <c r="C42" s="48"/>
      <c r="D42" s="56"/>
      <c r="E42" s="56"/>
      <c r="F42" s="51" t="s">
        <v>26</v>
      </c>
      <c r="G42" s="52"/>
      <c r="H42" s="57">
        <f>VLOOKUP(F42,$A$14:$B$14,2,TRUE)</f>
        <v>500</v>
      </c>
      <c r="I42" s="54">
        <f t="shared" si="1"/>
        <v>0</v>
      </c>
      <c r="J42" s="56"/>
      <c r="K42" s="23"/>
      <c r="L42" s="23"/>
      <c r="M42" s="23"/>
      <c r="N42" s="23"/>
    </row>
    <row r="43" ht="15.75" customHeight="1">
      <c r="A43" s="48"/>
      <c r="B43" s="48"/>
      <c r="C43" s="48"/>
      <c r="D43" s="56"/>
      <c r="E43" s="56"/>
      <c r="F43" s="51" t="s">
        <v>27</v>
      </c>
      <c r="G43" s="52"/>
      <c r="H43" s="57">
        <f>VLOOKUP(F43,$A$15:$B$15,2,TRUE)</f>
        <v>7500</v>
      </c>
      <c r="I43" s="54">
        <f t="shared" si="1"/>
        <v>0</v>
      </c>
      <c r="J43" s="56"/>
      <c r="K43" s="23"/>
      <c r="L43" s="23"/>
      <c r="M43" s="23"/>
      <c r="N43" s="23"/>
    </row>
    <row r="44" ht="15.75" customHeight="1">
      <c r="A44" s="48"/>
      <c r="B44" s="48"/>
      <c r="C44" s="48"/>
      <c r="D44" s="56"/>
      <c r="E44" s="56"/>
      <c r="F44" s="51" t="s">
        <v>28</v>
      </c>
      <c r="G44" s="52"/>
      <c r="H44" s="57">
        <f>VLOOKUP(F44,$A$16:$B$16,2,TRUE)</f>
        <v>2000</v>
      </c>
      <c r="I44" s="54">
        <f t="shared" si="1"/>
        <v>0</v>
      </c>
      <c r="J44" s="56"/>
      <c r="K44" s="23"/>
      <c r="L44" s="23"/>
      <c r="M44" s="23"/>
      <c r="N44" s="23"/>
    </row>
    <row r="45" ht="15.75" customHeight="1">
      <c r="A45" s="48"/>
      <c r="B45" s="48"/>
      <c r="C45" s="48"/>
      <c r="D45" s="56"/>
      <c r="E45" s="56"/>
      <c r="F45" s="51" t="s">
        <v>29</v>
      </c>
      <c r="G45" s="52"/>
      <c r="H45" s="57">
        <f>VLOOKUP(F45,$A$17:$B$17,2,TRUE)</f>
        <v>1200</v>
      </c>
      <c r="I45" s="54">
        <f t="shared" si="1"/>
        <v>0</v>
      </c>
      <c r="J45" s="56"/>
      <c r="K45" s="23"/>
      <c r="L45" s="23"/>
      <c r="M45" s="23"/>
      <c r="N45" s="23"/>
    </row>
    <row r="46" ht="15.75" customHeight="1">
      <c r="A46" s="48"/>
      <c r="B46" s="48"/>
      <c r="C46" s="48"/>
      <c r="D46" s="56"/>
      <c r="E46" s="56"/>
      <c r="F46" s="51" t="s">
        <v>30</v>
      </c>
      <c r="G46" s="52"/>
      <c r="H46" s="57">
        <f>VLOOKUP(F46,$A$18:$B$18,2,TRUE)</f>
        <v>5000</v>
      </c>
      <c r="I46" s="54">
        <f t="shared" si="1"/>
        <v>0</v>
      </c>
      <c r="J46" s="56"/>
      <c r="K46" s="23"/>
      <c r="L46" s="23"/>
      <c r="M46" s="23"/>
      <c r="N46" s="23"/>
    </row>
    <row r="47" ht="15.75" customHeight="1">
      <c r="A47" s="48"/>
      <c r="B47" s="48"/>
      <c r="C47" s="48"/>
      <c r="D47" s="56"/>
      <c r="E47" s="56"/>
      <c r="F47" s="51" t="s">
        <v>31</v>
      </c>
      <c r="G47" s="52"/>
      <c r="H47" s="57">
        <f>VLOOKUP(F47,$A$19:$B$19,2,TRUE)</f>
        <v>2700</v>
      </c>
      <c r="I47" s="54">
        <f t="shared" si="1"/>
        <v>0</v>
      </c>
      <c r="J47" s="56"/>
      <c r="K47" s="23"/>
      <c r="L47" s="23"/>
      <c r="M47" s="23"/>
      <c r="N47" s="23"/>
    </row>
    <row r="48" ht="15.75" customHeight="1">
      <c r="A48" s="48"/>
      <c r="B48" s="48"/>
      <c r="C48" s="48"/>
      <c r="D48" s="56"/>
      <c r="E48" s="56"/>
      <c r="F48" s="51" t="s">
        <v>32</v>
      </c>
      <c r="G48" s="52"/>
      <c r="H48" s="57">
        <f>VLOOKUP(F48,$A$20:$B$20,2,TRUE)</f>
        <v>50000</v>
      </c>
      <c r="I48" s="54">
        <f t="shared" si="1"/>
        <v>0</v>
      </c>
      <c r="J48" s="56"/>
      <c r="K48" s="23"/>
      <c r="L48" s="23"/>
      <c r="M48" s="23"/>
      <c r="N48" s="23"/>
    </row>
    <row r="49" ht="15.75" customHeight="1">
      <c r="A49" s="48"/>
      <c r="B49" s="48"/>
      <c r="C49" s="48"/>
      <c r="D49" s="56"/>
      <c r="E49" s="56"/>
      <c r="F49" s="51" t="s">
        <v>33</v>
      </c>
      <c r="G49" s="52"/>
      <c r="H49" s="57">
        <f>VLOOKUP(F49,$A$21:$B$21,2,TRUE)</f>
        <v>10000</v>
      </c>
      <c r="I49" s="54">
        <f t="shared" si="1"/>
        <v>0</v>
      </c>
      <c r="J49" s="56"/>
      <c r="K49" s="23"/>
      <c r="L49" s="23"/>
      <c r="M49" s="23"/>
      <c r="N49" s="23"/>
    </row>
    <row r="50" ht="15.75" customHeight="1">
      <c r="A50" s="48"/>
      <c r="B50" s="48"/>
      <c r="C50" s="48"/>
      <c r="D50" s="56"/>
      <c r="E50" s="56"/>
      <c r="F50" s="51" t="s">
        <v>34</v>
      </c>
      <c r="G50" s="52"/>
      <c r="H50" s="57">
        <f>VLOOKUP(F50,$A$22:$B$22,2,TRUE)</f>
        <v>1000</v>
      </c>
      <c r="I50" s="54">
        <f t="shared" si="1"/>
        <v>0</v>
      </c>
      <c r="J50" s="56"/>
      <c r="K50" s="23"/>
      <c r="L50" s="23"/>
      <c r="M50" s="23"/>
      <c r="N50" s="23"/>
    </row>
    <row r="51" ht="15.75" customHeight="1">
      <c r="A51" s="48"/>
      <c r="B51" s="48"/>
      <c r="C51" s="48"/>
      <c r="D51" s="56"/>
      <c r="E51" s="56"/>
      <c r="F51" s="51" t="s">
        <v>35</v>
      </c>
      <c r="G51" s="52"/>
      <c r="H51" s="57">
        <f>VLOOKUP(F51,$A$23:$B$23,2,TRUE)</f>
        <v>500</v>
      </c>
      <c r="I51" s="54">
        <f t="shared" si="1"/>
        <v>0</v>
      </c>
      <c r="J51" s="56"/>
      <c r="K51" s="23"/>
      <c r="L51" s="23"/>
      <c r="M51" s="23"/>
      <c r="N51" s="23"/>
    </row>
    <row r="52" ht="15.75" customHeight="1">
      <c r="A52" s="48"/>
      <c r="B52" s="48"/>
      <c r="C52" s="48"/>
      <c r="D52" s="56"/>
      <c r="E52" s="56"/>
      <c r="F52" s="51" t="s">
        <v>36</v>
      </c>
      <c r="G52" s="52"/>
      <c r="H52" s="57">
        <f>VLOOKUP(F52,$A$24:$B$24,2,TRUE)</f>
        <v>200</v>
      </c>
      <c r="I52" s="54">
        <f t="shared" si="1"/>
        <v>0</v>
      </c>
      <c r="J52" s="56"/>
      <c r="K52" s="23"/>
      <c r="L52" s="23"/>
      <c r="M52" s="23"/>
      <c r="N52" s="23"/>
    </row>
    <row r="53" ht="15.75" customHeight="1">
      <c r="A53" s="48"/>
      <c r="B53" s="48"/>
      <c r="C53" s="48"/>
      <c r="D53" s="56"/>
      <c r="E53" s="56"/>
      <c r="F53" s="51" t="s">
        <v>37</v>
      </c>
      <c r="G53" s="52"/>
      <c r="H53" s="57">
        <f>VLOOKUP(F53,$A$25:$B$25,2,TRUE)</f>
        <v>1300</v>
      </c>
      <c r="I53" s="54">
        <f t="shared" si="1"/>
        <v>0</v>
      </c>
      <c r="J53" s="56"/>
      <c r="K53" s="23"/>
      <c r="L53" s="23"/>
      <c r="M53" s="23"/>
      <c r="N53" s="23"/>
    </row>
    <row r="54" ht="15.75" customHeight="1">
      <c r="A54" s="48"/>
      <c r="B54" s="48"/>
      <c r="C54" s="48"/>
      <c r="D54" s="56"/>
      <c r="E54" s="56"/>
      <c r="F54" s="51" t="s">
        <v>12</v>
      </c>
      <c r="G54" s="52"/>
      <c r="H54" s="57">
        <f>VLOOKUP(F54,$A$26:$B$26,2,TRUE)</f>
        <v>300</v>
      </c>
      <c r="I54" s="54">
        <f t="shared" si="1"/>
        <v>0</v>
      </c>
      <c r="J54" s="56"/>
      <c r="K54" s="23"/>
      <c r="L54" s="23"/>
      <c r="M54" s="23"/>
      <c r="N54" s="23"/>
    </row>
    <row r="55" ht="15.75" customHeight="1">
      <c r="A55" s="48"/>
      <c r="B55" s="48"/>
      <c r="C55" s="48"/>
      <c r="D55" s="56"/>
      <c r="E55" s="56"/>
      <c r="F55" s="51" t="s">
        <v>39</v>
      </c>
      <c r="G55" s="52"/>
      <c r="H55" s="57">
        <f>VLOOKUP(F55,$A$27:$B$27,2,TRUE)</f>
        <v>0</v>
      </c>
      <c r="I55" s="54">
        <f t="shared" si="1"/>
        <v>0</v>
      </c>
      <c r="J55" s="56"/>
      <c r="K55" s="23"/>
      <c r="L55" s="23"/>
      <c r="M55" s="23"/>
      <c r="N55" s="23"/>
    </row>
    <row r="56" ht="15.75" customHeight="1">
      <c r="A56" s="48"/>
      <c r="B56" s="48"/>
      <c r="C56" s="48"/>
      <c r="D56" s="56"/>
      <c r="E56" s="56"/>
      <c r="F56" s="51" t="s">
        <v>40</v>
      </c>
      <c r="G56" s="52"/>
      <c r="H56" s="57">
        <f>VLOOKUP(F55,$A$28:$B$28,2,TRUE)</f>
        <v>1700</v>
      </c>
      <c r="I56" s="54">
        <f t="shared" si="1"/>
        <v>0</v>
      </c>
      <c r="J56" s="56"/>
      <c r="K56" s="23"/>
      <c r="L56" s="23"/>
      <c r="M56" s="23"/>
      <c r="N56" s="23"/>
    </row>
    <row r="57" ht="15.75" customHeight="1">
      <c r="A57" s="48"/>
      <c r="B57" s="48"/>
      <c r="C57" s="48"/>
      <c r="D57" s="56"/>
      <c r="E57" s="56"/>
      <c r="F57" s="51" t="s">
        <v>14</v>
      </c>
      <c r="G57" s="52">
        <v>3.0</v>
      </c>
      <c r="H57" s="57">
        <f>VLOOKUP(F56,$A$29:$B$29,2,TRUE)</f>
        <v>4500</v>
      </c>
      <c r="I57" s="54">
        <f t="shared" si="1"/>
        <v>13500</v>
      </c>
      <c r="J57" s="56"/>
      <c r="K57" s="23"/>
      <c r="L57" s="23"/>
      <c r="M57" s="23"/>
      <c r="N57" s="23"/>
    </row>
    <row r="58" ht="15.75" customHeight="1">
      <c r="A58" s="48"/>
      <c r="B58" s="48"/>
      <c r="C58" s="48"/>
      <c r="D58" s="10"/>
      <c r="E58" s="10"/>
      <c r="F58" s="51" t="s">
        <v>58</v>
      </c>
      <c r="G58" s="52"/>
      <c r="H58" s="57">
        <f>VLOOKUP(F57,$A$30:$B$30,2,TRUE)</f>
        <v>500</v>
      </c>
      <c r="I58" s="54">
        <f t="shared" si="1"/>
        <v>0</v>
      </c>
      <c r="J58" s="10"/>
      <c r="K58" s="23"/>
      <c r="L58" s="23"/>
      <c r="M58" s="23"/>
      <c r="N58" s="23"/>
    </row>
    <row r="59" ht="15.75" customHeight="1">
      <c r="A59" s="48"/>
      <c r="B59" s="48"/>
      <c r="C59" s="48"/>
      <c r="D59" s="49">
        <v>3.0</v>
      </c>
      <c r="E59" s="63" t="s">
        <v>65</v>
      </c>
      <c r="F59" s="51" t="s">
        <v>16</v>
      </c>
      <c r="G59" s="52"/>
      <c r="H59" s="53">
        <f>VLOOKUP(F59,$A$4:$B$4,2,TRUE)</f>
        <v>3000</v>
      </c>
      <c r="I59" s="54">
        <f t="shared" si="1"/>
        <v>0</v>
      </c>
      <c r="J59" s="55">
        <f>SUM(I59:I85)</f>
        <v>4500</v>
      </c>
      <c r="K59" s="23"/>
      <c r="L59" s="23"/>
      <c r="M59" s="23"/>
      <c r="N59" s="23"/>
    </row>
    <row r="60" ht="15.75" customHeight="1">
      <c r="A60" s="48"/>
      <c r="B60" s="48"/>
      <c r="C60" s="48"/>
      <c r="D60" s="56"/>
      <c r="E60" s="56"/>
      <c r="F60" s="51" t="s">
        <v>55</v>
      </c>
      <c r="G60" s="52"/>
      <c r="H60" s="57">
        <f>VLOOKUP(F60,$A$5:$B$5,2,TRUE)</f>
        <v>2500</v>
      </c>
      <c r="I60" s="54">
        <f t="shared" si="1"/>
        <v>0</v>
      </c>
      <c r="J60" s="56"/>
      <c r="K60" s="23"/>
      <c r="L60" s="23"/>
      <c r="M60" s="23"/>
      <c r="N60" s="23"/>
    </row>
    <row r="61" ht="15.75" customHeight="1">
      <c r="A61" s="48"/>
      <c r="B61" s="48"/>
      <c r="C61" s="48"/>
      <c r="D61" s="56"/>
      <c r="E61" s="56"/>
      <c r="F61" s="51" t="s">
        <v>57</v>
      </c>
      <c r="G61" s="52"/>
      <c r="H61" s="57">
        <f>VLOOKUP(F61,$A$6:$B$6,2,TRUE)</f>
        <v>1200</v>
      </c>
      <c r="I61" s="54">
        <f t="shared" si="1"/>
        <v>0</v>
      </c>
      <c r="J61" s="56"/>
      <c r="K61" s="23"/>
      <c r="L61" s="23"/>
      <c r="M61" s="23"/>
      <c r="N61" s="23"/>
    </row>
    <row r="62" ht="15.75" customHeight="1">
      <c r="A62" s="48"/>
      <c r="B62" s="48"/>
      <c r="C62" s="48"/>
      <c r="D62" s="56"/>
      <c r="E62" s="56"/>
      <c r="F62" s="51" t="s">
        <v>19</v>
      </c>
      <c r="G62" s="52"/>
      <c r="H62" s="57">
        <f>VLOOKUP(F62,$A$7:$B$7,2,TRUE)</f>
        <v>2100</v>
      </c>
      <c r="I62" s="54">
        <f t="shared" si="1"/>
        <v>0</v>
      </c>
      <c r="J62" s="56"/>
      <c r="K62" s="23"/>
      <c r="L62" s="23"/>
      <c r="M62" s="23"/>
      <c r="N62" s="23"/>
    </row>
    <row r="63" ht="15.75" customHeight="1">
      <c r="A63" s="48"/>
      <c r="B63" s="48"/>
      <c r="C63" s="48"/>
      <c r="D63" s="56"/>
      <c r="E63" s="56"/>
      <c r="F63" s="51" t="s">
        <v>20</v>
      </c>
      <c r="G63" s="52"/>
      <c r="H63" s="57">
        <f>VLOOKUP(F63,$A$8:$B$8,2,TRUE)</f>
        <v>3000</v>
      </c>
      <c r="I63" s="54">
        <f t="shared" si="1"/>
        <v>0</v>
      </c>
      <c r="J63" s="56"/>
      <c r="K63" s="23"/>
      <c r="L63" s="23"/>
      <c r="M63" s="23"/>
      <c r="N63" s="23"/>
    </row>
    <row r="64" ht="15.75" customHeight="1">
      <c r="A64" s="48"/>
      <c r="B64" s="48"/>
      <c r="C64" s="48"/>
      <c r="D64" s="56"/>
      <c r="E64" s="56"/>
      <c r="F64" s="51" t="s">
        <v>21</v>
      </c>
      <c r="G64" s="52">
        <v>3.0</v>
      </c>
      <c r="H64" s="57">
        <f>VLOOKUP(F64,$A$9:$B$9,2,TRUE)</f>
        <v>500</v>
      </c>
      <c r="I64" s="54">
        <f t="shared" si="1"/>
        <v>1500</v>
      </c>
      <c r="J64" s="56"/>
      <c r="K64" s="23"/>
      <c r="L64" s="23"/>
      <c r="M64" s="23"/>
      <c r="N64" s="23"/>
    </row>
    <row r="65" ht="15.75" customHeight="1">
      <c r="A65" s="48"/>
      <c r="B65" s="48"/>
      <c r="C65" s="48"/>
      <c r="D65" s="56"/>
      <c r="E65" s="56"/>
      <c r="F65" s="51" t="s">
        <v>22</v>
      </c>
      <c r="G65" s="52"/>
      <c r="H65" s="57">
        <f>VLOOKUP(F65,$A$10:$B$10,2,TRUE)</f>
        <v>1800</v>
      </c>
      <c r="I65" s="54">
        <f t="shared" si="1"/>
        <v>0</v>
      </c>
      <c r="J65" s="56"/>
      <c r="K65" s="23"/>
      <c r="L65" s="23"/>
      <c r="M65" s="23"/>
      <c r="N65" s="23"/>
    </row>
    <row r="66" ht="15.75" customHeight="1">
      <c r="A66" s="48"/>
      <c r="B66" s="48"/>
      <c r="C66" s="48"/>
      <c r="D66" s="56"/>
      <c r="E66" s="56"/>
      <c r="F66" s="51" t="s">
        <v>23</v>
      </c>
      <c r="G66" s="52">
        <v>1.5</v>
      </c>
      <c r="H66" s="57">
        <f>VLOOKUP(F66,$A$11:$B$11,2,TRUE)</f>
        <v>1500</v>
      </c>
      <c r="I66" s="54">
        <f t="shared" si="1"/>
        <v>2250</v>
      </c>
      <c r="J66" s="56"/>
      <c r="K66" s="23"/>
      <c r="L66" s="23"/>
      <c r="M66" s="23"/>
      <c r="N66" s="23"/>
    </row>
    <row r="67" ht="15.75" customHeight="1">
      <c r="A67" s="48"/>
      <c r="B67" s="48"/>
      <c r="C67" s="48"/>
      <c r="D67" s="56"/>
      <c r="E67" s="56"/>
      <c r="F67" s="51" t="s">
        <v>24</v>
      </c>
      <c r="G67" s="52"/>
      <c r="H67" s="57">
        <f>VLOOKUP(F67,$A$12:$B$12,2,TRUE)</f>
        <v>1400</v>
      </c>
      <c r="I67" s="54">
        <f t="shared" si="1"/>
        <v>0</v>
      </c>
      <c r="J67" s="56"/>
      <c r="K67" s="23"/>
      <c r="L67" s="23"/>
      <c r="M67" s="23"/>
      <c r="N67" s="23"/>
    </row>
    <row r="68" ht="15.75" customHeight="1">
      <c r="A68" s="48"/>
      <c r="B68" s="48"/>
      <c r="C68" s="48"/>
      <c r="D68" s="56"/>
      <c r="E68" s="56"/>
      <c r="F68" s="51" t="s">
        <v>25</v>
      </c>
      <c r="G68" s="52"/>
      <c r="H68" s="57">
        <f>VLOOKUP(F68,$A$13:$B$13,2,TRUE)</f>
        <v>1000</v>
      </c>
      <c r="I68" s="54">
        <f t="shared" si="1"/>
        <v>0</v>
      </c>
      <c r="J68" s="56"/>
      <c r="K68" s="23"/>
      <c r="L68" s="23"/>
      <c r="M68" s="23"/>
      <c r="N68" s="23"/>
    </row>
    <row r="69" ht="15.75" customHeight="1">
      <c r="A69" s="48"/>
      <c r="B69" s="48"/>
      <c r="C69" s="48"/>
      <c r="D69" s="56"/>
      <c r="E69" s="56"/>
      <c r="F69" s="51" t="s">
        <v>26</v>
      </c>
      <c r="G69" s="52">
        <v>1.5</v>
      </c>
      <c r="H69" s="57">
        <f>VLOOKUP(F69,$A$14:$B$14,2,TRUE)</f>
        <v>500</v>
      </c>
      <c r="I69" s="54">
        <f t="shared" si="1"/>
        <v>750</v>
      </c>
      <c r="J69" s="56"/>
      <c r="K69" s="23"/>
      <c r="L69" s="23"/>
      <c r="M69" s="23"/>
      <c r="N69" s="23"/>
    </row>
    <row r="70" ht="15.75" customHeight="1">
      <c r="A70" s="48"/>
      <c r="B70" s="48"/>
      <c r="C70" s="48"/>
      <c r="D70" s="56"/>
      <c r="E70" s="56"/>
      <c r="F70" s="51" t="s">
        <v>27</v>
      </c>
      <c r="G70" s="52"/>
      <c r="H70" s="57">
        <f>VLOOKUP(F70,$A$15:$B$15,2,TRUE)</f>
        <v>7500</v>
      </c>
      <c r="I70" s="54">
        <f t="shared" si="1"/>
        <v>0</v>
      </c>
      <c r="J70" s="56"/>
      <c r="K70" s="23"/>
      <c r="L70" s="23"/>
      <c r="M70" s="23"/>
      <c r="N70" s="23"/>
    </row>
    <row r="71" ht="15.75" customHeight="1">
      <c r="A71" s="48"/>
      <c r="B71" s="48"/>
      <c r="C71" s="48"/>
      <c r="D71" s="56"/>
      <c r="E71" s="56"/>
      <c r="F71" s="51" t="s">
        <v>28</v>
      </c>
      <c r="G71" s="52"/>
      <c r="H71" s="57">
        <f>VLOOKUP(F71,$A$16:$B$16,2,TRUE)</f>
        <v>2000</v>
      </c>
      <c r="I71" s="54">
        <f t="shared" si="1"/>
        <v>0</v>
      </c>
      <c r="J71" s="56"/>
      <c r="K71" s="23"/>
      <c r="L71" s="23"/>
      <c r="M71" s="23"/>
      <c r="N71" s="23"/>
    </row>
    <row r="72" ht="15.75" customHeight="1">
      <c r="A72" s="48"/>
      <c r="B72" s="48"/>
      <c r="C72" s="48"/>
      <c r="D72" s="56"/>
      <c r="E72" s="56"/>
      <c r="F72" s="51" t="s">
        <v>29</v>
      </c>
      <c r="G72" s="52"/>
      <c r="H72" s="57">
        <f>VLOOKUP(F72,$A$17:$B$17,2,TRUE)</f>
        <v>1200</v>
      </c>
      <c r="I72" s="54">
        <f t="shared" si="1"/>
        <v>0</v>
      </c>
      <c r="J72" s="56"/>
      <c r="K72" s="23"/>
      <c r="L72" s="23"/>
      <c r="M72" s="23"/>
      <c r="N72" s="23"/>
    </row>
    <row r="73" ht="15.75" customHeight="1">
      <c r="A73" s="48"/>
      <c r="B73" s="48"/>
      <c r="C73" s="48"/>
      <c r="D73" s="56"/>
      <c r="E73" s="56"/>
      <c r="F73" s="51" t="s">
        <v>30</v>
      </c>
      <c r="G73" s="52"/>
      <c r="H73" s="57">
        <f>VLOOKUP(F73,$A$18:$B$18,2,TRUE)</f>
        <v>5000</v>
      </c>
      <c r="I73" s="54">
        <f t="shared" si="1"/>
        <v>0</v>
      </c>
      <c r="J73" s="56"/>
      <c r="K73" s="23"/>
      <c r="L73" s="23"/>
      <c r="M73" s="23"/>
      <c r="N73" s="23"/>
    </row>
    <row r="74" ht="15.75" customHeight="1">
      <c r="A74" s="48"/>
      <c r="B74" s="48"/>
      <c r="C74" s="48"/>
      <c r="D74" s="56"/>
      <c r="E74" s="56"/>
      <c r="F74" s="51" t="s">
        <v>31</v>
      </c>
      <c r="G74" s="52"/>
      <c r="H74" s="57">
        <f>VLOOKUP(F74,$A$19:$B$19,2,TRUE)</f>
        <v>2700</v>
      </c>
      <c r="I74" s="54">
        <f t="shared" si="1"/>
        <v>0</v>
      </c>
      <c r="J74" s="56"/>
      <c r="K74" s="23"/>
      <c r="L74" s="23"/>
      <c r="M74" s="23"/>
      <c r="N74" s="23"/>
    </row>
    <row r="75" ht="15.75" customHeight="1">
      <c r="A75" s="48"/>
      <c r="B75" s="48"/>
      <c r="C75" s="48"/>
      <c r="D75" s="56"/>
      <c r="E75" s="56"/>
      <c r="F75" s="51" t="s">
        <v>32</v>
      </c>
      <c r="G75" s="52"/>
      <c r="H75" s="57">
        <f>VLOOKUP(F75,$A$20:$B$20,2,TRUE)</f>
        <v>50000</v>
      </c>
      <c r="I75" s="54">
        <f t="shared" si="1"/>
        <v>0</v>
      </c>
      <c r="J75" s="56"/>
      <c r="K75" s="23"/>
      <c r="L75" s="23"/>
      <c r="M75" s="23"/>
      <c r="N75" s="23"/>
    </row>
    <row r="76" ht="15.75" customHeight="1">
      <c r="A76" s="48"/>
      <c r="B76" s="48"/>
      <c r="C76" s="48"/>
      <c r="D76" s="56"/>
      <c r="E76" s="56"/>
      <c r="F76" s="51" t="s">
        <v>33</v>
      </c>
      <c r="G76" s="52"/>
      <c r="H76" s="57">
        <f>VLOOKUP(F76,$A$21:$B$21,2,TRUE)</f>
        <v>10000</v>
      </c>
      <c r="I76" s="54">
        <f t="shared" si="1"/>
        <v>0</v>
      </c>
      <c r="J76" s="56"/>
      <c r="K76" s="23"/>
      <c r="L76" s="23"/>
      <c r="M76" s="23"/>
      <c r="N76" s="23"/>
    </row>
    <row r="77" ht="15.75" customHeight="1">
      <c r="A77" s="48"/>
      <c r="B77" s="48"/>
      <c r="C77" s="48"/>
      <c r="D77" s="56"/>
      <c r="E77" s="56"/>
      <c r="F77" s="51" t="s">
        <v>34</v>
      </c>
      <c r="G77" s="52"/>
      <c r="H77" s="57">
        <f>VLOOKUP(F77,$A$22:$B$22,2,TRUE)</f>
        <v>1000</v>
      </c>
      <c r="I77" s="54">
        <f t="shared" si="1"/>
        <v>0</v>
      </c>
      <c r="J77" s="56"/>
      <c r="K77" s="23"/>
      <c r="L77" s="23"/>
      <c r="M77" s="23"/>
      <c r="N77" s="23"/>
    </row>
    <row r="78" ht="15.75" customHeight="1">
      <c r="A78" s="48"/>
      <c r="B78" s="48"/>
      <c r="C78" s="48"/>
      <c r="D78" s="56"/>
      <c r="E78" s="56"/>
      <c r="F78" s="51" t="s">
        <v>35</v>
      </c>
      <c r="G78" s="52"/>
      <c r="H78" s="57">
        <f>VLOOKUP(F78,$A$23:$B$23,2,TRUE)</f>
        <v>500</v>
      </c>
      <c r="I78" s="54">
        <f t="shared" si="1"/>
        <v>0</v>
      </c>
      <c r="J78" s="56"/>
      <c r="K78" s="23"/>
      <c r="L78" s="23"/>
      <c r="M78" s="23"/>
      <c r="N78" s="23"/>
    </row>
    <row r="79" ht="15.75" customHeight="1">
      <c r="A79" s="48"/>
      <c r="B79" s="48"/>
      <c r="C79" s="48"/>
      <c r="D79" s="56"/>
      <c r="E79" s="56"/>
      <c r="F79" s="51" t="s">
        <v>36</v>
      </c>
      <c r="G79" s="52"/>
      <c r="H79" s="57">
        <f>VLOOKUP(F79,$A$24:$B$24,2,TRUE)</f>
        <v>200</v>
      </c>
      <c r="I79" s="54">
        <f t="shared" si="1"/>
        <v>0</v>
      </c>
      <c r="J79" s="56"/>
      <c r="K79" s="23"/>
      <c r="L79" s="23"/>
      <c r="M79" s="23"/>
      <c r="N79" s="23"/>
    </row>
    <row r="80" ht="15.75" customHeight="1">
      <c r="A80" s="48"/>
      <c r="B80" s="48"/>
      <c r="C80" s="48"/>
      <c r="D80" s="56"/>
      <c r="E80" s="56"/>
      <c r="F80" s="51" t="s">
        <v>37</v>
      </c>
      <c r="G80" s="52"/>
      <c r="H80" s="57">
        <f>VLOOKUP(F80,$A$25:$B$25,2,TRUE)</f>
        <v>1300</v>
      </c>
      <c r="I80" s="54">
        <f t="shared" si="1"/>
        <v>0</v>
      </c>
      <c r="J80" s="56"/>
      <c r="K80" s="23"/>
      <c r="L80" s="23"/>
      <c r="M80" s="23"/>
      <c r="N80" s="23"/>
    </row>
    <row r="81" ht="15.75" customHeight="1">
      <c r="A81" s="48"/>
      <c r="B81" s="48"/>
      <c r="C81" s="48"/>
      <c r="D81" s="56"/>
      <c r="E81" s="56"/>
      <c r="F81" s="51" t="s">
        <v>12</v>
      </c>
      <c r="G81" s="52"/>
      <c r="H81" s="57">
        <f>VLOOKUP(F81,$A$26:$B$26,2,TRUE)</f>
        <v>300</v>
      </c>
      <c r="I81" s="54">
        <f t="shared" si="1"/>
        <v>0</v>
      </c>
      <c r="J81" s="56"/>
      <c r="K81" s="23"/>
      <c r="L81" s="23"/>
      <c r="M81" s="23"/>
      <c r="N81" s="23"/>
    </row>
    <row r="82" ht="15.75" customHeight="1">
      <c r="A82" s="48"/>
      <c r="B82" s="48"/>
      <c r="C82" s="48"/>
      <c r="D82" s="56"/>
      <c r="E82" s="56"/>
      <c r="F82" s="51" t="s">
        <v>39</v>
      </c>
      <c r="G82" s="52"/>
      <c r="H82" s="57">
        <f>VLOOKUP(F82,$A$27:$B$27,2,TRUE)</f>
        <v>0</v>
      </c>
      <c r="I82" s="54">
        <f t="shared" si="1"/>
        <v>0</v>
      </c>
      <c r="J82" s="56"/>
      <c r="K82" s="23"/>
      <c r="L82" s="23"/>
      <c r="M82" s="23"/>
      <c r="N82" s="23"/>
    </row>
    <row r="83" ht="15.75" customHeight="1">
      <c r="A83" s="48"/>
      <c r="B83" s="48"/>
      <c r="C83" s="48"/>
      <c r="D83" s="56"/>
      <c r="E83" s="56"/>
      <c r="F83" s="51" t="s">
        <v>40</v>
      </c>
      <c r="G83" s="52"/>
      <c r="H83" s="57">
        <f>VLOOKUP(F82,$A$28:$B$28,2,TRUE)</f>
        <v>1700</v>
      </c>
      <c r="I83" s="54">
        <f t="shared" si="1"/>
        <v>0</v>
      </c>
      <c r="J83" s="56"/>
      <c r="K83" s="23"/>
      <c r="L83" s="23"/>
      <c r="M83" s="23"/>
      <c r="N83" s="23"/>
    </row>
    <row r="84" ht="15.75" customHeight="1">
      <c r="A84" s="48"/>
      <c r="B84" s="48"/>
      <c r="C84" s="48"/>
      <c r="D84" s="56"/>
      <c r="E84" s="56"/>
      <c r="F84" s="51" t="s">
        <v>14</v>
      </c>
      <c r="G84" s="52"/>
      <c r="H84" s="57">
        <f>VLOOKUP(F83,$A$29:$B$29,2,TRUE)</f>
        <v>4500</v>
      </c>
      <c r="I84" s="54">
        <f t="shared" si="1"/>
        <v>0</v>
      </c>
      <c r="J84" s="56"/>
      <c r="K84" s="23"/>
      <c r="L84" s="23"/>
      <c r="M84" s="23"/>
      <c r="N84" s="23"/>
    </row>
    <row r="85" ht="15.75" customHeight="1">
      <c r="A85" s="48"/>
      <c r="B85" s="48"/>
      <c r="C85" s="48"/>
      <c r="D85" s="10"/>
      <c r="E85" s="10"/>
      <c r="F85" s="51" t="s">
        <v>58</v>
      </c>
      <c r="G85" s="52"/>
      <c r="H85" s="57">
        <f>VLOOKUP(F84,$A$30:$B$30,2,TRUE)</f>
        <v>500</v>
      </c>
      <c r="I85" s="54">
        <f t="shared" si="1"/>
        <v>0</v>
      </c>
      <c r="J85" s="10"/>
      <c r="K85" s="23"/>
      <c r="L85" s="23"/>
      <c r="M85" s="23"/>
      <c r="N85" s="23"/>
    </row>
    <row r="86" ht="15.75" customHeight="1">
      <c r="A86" s="48"/>
      <c r="B86" s="48"/>
      <c r="C86" s="48"/>
      <c r="D86" s="49">
        <v>4.0</v>
      </c>
      <c r="E86" s="50" t="s">
        <v>66</v>
      </c>
      <c r="F86" s="51" t="s">
        <v>16</v>
      </c>
      <c r="G86" s="52"/>
      <c r="H86" s="53">
        <f>VLOOKUP(F86,$A$4:$B$4,2,TRUE)</f>
        <v>3000</v>
      </c>
      <c r="I86" s="54">
        <f t="shared" si="1"/>
        <v>0</v>
      </c>
      <c r="J86" s="55">
        <f>SUM(I86:I112)</f>
        <v>7750</v>
      </c>
      <c r="K86" s="23"/>
      <c r="L86" s="23"/>
      <c r="M86" s="23"/>
      <c r="N86" s="23"/>
    </row>
    <row r="87" ht="15.75" customHeight="1">
      <c r="A87" s="48"/>
      <c r="B87" s="48"/>
      <c r="C87" s="48"/>
      <c r="D87" s="56"/>
      <c r="E87" s="56"/>
      <c r="F87" s="51" t="s">
        <v>55</v>
      </c>
      <c r="G87" s="52"/>
      <c r="H87" s="57">
        <f>VLOOKUP(F87,$A$5:$B$5,2,TRUE)</f>
        <v>2500</v>
      </c>
      <c r="I87" s="54">
        <f t="shared" si="1"/>
        <v>0</v>
      </c>
      <c r="J87" s="56"/>
      <c r="K87" s="23"/>
      <c r="L87" s="23"/>
      <c r="M87" s="23"/>
      <c r="N87" s="23"/>
    </row>
    <row r="88" ht="15.75" customHeight="1">
      <c r="A88" s="48"/>
      <c r="B88" s="48"/>
      <c r="C88" s="48"/>
      <c r="D88" s="56"/>
      <c r="E88" s="56"/>
      <c r="F88" s="51" t="s">
        <v>57</v>
      </c>
      <c r="G88" s="52"/>
      <c r="H88" s="57">
        <f>VLOOKUP(F88,$A$6:$B$6,2,TRUE)</f>
        <v>1200</v>
      </c>
      <c r="I88" s="54">
        <f t="shared" si="1"/>
        <v>0</v>
      </c>
      <c r="J88" s="56"/>
      <c r="K88" s="23"/>
      <c r="L88" s="23"/>
      <c r="M88" s="23"/>
      <c r="N88" s="23"/>
    </row>
    <row r="89" ht="15.75" customHeight="1">
      <c r="A89" s="48"/>
      <c r="B89" s="48"/>
      <c r="C89" s="48"/>
      <c r="D89" s="56"/>
      <c r="E89" s="56"/>
      <c r="F89" s="51" t="s">
        <v>19</v>
      </c>
      <c r="G89" s="52"/>
      <c r="H89" s="57">
        <f>VLOOKUP(F89,$A$7:$B$7,2,TRUE)</f>
        <v>2100</v>
      </c>
      <c r="I89" s="54">
        <f t="shared" si="1"/>
        <v>0</v>
      </c>
      <c r="J89" s="56"/>
      <c r="K89" s="23"/>
      <c r="L89" s="23"/>
      <c r="M89" s="23"/>
      <c r="N89" s="23"/>
    </row>
    <row r="90" ht="15.75" customHeight="1">
      <c r="A90" s="48"/>
      <c r="B90" s="48"/>
      <c r="C90" s="48"/>
      <c r="D90" s="56"/>
      <c r="E90" s="56"/>
      <c r="F90" s="51" t="s">
        <v>20</v>
      </c>
      <c r="G90" s="52"/>
      <c r="H90" s="57">
        <f>VLOOKUP(F90,$A$8:$B$8,2,TRUE)</f>
        <v>3000</v>
      </c>
      <c r="I90" s="54">
        <f t="shared" si="1"/>
        <v>0</v>
      </c>
      <c r="J90" s="56"/>
      <c r="K90" s="23"/>
      <c r="L90" s="23"/>
      <c r="M90" s="23"/>
      <c r="N90" s="23"/>
    </row>
    <row r="91" ht="15.75" customHeight="1">
      <c r="A91" s="48"/>
      <c r="B91" s="48"/>
      <c r="C91" s="48"/>
      <c r="D91" s="56"/>
      <c r="E91" s="56"/>
      <c r="F91" s="51" t="s">
        <v>21</v>
      </c>
      <c r="G91" s="52">
        <v>2.0</v>
      </c>
      <c r="H91" s="57">
        <f>VLOOKUP(F91,$A$9:$B$9,2,TRUE)</f>
        <v>500</v>
      </c>
      <c r="I91" s="54">
        <f t="shared" si="1"/>
        <v>1000</v>
      </c>
      <c r="J91" s="56"/>
      <c r="K91" s="23"/>
      <c r="L91" s="23"/>
      <c r="M91" s="23"/>
      <c r="N91" s="23"/>
    </row>
    <row r="92" ht="15.75" customHeight="1">
      <c r="A92" s="48"/>
      <c r="B92" s="48"/>
      <c r="C92" s="48"/>
      <c r="D92" s="56"/>
      <c r="E92" s="56"/>
      <c r="F92" s="51" t="s">
        <v>22</v>
      </c>
      <c r="G92" s="52"/>
      <c r="H92" s="57">
        <f>VLOOKUP(F92,$A$10:$B$10,2,TRUE)</f>
        <v>1800</v>
      </c>
      <c r="I92" s="54">
        <f t="shared" si="1"/>
        <v>0</v>
      </c>
      <c r="J92" s="56"/>
      <c r="K92" s="23"/>
      <c r="L92" s="23"/>
      <c r="M92" s="23"/>
      <c r="N92" s="23"/>
    </row>
    <row r="93" ht="15.75" customHeight="1">
      <c r="A93" s="48"/>
      <c r="B93" s="48"/>
      <c r="C93" s="48"/>
      <c r="D93" s="56"/>
      <c r="E93" s="56"/>
      <c r="F93" s="51" t="s">
        <v>23</v>
      </c>
      <c r="G93" s="52">
        <v>4.0</v>
      </c>
      <c r="H93" s="57">
        <f>VLOOKUP(F93,$A$11:$B$11,2,TRUE)</f>
        <v>1500</v>
      </c>
      <c r="I93" s="54">
        <f t="shared" si="1"/>
        <v>6000</v>
      </c>
      <c r="J93" s="56"/>
      <c r="K93" s="23"/>
      <c r="L93" s="23"/>
      <c r="M93" s="23"/>
      <c r="N93" s="23"/>
    </row>
    <row r="94" ht="15.75" customHeight="1">
      <c r="A94" s="48"/>
      <c r="B94" s="48"/>
      <c r="C94" s="48"/>
      <c r="D94" s="56"/>
      <c r="E94" s="56"/>
      <c r="F94" s="51" t="s">
        <v>24</v>
      </c>
      <c r="G94" s="52"/>
      <c r="H94" s="57">
        <f>VLOOKUP(F94,$A$12:$B$12,2,TRUE)</f>
        <v>1400</v>
      </c>
      <c r="I94" s="54">
        <f t="shared" si="1"/>
        <v>0</v>
      </c>
      <c r="J94" s="56"/>
      <c r="K94" s="23"/>
      <c r="L94" s="23"/>
      <c r="M94" s="23"/>
      <c r="N94" s="23"/>
    </row>
    <row r="95" ht="15.75" customHeight="1">
      <c r="A95" s="48"/>
      <c r="B95" s="48"/>
      <c r="C95" s="48"/>
      <c r="D95" s="56"/>
      <c r="E95" s="56"/>
      <c r="F95" s="51" t="s">
        <v>25</v>
      </c>
      <c r="G95" s="52"/>
      <c r="H95" s="57">
        <f>VLOOKUP(F95,$A$13:$B$13,2,TRUE)</f>
        <v>1000</v>
      </c>
      <c r="I95" s="54">
        <f t="shared" si="1"/>
        <v>0</v>
      </c>
      <c r="J95" s="56"/>
      <c r="K95" s="23"/>
      <c r="L95" s="23"/>
      <c r="M95" s="23"/>
      <c r="N95" s="23"/>
    </row>
    <row r="96" ht="15.75" customHeight="1">
      <c r="A96" s="48"/>
      <c r="B96" s="48"/>
      <c r="C96" s="48"/>
      <c r="D96" s="56"/>
      <c r="E96" s="56"/>
      <c r="F96" s="51" t="s">
        <v>26</v>
      </c>
      <c r="G96" s="52">
        <v>1.0</v>
      </c>
      <c r="H96" s="57">
        <f>VLOOKUP(F96,$A$14:$B$14,2,TRUE)</f>
        <v>500</v>
      </c>
      <c r="I96" s="54">
        <f t="shared" si="1"/>
        <v>500</v>
      </c>
      <c r="J96" s="56"/>
      <c r="K96" s="23"/>
      <c r="L96" s="23"/>
      <c r="M96" s="23"/>
      <c r="N96" s="23"/>
    </row>
    <row r="97" ht="15.75" customHeight="1">
      <c r="A97" s="48"/>
      <c r="B97" s="48"/>
      <c r="C97" s="48"/>
      <c r="D97" s="56"/>
      <c r="E97" s="56"/>
      <c r="F97" s="51" t="s">
        <v>27</v>
      </c>
      <c r="G97" s="52"/>
      <c r="H97" s="57">
        <f>VLOOKUP(F97,$A$15:$B$15,2,TRUE)</f>
        <v>7500</v>
      </c>
      <c r="I97" s="54">
        <f t="shared" si="1"/>
        <v>0</v>
      </c>
      <c r="J97" s="56"/>
      <c r="K97" s="23"/>
      <c r="L97" s="23"/>
      <c r="M97" s="23"/>
      <c r="N97" s="23"/>
    </row>
    <row r="98" ht="15.75" customHeight="1">
      <c r="A98" s="48"/>
      <c r="B98" s="48"/>
      <c r="C98" s="48"/>
      <c r="D98" s="56"/>
      <c r="E98" s="56"/>
      <c r="F98" s="51" t="s">
        <v>28</v>
      </c>
      <c r="G98" s="52"/>
      <c r="H98" s="57">
        <f>VLOOKUP(F98,$A$16:$B$16,2,TRUE)</f>
        <v>2000</v>
      </c>
      <c r="I98" s="54">
        <f t="shared" si="1"/>
        <v>0</v>
      </c>
      <c r="J98" s="56"/>
      <c r="K98" s="23"/>
      <c r="L98" s="23"/>
      <c r="M98" s="23"/>
      <c r="N98" s="23"/>
    </row>
    <row r="99" ht="15.75" customHeight="1">
      <c r="A99" s="48"/>
      <c r="B99" s="48"/>
      <c r="C99" s="48"/>
      <c r="D99" s="56"/>
      <c r="E99" s="56"/>
      <c r="F99" s="51" t="s">
        <v>29</v>
      </c>
      <c r="G99" s="52"/>
      <c r="H99" s="57">
        <f>VLOOKUP(F99,$A$17:$B$17,2,TRUE)</f>
        <v>1200</v>
      </c>
      <c r="I99" s="54">
        <f t="shared" si="1"/>
        <v>0</v>
      </c>
      <c r="J99" s="56"/>
      <c r="K99" s="23"/>
      <c r="L99" s="23"/>
      <c r="M99" s="23"/>
      <c r="N99" s="23"/>
    </row>
    <row r="100" ht="15.75" customHeight="1">
      <c r="A100" s="48"/>
      <c r="B100" s="48"/>
      <c r="C100" s="48"/>
      <c r="D100" s="56"/>
      <c r="E100" s="56"/>
      <c r="F100" s="51" t="s">
        <v>30</v>
      </c>
      <c r="G100" s="52"/>
      <c r="H100" s="57">
        <f>VLOOKUP(F100,$A$18:$B$18,2,TRUE)</f>
        <v>5000</v>
      </c>
      <c r="I100" s="54">
        <f t="shared" si="1"/>
        <v>0</v>
      </c>
      <c r="J100" s="56"/>
      <c r="K100" s="23"/>
      <c r="L100" s="23"/>
      <c r="M100" s="23"/>
      <c r="N100" s="23"/>
    </row>
    <row r="101" ht="15.75" customHeight="1">
      <c r="A101" s="48"/>
      <c r="B101" s="48"/>
      <c r="C101" s="48"/>
      <c r="D101" s="56"/>
      <c r="E101" s="56"/>
      <c r="F101" s="51" t="s">
        <v>31</v>
      </c>
      <c r="G101" s="52"/>
      <c r="H101" s="57">
        <f>VLOOKUP(F101,$A$19:$B$19,2,TRUE)</f>
        <v>2700</v>
      </c>
      <c r="I101" s="54">
        <f t="shared" si="1"/>
        <v>0</v>
      </c>
      <c r="J101" s="56"/>
      <c r="K101" s="23"/>
      <c r="L101" s="23"/>
      <c r="M101" s="23"/>
      <c r="N101" s="23"/>
    </row>
    <row r="102" ht="15.75" customHeight="1">
      <c r="A102" s="48"/>
      <c r="B102" s="48"/>
      <c r="C102" s="48"/>
      <c r="D102" s="56"/>
      <c r="E102" s="56"/>
      <c r="F102" s="51" t="s">
        <v>32</v>
      </c>
      <c r="G102" s="52"/>
      <c r="H102" s="57">
        <f>VLOOKUP(F102,$A$20:$B$20,2,TRUE)</f>
        <v>50000</v>
      </c>
      <c r="I102" s="54">
        <f t="shared" si="1"/>
        <v>0</v>
      </c>
      <c r="J102" s="56"/>
      <c r="K102" s="23"/>
      <c r="L102" s="23"/>
      <c r="M102" s="23"/>
      <c r="N102" s="23"/>
    </row>
    <row r="103" ht="15.75" customHeight="1">
      <c r="A103" s="48"/>
      <c r="B103" s="48"/>
      <c r="C103" s="48"/>
      <c r="D103" s="56"/>
      <c r="E103" s="56"/>
      <c r="F103" s="51" t="s">
        <v>33</v>
      </c>
      <c r="G103" s="52"/>
      <c r="H103" s="57">
        <f>VLOOKUP(F103,$A$21:$B$21,2,TRUE)</f>
        <v>10000</v>
      </c>
      <c r="I103" s="54">
        <f t="shared" si="1"/>
        <v>0</v>
      </c>
      <c r="J103" s="56"/>
      <c r="K103" s="23"/>
      <c r="L103" s="23"/>
      <c r="M103" s="23"/>
      <c r="N103" s="23"/>
    </row>
    <row r="104" ht="15.75" customHeight="1">
      <c r="A104" s="48"/>
      <c r="B104" s="48"/>
      <c r="C104" s="48"/>
      <c r="D104" s="56"/>
      <c r="E104" s="56"/>
      <c r="F104" s="51" t="s">
        <v>34</v>
      </c>
      <c r="G104" s="52"/>
      <c r="H104" s="57">
        <f>VLOOKUP(F104,$A$22:$B$22,2,TRUE)</f>
        <v>1000</v>
      </c>
      <c r="I104" s="54">
        <f t="shared" si="1"/>
        <v>0</v>
      </c>
      <c r="J104" s="56"/>
      <c r="K104" s="23"/>
      <c r="L104" s="23"/>
      <c r="M104" s="23"/>
      <c r="N104" s="23"/>
    </row>
    <row r="105" ht="15.75" customHeight="1">
      <c r="A105" s="48"/>
      <c r="B105" s="48"/>
      <c r="C105" s="48"/>
      <c r="D105" s="56"/>
      <c r="E105" s="56"/>
      <c r="F105" s="51" t="s">
        <v>35</v>
      </c>
      <c r="G105" s="52">
        <v>0.5</v>
      </c>
      <c r="H105" s="57">
        <f>VLOOKUP(F105,$A$23:$B$23,2,TRUE)</f>
        <v>500</v>
      </c>
      <c r="I105" s="54">
        <f t="shared" si="1"/>
        <v>250</v>
      </c>
      <c r="J105" s="56"/>
      <c r="K105" s="23"/>
      <c r="L105" s="23"/>
      <c r="M105" s="23"/>
      <c r="N105" s="23"/>
    </row>
    <row r="106" ht="15.75" customHeight="1">
      <c r="A106" s="48"/>
      <c r="B106" s="48"/>
      <c r="C106" s="48"/>
      <c r="D106" s="56"/>
      <c r="E106" s="56"/>
      <c r="F106" s="51" t="s">
        <v>36</v>
      </c>
      <c r="G106" s="52"/>
      <c r="H106" s="57">
        <f>VLOOKUP(F106,$A$24:$B$24,2,TRUE)</f>
        <v>200</v>
      </c>
      <c r="I106" s="54">
        <f t="shared" si="1"/>
        <v>0</v>
      </c>
      <c r="J106" s="56"/>
      <c r="K106" s="23"/>
      <c r="L106" s="23"/>
      <c r="M106" s="23"/>
      <c r="N106" s="23"/>
    </row>
    <row r="107" ht="15.75" customHeight="1">
      <c r="A107" s="48"/>
      <c r="B107" s="48"/>
      <c r="C107" s="48"/>
      <c r="D107" s="56"/>
      <c r="E107" s="56"/>
      <c r="F107" s="51" t="s">
        <v>37</v>
      </c>
      <c r="G107" s="52"/>
      <c r="H107" s="57">
        <f>VLOOKUP(F107,$A$25:$B$25,2,TRUE)</f>
        <v>1300</v>
      </c>
      <c r="I107" s="54">
        <f t="shared" si="1"/>
        <v>0</v>
      </c>
      <c r="J107" s="56"/>
      <c r="K107" s="23"/>
      <c r="L107" s="23"/>
      <c r="M107" s="23"/>
      <c r="N107" s="23"/>
    </row>
    <row r="108" ht="15.75" customHeight="1">
      <c r="A108" s="48"/>
      <c r="B108" s="48"/>
      <c r="C108" s="48"/>
      <c r="D108" s="56"/>
      <c r="E108" s="56"/>
      <c r="F108" s="51" t="s">
        <v>12</v>
      </c>
      <c r="G108" s="52"/>
      <c r="H108" s="57">
        <f>VLOOKUP(F108,$A$26:$B$26,2,TRUE)</f>
        <v>300</v>
      </c>
      <c r="I108" s="54">
        <f t="shared" si="1"/>
        <v>0</v>
      </c>
      <c r="J108" s="56"/>
      <c r="K108" s="23"/>
      <c r="L108" s="23"/>
      <c r="M108" s="23"/>
      <c r="N108" s="23"/>
    </row>
    <row r="109" ht="15.75" customHeight="1">
      <c r="A109" s="48"/>
      <c r="B109" s="48"/>
      <c r="C109" s="48"/>
      <c r="D109" s="56"/>
      <c r="E109" s="56"/>
      <c r="F109" s="51" t="s">
        <v>39</v>
      </c>
      <c r="G109" s="52"/>
      <c r="H109" s="57">
        <f>VLOOKUP(F109,$A$27:$B$27,2,TRUE)</f>
        <v>0</v>
      </c>
      <c r="I109" s="54">
        <f t="shared" si="1"/>
        <v>0</v>
      </c>
      <c r="J109" s="56"/>
      <c r="K109" s="23"/>
      <c r="L109" s="23"/>
      <c r="M109" s="23"/>
      <c r="N109" s="23"/>
    </row>
    <row r="110" ht="15.75" customHeight="1">
      <c r="A110" s="48"/>
      <c r="B110" s="48"/>
      <c r="C110" s="48"/>
      <c r="D110" s="56"/>
      <c r="E110" s="56"/>
      <c r="F110" s="51" t="s">
        <v>40</v>
      </c>
      <c r="G110" s="52"/>
      <c r="H110" s="57">
        <f>VLOOKUP(F109,$A$28:$B$28,2,TRUE)</f>
        <v>1700</v>
      </c>
      <c r="I110" s="54">
        <f t="shared" si="1"/>
        <v>0</v>
      </c>
      <c r="J110" s="56"/>
      <c r="K110" s="23"/>
      <c r="L110" s="23"/>
      <c r="M110" s="23"/>
      <c r="N110" s="23"/>
    </row>
    <row r="111" ht="15.75" customHeight="1">
      <c r="A111" s="48"/>
      <c r="B111" s="48"/>
      <c r="C111" s="48"/>
      <c r="D111" s="56"/>
      <c r="E111" s="56"/>
      <c r="F111" s="51" t="s">
        <v>14</v>
      </c>
      <c r="G111" s="52"/>
      <c r="H111" s="57">
        <f>VLOOKUP(F110,$A$29:$B$29,2,TRUE)</f>
        <v>4500</v>
      </c>
      <c r="I111" s="54">
        <f t="shared" si="1"/>
        <v>0</v>
      </c>
      <c r="J111" s="56"/>
      <c r="K111" s="23"/>
      <c r="L111" s="23"/>
      <c r="M111" s="23"/>
      <c r="N111" s="23"/>
    </row>
    <row r="112" ht="15.75" customHeight="1">
      <c r="A112" s="48"/>
      <c r="B112" s="48"/>
      <c r="C112" s="48"/>
      <c r="D112" s="10"/>
      <c r="E112" s="10"/>
      <c r="F112" s="51" t="s">
        <v>58</v>
      </c>
      <c r="G112" s="52">
        <v>1.0</v>
      </c>
      <c r="H112" s="57"/>
      <c r="I112" s="54">
        <f t="shared" si="1"/>
        <v>0</v>
      </c>
      <c r="J112" s="10"/>
      <c r="K112" s="23"/>
      <c r="L112" s="23" t="s">
        <v>67</v>
      </c>
      <c r="M112" s="23"/>
      <c r="N112" s="23"/>
    </row>
    <row r="113" ht="15.75" customHeight="1">
      <c r="A113" s="48"/>
      <c r="B113" s="48"/>
      <c r="C113" s="48"/>
      <c r="D113" s="49">
        <v>5.0</v>
      </c>
      <c r="E113" s="50" t="s">
        <v>68</v>
      </c>
      <c r="F113" s="51" t="s">
        <v>16</v>
      </c>
      <c r="G113" s="52"/>
      <c r="H113" s="53">
        <f>VLOOKUP(F113,$A$4:$B$4,2,TRUE)</f>
        <v>3000</v>
      </c>
      <c r="I113" s="54">
        <f t="shared" si="1"/>
        <v>0</v>
      </c>
      <c r="J113" s="55">
        <f>SUM(I113:I139)</f>
        <v>7500</v>
      </c>
      <c r="K113" s="23"/>
      <c r="L113" s="23"/>
      <c r="M113" s="23"/>
      <c r="N113" s="23"/>
    </row>
    <row r="114" ht="15.75" customHeight="1">
      <c r="A114" s="48"/>
      <c r="B114" s="48"/>
      <c r="C114" s="48"/>
      <c r="D114" s="56"/>
      <c r="E114" s="56"/>
      <c r="F114" s="51" t="s">
        <v>55</v>
      </c>
      <c r="G114" s="52">
        <v>3.0</v>
      </c>
      <c r="H114" s="57">
        <f>VLOOKUP(F114,$A$5:$B$5,2,TRUE)</f>
        <v>2500</v>
      </c>
      <c r="I114" s="54">
        <f t="shared" si="1"/>
        <v>7500</v>
      </c>
      <c r="J114" s="56"/>
      <c r="K114" s="23"/>
      <c r="L114" s="23"/>
      <c r="M114" s="23"/>
      <c r="N114" s="23"/>
    </row>
    <row r="115" ht="15.75" customHeight="1">
      <c r="A115" s="48"/>
      <c r="B115" s="48"/>
      <c r="C115" s="48"/>
      <c r="D115" s="56"/>
      <c r="E115" s="56"/>
      <c r="F115" s="51" t="s">
        <v>57</v>
      </c>
      <c r="G115" s="52"/>
      <c r="H115" s="57">
        <f>VLOOKUP(F115,$A$6:$B$6,2,TRUE)</f>
        <v>1200</v>
      </c>
      <c r="I115" s="54">
        <f t="shared" si="1"/>
        <v>0</v>
      </c>
      <c r="J115" s="56"/>
      <c r="K115" s="23"/>
      <c r="L115" s="23"/>
      <c r="M115" s="23"/>
      <c r="N115" s="23"/>
    </row>
    <row r="116" ht="15.75" customHeight="1">
      <c r="A116" s="48"/>
      <c r="B116" s="48"/>
      <c r="C116" s="48"/>
      <c r="D116" s="56"/>
      <c r="E116" s="56"/>
      <c r="F116" s="51" t="s">
        <v>19</v>
      </c>
      <c r="G116" s="52"/>
      <c r="H116" s="57">
        <f>VLOOKUP(F116,$A$7:$B$7,2,TRUE)</f>
        <v>2100</v>
      </c>
      <c r="I116" s="54">
        <f t="shared" si="1"/>
        <v>0</v>
      </c>
      <c r="J116" s="56"/>
      <c r="K116" s="23"/>
      <c r="L116" s="23"/>
      <c r="M116" s="23"/>
      <c r="N116" s="23"/>
    </row>
    <row r="117" ht="15.75" customHeight="1">
      <c r="A117" s="48"/>
      <c r="B117" s="48"/>
      <c r="C117" s="48"/>
      <c r="D117" s="56"/>
      <c r="E117" s="56"/>
      <c r="F117" s="51" t="s">
        <v>20</v>
      </c>
      <c r="G117" s="52"/>
      <c r="H117" s="57">
        <f>VLOOKUP(F117,$A$8:$B$8,2,TRUE)</f>
        <v>3000</v>
      </c>
      <c r="I117" s="54">
        <f t="shared" si="1"/>
        <v>0</v>
      </c>
      <c r="J117" s="56"/>
      <c r="K117" s="23"/>
      <c r="L117" s="23"/>
      <c r="M117" s="23"/>
      <c r="N117" s="23"/>
    </row>
    <row r="118" ht="15.75" customHeight="1">
      <c r="A118" s="48"/>
      <c r="B118" s="48"/>
      <c r="C118" s="48"/>
      <c r="D118" s="56"/>
      <c r="E118" s="56"/>
      <c r="F118" s="51" t="s">
        <v>21</v>
      </c>
      <c r="G118" s="52"/>
      <c r="H118" s="57">
        <f>VLOOKUP(F118,$A$9:$B$9,2,TRUE)</f>
        <v>500</v>
      </c>
      <c r="I118" s="54">
        <f t="shared" si="1"/>
        <v>0</v>
      </c>
      <c r="J118" s="56"/>
      <c r="K118" s="23"/>
      <c r="L118" s="23"/>
      <c r="M118" s="23"/>
      <c r="N118" s="23"/>
    </row>
    <row r="119" ht="15.75" customHeight="1">
      <c r="A119" s="48"/>
      <c r="B119" s="48"/>
      <c r="C119" s="48"/>
      <c r="D119" s="56"/>
      <c r="E119" s="56"/>
      <c r="F119" s="51" t="s">
        <v>22</v>
      </c>
      <c r="G119" s="52"/>
      <c r="H119" s="57">
        <f>VLOOKUP(F119,$A$10:$B$10,2,TRUE)</f>
        <v>1800</v>
      </c>
      <c r="I119" s="54">
        <f t="shared" si="1"/>
        <v>0</v>
      </c>
      <c r="J119" s="56"/>
      <c r="K119" s="23"/>
      <c r="L119" s="23"/>
      <c r="M119" s="23"/>
      <c r="N119" s="23"/>
    </row>
    <row r="120" ht="15.75" customHeight="1">
      <c r="A120" s="48"/>
      <c r="B120" s="48"/>
      <c r="C120" s="48"/>
      <c r="D120" s="56"/>
      <c r="E120" s="56"/>
      <c r="F120" s="51" t="s">
        <v>23</v>
      </c>
      <c r="G120" s="52"/>
      <c r="H120" s="57">
        <f>VLOOKUP(F120,$A$11:$B$11,2,TRUE)</f>
        <v>1500</v>
      </c>
      <c r="I120" s="54">
        <f t="shared" si="1"/>
        <v>0</v>
      </c>
      <c r="J120" s="56"/>
      <c r="K120" s="23"/>
      <c r="L120" s="23"/>
      <c r="M120" s="23"/>
      <c r="N120" s="23"/>
    </row>
    <row r="121" ht="15.75" customHeight="1">
      <c r="A121" s="48"/>
      <c r="B121" s="48"/>
      <c r="C121" s="48"/>
      <c r="D121" s="56"/>
      <c r="E121" s="56"/>
      <c r="F121" s="51" t="s">
        <v>24</v>
      </c>
      <c r="G121" s="52"/>
      <c r="H121" s="57">
        <f>VLOOKUP(F121,$A$12:$B$12,2,TRUE)</f>
        <v>1400</v>
      </c>
      <c r="I121" s="54">
        <f t="shared" si="1"/>
        <v>0</v>
      </c>
      <c r="J121" s="56"/>
      <c r="K121" s="23"/>
      <c r="L121" s="23"/>
      <c r="M121" s="23"/>
      <c r="N121" s="23"/>
    </row>
    <row r="122" ht="15.75" customHeight="1">
      <c r="A122" s="48"/>
      <c r="B122" s="48"/>
      <c r="C122" s="48"/>
      <c r="D122" s="56"/>
      <c r="E122" s="56"/>
      <c r="F122" s="51" t="s">
        <v>25</v>
      </c>
      <c r="G122" s="52"/>
      <c r="H122" s="57">
        <f>VLOOKUP(F122,$A$13:$B$13,2,TRUE)</f>
        <v>1000</v>
      </c>
      <c r="I122" s="54">
        <f t="shared" si="1"/>
        <v>0</v>
      </c>
      <c r="J122" s="56"/>
      <c r="K122" s="23"/>
      <c r="L122" s="23"/>
      <c r="M122" s="23"/>
      <c r="N122" s="23"/>
    </row>
    <row r="123" ht="15.75" customHeight="1">
      <c r="A123" s="48"/>
      <c r="B123" s="48"/>
      <c r="C123" s="48"/>
      <c r="D123" s="56"/>
      <c r="E123" s="56"/>
      <c r="F123" s="51" t="s">
        <v>26</v>
      </c>
      <c r="G123" s="52"/>
      <c r="H123" s="57">
        <f>VLOOKUP(F123,$A$14:$B$14,2,TRUE)</f>
        <v>500</v>
      </c>
      <c r="I123" s="54">
        <f t="shared" si="1"/>
        <v>0</v>
      </c>
      <c r="J123" s="56"/>
      <c r="K123" s="23"/>
      <c r="L123" s="23"/>
      <c r="M123" s="23"/>
      <c r="N123" s="23"/>
    </row>
    <row r="124" ht="15.75" customHeight="1">
      <c r="A124" s="48"/>
      <c r="B124" s="48"/>
      <c r="C124" s="48"/>
      <c r="D124" s="56"/>
      <c r="E124" s="56"/>
      <c r="F124" s="51" t="s">
        <v>27</v>
      </c>
      <c r="G124" s="52"/>
      <c r="H124" s="57">
        <f>VLOOKUP(F124,$A$15:$B$15,2,TRUE)</f>
        <v>7500</v>
      </c>
      <c r="I124" s="54">
        <f t="shared" si="1"/>
        <v>0</v>
      </c>
      <c r="J124" s="56"/>
      <c r="K124" s="23"/>
      <c r="L124" s="23"/>
      <c r="M124" s="23"/>
      <c r="N124" s="23"/>
    </row>
    <row r="125" ht="15.75" customHeight="1">
      <c r="A125" s="48"/>
      <c r="B125" s="48"/>
      <c r="C125" s="48"/>
      <c r="D125" s="56"/>
      <c r="E125" s="56"/>
      <c r="F125" s="51" t="s">
        <v>28</v>
      </c>
      <c r="G125" s="52"/>
      <c r="H125" s="57">
        <f>VLOOKUP(F125,$A$16:$B$16,2,TRUE)</f>
        <v>2000</v>
      </c>
      <c r="I125" s="54">
        <f t="shared" si="1"/>
        <v>0</v>
      </c>
      <c r="J125" s="56"/>
      <c r="K125" s="23"/>
      <c r="L125" s="23"/>
      <c r="M125" s="23"/>
      <c r="N125" s="23"/>
    </row>
    <row r="126" ht="15.75" customHeight="1">
      <c r="A126" s="48"/>
      <c r="B126" s="48"/>
      <c r="C126" s="48"/>
      <c r="D126" s="56"/>
      <c r="E126" s="56"/>
      <c r="F126" s="51" t="s">
        <v>29</v>
      </c>
      <c r="G126" s="52"/>
      <c r="H126" s="57">
        <f>VLOOKUP(F126,$A$17:$B$17,2,TRUE)</f>
        <v>1200</v>
      </c>
      <c r="I126" s="54">
        <f t="shared" si="1"/>
        <v>0</v>
      </c>
      <c r="J126" s="56"/>
      <c r="K126" s="23"/>
      <c r="L126" s="23"/>
      <c r="M126" s="23"/>
      <c r="N126" s="23"/>
    </row>
    <row r="127" ht="15.75" customHeight="1">
      <c r="A127" s="48"/>
      <c r="B127" s="48"/>
      <c r="C127" s="48"/>
      <c r="D127" s="56"/>
      <c r="E127" s="56"/>
      <c r="F127" s="51" t="s">
        <v>30</v>
      </c>
      <c r="G127" s="52"/>
      <c r="H127" s="57">
        <f>VLOOKUP(F127,$A$18:$B$18,2,TRUE)</f>
        <v>5000</v>
      </c>
      <c r="I127" s="54">
        <f t="shared" si="1"/>
        <v>0</v>
      </c>
      <c r="J127" s="56"/>
      <c r="K127" s="23"/>
      <c r="L127" s="23"/>
      <c r="M127" s="23"/>
      <c r="N127" s="23"/>
    </row>
    <row r="128" ht="15.75" customHeight="1">
      <c r="A128" s="48"/>
      <c r="B128" s="48"/>
      <c r="C128" s="48"/>
      <c r="D128" s="56"/>
      <c r="E128" s="56"/>
      <c r="F128" s="51" t="s">
        <v>31</v>
      </c>
      <c r="G128" s="52"/>
      <c r="H128" s="57">
        <f>VLOOKUP(F128,$A$19:$B$19,2,TRUE)</f>
        <v>2700</v>
      </c>
      <c r="I128" s="54">
        <f t="shared" si="1"/>
        <v>0</v>
      </c>
      <c r="J128" s="56"/>
      <c r="K128" s="23"/>
      <c r="L128" s="23"/>
      <c r="M128" s="23"/>
      <c r="N128" s="23"/>
    </row>
    <row r="129" ht="15.75" customHeight="1">
      <c r="A129" s="48"/>
      <c r="B129" s="48"/>
      <c r="C129" s="48"/>
      <c r="D129" s="56"/>
      <c r="E129" s="56"/>
      <c r="F129" s="51" t="s">
        <v>32</v>
      </c>
      <c r="G129" s="52"/>
      <c r="H129" s="57">
        <f>VLOOKUP(F129,$A$20:$B$20,2,TRUE)</f>
        <v>50000</v>
      </c>
      <c r="I129" s="54">
        <f t="shared" si="1"/>
        <v>0</v>
      </c>
      <c r="J129" s="56"/>
      <c r="K129" s="23"/>
      <c r="L129" s="23"/>
      <c r="M129" s="23"/>
      <c r="N129" s="23"/>
    </row>
    <row r="130" ht="15.75" customHeight="1">
      <c r="A130" s="48"/>
      <c r="B130" s="48"/>
      <c r="C130" s="48"/>
      <c r="D130" s="56"/>
      <c r="E130" s="56"/>
      <c r="F130" s="51" t="s">
        <v>33</v>
      </c>
      <c r="G130" s="52"/>
      <c r="H130" s="57">
        <f>VLOOKUP(F130,$A$21:$B$21,2,TRUE)</f>
        <v>10000</v>
      </c>
      <c r="I130" s="54">
        <f t="shared" si="1"/>
        <v>0</v>
      </c>
      <c r="J130" s="56"/>
      <c r="K130" s="23"/>
      <c r="L130" s="23"/>
      <c r="M130" s="23"/>
      <c r="N130" s="23"/>
    </row>
    <row r="131" ht="15.75" customHeight="1">
      <c r="A131" s="48"/>
      <c r="B131" s="48"/>
      <c r="C131" s="48"/>
      <c r="D131" s="56"/>
      <c r="E131" s="56"/>
      <c r="F131" s="51" t="s">
        <v>34</v>
      </c>
      <c r="G131" s="52"/>
      <c r="H131" s="57">
        <f>VLOOKUP(F131,$A$22:$B$22,2,TRUE)</f>
        <v>1000</v>
      </c>
      <c r="I131" s="54">
        <f t="shared" si="1"/>
        <v>0</v>
      </c>
      <c r="J131" s="56"/>
      <c r="K131" s="23"/>
      <c r="L131" s="23"/>
      <c r="M131" s="23"/>
      <c r="N131" s="23"/>
    </row>
    <row r="132" ht="15.75" customHeight="1">
      <c r="A132" s="48"/>
      <c r="B132" s="48"/>
      <c r="C132" s="48"/>
      <c r="D132" s="56"/>
      <c r="E132" s="56"/>
      <c r="F132" s="51" t="s">
        <v>35</v>
      </c>
      <c r="G132" s="52"/>
      <c r="H132" s="57">
        <f>VLOOKUP(F132,$A$23:$B$23,2,TRUE)</f>
        <v>500</v>
      </c>
      <c r="I132" s="54">
        <f t="shared" si="1"/>
        <v>0</v>
      </c>
      <c r="J132" s="56"/>
      <c r="K132" s="23"/>
      <c r="L132" s="23"/>
      <c r="M132" s="23"/>
      <c r="N132" s="23"/>
    </row>
    <row r="133" ht="15.75" customHeight="1">
      <c r="A133" s="48"/>
      <c r="B133" s="48"/>
      <c r="C133" s="48"/>
      <c r="D133" s="56"/>
      <c r="E133" s="56"/>
      <c r="F133" s="51" t="s">
        <v>36</v>
      </c>
      <c r="G133" s="52"/>
      <c r="H133" s="57">
        <f>VLOOKUP(F133,$A$24:$B$24,2,TRUE)</f>
        <v>200</v>
      </c>
      <c r="I133" s="54">
        <f t="shared" si="1"/>
        <v>0</v>
      </c>
      <c r="J133" s="56"/>
      <c r="K133" s="23"/>
      <c r="L133" s="23"/>
      <c r="M133" s="23"/>
      <c r="N133" s="23"/>
    </row>
    <row r="134" ht="15.75" customHeight="1">
      <c r="A134" s="48"/>
      <c r="B134" s="48"/>
      <c r="C134" s="48"/>
      <c r="D134" s="56"/>
      <c r="E134" s="56"/>
      <c r="F134" s="51" t="s">
        <v>37</v>
      </c>
      <c r="G134" s="52"/>
      <c r="H134" s="57">
        <f>VLOOKUP(F134,$A$25:$B$25,2,TRUE)</f>
        <v>1300</v>
      </c>
      <c r="I134" s="54">
        <f t="shared" si="1"/>
        <v>0</v>
      </c>
      <c r="J134" s="56"/>
      <c r="K134" s="23"/>
      <c r="L134" s="23"/>
      <c r="M134" s="23"/>
      <c r="N134" s="23"/>
    </row>
    <row r="135" ht="15.75" customHeight="1">
      <c r="A135" s="48"/>
      <c r="B135" s="48"/>
      <c r="C135" s="48"/>
      <c r="D135" s="56"/>
      <c r="E135" s="56"/>
      <c r="F135" s="51" t="s">
        <v>12</v>
      </c>
      <c r="G135" s="52"/>
      <c r="H135" s="57">
        <f>VLOOKUP(F135,$A$26:$B$26,2,TRUE)</f>
        <v>300</v>
      </c>
      <c r="I135" s="54">
        <f t="shared" si="1"/>
        <v>0</v>
      </c>
      <c r="J135" s="56"/>
      <c r="K135" s="23"/>
      <c r="L135" s="23"/>
      <c r="M135" s="23"/>
      <c r="N135" s="23"/>
    </row>
    <row r="136" ht="15.75" customHeight="1">
      <c r="A136" s="48"/>
      <c r="B136" s="48"/>
      <c r="C136" s="48"/>
      <c r="D136" s="56"/>
      <c r="E136" s="56"/>
      <c r="F136" s="51" t="s">
        <v>39</v>
      </c>
      <c r="G136" s="52"/>
      <c r="H136" s="57">
        <f>VLOOKUP(F136,$A$27:$B$27,2,TRUE)</f>
        <v>0</v>
      </c>
      <c r="I136" s="54">
        <f t="shared" si="1"/>
        <v>0</v>
      </c>
      <c r="J136" s="56"/>
      <c r="K136" s="23"/>
      <c r="L136" s="23"/>
      <c r="M136" s="23"/>
      <c r="N136" s="23"/>
    </row>
    <row r="137" ht="15.75" customHeight="1">
      <c r="A137" s="48"/>
      <c r="B137" s="48"/>
      <c r="C137" s="48"/>
      <c r="D137" s="56"/>
      <c r="E137" s="56"/>
      <c r="F137" s="51" t="s">
        <v>40</v>
      </c>
      <c r="G137" s="52"/>
      <c r="H137" s="57">
        <f>VLOOKUP(F136,$A$28:$B$28,2,TRUE)</f>
        <v>1700</v>
      </c>
      <c r="I137" s="54">
        <f t="shared" si="1"/>
        <v>0</v>
      </c>
      <c r="J137" s="56"/>
      <c r="K137" s="23"/>
      <c r="L137" s="23"/>
      <c r="M137" s="23"/>
      <c r="N137" s="23"/>
    </row>
    <row r="138" ht="15.75" customHeight="1">
      <c r="A138" s="48"/>
      <c r="B138" s="48"/>
      <c r="C138" s="48"/>
      <c r="D138" s="56"/>
      <c r="E138" s="56"/>
      <c r="F138" s="51" t="s">
        <v>14</v>
      </c>
      <c r="G138" s="52"/>
      <c r="H138" s="57">
        <f>VLOOKUP(F137,$A$29:$B$29,2,TRUE)</f>
        <v>4500</v>
      </c>
      <c r="I138" s="54">
        <f t="shared" si="1"/>
        <v>0</v>
      </c>
      <c r="J138" s="56"/>
      <c r="K138" s="23"/>
      <c r="L138" s="23"/>
      <c r="M138" s="23"/>
      <c r="N138" s="23"/>
    </row>
    <row r="139" ht="15.75" customHeight="1">
      <c r="A139" s="48"/>
      <c r="B139" s="48"/>
      <c r="C139" s="48"/>
      <c r="D139" s="10"/>
      <c r="E139" s="10"/>
      <c r="F139" s="51" t="s">
        <v>58</v>
      </c>
      <c r="G139" s="52">
        <v>2.0</v>
      </c>
      <c r="H139" s="57"/>
      <c r="I139" s="54">
        <f t="shared" si="1"/>
        <v>0</v>
      </c>
      <c r="J139" s="10"/>
      <c r="K139" s="23"/>
      <c r="L139" s="23" t="s">
        <v>67</v>
      </c>
      <c r="M139" s="23"/>
      <c r="N139" s="23"/>
    </row>
    <row r="140" ht="15.75" customHeight="1">
      <c r="A140" s="48"/>
      <c r="B140" s="48"/>
      <c r="C140" s="48"/>
      <c r="D140" s="59" t="s">
        <v>60</v>
      </c>
      <c r="E140" s="60"/>
      <c r="F140" s="60"/>
      <c r="G140" s="60"/>
      <c r="H140" s="60"/>
      <c r="I140" s="61"/>
      <c r="J140" s="62">
        <f>SUM(J5:J139)</f>
        <v>72550</v>
      </c>
      <c r="K140" s="23"/>
      <c r="L140" s="23"/>
      <c r="M140" s="23"/>
      <c r="N140" s="23"/>
    </row>
    <row r="141" ht="15.75" customHeight="1">
      <c r="A141" s="22"/>
      <c r="B141" s="22"/>
      <c r="C141" s="22"/>
      <c r="D141" s="22"/>
      <c r="E141" s="22"/>
      <c r="F141" s="23"/>
      <c r="G141" s="23"/>
      <c r="H141" s="23"/>
      <c r="I141" s="23"/>
      <c r="J141" s="24"/>
      <c r="K141" s="23"/>
      <c r="L141" s="23"/>
      <c r="M141" s="23"/>
      <c r="N141" s="23"/>
    </row>
    <row r="142" ht="15.75" customHeight="1">
      <c r="A142" s="22"/>
      <c r="B142" s="22"/>
      <c r="C142" s="22"/>
      <c r="D142" s="22"/>
      <c r="E142" s="22"/>
      <c r="F142" s="23"/>
      <c r="G142" s="23"/>
      <c r="H142" s="23"/>
      <c r="I142" s="23"/>
      <c r="J142" s="24"/>
      <c r="K142" s="23"/>
      <c r="L142" s="23"/>
      <c r="M142" s="23"/>
      <c r="N142" s="23"/>
    </row>
    <row r="143" ht="15.75" customHeight="1">
      <c r="A143" s="22"/>
      <c r="B143" s="22"/>
      <c r="C143" s="22"/>
      <c r="D143" s="22"/>
      <c r="E143" s="22"/>
      <c r="F143" s="23"/>
      <c r="G143" s="23"/>
      <c r="H143" s="23"/>
      <c r="I143" s="23"/>
      <c r="J143" s="24"/>
      <c r="K143" s="23"/>
      <c r="L143" s="23"/>
      <c r="M143" s="23"/>
      <c r="N143" s="23"/>
    </row>
    <row r="144" ht="15.75" customHeight="1">
      <c r="A144" s="22"/>
      <c r="B144" s="22"/>
      <c r="C144" s="22"/>
      <c r="D144" s="22"/>
      <c r="E144" s="22"/>
      <c r="F144" s="23"/>
      <c r="G144" s="23"/>
      <c r="H144" s="23"/>
      <c r="I144" s="23"/>
      <c r="J144" s="24"/>
      <c r="K144" s="23"/>
      <c r="L144" s="23"/>
      <c r="M144" s="23"/>
      <c r="N144" s="23"/>
    </row>
    <row r="145" ht="15.75" customHeight="1">
      <c r="A145" s="22"/>
      <c r="B145" s="22"/>
      <c r="C145" s="22"/>
      <c r="D145" s="22"/>
      <c r="E145" s="22"/>
      <c r="F145" s="23"/>
      <c r="G145" s="23"/>
      <c r="H145" s="23"/>
      <c r="I145" s="23"/>
      <c r="J145" s="24"/>
      <c r="K145" s="23"/>
      <c r="L145" s="23"/>
      <c r="M145" s="23"/>
      <c r="N145" s="23"/>
    </row>
    <row r="146" ht="15.75" customHeight="1">
      <c r="A146" s="22"/>
      <c r="B146" s="22"/>
      <c r="C146" s="22"/>
      <c r="D146" s="22"/>
      <c r="E146" s="22"/>
      <c r="F146" s="23"/>
      <c r="G146" s="23"/>
      <c r="H146" s="23"/>
      <c r="I146" s="23"/>
      <c r="J146" s="24"/>
      <c r="K146" s="23"/>
      <c r="L146" s="23"/>
      <c r="M146" s="23"/>
      <c r="N146" s="23"/>
    </row>
    <row r="147" ht="15.75" customHeight="1">
      <c r="A147" s="22"/>
      <c r="B147" s="22"/>
      <c r="C147" s="22"/>
      <c r="D147" s="22"/>
      <c r="E147" s="22"/>
      <c r="F147" s="23"/>
      <c r="G147" s="23"/>
      <c r="H147" s="23"/>
      <c r="I147" s="23"/>
      <c r="J147" s="24"/>
      <c r="K147" s="23"/>
      <c r="L147" s="23"/>
      <c r="M147" s="23"/>
      <c r="N147" s="23"/>
    </row>
    <row r="148" ht="15.75" customHeight="1">
      <c r="A148" s="22"/>
      <c r="B148" s="22"/>
      <c r="C148" s="22"/>
      <c r="D148" s="22"/>
      <c r="E148" s="22"/>
      <c r="F148" s="23"/>
      <c r="G148" s="23"/>
      <c r="H148" s="23"/>
      <c r="I148" s="23"/>
      <c r="J148" s="24"/>
      <c r="K148" s="23"/>
      <c r="L148" s="23"/>
      <c r="M148" s="23"/>
      <c r="N148" s="23"/>
    </row>
    <row r="149" ht="15.75" customHeight="1">
      <c r="A149" s="22"/>
      <c r="B149" s="22"/>
      <c r="C149" s="22"/>
      <c r="D149" s="22"/>
      <c r="E149" s="22"/>
      <c r="J149" s="24"/>
    </row>
    <row r="150" ht="15.75" customHeight="1">
      <c r="A150" s="22"/>
      <c r="B150" s="22"/>
      <c r="C150" s="22"/>
      <c r="D150" s="22"/>
      <c r="E150" s="22"/>
      <c r="J150" s="24"/>
    </row>
    <row r="151" ht="15.75" customHeight="1">
      <c r="A151" s="22"/>
      <c r="B151" s="22"/>
      <c r="C151" s="22"/>
      <c r="D151" s="22"/>
      <c r="E151" s="22"/>
      <c r="J151" s="24"/>
    </row>
    <row r="152" ht="15.75" customHeight="1">
      <c r="A152" s="22"/>
      <c r="B152" s="22"/>
      <c r="C152" s="22"/>
      <c r="D152" s="22"/>
      <c r="E152" s="22"/>
      <c r="J152" s="24"/>
    </row>
    <row r="153" ht="15.75" customHeight="1">
      <c r="A153" s="22"/>
      <c r="B153" s="22"/>
      <c r="C153" s="22"/>
      <c r="D153" s="22"/>
      <c r="E153" s="22"/>
      <c r="J153" s="24"/>
    </row>
    <row r="154" ht="15.75" customHeight="1">
      <c r="A154" s="22"/>
      <c r="B154" s="22"/>
      <c r="C154" s="22"/>
      <c r="D154" s="22"/>
      <c r="E154" s="22"/>
      <c r="J154" s="24"/>
    </row>
    <row r="155" ht="15.75" customHeight="1">
      <c r="A155" s="22"/>
      <c r="B155" s="22"/>
      <c r="C155" s="22"/>
      <c r="D155" s="22"/>
      <c r="E155" s="22"/>
      <c r="J155" s="24"/>
    </row>
    <row r="156" ht="15.75" customHeight="1">
      <c r="A156" s="22"/>
      <c r="B156" s="22"/>
      <c r="C156" s="22"/>
      <c r="D156" s="22"/>
      <c r="E156" s="22"/>
      <c r="J156" s="24"/>
    </row>
    <row r="157" ht="15.75" customHeight="1">
      <c r="A157" s="22"/>
      <c r="B157" s="22"/>
      <c r="C157" s="22"/>
      <c r="D157" s="22"/>
      <c r="E157" s="22"/>
      <c r="J157" s="24"/>
    </row>
    <row r="158" ht="15.75" customHeight="1">
      <c r="A158" s="22"/>
      <c r="B158" s="22"/>
      <c r="C158" s="22"/>
      <c r="D158" s="22"/>
      <c r="E158" s="22"/>
      <c r="J158" s="24"/>
    </row>
    <row r="159" ht="15.75" customHeight="1">
      <c r="A159" s="22"/>
      <c r="B159" s="22"/>
      <c r="C159" s="22"/>
      <c r="D159" s="22"/>
      <c r="E159" s="22"/>
      <c r="J159" s="24"/>
    </row>
    <row r="160" ht="15.75" customHeight="1">
      <c r="A160" s="22"/>
      <c r="B160" s="22"/>
      <c r="C160" s="22"/>
      <c r="D160" s="22"/>
      <c r="E160" s="22"/>
      <c r="J160" s="24"/>
    </row>
    <row r="161" ht="15.75" customHeight="1">
      <c r="A161" s="22"/>
      <c r="B161" s="22"/>
      <c r="C161" s="22"/>
      <c r="D161" s="22"/>
      <c r="E161" s="22"/>
      <c r="J161" s="24"/>
    </row>
    <row r="162" ht="15.75" customHeight="1">
      <c r="A162" s="22"/>
      <c r="B162" s="22"/>
      <c r="C162" s="22"/>
      <c r="D162" s="22"/>
      <c r="E162" s="22"/>
      <c r="J162" s="24"/>
    </row>
    <row r="163" ht="15.75" customHeight="1">
      <c r="A163" s="22"/>
      <c r="B163" s="22"/>
      <c r="C163" s="22"/>
      <c r="D163" s="22"/>
      <c r="E163" s="22"/>
      <c r="J163" s="24"/>
    </row>
    <row r="164" ht="15.75" customHeight="1">
      <c r="A164" s="22"/>
      <c r="B164" s="22"/>
      <c r="C164" s="22"/>
      <c r="D164" s="22"/>
      <c r="E164" s="22"/>
      <c r="J164" s="24"/>
    </row>
    <row r="165" ht="15.75" customHeight="1">
      <c r="A165" s="22"/>
      <c r="B165" s="22"/>
      <c r="C165" s="22"/>
      <c r="D165" s="22"/>
      <c r="E165" s="22"/>
      <c r="J165" s="24"/>
    </row>
    <row r="166" ht="15.75" customHeight="1">
      <c r="A166" s="22"/>
      <c r="B166" s="22"/>
      <c r="C166" s="22"/>
      <c r="D166" s="22"/>
      <c r="E166" s="22"/>
      <c r="J166" s="24"/>
    </row>
    <row r="167" ht="15.75" customHeight="1">
      <c r="A167" s="22"/>
      <c r="B167" s="22"/>
      <c r="C167" s="22"/>
      <c r="D167" s="22"/>
      <c r="E167" s="22"/>
      <c r="J167" s="24"/>
    </row>
    <row r="168" ht="15.75" customHeight="1">
      <c r="A168" s="22"/>
      <c r="B168" s="22"/>
      <c r="C168" s="22"/>
      <c r="D168" s="22"/>
      <c r="E168" s="22"/>
      <c r="J168" s="24"/>
    </row>
    <row r="169" ht="15.75" customHeight="1">
      <c r="A169" s="22"/>
      <c r="B169" s="22"/>
      <c r="C169" s="22"/>
      <c r="D169" s="22"/>
      <c r="E169" s="22"/>
      <c r="J169" s="24"/>
    </row>
    <row r="170" ht="15.75" customHeight="1">
      <c r="A170" s="22"/>
      <c r="B170" s="22"/>
      <c r="C170" s="22"/>
      <c r="D170" s="22"/>
      <c r="E170" s="22"/>
      <c r="J170" s="24"/>
    </row>
    <row r="171" ht="15.75" customHeight="1">
      <c r="A171" s="22"/>
      <c r="B171" s="22"/>
      <c r="C171" s="22"/>
      <c r="D171" s="22"/>
      <c r="E171" s="22"/>
      <c r="J171" s="24"/>
    </row>
    <row r="172" ht="15.75" customHeight="1">
      <c r="A172" s="22"/>
      <c r="B172" s="22"/>
      <c r="C172" s="22"/>
      <c r="D172" s="22"/>
      <c r="E172" s="22"/>
      <c r="J172" s="24"/>
    </row>
    <row r="173" ht="15.75" customHeight="1">
      <c r="A173" s="22"/>
      <c r="B173" s="22"/>
      <c r="C173" s="22"/>
      <c r="D173" s="22"/>
      <c r="E173" s="22"/>
      <c r="J173" s="24"/>
    </row>
    <row r="174" ht="15.75" customHeight="1">
      <c r="A174" s="22"/>
      <c r="B174" s="22"/>
      <c r="C174" s="22"/>
      <c r="D174" s="22"/>
      <c r="E174" s="22"/>
      <c r="J174" s="24"/>
    </row>
    <row r="175" ht="15.75" customHeight="1">
      <c r="A175" s="22"/>
      <c r="B175" s="22"/>
      <c r="C175" s="22"/>
      <c r="D175" s="22"/>
      <c r="E175" s="22"/>
      <c r="J175" s="24"/>
    </row>
    <row r="176" ht="15.75" customHeight="1">
      <c r="A176" s="22"/>
      <c r="B176" s="22"/>
      <c r="C176" s="22"/>
      <c r="D176" s="22"/>
      <c r="E176" s="22"/>
      <c r="J176" s="24"/>
    </row>
    <row r="177" ht="15.75" customHeight="1">
      <c r="A177" s="22"/>
      <c r="B177" s="22"/>
      <c r="C177" s="22"/>
      <c r="D177" s="22"/>
      <c r="E177" s="22"/>
      <c r="J177" s="24"/>
    </row>
    <row r="178" ht="15.75" customHeight="1">
      <c r="A178" s="22"/>
      <c r="B178" s="22"/>
      <c r="C178" s="22"/>
      <c r="D178" s="22"/>
      <c r="E178" s="22"/>
      <c r="J178" s="24"/>
    </row>
    <row r="179" ht="15.75" customHeight="1">
      <c r="A179" s="22"/>
      <c r="B179" s="22"/>
      <c r="C179" s="22"/>
      <c r="D179" s="22"/>
      <c r="E179" s="22"/>
      <c r="J179" s="24"/>
    </row>
    <row r="180" ht="15.75" customHeight="1">
      <c r="A180" s="22"/>
      <c r="B180" s="22"/>
      <c r="C180" s="22"/>
      <c r="D180" s="22"/>
      <c r="E180" s="22"/>
      <c r="J180" s="24"/>
    </row>
    <row r="181" ht="15.75" customHeight="1">
      <c r="A181" s="22"/>
      <c r="B181" s="22"/>
      <c r="C181" s="22"/>
      <c r="D181" s="22"/>
      <c r="E181" s="22"/>
      <c r="J181" s="24"/>
    </row>
    <row r="182" ht="15.75" customHeight="1">
      <c r="A182" s="22"/>
      <c r="B182" s="22"/>
      <c r="C182" s="22"/>
      <c r="D182" s="22"/>
      <c r="E182" s="22"/>
      <c r="J182" s="24"/>
    </row>
    <row r="183" ht="15.75" customHeight="1">
      <c r="A183" s="22"/>
      <c r="B183" s="22"/>
      <c r="C183" s="22"/>
      <c r="D183" s="22"/>
      <c r="E183" s="22"/>
      <c r="J183" s="24"/>
    </row>
    <row r="184" ht="15.75" customHeight="1">
      <c r="A184" s="22"/>
      <c r="B184" s="22"/>
      <c r="C184" s="22"/>
      <c r="D184" s="22"/>
      <c r="E184" s="22"/>
      <c r="J184" s="24"/>
    </row>
    <row r="185" ht="15.75" customHeight="1">
      <c r="A185" s="22"/>
      <c r="B185" s="22"/>
      <c r="C185" s="22"/>
      <c r="D185" s="22"/>
      <c r="E185" s="22"/>
      <c r="J185" s="24"/>
    </row>
    <row r="186" ht="15.75" customHeight="1">
      <c r="A186" s="22"/>
      <c r="B186" s="22"/>
      <c r="C186" s="22"/>
      <c r="D186" s="22"/>
      <c r="E186" s="22"/>
      <c r="J186" s="24"/>
    </row>
    <row r="187" ht="15.75" customHeight="1">
      <c r="A187" s="22"/>
      <c r="B187" s="22"/>
      <c r="C187" s="22"/>
      <c r="D187" s="22"/>
      <c r="E187" s="22"/>
      <c r="J187" s="24"/>
    </row>
    <row r="188" ht="15.75" customHeight="1">
      <c r="A188" s="22"/>
      <c r="B188" s="22"/>
      <c r="C188" s="22"/>
      <c r="D188" s="22"/>
      <c r="E188" s="22"/>
      <c r="J188" s="24"/>
    </row>
    <row r="189" ht="15.75" customHeight="1">
      <c r="A189" s="22"/>
      <c r="B189" s="22"/>
      <c r="C189" s="22"/>
      <c r="D189" s="22"/>
      <c r="E189" s="22"/>
      <c r="J189" s="24"/>
    </row>
    <row r="190" ht="15.75" customHeight="1">
      <c r="A190" s="22"/>
      <c r="B190" s="22"/>
      <c r="C190" s="22"/>
      <c r="D190" s="22"/>
      <c r="E190" s="22"/>
      <c r="J190" s="24"/>
    </row>
    <row r="191" ht="15.75" customHeight="1">
      <c r="A191" s="22"/>
      <c r="B191" s="22"/>
      <c r="C191" s="22"/>
      <c r="D191" s="22"/>
      <c r="E191" s="22"/>
      <c r="J191" s="24"/>
    </row>
    <row r="192" ht="15.75" customHeight="1">
      <c r="A192" s="22"/>
      <c r="B192" s="22"/>
      <c r="C192" s="22"/>
      <c r="D192" s="22"/>
      <c r="E192" s="22"/>
      <c r="J192" s="24"/>
    </row>
    <row r="193" ht="15.75" customHeight="1">
      <c r="A193" s="22"/>
      <c r="B193" s="22"/>
      <c r="C193" s="22"/>
      <c r="D193" s="22"/>
      <c r="E193" s="22"/>
      <c r="J193" s="24"/>
    </row>
    <row r="194" ht="15.75" customHeight="1">
      <c r="A194" s="22"/>
      <c r="B194" s="22"/>
      <c r="C194" s="22"/>
      <c r="D194" s="22"/>
      <c r="E194" s="22"/>
      <c r="J194" s="24"/>
    </row>
    <row r="195" ht="15.75" customHeight="1">
      <c r="A195" s="22"/>
      <c r="B195" s="22"/>
      <c r="C195" s="22"/>
      <c r="D195" s="22"/>
      <c r="E195" s="22"/>
      <c r="J195" s="24"/>
    </row>
    <row r="196" ht="15.75" customHeight="1">
      <c r="A196" s="22"/>
      <c r="B196" s="22"/>
      <c r="C196" s="22"/>
      <c r="D196" s="22"/>
      <c r="E196" s="22"/>
      <c r="J196" s="24"/>
    </row>
    <row r="197" ht="15.75" customHeight="1">
      <c r="A197" s="22"/>
      <c r="B197" s="22"/>
      <c r="C197" s="22"/>
      <c r="D197" s="22"/>
      <c r="E197" s="22"/>
      <c r="J197" s="24"/>
    </row>
    <row r="198" ht="15.75" customHeight="1">
      <c r="A198" s="22"/>
      <c r="B198" s="22"/>
      <c r="C198" s="22"/>
      <c r="D198" s="22"/>
      <c r="E198" s="22"/>
      <c r="J198" s="24"/>
    </row>
    <row r="199" ht="15.75" customHeight="1">
      <c r="A199" s="22"/>
      <c r="B199" s="22"/>
      <c r="C199" s="22"/>
      <c r="D199" s="22"/>
      <c r="E199" s="22"/>
      <c r="J199" s="24"/>
    </row>
    <row r="200" ht="15.75" customHeight="1">
      <c r="A200" s="22"/>
      <c r="B200" s="22"/>
      <c r="C200" s="22"/>
      <c r="D200" s="22"/>
      <c r="E200" s="22"/>
      <c r="J200" s="24"/>
    </row>
    <row r="201" ht="15.75" customHeight="1">
      <c r="A201" s="22"/>
      <c r="B201" s="22"/>
      <c r="C201" s="22"/>
      <c r="D201" s="22"/>
      <c r="E201" s="22"/>
      <c r="J201" s="24"/>
    </row>
    <row r="202" ht="15.75" customHeight="1">
      <c r="A202" s="22"/>
      <c r="B202" s="22"/>
      <c r="C202" s="22"/>
      <c r="D202" s="22"/>
      <c r="E202" s="22"/>
      <c r="J202" s="24"/>
    </row>
    <row r="203" ht="15.75" customHeight="1">
      <c r="A203" s="22"/>
      <c r="B203" s="22"/>
      <c r="C203" s="22"/>
      <c r="D203" s="22"/>
      <c r="E203" s="22"/>
      <c r="J203" s="24"/>
    </row>
    <row r="204" ht="15.75" customHeight="1">
      <c r="A204" s="22"/>
      <c r="B204" s="22"/>
      <c r="C204" s="22"/>
      <c r="D204" s="22"/>
      <c r="E204" s="22"/>
      <c r="J204" s="24"/>
    </row>
    <row r="205" ht="15.75" customHeight="1">
      <c r="A205" s="22"/>
      <c r="B205" s="22"/>
      <c r="C205" s="22"/>
      <c r="D205" s="22"/>
      <c r="E205" s="22"/>
      <c r="J205" s="24"/>
    </row>
    <row r="206" ht="15.75" customHeight="1">
      <c r="A206" s="22"/>
      <c r="B206" s="22"/>
      <c r="C206" s="22"/>
      <c r="D206" s="22"/>
      <c r="E206" s="22"/>
      <c r="J206" s="24"/>
    </row>
    <row r="207" ht="15.75" customHeight="1">
      <c r="A207" s="22"/>
      <c r="B207" s="22"/>
      <c r="C207" s="22"/>
      <c r="D207" s="22"/>
      <c r="E207" s="22"/>
      <c r="J207" s="24"/>
    </row>
    <row r="208" ht="15.75" customHeight="1">
      <c r="A208" s="22"/>
      <c r="B208" s="22"/>
      <c r="C208" s="22"/>
      <c r="D208" s="22"/>
      <c r="E208" s="22"/>
      <c r="J208" s="24"/>
    </row>
    <row r="209" ht="15.75" customHeight="1">
      <c r="A209" s="22"/>
      <c r="B209" s="22"/>
      <c r="C209" s="22"/>
      <c r="D209" s="22"/>
      <c r="E209" s="22"/>
      <c r="J209" s="24"/>
    </row>
    <row r="210" ht="15.75" customHeight="1">
      <c r="A210" s="22"/>
      <c r="B210" s="22"/>
      <c r="C210" s="22"/>
      <c r="D210" s="22"/>
      <c r="E210" s="22"/>
      <c r="J210" s="24"/>
    </row>
    <row r="211" ht="15.75" customHeight="1">
      <c r="A211" s="22"/>
      <c r="B211" s="22"/>
      <c r="C211" s="22"/>
      <c r="D211" s="22"/>
      <c r="E211" s="22"/>
      <c r="J211" s="24"/>
    </row>
    <row r="212" ht="15.75" customHeight="1">
      <c r="A212" s="22"/>
      <c r="B212" s="22"/>
      <c r="C212" s="22"/>
      <c r="D212" s="22"/>
      <c r="E212" s="22"/>
      <c r="J212" s="24"/>
    </row>
    <row r="213" ht="15.75" customHeight="1">
      <c r="A213" s="22"/>
      <c r="B213" s="22"/>
      <c r="C213" s="22"/>
      <c r="D213" s="22"/>
      <c r="E213" s="22"/>
      <c r="J213" s="24"/>
    </row>
    <row r="214" ht="15.75" customHeight="1">
      <c r="A214" s="22"/>
      <c r="B214" s="22"/>
      <c r="C214" s="22"/>
      <c r="D214" s="22"/>
      <c r="E214" s="22"/>
      <c r="J214" s="24"/>
    </row>
    <row r="215" ht="15.75" customHeight="1">
      <c r="A215" s="22"/>
      <c r="B215" s="22"/>
      <c r="C215" s="22"/>
      <c r="D215" s="22"/>
      <c r="E215" s="22"/>
      <c r="J215" s="24"/>
    </row>
    <row r="216" ht="15.75" customHeight="1">
      <c r="A216" s="22"/>
      <c r="B216" s="22"/>
      <c r="C216" s="22"/>
      <c r="D216" s="22"/>
      <c r="E216" s="22"/>
      <c r="J216" s="24"/>
    </row>
    <row r="217" ht="15.75" customHeight="1">
      <c r="A217" s="22"/>
      <c r="B217" s="22"/>
      <c r="C217" s="22"/>
      <c r="D217" s="22"/>
      <c r="E217" s="22"/>
      <c r="J217" s="24"/>
    </row>
    <row r="218" ht="15.75" customHeight="1">
      <c r="A218" s="22"/>
      <c r="B218" s="22"/>
      <c r="C218" s="22"/>
      <c r="D218" s="22"/>
      <c r="E218" s="22"/>
      <c r="J218" s="24"/>
    </row>
    <row r="219" ht="15.75" customHeight="1">
      <c r="A219" s="22"/>
      <c r="B219" s="22"/>
      <c r="C219" s="22"/>
      <c r="D219" s="22"/>
      <c r="E219" s="22"/>
      <c r="J219" s="24"/>
    </row>
    <row r="220" ht="15.75" customHeight="1">
      <c r="A220" s="22"/>
      <c r="B220" s="22"/>
      <c r="C220" s="22"/>
      <c r="D220" s="22"/>
      <c r="E220" s="22"/>
      <c r="J220" s="24"/>
    </row>
    <row r="221" ht="15.75" customHeight="1">
      <c r="A221" s="22"/>
      <c r="B221" s="22"/>
      <c r="C221" s="22"/>
      <c r="D221" s="22"/>
      <c r="E221" s="22"/>
      <c r="J221" s="24"/>
    </row>
    <row r="222" ht="15.75" customHeight="1">
      <c r="A222" s="22"/>
      <c r="B222" s="22"/>
      <c r="C222" s="22"/>
      <c r="D222" s="22"/>
      <c r="E222" s="22"/>
      <c r="J222" s="24"/>
    </row>
    <row r="223" ht="15.75" customHeight="1">
      <c r="A223" s="22"/>
      <c r="B223" s="22"/>
      <c r="C223" s="22"/>
      <c r="D223" s="22"/>
      <c r="E223" s="22"/>
      <c r="J223" s="24"/>
    </row>
    <row r="224" ht="15.75" customHeight="1">
      <c r="A224" s="22"/>
      <c r="B224" s="22"/>
      <c r="C224" s="22"/>
      <c r="D224" s="22"/>
      <c r="E224" s="22"/>
      <c r="J224" s="24"/>
    </row>
    <row r="225" ht="15.75" customHeight="1">
      <c r="A225" s="22"/>
      <c r="B225" s="22"/>
      <c r="C225" s="22"/>
      <c r="D225" s="22"/>
      <c r="E225" s="22"/>
      <c r="J225" s="24"/>
    </row>
    <row r="226" ht="15.75" customHeight="1">
      <c r="A226" s="22"/>
      <c r="B226" s="22"/>
      <c r="C226" s="22"/>
      <c r="D226" s="22"/>
      <c r="E226" s="22"/>
      <c r="J226" s="24"/>
    </row>
    <row r="227" ht="15.75" customHeight="1">
      <c r="A227" s="22"/>
      <c r="B227" s="22"/>
      <c r="C227" s="22"/>
      <c r="D227" s="22"/>
      <c r="E227" s="22"/>
      <c r="J227" s="24"/>
    </row>
    <row r="228" ht="15.75" customHeight="1">
      <c r="A228" s="22"/>
      <c r="B228" s="22"/>
      <c r="C228" s="22"/>
      <c r="D228" s="22"/>
      <c r="E228" s="22"/>
      <c r="J228" s="24"/>
    </row>
    <row r="229" ht="15.75" customHeight="1">
      <c r="A229" s="22"/>
      <c r="B229" s="22"/>
      <c r="C229" s="22"/>
      <c r="D229" s="22"/>
      <c r="E229" s="22"/>
      <c r="J229" s="24"/>
    </row>
    <row r="230" ht="15.75" customHeight="1">
      <c r="A230" s="22"/>
      <c r="B230" s="22"/>
      <c r="C230" s="22"/>
      <c r="D230" s="22"/>
      <c r="E230" s="22"/>
      <c r="J230" s="24"/>
    </row>
    <row r="231" ht="15.75" customHeight="1">
      <c r="A231" s="22"/>
      <c r="B231" s="22"/>
      <c r="C231" s="22"/>
      <c r="D231" s="22"/>
      <c r="E231" s="22"/>
      <c r="J231" s="24"/>
    </row>
    <row r="232" ht="15.75" customHeight="1">
      <c r="A232" s="22"/>
      <c r="B232" s="22"/>
      <c r="C232" s="22"/>
      <c r="D232" s="22"/>
      <c r="E232" s="22"/>
      <c r="J232" s="24"/>
    </row>
    <row r="233" ht="15.75" customHeight="1">
      <c r="A233" s="22"/>
      <c r="B233" s="22"/>
      <c r="C233" s="22"/>
      <c r="D233" s="22"/>
      <c r="E233" s="22"/>
      <c r="J233" s="24"/>
    </row>
    <row r="234" ht="15.75" customHeight="1">
      <c r="A234" s="22"/>
      <c r="B234" s="22"/>
      <c r="C234" s="22"/>
      <c r="D234" s="22"/>
      <c r="E234" s="22"/>
      <c r="J234" s="24"/>
    </row>
    <row r="235" ht="15.75" customHeight="1">
      <c r="A235" s="22"/>
      <c r="B235" s="22"/>
      <c r="C235" s="22"/>
      <c r="D235" s="22"/>
      <c r="E235" s="22"/>
      <c r="J235" s="24"/>
    </row>
    <row r="236" ht="15.75" customHeight="1">
      <c r="A236" s="22"/>
      <c r="B236" s="22"/>
      <c r="C236" s="22"/>
      <c r="D236" s="22"/>
      <c r="E236" s="22"/>
      <c r="J236" s="24"/>
    </row>
    <row r="237" ht="15.75" customHeight="1">
      <c r="A237" s="22"/>
      <c r="B237" s="22"/>
      <c r="C237" s="22"/>
      <c r="D237" s="22"/>
      <c r="E237" s="22"/>
      <c r="J237" s="24"/>
    </row>
    <row r="238" ht="15.75" customHeight="1">
      <c r="A238" s="22"/>
      <c r="B238" s="22"/>
      <c r="C238" s="22"/>
      <c r="D238" s="22"/>
      <c r="E238" s="22"/>
      <c r="J238" s="24"/>
    </row>
    <row r="239" ht="15.75" customHeight="1">
      <c r="A239" s="22"/>
      <c r="B239" s="22"/>
      <c r="C239" s="22"/>
      <c r="D239" s="22"/>
      <c r="E239" s="22"/>
      <c r="J239" s="24"/>
    </row>
    <row r="240" ht="15.75" customHeight="1">
      <c r="A240" s="22"/>
      <c r="B240" s="22"/>
      <c r="C240" s="22"/>
      <c r="D240" s="22"/>
      <c r="E240" s="22"/>
      <c r="J240" s="24"/>
    </row>
    <row r="241" ht="15.75" customHeight="1">
      <c r="A241" s="22"/>
      <c r="B241" s="22"/>
      <c r="C241" s="22"/>
      <c r="D241" s="22"/>
      <c r="E241" s="22"/>
      <c r="J241" s="24"/>
    </row>
    <row r="242" ht="15.75" customHeight="1">
      <c r="A242" s="22"/>
      <c r="B242" s="22"/>
      <c r="C242" s="22"/>
      <c r="D242" s="22"/>
      <c r="E242" s="22"/>
      <c r="J242" s="24"/>
    </row>
    <row r="243" ht="15.75" customHeight="1">
      <c r="A243" s="22"/>
      <c r="B243" s="22"/>
      <c r="C243" s="22"/>
      <c r="D243" s="22"/>
      <c r="E243" s="22"/>
      <c r="J243" s="24"/>
    </row>
    <row r="244" ht="15.75" customHeight="1">
      <c r="A244" s="22"/>
      <c r="B244" s="22"/>
      <c r="C244" s="22"/>
      <c r="D244" s="22"/>
      <c r="E244" s="22"/>
      <c r="J244" s="24"/>
    </row>
    <row r="245" ht="15.75" customHeight="1">
      <c r="A245" s="22"/>
      <c r="B245" s="22"/>
      <c r="C245" s="22"/>
      <c r="D245" s="22"/>
      <c r="E245" s="22"/>
      <c r="J245" s="24"/>
    </row>
    <row r="246" ht="15.75" customHeight="1">
      <c r="A246" s="22"/>
      <c r="B246" s="22"/>
      <c r="C246" s="22"/>
      <c r="D246" s="22"/>
      <c r="E246" s="22"/>
      <c r="J246" s="24"/>
    </row>
    <row r="247" ht="15.75" customHeight="1">
      <c r="A247" s="22"/>
      <c r="B247" s="22"/>
      <c r="C247" s="22"/>
      <c r="D247" s="22"/>
      <c r="E247" s="22"/>
      <c r="J247" s="24"/>
    </row>
    <row r="248" ht="15.75" customHeight="1">
      <c r="A248" s="22"/>
      <c r="B248" s="22"/>
      <c r="C248" s="22"/>
      <c r="D248" s="22"/>
      <c r="E248" s="22"/>
      <c r="J248" s="24"/>
    </row>
    <row r="249" ht="15.75" customHeight="1">
      <c r="A249" s="22"/>
      <c r="B249" s="22"/>
      <c r="C249" s="22"/>
      <c r="D249" s="22"/>
      <c r="E249" s="22"/>
      <c r="J249" s="24"/>
    </row>
    <row r="250" ht="15.75" customHeight="1">
      <c r="A250" s="22"/>
      <c r="B250" s="22"/>
      <c r="C250" s="22"/>
      <c r="D250" s="22"/>
      <c r="E250" s="22"/>
      <c r="J250" s="24"/>
    </row>
    <row r="251" ht="15.75" customHeight="1">
      <c r="A251" s="22"/>
      <c r="B251" s="22"/>
      <c r="C251" s="22"/>
      <c r="D251" s="22"/>
      <c r="E251" s="22"/>
      <c r="J251" s="24"/>
    </row>
    <row r="252" ht="15.75" customHeight="1">
      <c r="A252" s="22"/>
      <c r="B252" s="22"/>
      <c r="C252" s="22"/>
      <c r="D252" s="22"/>
      <c r="E252" s="22"/>
      <c r="J252" s="24"/>
    </row>
    <row r="253" ht="15.75" customHeight="1">
      <c r="A253" s="22"/>
      <c r="B253" s="22"/>
      <c r="C253" s="22"/>
      <c r="D253" s="22"/>
      <c r="E253" s="22"/>
      <c r="J253" s="24"/>
    </row>
    <row r="254" ht="15.75" customHeight="1">
      <c r="A254" s="22"/>
      <c r="B254" s="22"/>
      <c r="C254" s="22"/>
      <c r="D254" s="22"/>
      <c r="E254" s="22"/>
      <c r="J254" s="24"/>
    </row>
    <row r="255" ht="15.75" customHeight="1">
      <c r="A255" s="22"/>
      <c r="B255" s="22"/>
      <c r="C255" s="22"/>
      <c r="D255" s="22"/>
      <c r="E255" s="22"/>
      <c r="J255" s="24"/>
    </row>
    <row r="256" ht="15.75" customHeight="1">
      <c r="A256" s="22"/>
      <c r="B256" s="22"/>
      <c r="C256" s="22"/>
      <c r="D256" s="22"/>
      <c r="E256" s="22"/>
      <c r="J256" s="24"/>
    </row>
    <row r="257" ht="15.75" customHeight="1">
      <c r="A257" s="22"/>
      <c r="B257" s="22"/>
      <c r="C257" s="22"/>
      <c r="D257" s="22"/>
      <c r="E257" s="22"/>
      <c r="J257" s="24"/>
    </row>
    <row r="258" ht="15.75" customHeight="1">
      <c r="A258" s="22"/>
      <c r="B258" s="22"/>
      <c r="C258" s="22"/>
      <c r="D258" s="22"/>
      <c r="E258" s="22"/>
      <c r="J258" s="24"/>
    </row>
    <row r="259" ht="15.75" customHeight="1">
      <c r="A259" s="22"/>
      <c r="B259" s="22"/>
      <c r="C259" s="22"/>
      <c r="D259" s="22"/>
      <c r="E259" s="22"/>
      <c r="J259" s="24"/>
    </row>
    <row r="260" ht="15.75" customHeight="1">
      <c r="A260" s="22"/>
      <c r="B260" s="22"/>
      <c r="C260" s="22"/>
      <c r="D260" s="22"/>
      <c r="E260" s="22"/>
      <c r="J260" s="24"/>
    </row>
    <row r="261" ht="15.75" customHeight="1">
      <c r="A261" s="22"/>
      <c r="B261" s="22"/>
      <c r="C261" s="22"/>
      <c r="D261" s="22"/>
      <c r="E261" s="22"/>
      <c r="J261" s="24"/>
    </row>
    <row r="262" ht="15.75" customHeight="1">
      <c r="A262" s="22"/>
      <c r="B262" s="22"/>
      <c r="C262" s="22"/>
      <c r="D262" s="22"/>
      <c r="E262" s="22"/>
      <c r="J262" s="24"/>
    </row>
    <row r="263" ht="15.75" customHeight="1">
      <c r="A263" s="22"/>
      <c r="B263" s="22"/>
      <c r="C263" s="22"/>
      <c r="D263" s="22"/>
      <c r="E263" s="22"/>
      <c r="J263" s="24"/>
    </row>
    <row r="264" ht="15.75" customHeight="1">
      <c r="A264" s="22"/>
      <c r="B264" s="22"/>
      <c r="C264" s="22"/>
      <c r="D264" s="22"/>
      <c r="E264" s="22"/>
      <c r="J264" s="24"/>
    </row>
    <row r="265" ht="15.75" customHeight="1">
      <c r="A265" s="22"/>
      <c r="B265" s="22"/>
      <c r="C265" s="22"/>
      <c r="D265" s="22"/>
      <c r="E265" s="22"/>
      <c r="J265" s="24"/>
    </row>
    <row r="266" ht="15.75" customHeight="1">
      <c r="A266" s="22"/>
      <c r="B266" s="22"/>
      <c r="C266" s="22"/>
      <c r="D266" s="22"/>
      <c r="E266" s="22"/>
      <c r="J266" s="24"/>
    </row>
    <row r="267" ht="15.75" customHeight="1">
      <c r="A267" s="22"/>
      <c r="B267" s="22"/>
      <c r="C267" s="22"/>
      <c r="D267" s="22"/>
      <c r="E267" s="22"/>
      <c r="J267" s="24"/>
    </row>
    <row r="268" ht="15.75" customHeight="1">
      <c r="A268" s="22"/>
      <c r="B268" s="22"/>
      <c r="C268" s="22"/>
      <c r="D268" s="22"/>
      <c r="E268" s="22"/>
      <c r="J268" s="24"/>
    </row>
    <row r="269" ht="15.75" customHeight="1">
      <c r="A269" s="22"/>
      <c r="B269" s="22"/>
      <c r="C269" s="22"/>
      <c r="D269" s="22"/>
      <c r="E269" s="22"/>
      <c r="J269" s="24"/>
    </row>
    <row r="270" ht="15.75" customHeight="1">
      <c r="A270" s="22"/>
      <c r="B270" s="22"/>
      <c r="C270" s="22"/>
      <c r="D270" s="22"/>
      <c r="E270" s="22"/>
      <c r="J270" s="24"/>
    </row>
    <row r="271" ht="15.75" customHeight="1">
      <c r="A271" s="22"/>
      <c r="B271" s="22"/>
      <c r="C271" s="22"/>
      <c r="D271" s="22"/>
      <c r="E271" s="22"/>
      <c r="J271" s="24"/>
    </row>
    <row r="272" ht="15.75" customHeight="1">
      <c r="A272" s="22"/>
      <c r="B272" s="22"/>
      <c r="C272" s="22"/>
      <c r="D272" s="22"/>
      <c r="E272" s="22"/>
      <c r="J272" s="24"/>
    </row>
    <row r="273" ht="15.75" customHeight="1">
      <c r="A273" s="22"/>
      <c r="B273" s="22"/>
      <c r="C273" s="22"/>
      <c r="D273" s="22"/>
      <c r="E273" s="22"/>
      <c r="J273" s="24"/>
    </row>
    <row r="274" ht="15.75" customHeight="1">
      <c r="A274" s="22"/>
      <c r="B274" s="22"/>
      <c r="C274" s="22"/>
      <c r="D274" s="22"/>
      <c r="E274" s="22"/>
      <c r="J274" s="24"/>
    </row>
    <row r="275" ht="15.75" customHeight="1">
      <c r="A275" s="22"/>
      <c r="B275" s="22"/>
      <c r="C275" s="22"/>
      <c r="D275" s="22"/>
      <c r="E275" s="22"/>
      <c r="J275" s="24"/>
    </row>
    <row r="276" ht="15.75" customHeight="1">
      <c r="A276" s="22"/>
      <c r="B276" s="22"/>
      <c r="C276" s="22"/>
      <c r="D276" s="22"/>
      <c r="E276" s="22"/>
      <c r="J276" s="24"/>
    </row>
    <row r="277" ht="15.75" customHeight="1">
      <c r="A277" s="22"/>
      <c r="B277" s="22"/>
      <c r="C277" s="22"/>
      <c r="D277" s="22"/>
      <c r="E277" s="22"/>
      <c r="J277" s="24"/>
    </row>
    <row r="278" ht="15.75" customHeight="1">
      <c r="A278" s="22"/>
      <c r="B278" s="22"/>
      <c r="C278" s="22"/>
      <c r="D278" s="22"/>
      <c r="E278" s="22"/>
      <c r="J278" s="24"/>
    </row>
    <row r="279" ht="15.75" customHeight="1">
      <c r="A279" s="22"/>
      <c r="B279" s="22"/>
      <c r="C279" s="22"/>
      <c r="D279" s="22"/>
      <c r="E279" s="22"/>
      <c r="J279" s="24"/>
    </row>
    <row r="280" ht="15.75" customHeight="1">
      <c r="A280" s="22"/>
      <c r="B280" s="22"/>
      <c r="C280" s="22"/>
      <c r="D280" s="22"/>
      <c r="E280" s="22"/>
      <c r="J280" s="24"/>
    </row>
    <row r="281" ht="15.75" customHeight="1">
      <c r="A281" s="22"/>
      <c r="B281" s="22"/>
      <c r="C281" s="22"/>
      <c r="D281" s="22"/>
      <c r="E281" s="22"/>
      <c r="J281" s="24"/>
    </row>
    <row r="282" ht="15.75" customHeight="1">
      <c r="A282" s="22"/>
      <c r="B282" s="22"/>
      <c r="C282" s="22"/>
      <c r="D282" s="22"/>
      <c r="E282" s="22"/>
      <c r="J282" s="24"/>
    </row>
    <row r="283" ht="15.75" customHeight="1">
      <c r="A283" s="22"/>
      <c r="B283" s="22"/>
      <c r="C283" s="22"/>
      <c r="D283" s="22"/>
      <c r="E283" s="22"/>
      <c r="J283" s="24"/>
    </row>
    <row r="284" ht="15.75" customHeight="1">
      <c r="A284" s="22"/>
      <c r="B284" s="22"/>
      <c r="C284" s="22"/>
      <c r="D284" s="22"/>
      <c r="E284" s="22"/>
      <c r="J284" s="24"/>
    </row>
    <row r="285" ht="15.75" customHeight="1">
      <c r="A285" s="22"/>
      <c r="B285" s="22"/>
      <c r="C285" s="22"/>
      <c r="D285" s="22"/>
      <c r="E285" s="22"/>
      <c r="J285" s="24"/>
    </row>
    <row r="286" ht="15.75" customHeight="1">
      <c r="A286" s="22"/>
      <c r="B286" s="22"/>
      <c r="C286" s="22"/>
      <c r="D286" s="22"/>
      <c r="E286" s="22"/>
      <c r="J286" s="24"/>
    </row>
    <row r="287" ht="15.75" customHeight="1">
      <c r="A287" s="22"/>
      <c r="B287" s="22"/>
      <c r="C287" s="22"/>
      <c r="D287" s="22"/>
      <c r="E287" s="22"/>
      <c r="J287" s="24"/>
    </row>
    <row r="288" ht="15.75" customHeight="1">
      <c r="A288" s="22"/>
      <c r="B288" s="22"/>
      <c r="C288" s="22"/>
      <c r="D288" s="22"/>
      <c r="E288" s="22"/>
      <c r="J288" s="24"/>
    </row>
    <row r="289" ht="15.75" customHeight="1">
      <c r="A289" s="22"/>
      <c r="B289" s="22"/>
      <c r="C289" s="22"/>
      <c r="D289" s="22"/>
      <c r="E289" s="22"/>
      <c r="J289" s="24"/>
    </row>
    <row r="290" ht="15.75" customHeight="1">
      <c r="A290" s="22"/>
      <c r="B290" s="22"/>
      <c r="C290" s="22"/>
      <c r="D290" s="22"/>
      <c r="E290" s="22"/>
      <c r="J290" s="24"/>
    </row>
    <row r="291" ht="15.75" customHeight="1">
      <c r="A291" s="22"/>
      <c r="B291" s="22"/>
      <c r="C291" s="22"/>
      <c r="D291" s="22"/>
      <c r="E291" s="22"/>
      <c r="J291" s="24"/>
    </row>
    <row r="292" ht="15.75" customHeight="1">
      <c r="J292" s="24"/>
    </row>
    <row r="293" ht="15.75" customHeight="1">
      <c r="J293" s="24"/>
    </row>
    <row r="294" ht="15.75" customHeight="1">
      <c r="J294" s="24"/>
    </row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J5:J31"/>
    <mergeCell ref="J32:J58"/>
    <mergeCell ref="J59:J85"/>
    <mergeCell ref="J86:J112"/>
    <mergeCell ref="J113:J139"/>
    <mergeCell ref="D59:D85"/>
    <mergeCell ref="E59:E85"/>
    <mergeCell ref="D86:D112"/>
    <mergeCell ref="E86:E112"/>
    <mergeCell ref="D113:D139"/>
    <mergeCell ref="E113:E139"/>
    <mergeCell ref="D140:I140"/>
    <mergeCell ref="A2:B2"/>
    <mergeCell ref="D2:J2"/>
    <mergeCell ref="L2:M3"/>
    <mergeCell ref="D5:D31"/>
    <mergeCell ref="E5:E31"/>
    <mergeCell ref="D32:D58"/>
    <mergeCell ref="E32:E5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64"/>
      <c r="B1" s="22"/>
      <c r="C1" s="22"/>
      <c r="D1" s="22"/>
      <c r="E1" s="22"/>
      <c r="F1" s="23"/>
      <c r="G1" s="23"/>
      <c r="H1" s="23"/>
      <c r="I1" s="23"/>
      <c r="J1" s="24"/>
      <c r="K1" s="23"/>
      <c r="L1" s="23"/>
      <c r="M1" s="23"/>
      <c r="N1" s="23"/>
    </row>
    <row r="2" ht="15.75" customHeight="1">
      <c r="A2" s="25" t="s">
        <v>41</v>
      </c>
      <c r="B2" s="26"/>
      <c r="C2" s="27"/>
      <c r="D2" s="27" t="s">
        <v>42</v>
      </c>
      <c r="K2" s="23"/>
      <c r="L2" s="28" t="s">
        <v>43</v>
      </c>
      <c r="M2" s="29"/>
      <c r="N2" s="23"/>
    </row>
    <row r="3">
      <c r="A3" s="30" t="s">
        <v>44</v>
      </c>
      <c r="B3" s="31" t="s">
        <v>45</v>
      </c>
      <c r="C3" s="22"/>
      <c r="D3" s="32"/>
      <c r="E3" s="33" t="s">
        <v>46</v>
      </c>
      <c r="F3" s="34"/>
      <c r="G3" s="35"/>
      <c r="H3" s="36"/>
      <c r="I3" s="36"/>
      <c r="J3" s="37" t="s">
        <v>47</v>
      </c>
      <c r="K3" s="23"/>
      <c r="L3" s="38"/>
      <c r="M3" s="6"/>
      <c r="N3" s="23"/>
    </row>
    <row r="4" ht="15.75" customHeight="1">
      <c r="A4" s="39" t="s">
        <v>16</v>
      </c>
      <c r="B4" s="40">
        <v>3000.0</v>
      </c>
      <c r="C4" s="41"/>
      <c r="D4" s="42" t="s">
        <v>0</v>
      </c>
      <c r="E4" s="43" t="s">
        <v>48</v>
      </c>
      <c r="F4" s="44" t="s">
        <v>49</v>
      </c>
      <c r="G4" s="45" t="s">
        <v>50</v>
      </c>
      <c r="H4" s="45" t="s">
        <v>51</v>
      </c>
      <c r="I4" s="45" t="s">
        <v>52</v>
      </c>
      <c r="J4" s="46" t="s">
        <v>53</v>
      </c>
      <c r="K4" s="23"/>
      <c r="L4" s="47" t="s">
        <v>54</v>
      </c>
      <c r="M4" s="47" t="s">
        <v>50</v>
      </c>
      <c r="N4" s="23"/>
    </row>
    <row r="5" ht="15.75" customHeight="1">
      <c r="A5" s="39" t="s">
        <v>55</v>
      </c>
      <c r="B5" s="40">
        <v>2500.0</v>
      </c>
      <c r="C5" s="48"/>
      <c r="D5" s="49">
        <v>1.0</v>
      </c>
      <c r="E5" s="50" t="s">
        <v>69</v>
      </c>
      <c r="F5" s="51" t="s">
        <v>16</v>
      </c>
      <c r="G5" s="52">
        <f>1+1</f>
        <v>2</v>
      </c>
      <c r="H5" s="53">
        <f>VLOOKUP(F5,$A$4:$B$4,2,TRUE)</f>
        <v>3000</v>
      </c>
      <c r="I5" s="54">
        <f t="shared" ref="I5:I31" si="1">G5*H5</f>
        <v>6000</v>
      </c>
      <c r="J5" s="55">
        <f>SUM(I5:I31)</f>
        <v>85350</v>
      </c>
      <c r="K5" s="23"/>
      <c r="L5" s="51" t="s">
        <v>16</v>
      </c>
      <c r="M5" s="47">
        <f>SUMIF(F5:F31,"Gelas bersih",G5:G31)</f>
        <v>2</v>
      </c>
      <c r="N5" s="23"/>
    </row>
    <row r="6" ht="15.75" customHeight="1">
      <c r="A6" s="39" t="s">
        <v>57</v>
      </c>
      <c r="B6" s="40">
        <v>1200.0</v>
      </c>
      <c r="C6" s="48"/>
      <c r="D6" s="56"/>
      <c r="E6" s="56"/>
      <c r="F6" s="51" t="s">
        <v>55</v>
      </c>
      <c r="G6" s="52">
        <f>1+1+1+0.5</f>
        <v>3.5</v>
      </c>
      <c r="H6" s="57">
        <f>VLOOKUP(F6,$A$5:$B$5,2,TRUE)</f>
        <v>2500</v>
      </c>
      <c r="I6" s="54">
        <f t="shared" si="1"/>
        <v>8750</v>
      </c>
      <c r="J6" s="56"/>
      <c r="K6" s="23"/>
      <c r="L6" s="51" t="s">
        <v>55</v>
      </c>
      <c r="M6" s="47">
        <f>SUMIF(F6:F32,"Botol bersih",G6:G32)</f>
        <v>3.5</v>
      </c>
      <c r="N6" s="23"/>
    </row>
    <row r="7" ht="15.75" customHeight="1">
      <c r="A7" s="39" t="s">
        <v>19</v>
      </c>
      <c r="B7" s="40">
        <v>2100.0</v>
      </c>
      <c r="C7" s="48"/>
      <c r="D7" s="56"/>
      <c r="E7" s="56"/>
      <c r="F7" s="51" t="s">
        <v>57</v>
      </c>
      <c r="G7" s="52">
        <v>0.5</v>
      </c>
      <c r="H7" s="57">
        <f>VLOOKUP(F7,$A$6:$B$6,2,TRUE)</f>
        <v>1200</v>
      </c>
      <c r="I7" s="54">
        <f t="shared" si="1"/>
        <v>600</v>
      </c>
      <c r="J7" s="56"/>
      <c r="K7" s="23"/>
      <c r="L7" s="51" t="s">
        <v>57</v>
      </c>
      <c r="M7" s="47">
        <f>SUMIF(F7:F32,"Botol Warna",G7:G32)</f>
        <v>0.5</v>
      </c>
      <c r="N7" s="23"/>
    </row>
    <row r="8" ht="15.75" customHeight="1">
      <c r="A8" s="39" t="s">
        <v>20</v>
      </c>
      <c r="B8" s="40">
        <v>3000.0</v>
      </c>
      <c r="C8" s="48"/>
      <c r="D8" s="56"/>
      <c r="E8" s="56"/>
      <c r="F8" s="51" t="s">
        <v>19</v>
      </c>
      <c r="G8" s="52">
        <v>0.5</v>
      </c>
      <c r="H8" s="57">
        <f>VLOOKUP(F8,$A$7:$B$7,2,TRUE)</f>
        <v>2100</v>
      </c>
      <c r="I8" s="54">
        <f t="shared" si="1"/>
        <v>1050</v>
      </c>
      <c r="J8" s="56"/>
      <c r="K8" s="23"/>
      <c r="L8" s="51" t="s">
        <v>19</v>
      </c>
      <c r="M8" s="47">
        <f>SUMIF(F8:F33,"Tutup botol",G8:G33)</f>
        <v>0.5</v>
      </c>
      <c r="N8" s="23"/>
    </row>
    <row r="9" ht="15.75" customHeight="1">
      <c r="A9" s="39" t="s">
        <v>21</v>
      </c>
      <c r="B9" s="40">
        <v>500.0</v>
      </c>
      <c r="C9" s="48"/>
      <c r="D9" s="56"/>
      <c r="E9" s="56"/>
      <c r="F9" s="51" t="s">
        <v>20</v>
      </c>
      <c r="G9" s="52"/>
      <c r="H9" s="57">
        <f>VLOOKUP(F9,$A$8:$B$8,2,TRUE)</f>
        <v>3000</v>
      </c>
      <c r="I9" s="54">
        <f t="shared" si="1"/>
        <v>0</v>
      </c>
      <c r="J9" s="56"/>
      <c r="K9" s="23"/>
      <c r="L9" s="51" t="s">
        <v>20</v>
      </c>
      <c r="M9" s="47">
        <f>SUMIF(F9:F34,"Tutup galon",G9:G34)</f>
        <v>0</v>
      </c>
      <c r="N9" s="23"/>
    </row>
    <row r="10" ht="15.75" customHeight="1">
      <c r="A10" s="39" t="s">
        <v>22</v>
      </c>
      <c r="B10" s="40">
        <v>1800.0</v>
      </c>
      <c r="C10" s="48"/>
      <c r="D10" s="56"/>
      <c r="E10" s="56"/>
      <c r="F10" s="51" t="s">
        <v>21</v>
      </c>
      <c r="G10" s="52">
        <f>5+2+3.5+0.5+0.5</f>
        <v>11.5</v>
      </c>
      <c r="H10" s="57">
        <f>VLOOKUP(F10,$A$9:$B$9,2,TRUE)</f>
        <v>500</v>
      </c>
      <c r="I10" s="54">
        <f t="shared" si="1"/>
        <v>5750</v>
      </c>
      <c r="J10" s="56"/>
      <c r="K10" s="23"/>
      <c r="L10" s="51" t="s">
        <v>21</v>
      </c>
      <c r="M10" s="47">
        <f>SUMIF(F10:F35,"Hitam",G10:G35)</f>
        <v>11.5</v>
      </c>
      <c r="N10" s="23"/>
    </row>
    <row r="11" ht="15.75" customHeight="1">
      <c r="A11" s="39" t="s">
        <v>23</v>
      </c>
      <c r="B11" s="40">
        <v>1500.0</v>
      </c>
      <c r="C11" s="48"/>
      <c r="D11" s="56"/>
      <c r="E11" s="56"/>
      <c r="F11" s="51" t="s">
        <v>22</v>
      </c>
      <c r="G11" s="52">
        <f>1.5+0.5+1.5+0.5</f>
        <v>4</v>
      </c>
      <c r="H11" s="57">
        <f>VLOOKUP(F11,$A$10:$B$10,2,TRUE)</f>
        <v>1800</v>
      </c>
      <c r="I11" s="54">
        <f t="shared" si="1"/>
        <v>7200</v>
      </c>
      <c r="J11" s="56"/>
      <c r="K11" s="23"/>
      <c r="L11" s="51" t="s">
        <v>22</v>
      </c>
      <c r="M11" s="47">
        <f>SUMIF(F11:F36,"Plastik Campur",G11:G36)</f>
        <v>4</v>
      </c>
      <c r="N11" s="23"/>
    </row>
    <row r="12" ht="15.75" customHeight="1">
      <c r="A12" s="39" t="s">
        <v>24</v>
      </c>
      <c r="B12" s="40">
        <v>1400.0</v>
      </c>
      <c r="C12" s="48"/>
      <c r="D12" s="56"/>
      <c r="E12" s="56"/>
      <c r="F12" s="51" t="s">
        <v>23</v>
      </c>
      <c r="G12" s="52">
        <f>4+5.5+5+7.5+5+5</f>
        <v>32</v>
      </c>
      <c r="H12" s="57">
        <f>VLOOKUP(F12,$A$11:$B$11,2,TRUE)</f>
        <v>1500</v>
      </c>
      <c r="I12" s="54">
        <f t="shared" si="1"/>
        <v>48000</v>
      </c>
      <c r="J12" s="56"/>
      <c r="K12" s="23"/>
      <c r="L12" s="51" t="s">
        <v>23</v>
      </c>
      <c r="M12" s="47">
        <f>SUMIF(F12:F37,"Kardus",G12:G37)</f>
        <v>32</v>
      </c>
      <c r="N12" s="23"/>
    </row>
    <row r="13" ht="15.75" customHeight="1">
      <c r="A13" s="39" t="s">
        <v>25</v>
      </c>
      <c r="B13" s="40">
        <v>1000.0</v>
      </c>
      <c r="C13" s="48"/>
      <c r="D13" s="56"/>
      <c r="E13" s="56"/>
      <c r="F13" s="51" t="s">
        <v>24</v>
      </c>
      <c r="G13" s="52"/>
      <c r="H13" s="57">
        <f>VLOOKUP(F13,$A$12:$B$12,2,TRUE)</f>
        <v>1400</v>
      </c>
      <c r="I13" s="54">
        <f t="shared" si="1"/>
        <v>0</v>
      </c>
      <c r="J13" s="56"/>
      <c r="K13" s="23"/>
      <c r="L13" s="51" t="s">
        <v>24</v>
      </c>
      <c r="M13" s="47">
        <f>SUMIF(F13:F38,"Kertas Putihan/ HVS",G13:G38)</f>
        <v>0</v>
      </c>
      <c r="N13" s="23"/>
    </row>
    <row r="14" ht="15.75" customHeight="1">
      <c r="A14" s="39" t="s">
        <v>26</v>
      </c>
      <c r="B14" s="40">
        <v>500.0</v>
      </c>
      <c r="C14" s="48"/>
      <c r="D14" s="56"/>
      <c r="E14" s="56"/>
      <c r="F14" s="51" t="s">
        <v>25</v>
      </c>
      <c r="G14" s="52"/>
      <c r="H14" s="57">
        <f>VLOOKUP(F14,$A$13:$B$13,2,TRUE)</f>
        <v>1000</v>
      </c>
      <c r="I14" s="54">
        <f t="shared" si="1"/>
        <v>0</v>
      </c>
      <c r="J14" s="56"/>
      <c r="K14" s="23"/>
      <c r="L14" s="51" t="s">
        <v>25</v>
      </c>
      <c r="M14" s="47">
        <f>SUMIF(F14:F39,"Koran/Buku",G14:G39)</f>
        <v>0</v>
      </c>
      <c r="N14" s="23"/>
    </row>
    <row r="15" ht="15.75" customHeight="1">
      <c r="A15" s="39" t="s">
        <v>27</v>
      </c>
      <c r="B15" s="40">
        <v>7500.0</v>
      </c>
      <c r="C15" s="48"/>
      <c r="D15" s="56"/>
      <c r="E15" s="56"/>
      <c r="F15" s="51" t="s">
        <v>26</v>
      </c>
      <c r="G15" s="52">
        <v>7.0</v>
      </c>
      <c r="H15" s="57">
        <f>VLOOKUP(F15,$A$14:$B$14,2,TRUE)</f>
        <v>500</v>
      </c>
      <c r="I15" s="54">
        <f t="shared" si="1"/>
        <v>3500</v>
      </c>
      <c r="J15" s="56"/>
      <c r="K15" s="23"/>
      <c r="L15" s="51" t="s">
        <v>26</v>
      </c>
      <c r="M15" s="47">
        <f>SUMIF(F15:F40,"Duplex",G15:G40)</f>
        <v>7</v>
      </c>
      <c r="N15" s="23"/>
    </row>
    <row r="16" ht="15.75" customHeight="1">
      <c r="A16" s="39" t="s">
        <v>28</v>
      </c>
      <c r="B16" s="40">
        <v>2000.0</v>
      </c>
      <c r="C16" s="48"/>
      <c r="D16" s="56"/>
      <c r="E16" s="56"/>
      <c r="F16" s="51" t="s">
        <v>27</v>
      </c>
      <c r="G16" s="52"/>
      <c r="H16" s="57">
        <f>VLOOKUP(F16,$A$15:$B$15,2,TRUE)</f>
        <v>7500</v>
      </c>
      <c r="I16" s="54">
        <f t="shared" si="1"/>
        <v>0</v>
      </c>
      <c r="J16" s="56"/>
      <c r="K16" s="23"/>
      <c r="L16" s="51" t="s">
        <v>27</v>
      </c>
      <c r="M16" s="47">
        <f>SUMIF(F16:F41,"Alumunium",G16:G41)</f>
        <v>0</v>
      </c>
      <c r="N16" s="23"/>
    </row>
    <row r="17" ht="15.75" customHeight="1">
      <c r="A17" s="39" t="s">
        <v>29</v>
      </c>
      <c r="B17" s="40">
        <v>1200.0</v>
      </c>
      <c r="C17" s="48"/>
      <c r="D17" s="56"/>
      <c r="E17" s="56"/>
      <c r="F17" s="51" t="s">
        <v>28</v>
      </c>
      <c r="G17" s="52"/>
      <c r="H17" s="57">
        <f>VLOOKUP(F17,$A$16:$B$16,2,TRUE)</f>
        <v>2000</v>
      </c>
      <c r="I17" s="54">
        <f t="shared" si="1"/>
        <v>0</v>
      </c>
      <c r="J17" s="56"/>
      <c r="K17" s="23"/>
      <c r="L17" s="51" t="s">
        <v>28</v>
      </c>
      <c r="M17" s="47">
        <f>SUMIF(F17:F42,"Besi",G17:G42)</f>
        <v>0</v>
      </c>
      <c r="N17" s="23"/>
    </row>
    <row r="18" ht="15.75" customHeight="1">
      <c r="A18" s="39" t="s">
        <v>30</v>
      </c>
      <c r="B18" s="40">
        <v>5000.0</v>
      </c>
      <c r="C18" s="48"/>
      <c r="D18" s="56"/>
      <c r="E18" s="56"/>
      <c r="F18" s="51" t="s">
        <v>29</v>
      </c>
      <c r="G18" s="52">
        <v>1.5</v>
      </c>
      <c r="H18" s="57">
        <f>VLOOKUP(F18,$A$17:$B$17,2,TRUE)</f>
        <v>1200</v>
      </c>
      <c r="I18" s="54">
        <f t="shared" si="1"/>
        <v>1800</v>
      </c>
      <c r="J18" s="56"/>
      <c r="K18" s="23"/>
      <c r="L18" s="51" t="s">
        <v>29</v>
      </c>
      <c r="M18" s="47">
        <f>SUMIF(F18:F43,"Kaleng kue/susu",G18:G43)</f>
        <v>1.5</v>
      </c>
      <c r="N18" s="23"/>
    </row>
    <row r="19" ht="15.75" customHeight="1">
      <c r="A19" s="39" t="s">
        <v>31</v>
      </c>
      <c r="B19" s="40">
        <v>2700.0</v>
      </c>
      <c r="C19" s="48"/>
      <c r="D19" s="56"/>
      <c r="E19" s="56"/>
      <c r="F19" s="51" t="s">
        <v>30</v>
      </c>
      <c r="G19" s="52"/>
      <c r="H19" s="57">
        <f>VLOOKUP(F19,$A$18:$B$18,2,TRUE)</f>
        <v>5000</v>
      </c>
      <c r="I19" s="54">
        <f t="shared" si="1"/>
        <v>0</v>
      </c>
      <c r="J19" s="56"/>
      <c r="K19" s="23"/>
      <c r="L19" s="51" t="s">
        <v>30</v>
      </c>
      <c r="M19" s="47">
        <f>SUMIF(F19:F44,"Kaleng Minuman",G19:G44)</f>
        <v>0</v>
      </c>
      <c r="N19" s="23"/>
    </row>
    <row r="20" ht="15.75" customHeight="1">
      <c r="A20" s="39" t="s">
        <v>32</v>
      </c>
      <c r="B20" s="40">
        <v>50000.0</v>
      </c>
      <c r="C20" s="48"/>
      <c r="D20" s="56"/>
      <c r="E20" s="56"/>
      <c r="F20" s="51" t="s">
        <v>31</v>
      </c>
      <c r="G20" s="52">
        <v>0.5</v>
      </c>
      <c r="H20" s="57">
        <f>VLOOKUP(F20,$A$19:$B$19,2,TRUE)</f>
        <v>2700</v>
      </c>
      <c r="I20" s="54">
        <f t="shared" si="1"/>
        <v>1350</v>
      </c>
      <c r="J20" s="56"/>
      <c r="K20" s="23"/>
      <c r="L20" s="51" t="s">
        <v>31</v>
      </c>
      <c r="M20" s="47">
        <f>SUMIF(F20:F45,"Stanless",G20:G45)</f>
        <v>0.5</v>
      </c>
      <c r="N20" s="23"/>
    </row>
    <row r="21" ht="15.75" customHeight="1">
      <c r="A21" s="39" t="s">
        <v>33</v>
      </c>
      <c r="B21" s="40">
        <v>10000.0</v>
      </c>
      <c r="C21" s="48"/>
      <c r="D21" s="56"/>
      <c r="E21" s="56"/>
      <c r="F21" s="51" t="s">
        <v>32</v>
      </c>
      <c r="G21" s="52"/>
      <c r="H21" s="57">
        <f>VLOOKUP(F21,$A$20:$B$20,2,TRUE)</f>
        <v>50000</v>
      </c>
      <c r="I21" s="54">
        <f t="shared" si="1"/>
        <v>0</v>
      </c>
      <c r="J21" s="56"/>
      <c r="K21" s="23"/>
      <c r="L21" s="51" t="s">
        <v>32</v>
      </c>
      <c r="M21" s="47">
        <f>SUMIF(F21:F46,"Tembaga",G21:G46)</f>
        <v>0</v>
      </c>
      <c r="N21" s="23"/>
    </row>
    <row r="22" ht="15.75" customHeight="1">
      <c r="A22" s="39" t="s">
        <v>34</v>
      </c>
      <c r="B22" s="40">
        <v>1000.0</v>
      </c>
      <c r="C22" s="48"/>
      <c r="D22" s="56"/>
      <c r="E22" s="56"/>
      <c r="F22" s="51" t="s">
        <v>33</v>
      </c>
      <c r="G22" s="52"/>
      <c r="H22" s="57">
        <f>VLOOKUP(F22,$A$21:$B$21,2,TRUE)</f>
        <v>10000</v>
      </c>
      <c r="I22" s="54">
        <f t="shared" si="1"/>
        <v>0</v>
      </c>
      <c r="J22" s="56"/>
      <c r="K22" s="23"/>
      <c r="L22" s="51" t="s">
        <v>33</v>
      </c>
      <c r="M22" s="47">
        <f>SUMIF(F22:F47,"Aki Motor",G22:G47)</f>
        <v>0</v>
      </c>
      <c r="N22" s="23"/>
    </row>
    <row r="23" ht="15.75" customHeight="1">
      <c r="A23" s="39" t="s">
        <v>35</v>
      </c>
      <c r="B23" s="40">
        <v>500.0</v>
      </c>
      <c r="C23" s="48"/>
      <c r="D23" s="56"/>
      <c r="E23" s="56"/>
      <c r="F23" s="51" t="s">
        <v>34</v>
      </c>
      <c r="G23" s="52"/>
      <c r="H23" s="57">
        <f>VLOOKUP(F23,$A$22:$B$22,2,TRUE)</f>
        <v>1000</v>
      </c>
      <c r="I23" s="54">
        <f t="shared" si="1"/>
        <v>0</v>
      </c>
      <c r="J23" s="56"/>
      <c r="K23" s="23"/>
      <c r="L23" s="51" t="s">
        <v>34</v>
      </c>
      <c r="M23" s="47">
        <f>SUMIF(F23:F48,"Paralon",G23:G48)</f>
        <v>0</v>
      </c>
      <c r="N23" s="23"/>
    </row>
    <row r="24" ht="15.75" customHeight="1">
      <c r="A24" s="39" t="s">
        <v>36</v>
      </c>
      <c r="B24" s="40">
        <v>200.0</v>
      </c>
      <c r="C24" s="48"/>
      <c r="D24" s="56"/>
      <c r="E24" s="56"/>
      <c r="F24" s="51" t="s">
        <v>35</v>
      </c>
      <c r="G24" s="52"/>
      <c r="H24" s="57">
        <f>VLOOKUP(F24,$A$23:$B$23,2,TRUE)</f>
        <v>500</v>
      </c>
      <c r="I24" s="54">
        <f t="shared" si="1"/>
        <v>0</v>
      </c>
      <c r="J24" s="56"/>
      <c r="K24" s="23"/>
      <c r="L24" s="51" t="s">
        <v>35</v>
      </c>
      <c r="M24" s="47">
        <f>SUMIF(F24:F49,"Plastik bening",G24:G49)</f>
        <v>0</v>
      </c>
      <c r="N24" s="23"/>
    </row>
    <row r="25" ht="15.75" customHeight="1">
      <c r="A25" s="39" t="s">
        <v>37</v>
      </c>
      <c r="B25" s="40">
        <v>1300.0</v>
      </c>
      <c r="C25" s="48"/>
      <c r="D25" s="56"/>
      <c r="E25" s="56"/>
      <c r="F25" s="51" t="s">
        <v>36</v>
      </c>
      <c r="G25" s="52"/>
      <c r="H25" s="57">
        <f>VLOOKUP(F25,$A$24:$B$24,2,TRUE)</f>
        <v>200</v>
      </c>
      <c r="I25" s="54">
        <f t="shared" si="1"/>
        <v>0</v>
      </c>
      <c r="J25" s="56"/>
      <c r="K25" s="23"/>
      <c r="L25" s="51" t="s">
        <v>36</v>
      </c>
      <c r="M25" s="47">
        <f>SUMIF(F25:F50,"Plastik Warna",G25:G50)</f>
        <v>0</v>
      </c>
      <c r="N25" s="23"/>
    </row>
    <row r="26" ht="15.75" customHeight="1">
      <c r="A26" s="39" t="s">
        <v>12</v>
      </c>
      <c r="B26" s="40">
        <v>300.0</v>
      </c>
      <c r="C26" s="48"/>
      <c r="D26" s="56"/>
      <c r="E26" s="56"/>
      <c r="F26" s="51" t="s">
        <v>37</v>
      </c>
      <c r="G26" s="52"/>
      <c r="H26" s="57">
        <f>VLOOKUP(F26,$A$25:$B$25,2,TRUE)</f>
        <v>1300</v>
      </c>
      <c r="I26" s="54">
        <f t="shared" si="1"/>
        <v>0</v>
      </c>
      <c r="J26" s="56"/>
      <c r="K26" s="23"/>
      <c r="L26" s="51" t="s">
        <v>37</v>
      </c>
      <c r="M26" s="47">
        <f>SUMIF(F26:F51,"Selang",G26:G51)</f>
        <v>0</v>
      </c>
      <c r="N26" s="23"/>
    </row>
    <row r="27" ht="15.75" customHeight="1">
      <c r="A27" s="39" t="s">
        <v>39</v>
      </c>
      <c r="B27" s="40">
        <v>0.0</v>
      </c>
      <c r="C27" s="48"/>
      <c r="D27" s="56"/>
      <c r="E27" s="56"/>
      <c r="F27" s="51" t="s">
        <v>12</v>
      </c>
      <c r="G27" s="52">
        <f>4+0.5</f>
        <v>4.5</v>
      </c>
      <c r="H27" s="57">
        <f>VLOOKUP(F27,$A$26:$B$26,2,TRUE)</f>
        <v>300</v>
      </c>
      <c r="I27" s="54">
        <f t="shared" si="1"/>
        <v>1350</v>
      </c>
      <c r="J27" s="56"/>
      <c r="K27" s="23"/>
      <c r="L27" s="51" t="s">
        <v>12</v>
      </c>
      <c r="M27" s="47">
        <f>SUMIF(F27:F52,"Beling",G27:G52)</f>
        <v>4.5</v>
      </c>
      <c r="N27" s="23"/>
    </row>
    <row r="28" ht="15.75" customHeight="1">
      <c r="A28" s="39" t="s">
        <v>40</v>
      </c>
      <c r="B28" s="40">
        <v>1700.0</v>
      </c>
      <c r="C28" s="48"/>
      <c r="D28" s="56"/>
      <c r="E28" s="56"/>
      <c r="F28" s="51" t="s">
        <v>39</v>
      </c>
      <c r="G28" s="52"/>
      <c r="H28" s="57">
        <f>VLOOKUP(F28,$A$27:$B$27,2,TRUE)</f>
        <v>0</v>
      </c>
      <c r="I28" s="54">
        <f t="shared" si="1"/>
        <v>0</v>
      </c>
      <c r="J28" s="56"/>
      <c r="K28" s="23"/>
      <c r="L28" s="51" t="s">
        <v>39</v>
      </c>
      <c r="M28" s="47">
        <f>SUMIF(F28:F53,"Pecahan",G28:G53)</f>
        <v>0</v>
      </c>
      <c r="N28" s="23"/>
    </row>
    <row r="29" ht="15.75" customHeight="1">
      <c r="A29" s="39" t="s">
        <v>14</v>
      </c>
      <c r="B29" s="58">
        <v>4500.0</v>
      </c>
      <c r="C29" s="48"/>
      <c r="D29" s="56"/>
      <c r="E29" s="56"/>
      <c r="F29" s="51" t="s">
        <v>40</v>
      </c>
      <c r="G29" s="52"/>
      <c r="H29" s="57">
        <f>VLOOKUP(F28,$A$28:$B$28,2,TRUE)</f>
        <v>1700</v>
      </c>
      <c r="I29" s="54">
        <f t="shared" si="1"/>
        <v>0</v>
      </c>
      <c r="J29" s="56"/>
      <c r="K29" s="23"/>
      <c r="L29" s="51" t="s">
        <v>40</v>
      </c>
      <c r="M29" s="47">
        <f>SUMIF(F29:F55,"Paku",G29:G55)</f>
        <v>0</v>
      </c>
      <c r="N29" s="23"/>
    </row>
    <row r="30" ht="15.75" customHeight="1">
      <c r="A30" s="39" t="s">
        <v>58</v>
      </c>
      <c r="B30" s="40">
        <v>0.0</v>
      </c>
      <c r="C30" s="48"/>
      <c r="D30" s="56"/>
      <c r="E30" s="56"/>
      <c r="F30" s="51" t="s">
        <v>14</v>
      </c>
      <c r="G30" s="52"/>
      <c r="H30" s="57">
        <f>VLOOKUP(F29,$A$29:$B$29,2,TRUE)</f>
        <v>4500</v>
      </c>
      <c r="I30" s="54">
        <f t="shared" si="1"/>
        <v>0</v>
      </c>
      <c r="J30" s="56"/>
      <c r="K30" s="23"/>
      <c r="L30" s="51" t="s">
        <v>14</v>
      </c>
      <c r="M30" s="47">
        <f>SUMIF(F30:F56,"Minyak Jelantah",G30:G56)</f>
        <v>0</v>
      </c>
      <c r="N30" s="23"/>
    </row>
    <row r="31" ht="15.75" customHeight="1">
      <c r="A31" s="48"/>
      <c r="B31" s="48"/>
      <c r="C31" s="48"/>
      <c r="D31" s="10"/>
      <c r="E31" s="10"/>
      <c r="F31" s="51" t="s">
        <v>58</v>
      </c>
      <c r="G31" s="52">
        <v>3.5</v>
      </c>
      <c r="H31" s="57">
        <f>VLOOKUP(F30,$A$30:$B$30,2,TRUE)</f>
        <v>0</v>
      </c>
      <c r="I31" s="54">
        <f t="shared" si="1"/>
        <v>0</v>
      </c>
      <c r="J31" s="10"/>
      <c r="K31" s="23"/>
      <c r="L31" s="51" t="s">
        <v>58</v>
      </c>
      <c r="M31" s="47">
        <f>SUMIF(F31:F57,"Lainnya",G31:G57)</f>
        <v>3.5</v>
      </c>
      <c r="N31" s="23"/>
    </row>
    <row r="32" ht="15.75" customHeight="1">
      <c r="A32" s="48"/>
      <c r="B32" s="48"/>
      <c r="C32" s="48"/>
      <c r="D32" s="59" t="s">
        <v>60</v>
      </c>
      <c r="E32" s="60"/>
      <c r="F32" s="60"/>
      <c r="G32" s="60"/>
      <c r="H32" s="60"/>
      <c r="I32" s="61"/>
      <c r="J32" s="62">
        <f>SUM(J5:J31)</f>
        <v>85350</v>
      </c>
      <c r="K32" s="23"/>
      <c r="L32" s="23"/>
      <c r="M32" s="23"/>
      <c r="N32" s="23"/>
    </row>
    <row r="33" ht="15.75" customHeight="1">
      <c r="A33" s="22"/>
      <c r="B33" s="22"/>
      <c r="C33" s="22"/>
      <c r="D33" s="22"/>
      <c r="E33" s="22"/>
      <c r="F33" s="23"/>
      <c r="G33" s="23"/>
      <c r="H33" s="23"/>
      <c r="I33" s="23"/>
      <c r="J33" s="24"/>
      <c r="K33" s="23"/>
      <c r="L33" s="23"/>
      <c r="M33" s="23"/>
      <c r="N33" s="23"/>
    </row>
    <row r="34" ht="15.75" customHeight="1">
      <c r="A34" s="22"/>
      <c r="B34" s="22"/>
      <c r="C34" s="22"/>
      <c r="D34" s="22"/>
      <c r="E34" s="22"/>
      <c r="F34" s="23"/>
      <c r="G34" s="23"/>
      <c r="H34" s="23"/>
      <c r="I34" s="23"/>
      <c r="J34" s="24"/>
      <c r="K34" s="23"/>
      <c r="L34" s="23"/>
      <c r="M34" s="23"/>
      <c r="N34" s="23"/>
    </row>
    <row r="35" ht="15.75" customHeight="1">
      <c r="A35" s="22"/>
      <c r="B35" s="22"/>
      <c r="C35" s="22"/>
      <c r="D35" s="22"/>
      <c r="E35" s="22"/>
      <c r="F35" s="23"/>
      <c r="G35" s="23"/>
      <c r="H35" s="23"/>
      <c r="I35" s="23"/>
      <c r="J35" s="24"/>
      <c r="K35" s="23"/>
      <c r="L35" s="23"/>
      <c r="M35" s="23"/>
      <c r="N35" s="23"/>
    </row>
    <row r="36" ht="15.75" customHeight="1">
      <c r="A36" s="22"/>
      <c r="B36" s="22"/>
      <c r="C36" s="22"/>
      <c r="D36" s="22"/>
      <c r="E36" s="22"/>
      <c r="F36" s="23"/>
      <c r="G36" s="23"/>
      <c r="H36" s="23"/>
      <c r="I36" s="23"/>
      <c r="J36" s="24"/>
      <c r="K36" s="23"/>
      <c r="L36" s="23"/>
      <c r="M36" s="23"/>
      <c r="N36" s="23"/>
    </row>
    <row r="37" ht="15.75" customHeight="1">
      <c r="A37" s="22"/>
      <c r="B37" s="22"/>
      <c r="C37" s="22"/>
      <c r="D37" s="22"/>
      <c r="E37" s="22"/>
      <c r="F37" s="23"/>
      <c r="G37" s="23"/>
      <c r="H37" s="23"/>
      <c r="I37" s="23"/>
      <c r="J37" s="24"/>
      <c r="K37" s="23"/>
      <c r="L37" s="23"/>
      <c r="M37" s="23"/>
      <c r="N37" s="23"/>
    </row>
    <row r="38" ht="15.75" customHeight="1">
      <c r="A38" s="22"/>
      <c r="B38" s="22"/>
      <c r="C38" s="22"/>
      <c r="D38" s="22"/>
      <c r="E38" s="22"/>
      <c r="F38" s="23"/>
      <c r="G38" s="23"/>
      <c r="H38" s="23"/>
      <c r="I38" s="23"/>
      <c r="J38" s="24"/>
      <c r="K38" s="23"/>
      <c r="L38" s="23"/>
      <c r="M38" s="23"/>
      <c r="N38" s="23"/>
    </row>
    <row r="39" ht="15.75" customHeight="1">
      <c r="A39" s="22"/>
      <c r="B39" s="22"/>
      <c r="C39" s="22"/>
      <c r="D39" s="22"/>
      <c r="E39" s="22"/>
      <c r="F39" s="23"/>
      <c r="G39" s="23"/>
      <c r="H39" s="23"/>
      <c r="I39" s="23"/>
      <c r="J39" s="24"/>
      <c r="K39" s="23"/>
      <c r="L39" s="23"/>
      <c r="M39" s="23"/>
      <c r="N39" s="23"/>
    </row>
    <row r="40" ht="15.75" customHeight="1">
      <c r="A40" s="22"/>
      <c r="B40" s="22"/>
      <c r="C40" s="22"/>
      <c r="D40" s="22"/>
      <c r="E40" s="22"/>
      <c r="F40" s="23"/>
      <c r="G40" s="23"/>
      <c r="H40" s="23"/>
      <c r="I40" s="23"/>
      <c r="J40" s="24"/>
      <c r="K40" s="23"/>
      <c r="L40" s="23"/>
      <c r="M40" s="23"/>
      <c r="N40" s="23"/>
    </row>
    <row r="41" ht="15.75" customHeight="1">
      <c r="A41" s="22"/>
      <c r="B41" s="22"/>
      <c r="C41" s="22"/>
      <c r="D41" s="22"/>
      <c r="E41" s="22"/>
      <c r="J41" s="24"/>
    </row>
    <row r="42" ht="15.75" customHeight="1">
      <c r="A42" s="22"/>
      <c r="B42" s="22"/>
      <c r="C42" s="22"/>
      <c r="D42" s="22"/>
      <c r="E42" s="22"/>
      <c r="J42" s="24"/>
    </row>
    <row r="43" ht="15.75" customHeight="1">
      <c r="A43" s="22"/>
      <c r="B43" s="22"/>
      <c r="C43" s="22"/>
      <c r="D43" s="22"/>
      <c r="E43" s="22"/>
      <c r="J43" s="24"/>
    </row>
    <row r="44" ht="15.75" customHeight="1">
      <c r="A44" s="22"/>
      <c r="B44" s="22"/>
      <c r="C44" s="22"/>
      <c r="D44" s="22"/>
      <c r="E44" s="22"/>
      <c r="J44" s="24"/>
    </row>
    <row r="45" ht="15.75" customHeight="1">
      <c r="A45" s="22"/>
      <c r="B45" s="22"/>
      <c r="C45" s="22"/>
      <c r="D45" s="22"/>
      <c r="E45" s="22"/>
      <c r="J45" s="24"/>
    </row>
    <row r="46" ht="15.75" customHeight="1">
      <c r="A46" s="22"/>
      <c r="B46" s="22"/>
      <c r="C46" s="22"/>
      <c r="D46" s="22"/>
      <c r="E46" s="22"/>
      <c r="J46" s="24"/>
    </row>
    <row r="47" ht="15.75" customHeight="1">
      <c r="A47" s="22"/>
      <c r="B47" s="22"/>
      <c r="C47" s="22"/>
      <c r="D47" s="22"/>
      <c r="E47" s="22"/>
      <c r="J47" s="24"/>
    </row>
    <row r="48" ht="15.75" customHeight="1">
      <c r="A48" s="22"/>
      <c r="B48" s="22"/>
      <c r="C48" s="22"/>
      <c r="D48" s="22"/>
      <c r="E48" s="22"/>
      <c r="J48" s="24"/>
    </row>
    <row r="49" ht="15.75" customHeight="1">
      <c r="A49" s="22"/>
      <c r="B49" s="22"/>
      <c r="C49" s="22"/>
      <c r="D49" s="22"/>
      <c r="E49" s="22"/>
      <c r="J49" s="24"/>
    </row>
    <row r="50" ht="15.75" customHeight="1">
      <c r="A50" s="22"/>
      <c r="B50" s="22"/>
      <c r="C50" s="22"/>
      <c r="D50" s="22"/>
      <c r="E50" s="22"/>
      <c r="J50" s="24"/>
    </row>
    <row r="51" ht="15.75" customHeight="1">
      <c r="A51" s="22"/>
      <c r="B51" s="22"/>
      <c r="C51" s="22"/>
      <c r="D51" s="22"/>
      <c r="E51" s="22"/>
      <c r="J51" s="24"/>
    </row>
    <row r="52" ht="15.75" customHeight="1">
      <c r="A52" s="22"/>
      <c r="B52" s="22"/>
      <c r="C52" s="22"/>
      <c r="D52" s="22"/>
      <c r="E52" s="22"/>
      <c r="J52" s="24"/>
    </row>
    <row r="53" ht="15.75" customHeight="1">
      <c r="A53" s="22"/>
      <c r="B53" s="22"/>
      <c r="C53" s="22"/>
      <c r="D53" s="22"/>
      <c r="E53" s="22"/>
      <c r="J53" s="24"/>
    </row>
    <row r="54" ht="15.75" customHeight="1">
      <c r="A54" s="22"/>
      <c r="B54" s="22"/>
      <c r="C54" s="22"/>
      <c r="D54" s="22"/>
      <c r="E54" s="22"/>
      <c r="J54" s="24"/>
    </row>
    <row r="55" ht="15.75" customHeight="1">
      <c r="A55" s="22"/>
      <c r="B55" s="22"/>
      <c r="C55" s="22"/>
      <c r="D55" s="22"/>
      <c r="E55" s="22"/>
      <c r="J55" s="24"/>
    </row>
    <row r="56" ht="15.75" customHeight="1">
      <c r="A56" s="22"/>
      <c r="B56" s="22"/>
      <c r="C56" s="22"/>
      <c r="D56" s="22"/>
      <c r="E56" s="22"/>
      <c r="J56" s="24"/>
    </row>
    <row r="57" ht="15.75" customHeight="1">
      <c r="A57" s="22"/>
      <c r="B57" s="22"/>
      <c r="C57" s="22"/>
      <c r="D57" s="22"/>
      <c r="E57" s="22"/>
      <c r="J57" s="24"/>
    </row>
    <row r="58" ht="15.75" customHeight="1">
      <c r="A58" s="22"/>
      <c r="B58" s="22"/>
      <c r="C58" s="22"/>
      <c r="D58" s="22"/>
      <c r="E58" s="22"/>
      <c r="J58" s="24"/>
    </row>
    <row r="59" ht="15.75" customHeight="1">
      <c r="A59" s="22"/>
      <c r="B59" s="22"/>
      <c r="C59" s="22"/>
      <c r="D59" s="22"/>
      <c r="E59" s="22"/>
      <c r="J59" s="24"/>
    </row>
    <row r="60" ht="15.75" customHeight="1">
      <c r="A60" s="22"/>
      <c r="B60" s="22"/>
      <c r="C60" s="22"/>
      <c r="D60" s="22"/>
      <c r="E60" s="22"/>
      <c r="J60" s="24"/>
    </row>
    <row r="61" ht="15.75" customHeight="1">
      <c r="A61" s="22"/>
      <c r="B61" s="22"/>
      <c r="C61" s="22"/>
      <c r="D61" s="22"/>
      <c r="E61" s="22"/>
      <c r="J61" s="24"/>
    </row>
    <row r="62" ht="15.75" customHeight="1">
      <c r="A62" s="22"/>
      <c r="B62" s="22"/>
      <c r="C62" s="22"/>
      <c r="D62" s="22"/>
      <c r="E62" s="22"/>
      <c r="J62" s="24"/>
    </row>
    <row r="63" ht="15.75" customHeight="1">
      <c r="A63" s="22"/>
      <c r="B63" s="22"/>
      <c r="C63" s="22"/>
      <c r="D63" s="22"/>
      <c r="E63" s="22"/>
      <c r="J63" s="24"/>
    </row>
    <row r="64" ht="15.75" customHeight="1">
      <c r="A64" s="22"/>
      <c r="B64" s="22"/>
      <c r="C64" s="22"/>
      <c r="D64" s="22"/>
      <c r="E64" s="22"/>
      <c r="J64" s="24"/>
    </row>
    <row r="65" ht="15.75" customHeight="1">
      <c r="A65" s="22"/>
      <c r="B65" s="22"/>
      <c r="C65" s="22"/>
      <c r="D65" s="22"/>
      <c r="E65" s="22"/>
      <c r="J65" s="24"/>
    </row>
    <row r="66" ht="15.75" customHeight="1">
      <c r="A66" s="22"/>
      <c r="B66" s="22"/>
      <c r="C66" s="22"/>
      <c r="D66" s="22"/>
      <c r="E66" s="22"/>
      <c r="J66" s="24"/>
    </row>
    <row r="67" ht="15.75" customHeight="1">
      <c r="A67" s="22"/>
      <c r="B67" s="22"/>
      <c r="C67" s="22"/>
      <c r="D67" s="22"/>
      <c r="E67" s="22"/>
      <c r="J67" s="24"/>
    </row>
    <row r="68" ht="15.75" customHeight="1">
      <c r="A68" s="22"/>
      <c r="B68" s="22"/>
      <c r="C68" s="22"/>
      <c r="D68" s="22"/>
      <c r="E68" s="22"/>
      <c r="J68" s="24"/>
    </row>
    <row r="69" ht="15.75" customHeight="1">
      <c r="A69" s="22"/>
      <c r="B69" s="22"/>
      <c r="C69" s="22"/>
      <c r="D69" s="22"/>
      <c r="E69" s="22"/>
      <c r="J69" s="24"/>
    </row>
    <row r="70" ht="15.75" customHeight="1">
      <c r="A70" s="22"/>
      <c r="B70" s="22"/>
      <c r="C70" s="22"/>
      <c r="D70" s="22"/>
      <c r="E70" s="22"/>
      <c r="J70" s="24"/>
    </row>
    <row r="71" ht="15.75" customHeight="1">
      <c r="A71" s="22"/>
      <c r="B71" s="22"/>
      <c r="C71" s="22"/>
      <c r="D71" s="22"/>
      <c r="E71" s="22"/>
      <c r="J71" s="24"/>
    </row>
    <row r="72" ht="15.75" customHeight="1">
      <c r="A72" s="22"/>
      <c r="B72" s="22"/>
      <c r="C72" s="22"/>
      <c r="D72" s="22"/>
      <c r="E72" s="22"/>
      <c r="J72" s="24"/>
    </row>
    <row r="73" ht="15.75" customHeight="1">
      <c r="A73" s="22"/>
      <c r="B73" s="22"/>
      <c r="C73" s="22"/>
      <c r="D73" s="22"/>
      <c r="E73" s="22"/>
      <c r="J73" s="24"/>
    </row>
    <row r="74" ht="15.75" customHeight="1">
      <c r="A74" s="22"/>
      <c r="B74" s="22"/>
      <c r="C74" s="22"/>
      <c r="D74" s="22"/>
      <c r="E74" s="22"/>
      <c r="J74" s="24"/>
    </row>
    <row r="75" ht="15.75" customHeight="1">
      <c r="A75" s="22"/>
      <c r="B75" s="22"/>
      <c r="C75" s="22"/>
      <c r="D75" s="22"/>
      <c r="E75" s="22"/>
      <c r="J75" s="24"/>
    </row>
    <row r="76" ht="15.75" customHeight="1">
      <c r="A76" s="22"/>
      <c r="B76" s="22"/>
      <c r="C76" s="22"/>
      <c r="D76" s="22"/>
      <c r="E76" s="22"/>
      <c r="J76" s="24"/>
    </row>
    <row r="77" ht="15.75" customHeight="1">
      <c r="A77" s="22"/>
      <c r="B77" s="22"/>
      <c r="C77" s="22"/>
      <c r="D77" s="22"/>
      <c r="E77" s="22"/>
      <c r="J77" s="24"/>
    </row>
    <row r="78" ht="15.75" customHeight="1">
      <c r="A78" s="22"/>
      <c r="B78" s="22"/>
      <c r="C78" s="22"/>
      <c r="D78" s="22"/>
      <c r="E78" s="22"/>
      <c r="J78" s="24"/>
    </row>
    <row r="79" ht="15.75" customHeight="1">
      <c r="A79" s="22"/>
      <c r="B79" s="22"/>
      <c r="C79" s="22"/>
      <c r="D79" s="22"/>
      <c r="E79" s="22"/>
      <c r="J79" s="24"/>
    </row>
    <row r="80" ht="15.75" customHeight="1">
      <c r="A80" s="22"/>
      <c r="B80" s="22"/>
      <c r="C80" s="22"/>
      <c r="D80" s="22"/>
      <c r="E80" s="22"/>
      <c r="J80" s="24"/>
    </row>
    <row r="81" ht="15.75" customHeight="1">
      <c r="A81" s="22"/>
      <c r="B81" s="22"/>
      <c r="C81" s="22"/>
      <c r="D81" s="22"/>
      <c r="E81" s="22"/>
      <c r="J81" s="24"/>
    </row>
    <row r="82" ht="15.75" customHeight="1">
      <c r="A82" s="22"/>
      <c r="B82" s="22"/>
      <c r="C82" s="22"/>
      <c r="D82" s="22"/>
      <c r="E82" s="22"/>
      <c r="J82" s="24"/>
    </row>
    <row r="83" ht="15.75" customHeight="1">
      <c r="A83" s="22"/>
      <c r="B83" s="22"/>
      <c r="C83" s="22"/>
      <c r="D83" s="22"/>
      <c r="E83" s="22"/>
      <c r="J83" s="24"/>
    </row>
    <row r="84" ht="15.75" customHeight="1">
      <c r="A84" s="22"/>
      <c r="B84" s="22"/>
      <c r="C84" s="22"/>
      <c r="D84" s="22"/>
      <c r="E84" s="22"/>
      <c r="J84" s="24"/>
    </row>
    <row r="85" ht="15.75" customHeight="1">
      <c r="A85" s="22"/>
      <c r="B85" s="22"/>
      <c r="C85" s="22"/>
      <c r="D85" s="22"/>
      <c r="E85" s="22"/>
      <c r="J85" s="24"/>
    </row>
    <row r="86" ht="15.75" customHeight="1">
      <c r="A86" s="22"/>
      <c r="B86" s="22"/>
      <c r="C86" s="22"/>
      <c r="D86" s="22"/>
      <c r="E86" s="22"/>
      <c r="J86" s="24"/>
    </row>
    <row r="87" ht="15.75" customHeight="1">
      <c r="A87" s="22"/>
      <c r="B87" s="22"/>
      <c r="C87" s="22"/>
      <c r="D87" s="22"/>
      <c r="E87" s="22"/>
      <c r="J87" s="24"/>
    </row>
    <row r="88" ht="15.75" customHeight="1">
      <c r="A88" s="22"/>
      <c r="B88" s="22"/>
      <c r="C88" s="22"/>
      <c r="D88" s="22"/>
      <c r="E88" s="22"/>
      <c r="J88" s="24"/>
    </row>
    <row r="89" ht="15.75" customHeight="1">
      <c r="A89" s="22"/>
      <c r="B89" s="22"/>
      <c r="C89" s="22"/>
      <c r="D89" s="22"/>
      <c r="E89" s="22"/>
      <c r="J89" s="24"/>
    </row>
    <row r="90" ht="15.75" customHeight="1">
      <c r="A90" s="22"/>
      <c r="B90" s="22"/>
      <c r="C90" s="22"/>
      <c r="D90" s="22"/>
      <c r="E90" s="22"/>
      <c r="J90" s="24"/>
    </row>
    <row r="91" ht="15.75" customHeight="1">
      <c r="A91" s="22"/>
      <c r="B91" s="22"/>
      <c r="C91" s="22"/>
      <c r="D91" s="22"/>
      <c r="E91" s="22"/>
      <c r="J91" s="24"/>
    </row>
    <row r="92" ht="15.75" customHeight="1">
      <c r="A92" s="22"/>
      <c r="B92" s="22"/>
      <c r="C92" s="22"/>
      <c r="D92" s="22"/>
      <c r="E92" s="22"/>
      <c r="J92" s="24"/>
    </row>
    <row r="93" ht="15.75" customHeight="1">
      <c r="A93" s="22"/>
      <c r="B93" s="22"/>
      <c r="C93" s="22"/>
      <c r="D93" s="22"/>
      <c r="E93" s="22"/>
      <c r="J93" s="24"/>
    </row>
    <row r="94" ht="15.75" customHeight="1">
      <c r="A94" s="22"/>
      <c r="B94" s="22"/>
      <c r="C94" s="22"/>
      <c r="D94" s="22"/>
      <c r="E94" s="22"/>
      <c r="J94" s="24"/>
    </row>
    <row r="95" ht="15.75" customHeight="1">
      <c r="A95" s="22"/>
      <c r="B95" s="22"/>
      <c r="C95" s="22"/>
      <c r="D95" s="22"/>
      <c r="E95" s="22"/>
      <c r="J95" s="24"/>
    </row>
    <row r="96" ht="15.75" customHeight="1">
      <c r="A96" s="22"/>
      <c r="B96" s="22"/>
      <c r="C96" s="22"/>
      <c r="D96" s="22"/>
      <c r="E96" s="22"/>
      <c r="J96" s="24"/>
    </row>
    <row r="97" ht="15.75" customHeight="1">
      <c r="A97" s="22"/>
      <c r="B97" s="22"/>
      <c r="C97" s="22"/>
      <c r="D97" s="22"/>
      <c r="E97" s="22"/>
      <c r="J97" s="24"/>
    </row>
    <row r="98" ht="15.75" customHeight="1">
      <c r="A98" s="22"/>
      <c r="B98" s="22"/>
      <c r="C98" s="22"/>
      <c r="D98" s="22"/>
      <c r="E98" s="22"/>
      <c r="J98" s="24"/>
    </row>
    <row r="99" ht="15.75" customHeight="1">
      <c r="A99" s="22"/>
      <c r="B99" s="22"/>
      <c r="C99" s="22"/>
      <c r="D99" s="22"/>
      <c r="E99" s="22"/>
      <c r="J99" s="24"/>
    </row>
    <row r="100" ht="15.75" customHeight="1">
      <c r="A100" s="22"/>
      <c r="B100" s="22"/>
      <c r="C100" s="22"/>
      <c r="D100" s="22"/>
      <c r="E100" s="22"/>
      <c r="J100" s="24"/>
    </row>
    <row r="101" ht="15.75" customHeight="1">
      <c r="A101" s="22"/>
      <c r="B101" s="22"/>
      <c r="C101" s="22"/>
      <c r="D101" s="22"/>
      <c r="E101" s="22"/>
      <c r="J101" s="24"/>
    </row>
    <row r="102" ht="15.75" customHeight="1">
      <c r="A102" s="22"/>
      <c r="B102" s="22"/>
      <c r="C102" s="22"/>
      <c r="D102" s="22"/>
      <c r="E102" s="22"/>
      <c r="J102" s="24"/>
    </row>
    <row r="103" ht="15.75" customHeight="1">
      <c r="A103" s="22"/>
      <c r="B103" s="22"/>
      <c r="C103" s="22"/>
      <c r="D103" s="22"/>
      <c r="E103" s="22"/>
      <c r="J103" s="24"/>
    </row>
    <row r="104" ht="15.75" customHeight="1">
      <c r="A104" s="22"/>
      <c r="B104" s="22"/>
      <c r="C104" s="22"/>
      <c r="D104" s="22"/>
      <c r="E104" s="22"/>
      <c r="J104" s="24"/>
    </row>
    <row r="105" ht="15.75" customHeight="1">
      <c r="A105" s="22"/>
      <c r="B105" s="22"/>
      <c r="C105" s="22"/>
      <c r="D105" s="22"/>
      <c r="E105" s="22"/>
      <c r="J105" s="24"/>
    </row>
    <row r="106" ht="15.75" customHeight="1">
      <c r="A106" s="22"/>
      <c r="B106" s="22"/>
      <c r="C106" s="22"/>
      <c r="D106" s="22"/>
      <c r="E106" s="22"/>
      <c r="J106" s="24"/>
    </row>
    <row r="107" ht="15.75" customHeight="1">
      <c r="A107" s="22"/>
      <c r="B107" s="22"/>
      <c r="C107" s="22"/>
      <c r="D107" s="22"/>
      <c r="E107" s="22"/>
      <c r="J107" s="24"/>
    </row>
    <row r="108" ht="15.75" customHeight="1">
      <c r="A108" s="22"/>
      <c r="B108" s="22"/>
      <c r="C108" s="22"/>
      <c r="D108" s="22"/>
      <c r="E108" s="22"/>
      <c r="J108" s="24"/>
    </row>
    <row r="109" ht="15.75" customHeight="1">
      <c r="A109" s="22"/>
      <c r="B109" s="22"/>
      <c r="C109" s="22"/>
      <c r="D109" s="22"/>
      <c r="E109" s="22"/>
      <c r="J109" s="24"/>
    </row>
    <row r="110" ht="15.75" customHeight="1">
      <c r="A110" s="22"/>
      <c r="B110" s="22"/>
      <c r="C110" s="22"/>
      <c r="D110" s="22"/>
      <c r="E110" s="22"/>
      <c r="J110" s="24"/>
    </row>
    <row r="111" ht="15.75" customHeight="1">
      <c r="A111" s="22"/>
      <c r="B111" s="22"/>
      <c r="C111" s="22"/>
      <c r="D111" s="22"/>
      <c r="E111" s="22"/>
      <c r="J111" s="24"/>
    </row>
    <row r="112" ht="15.75" customHeight="1">
      <c r="A112" s="22"/>
      <c r="B112" s="22"/>
      <c r="C112" s="22"/>
      <c r="D112" s="22"/>
      <c r="E112" s="22"/>
      <c r="J112" s="24"/>
    </row>
    <row r="113" ht="15.75" customHeight="1">
      <c r="A113" s="22"/>
      <c r="B113" s="22"/>
      <c r="C113" s="22"/>
      <c r="D113" s="22"/>
      <c r="E113" s="22"/>
      <c r="J113" s="24"/>
    </row>
    <row r="114" ht="15.75" customHeight="1">
      <c r="A114" s="22"/>
      <c r="B114" s="22"/>
      <c r="C114" s="22"/>
      <c r="D114" s="22"/>
      <c r="E114" s="22"/>
      <c r="J114" s="24"/>
    </row>
    <row r="115" ht="15.75" customHeight="1">
      <c r="A115" s="22"/>
      <c r="B115" s="22"/>
      <c r="C115" s="22"/>
      <c r="D115" s="22"/>
      <c r="E115" s="22"/>
      <c r="J115" s="24"/>
    </row>
    <row r="116" ht="15.75" customHeight="1">
      <c r="A116" s="22"/>
      <c r="B116" s="22"/>
      <c r="C116" s="22"/>
      <c r="D116" s="22"/>
      <c r="E116" s="22"/>
      <c r="J116" s="24"/>
    </row>
    <row r="117" ht="15.75" customHeight="1">
      <c r="A117" s="22"/>
      <c r="B117" s="22"/>
      <c r="C117" s="22"/>
      <c r="D117" s="22"/>
      <c r="E117" s="22"/>
      <c r="J117" s="24"/>
    </row>
    <row r="118" ht="15.75" customHeight="1">
      <c r="A118" s="22"/>
      <c r="B118" s="22"/>
      <c r="C118" s="22"/>
      <c r="D118" s="22"/>
      <c r="E118" s="22"/>
      <c r="J118" s="24"/>
    </row>
    <row r="119" ht="15.75" customHeight="1">
      <c r="A119" s="22"/>
      <c r="B119" s="22"/>
      <c r="C119" s="22"/>
      <c r="D119" s="22"/>
      <c r="E119" s="22"/>
      <c r="J119" s="24"/>
    </row>
    <row r="120" ht="15.75" customHeight="1">
      <c r="A120" s="22"/>
      <c r="B120" s="22"/>
      <c r="C120" s="22"/>
      <c r="D120" s="22"/>
      <c r="E120" s="22"/>
      <c r="J120" s="24"/>
    </row>
    <row r="121" ht="15.75" customHeight="1">
      <c r="A121" s="22"/>
      <c r="B121" s="22"/>
      <c r="C121" s="22"/>
      <c r="D121" s="22"/>
      <c r="E121" s="22"/>
      <c r="J121" s="24"/>
    </row>
    <row r="122" ht="15.75" customHeight="1">
      <c r="A122" s="22"/>
      <c r="B122" s="22"/>
      <c r="C122" s="22"/>
      <c r="D122" s="22"/>
      <c r="E122" s="22"/>
      <c r="J122" s="24"/>
    </row>
    <row r="123" ht="15.75" customHeight="1">
      <c r="A123" s="22"/>
      <c r="B123" s="22"/>
      <c r="C123" s="22"/>
      <c r="D123" s="22"/>
      <c r="E123" s="22"/>
      <c r="J123" s="24"/>
    </row>
    <row r="124" ht="15.75" customHeight="1">
      <c r="A124" s="22"/>
      <c r="B124" s="22"/>
      <c r="C124" s="22"/>
      <c r="D124" s="22"/>
      <c r="E124" s="22"/>
      <c r="J124" s="24"/>
    </row>
    <row r="125" ht="15.75" customHeight="1">
      <c r="A125" s="22"/>
      <c r="B125" s="22"/>
      <c r="C125" s="22"/>
      <c r="D125" s="22"/>
      <c r="E125" s="22"/>
      <c r="J125" s="24"/>
    </row>
    <row r="126" ht="15.75" customHeight="1">
      <c r="A126" s="22"/>
      <c r="B126" s="22"/>
      <c r="C126" s="22"/>
      <c r="D126" s="22"/>
      <c r="E126" s="22"/>
      <c r="J126" s="24"/>
    </row>
    <row r="127" ht="15.75" customHeight="1">
      <c r="A127" s="22"/>
      <c r="B127" s="22"/>
      <c r="C127" s="22"/>
      <c r="D127" s="22"/>
      <c r="E127" s="22"/>
      <c r="J127" s="24"/>
    </row>
    <row r="128" ht="15.75" customHeight="1">
      <c r="A128" s="22"/>
      <c r="B128" s="22"/>
      <c r="C128" s="22"/>
      <c r="D128" s="22"/>
      <c r="E128" s="22"/>
      <c r="J128" s="24"/>
    </row>
    <row r="129" ht="15.75" customHeight="1">
      <c r="A129" s="22"/>
      <c r="B129" s="22"/>
      <c r="C129" s="22"/>
      <c r="D129" s="22"/>
      <c r="E129" s="22"/>
      <c r="J129" s="24"/>
    </row>
    <row r="130" ht="15.75" customHeight="1">
      <c r="A130" s="22"/>
      <c r="B130" s="22"/>
      <c r="C130" s="22"/>
      <c r="D130" s="22"/>
      <c r="E130" s="22"/>
      <c r="J130" s="24"/>
    </row>
    <row r="131" ht="15.75" customHeight="1">
      <c r="A131" s="22"/>
      <c r="B131" s="22"/>
      <c r="C131" s="22"/>
      <c r="D131" s="22"/>
      <c r="E131" s="22"/>
      <c r="J131" s="24"/>
    </row>
    <row r="132" ht="15.75" customHeight="1">
      <c r="A132" s="22"/>
      <c r="B132" s="22"/>
      <c r="C132" s="22"/>
      <c r="D132" s="22"/>
      <c r="E132" s="22"/>
      <c r="J132" s="24"/>
    </row>
    <row r="133" ht="15.75" customHeight="1">
      <c r="A133" s="22"/>
      <c r="B133" s="22"/>
      <c r="C133" s="22"/>
      <c r="D133" s="22"/>
      <c r="E133" s="22"/>
      <c r="J133" s="24"/>
    </row>
    <row r="134" ht="15.75" customHeight="1">
      <c r="A134" s="22"/>
      <c r="B134" s="22"/>
      <c r="C134" s="22"/>
      <c r="D134" s="22"/>
      <c r="E134" s="22"/>
      <c r="J134" s="24"/>
    </row>
    <row r="135" ht="15.75" customHeight="1">
      <c r="A135" s="22"/>
      <c r="B135" s="22"/>
      <c r="C135" s="22"/>
      <c r="D135" s="22"/>
      <c r="E135" s="22"/>
      <c r="J135" s="24"/>
    </row>
    <row r="136" ht="15.75" customHeight="1">
      <c r="A136" s="22"/>
      <c r="B136" s="22"/>
      <c r="C136" s="22"/>
      <c r="D136" s="22"/>
      <c r="E136" s="22"/>
      <c r="J136" s="24"/>
    </row>
    <row r="137" ht="15.75" customHeight="1">
      <c r="A137" s="22"/>
      <c r="B137" s="22"/>
      <c r="C137" s="22"/>
      <c r="D137" s="22"/>
      <c r="E137" s="22"/>
      <c r="J137" s="24"/>
    </row>
    <row r="138" ht="15.75" customHeight="1">
      <c r="A138" s="22"/>
      <c r="B138" s="22"/>
      <c r="C138" s="22"/>
      <c r="D138" s="22"/>
      <c r="E138" s="22"/>
      <c r="J138" s="24"/>
    </row>
    <row r="139" ht="15.75" customHeight="1">
      <c r="A139" s="22"/>
      <c r="B139" s="22"/>
      <c r="C139" s="22"/>
      <c r="D139" s="22"/>
      <c r="E139" s="22"/>
      <c r="J139" s="24"/>
    </row>
    <row r="140" ht="15.75" customHeight="1">
      <c r="A140" s="22"/>
      <c r="B140" s="22"/>
      <c r="C140" s="22"/>
      <c r="D140" s="22"/>
      <c r="E140" s="22"/>
      <c r="J140" s="24"/>
    </row>
    <row r="141" ht="15.75" customHeight="1">
      <c r="A141" s="22"/>
      <c r="B141" s="22"/>
      <c r="C141" s="22"/>
      <c r="D141" s="22"/>
      <c r="E141" s="22"/>
      <c r="J141" s="24"/>
    </row>
    <row r="142" ht="15.75" customHeight="1">
      <c r="A142" s="22"/>
      <c r="B142" s="22"/>
      <c r="C142" s="22"/>
      <c r="D142" s="22"/>
      <c r="E142" s="22"/>
      <c r="J142" s="24"/>
    </row>
    <row r="143" ht="15.75" customHeight="1">
      <c r="A143" s="22"/>
      <c r="B143" s="22"/>
      <c r="C143" s="22"/>
      <c r="D143" s="22"/>
      <c r="E143" s="22"/>
      <c r="J143" s="24"/>
    </row>
    <row r="144" ht="15.75" customHeight="1">
      <c r="A144" s="22"/>
      <c r="B144" s="22"/>
      <c r="C144" s="22"/>
      <c r="D144" s="22"/>
      <c r="E144" s="22"/>
      <c r="J144" s="24"/>
    </row>
    <row r="145" ht="15.75" customHeight="1">
      <c r="A145" s="22"/>
      <c r="B145" s="22"/>
      <c r="C145" s="22"/>
      <c r="D145" s="22"/>
      <c r="E145" s="22"/>
      <c r="J145" s="24"/>
    </row>
    <row r="146" ht="15.75" customHeight="1">
      <c r="A146" s="22"/>
      <c r="B146" s="22"/>
      <c r="C146" s="22"/>
      <c r="D146" s="22"/>
      <c r="E146" s="22"/>
      <c r="J146" s="24"/>
    </row>
    <row r="147" ht="15.75" customHeight="1">
      <c r="A147" s="22"/>
      <c r="B147" s="22"/>
      <c r="C147" s="22"/>
      <c r="D147" s="22"/>
      <c r="E147" s="22"/>
      <c r="J147" s="24"/>
    </row>
    <row r="148" ht="15.75" customHeight="1">
      <c r="A148" s="22"/>
      <c r="B148" s="22"/>
      <c r="C148" s="22"/>
      <c r="D148" s="22"/>
      <c r="E148" s="22"/>
      <c r="J148" s="24"/>
    </row>
    <row r="149" ht="15.75" customHeight="1">
      <c r="A149" s="22"/>
      <c r="B149" s="22"/>
      <c r="C149" s="22"/>
      <c r="D149" s="22"/>
      <c r="E149" s="22"/>
      <c r="J149" s="24"/>
    </row>
    <row r="150" ht="15.75" customHeight="1">
      <c r="A150" s="22"/>
      <c r="B150" s="22"/>
      <c r="C150" s="22"/>
      <c r="D150" s="22"/>
      <c r="E150" s="22"/>
      <c r="J150" s="24"/>
    </row>
    <row r="151" ht="15.75" customHeight="1">
      <c r="A151" s="22"/>
      <c r="B151" s="22"/>
      <c r="C151" s="22"/>
      <c r="D151" s="22"/>
      <c r="E151" s="22"/>
      <c r="J151" s="24"/>
    </row>
    <row r="152" ht="15.75" customHeight="1">
      <c r="A152" s="22"/>
      <c r="B152" s="22"/>
      <c r="C152" s="22"/>
      <c r="D152" s="22"/>
      <c r="E152" s="22"/>
      <c r="J152" s="24"/>
    </row>
    <row r="153" ht="15.75" customHeight="1">
      <c r="A153" s="22"/>
      <c r="B153" s="22"/>
      <c r="C153" s="22"/>
      <c r="D153" s="22"/>
      <c r="E153" s="22"/>
      <c r="J153" s="24"/>
    </row>
    <row r="154" ht="15.75" customHeight="1">
      <c r="A154" s="22"/>
      <c r="B154" s="22"/>
      <c r="C154" s="22"/>
      <c r="D154" s="22"/>
      <c r="E154" s="22"/>
      <c r="J154" s="24"/>
    </row>
    <row r="155" ht="15.75" customHeight="1">
      <c r="A155" s="22"/>
      <c r="B155" s="22"/>
      <c r="C155" s="22"/>
      <c r="D155" s="22"/>
      <c r="E155" s="22"/>
      <c r="J155" s="24"/>
    </row>
    <row r="156" ht="15.75" customHeight="1">
      <c r="A156" s="22"/>
      <c r="B156" s="22"/>
      <c r="C156" s="22"/>
      <c r="D156" s="22"/>
      <c r="E156" s="22"/>
      <c r="J156" s="24"/>
    </row>
    <row r="157" ht="15.75" customHeight="1">
      <c r="A157" s="22"/>
      <c r="B157" s="22"/>
      <c r="C157" s="22"/>
      <c r="D157" s="22"/>
      <c r="E157" s="22"/>
      <c r="J157" s="24"/>
    </row>
    <row r="158" ht="15.75" customHeight="1">
      <c r="A158" s="22"/>
      <c r="B158" s="22"/>
      <c r="C158" s="22"/>
      <c r="D158" s="22"/>
      <c r="E158" s="22"/>
      <c r="J158" s="24"/>
    </row>
    <row r="159" ht="15.75" customHeight="1">
      <c r="A159" s="22"/>
      <c r="B159" s="22"/>
      <c r="C159" s="22"/>
      <c r="D159" s="22"/>
      <c r="E159" s="22"/>
      <c r="J159" s="24"/>
    </row>
    <row r="160" ht="15.75" customHeight="1">
      <c r="A160" s="22"/>
      <c r="B160" s="22"/>
      <c r="C160" s="22"/>
      <c r="D160" s="22"/>
      <c r="E160" s="22"/>
      <c r="J160" s="24"/>
    </row>
    <row r="161" ht="15.75" customHeight="1">
      <c r="A161" s="22"/>
      <c r="B161" s="22"/>
      <c r="C161" s="22"/>
      <c r="D161" s="22"/>
      <c r="E161" s="22"/>
      <c r="J161" s="24"/>
    </row>
    <row r="162" ht="15.75" customHeight="1">
      <c r="A162" s="22"/>
      <c r="B162" s="22"/>
      <c r="C162" s="22"/>
      <c r="D162" s="22"/>
      <c r="E162" s="22"/>
      <c r="J162" s="24"/>
    </row>
    <row r="163" ht="15.75" customHeight="1">
      <c r="A163" s="22"/>
      <c r="B163" s="22"/>
      <c r="C163" s="22"/>
      <c r="D163" s="22"/>
      <c r="E163" s="22"/>
      <c r="J163" s="24"/>
    </row>
    <row r="164" ht="15.75" customHeight="1">
      <c r="A164" s="22"/>
      <c r="B164" s="22"/>
      <c r="C164" s="22"/>
      <c r="D164" s="22"/>
      <c r="E164" s="22"/>
      <c r="J164" s="24"/>
    </row>
    <row r="165" ht="15.75" customHeight="1">
      <c r="A165" s="22"/>
      <c r="B165" s="22"/>
      <c r="C165" s="22"/>
      <c r="D165" s="22"/>
      <c r="E165" s="22"/>
      <c r="J165" s="24"/>
    </row>
    <row r="166" ht="15.75" customHeight="1">
      <c r="A166" s="22"/>
      <c r="B166" s="22"/>
      <c r="C166" s="22"/>
      <c r="D166" s="22"/>
      <c r="E166" s="22"/>
      <c r="J166" s="24"/>
    </row>
    <row r="167" ht="15.75" customHeight="1">
      <c r="A167" s="22"/>
      <c r="B167" s="22"/>
      <c r="C167" s="22"/>
      <c r="D167" s="22"/>
      <c r="E167" s="22"/>
      <c r="J167" s="24"/>
    </row>
    <row r="168" ht="15.75" customHeight="1">
      <c r="A168" s="22"/>
      <c r="B168" s="22"/>
      <c r="C168" s="22"/>
      <c r="D168" s="22"/>
      <c r="E168" s="22"/>
      <c r="J168" s="24"/>
    </row>
    <row r="169" ht="15.75" customHeight="1">
      <c r="A169" s="22"/>
      <c r="B169" s="22"/>
      <c r="C169" s="22"/>
      <c r="D169" s="22"/>
      <c r="E169" s="22"/>
      <c r="J169" s="24"/>
    </row>
    <row r="170" ht="15.75" customHeight="1">
      <c r="A170" s="22"/>
      <c r="B170" s="22"/>
      <c r="C170" s="22"/>
      <c r="D170" s="22"/>
      <c r="E170" s="22"/>
      <c r="J170" s="24"/>
    </row>
    <row r="171" ht="15.75" customHeight="1">
      <c r="A171" s="22"/>
      <c r="B171" s="22"/>
      <c r="C171" s="22"/>
      <c r="D171" s="22"/>
      <c r="E171" s="22"/>
      <c r="J171" s="24"/>
    </row>
    <row r="172" ht="15.75" customHeight="1">
      <c r="A172" s="22"/>
      <c r="B172" s="22"/>
      <c r="C172" s="22"/>
      <c r="D172" s="22"/>
      <c r="E172" s="22"/>
      <c r="J172" s="24"/>
    </row>
    <row r="173" ht="15.75" customHeight="1">
      <c r="A173" s="22"/>
      <c r="B173" s="22"/>
      <c r="C173" s="22"/>
      <c r="D173" s="22"/>
      <c r="E173" s="22"/>
      <c r="J173" s="24"/>
    </row>
    <row r="174" ht="15.75" customHeight="1">
      <c r="A174" s="22"/>
      <c r="B174" s="22"/>
      <c r="C174" s="22"/>
      <c r="D174" s="22"/>
      <c r="E174" s="22"/>
      <c r="J174" s="24"/>
    </row>
    <row r="175" ht="15.75" customHeight="1">
      <c r="A175" s="22"/>
      <c r="B175" s="22"/>
      <c r="C175" s="22"/>
      <c r="D175" s="22"/>
      <c r="E175" s="22"/>
      <c r="J175" s="24"/>
    </row>
    <row r="176" ht="15.75" customHeight="1">
      <c r="A176" s="22"/>
      <c r="B176" s="22"/>
      <c r="C176" s="22"/>
      <c r="D176" s="22"/>
      <c r="E176" s="22"/>
      <c r="J176" s="24"/>
    </row>
    <row r="177" ht="15.75" customHeight="1">
      <c r="A177" s="22"/>
      <c r="B177" s="22"/>
      <c r="C177" s="22"/>
      <c r="D177" s="22"/>
      <c r="E177" s="22"/>
      <c r="J177" s="24"/>
    </row>
    <row r="178" ht="15.75" customHeight="1">
      <c r="A178" s="22"/>
      <c r="B178" s="22"/>
      <c r="C178" s="22"/>
      <c r="D178" s="22"/>
      <c r="E178" s="22"/>
      <c r="J178" s="24"/>
    </row>
    <row r="179" ht="15.75" customHeight="1">
      <c r="A179" s="22"/>
      <c r="B179" s="22"/>
      <c r="C179" s="22"/>
      <c r="D179" s="22"/>
      <c r="E179" s="22"/>
      <c r="J179" s="24"/>
    </row>
    <row r="180" ht="15.75" customHeight="1">
      <c r="A180" s="22"/>
      <c r="B180" s="22"/>
      <c r="C180" s="22"/>
      <c r="D180" s="22"/>
      <c r="E180" s="22"/>
      <c r="J180" s="24"/>
    </row>
    <row r="181" ht="15.75" customHeight="1">
      <c r="A181" s="22"/>
      <c r="B181" s="22"/>
      <c r="C181" s="22"/>
      <c r="D181" s="22"/>
      <c r="E181" s="22"/>
      <c r="J181" s="24"/>
    </row>
    <row r="182" ht="15.75" customHeight="1">
      <c r="A182" s="22"/>
      <c r="B182" s="22"/>
      <c r="C182" s="22"/>
      <c r="D182" s="22"/>
      <c r="E182" s="22"/>
      <c r="J182" s="24"/>
    </row>
    <row r="183" ht="15.75" customHeight="1">
      <c r="A183" s="22"/>
      <c r="B183" s="22"/>
      <c r="C183" s="22"/>
      <c r="D183" s="22"/>
      <c r="E183" s="22"/>
      <c r="J183" s="24"/>
    </row>
    <row r="184" ht="15.75" customHeight="1">
      <c r="J184" s="24"/>
    </row>
    <row r="185" ht="15.75" customHeight="1">
      <c r="J185" s="24"/>
    </row>
    <row r="186" ht="15.75" customHeight="1">
      <c r="J186" s="24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B2"/>
    <mergeCell ref="D2:J2"/>
    <mergeCell ref="L2:M3"/>
    <mergeCell ref="D5:D31"/>
    <mergeCell ref="E5:E31"/>
    <mergeCell ref="J5:J31"/>
    <mergeCell ref="D32:I3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21"/>
      <c r="B1" s="22"/>
      <c r="C1" s="22"/>
      <c r="D1" s="22"/>
      <c r="E1" s="22"/>
      <c r="F1" s="23"/>
      <c r="G1" s="23"/>
      <c r="H1" s="23"/>
      <c r="I1" s="23"/>
      <c r="J1" s="24"/>
      <c r="K1" s="23"/>
      <c r="L1" s="23"/>
      <c r="M1" s="23"/>
      <c r="N1" s="23"/>
    </row>
    <row r="2" ht="15.75" customHeight="1">
      <c r="A2" s="25" t="s">
        <v>41</v>
      </c>
      <c r="B2" s="26"/>
      <c r="C2" s="27"/>
      <c r="D2" s="27" t="s">
        <v>42</v>
      </c>
      <c r="K2" s="23"/>
      <c r="L2" s="28" t="s">
        <v>43</v>
      </c>
      <c r="M2" s="29"/>
      <c r="N2" s="23"/>
    </row>
    <row r="3">
      <c r="A3" s="30" t="s">
        <v>44</v>
      </c>
      <c r="B3" s="31" t="s">
        <v>45</v>
      </c>
      <c r="C3" s="22"/>
      <c r="D3" s="32"/>
      <c r="E3" s="33" t="s">
        <v>46</v>
      </c>
      <c r="F3" s="34"/>
      <c r="G3" s="35"/>
      <c r="H3" s="36"/>
      <c r="I3" s="36"/>
      <c r="J3" s="37" t="s">
        <v>47</v>
      </c>
      <c r="K3" s="23"/>
      <c r="L3" s="38"/>
      <c r="M3" s="6"/>
      <c r="N3" s="23"/>
    </row>
    <row r="4" ht="15.75" customHeight="1">
      <c r="A4" s="39" t="s">
        <v>16</v>
      </c>
      <c r="B4" s="40">
        <v>3000.0</v>
      </c>
      <c r="C4" s="41"/>
      <c r="D4" s="42" t="s">
        <v>0</v>
      </c>
      <c r="E4" s="43" t="s">
        <v>48</v>
      </c>
      <c r="F4" s="44" t="s">
        <v>49</v>
      </c>
      <c r="G4" s="45" t="s">
        <v>50</v>
      </c>
      <c r="H4" s="45" t="s">
        <v>51</v>
      </c>
      <c r="I4" s="45" t="s">
        <v>52</v>
      </c>
      <c r="J4" s="46" t="s">
        <v>53</v>
      </c>
      <c r="K4" s="23"/>
      <c r="L4" s="47" t="s">
        <v>54</v>
      </c>
      <c r="M4" s="47" t="s">
        <v>50</v>
      </c>
      <c r="N4" s="23"/>
    </row>
    <row r="5" ht="15.75" customHeight="1">
      <c r="A5" s="39" t="s">
        <v>55</v>
      </c>
      <c r="B5" s="40">
        <v>2500.0</v>
      </c>
      <c r="C5" s="48"/>
      <c r="D5" s="49">
        <v>1.0</v>
      </c>
      <c r="E5" s="50" t="s">
        <v>70</v>
      </c>
      <c r="F5" s="51" t="s">
        <v>16</v>
      </c>
      <c r="G5" s="52"/>
      <c r="H5" s="53">
        <f>VLOOKUP(F5,$A$4:$B$4,2,TRUE)</f>
        <v>3000</v>
      </c>
      <c r="I5" s="54">
        <f t="shared" ref="I5:I139" si="1">G5*H5</f>
        <v>0</v>
      </c>
      <c r="J5" s="55">
        <f>SUM(I5:I31)</f>
        <v>4750</v>
      </c>
      <c r="K5" s="23"/>
      <c r="L5" s="51" t="s">
        <v>16</v>
      </c>
      <c r="M5" s="47">
        <f>SUMIF(F5:F139,"Gelas bersih",G5:G139)</f>
        <v>1.5</v>
      </c>
      <c r="N5" s="23"/>
    </row>
    <row r="6" ht="15.75" customHeight="1">
      <c r="A6" s="39" t="s">
        <v>57</v>
      </c>
      <c r="B6" s="40">
        <v>1200.0</v>
      </c>
      <c r="C6" s="48"/>
      <c r="D6" s="56"/>
      <c r="E6" s="56"/>
      <c r="F6" s="51" t="s">
        <v>55</v>
      </c>
      <c r="G6" s="52"/>
      <c r="H6" s="57">
        <f>VLOOKUP(F6,$A$5:$B$5,2,TRUE)</f>
        <v>2500</v>
      </c>
      <c r="I6" s="54">
        <f t="shared" si="1"/>
        <v>0</v>
      </c>
      <c r="J6" s="56"/>
      <c r="K6" s="23"/>
      <c r="L6" s="51" t="s">
        <v>55</v>
      </c>
      <c r="M6" s="47">
        <f>SUMIF(F6:F140,"Botol bersih",G6:G140)</f>
        <v>4.5</v>
      </c>
      <c r="N6" s="23"/>
    </row>
    <row r="7" ht="15.75" customHeight="1">
      <c r="A7" s="39" t="s">
        <v>19</v>
      </c>
      <c r="B7" s="40">
        <v>2100.0</v>
      </c>
      <c r="C7" s="48"/>
      <c r="D7" s="56"/>
      <c r="E7" s="56"/>
      <c r="F7" s="51" t="s">
        <v>57</v>
      </c>
      <c r="G7" s="52"/>
      <c r="H7" s="57">
        <f>VLOOKUP(F7,$A$6:$B$6,2,TRUE)</f>
        <v>1200</v>
      </c>
      <c r="I7" s="54">
        <f t="shared" si="1"/>
        <v>0</v>
      </c>
      <c r="J7" s="56"/>
      <c r="K7" s="23"/>
      <c r="L7" s="51" t="s">
        <v>57</v>
      </c>
      <c r="M7" s="47">
        <f>SUMIF(F7:F140,"Botol Warna",G7:G140)</f>
        <v>0</v>
      </c>
      <c r="N7" s="23"/>
    </row>
    <row r="8" ht="15.75" customHeight="1">
      <c r="A8" s="39" t="s">
        <v>20</v>
      </c>
      <c r="B8" s="40">
        <v>3000.0</v>
      </c>
      <c r="C8" s="48"/>
      <c r="D8" s="56"/>
      <c r="E8" s="56"/>
      <c r="F8" s="51" t="s">
        <v>19</v>
      </c>
      <c r="G8" s="52"/>
      <c r="H8" s="57">
        <f>VLOOKUP(F8,$A$7:$B$7,2,TRUE)</f>
        <v>2100</v>
      </c>
      <c r="I8" s="54">
        <f t="shared" si="1"/>
        <v>0</v>
      </c>
      <c r="J8" s="56"/>
      <c r="K8" s="23"/>
      <c r="L8" s="51" t="s">
        <v>19</v>
      </c>
      <c r="M8" s="47">
        <f>SUMIF(F8:F141,"Tutup botol",G8:G141)</f>
        <v>0.5</v>
      </c>
      <c r="N8" s="23"/>
    </row>
    <row r="9" ht="15.75" customHeight="1">
      <c r="A9" s="39" t="s">
        <v>21</v>
      </c>
      <c r="B9" s="40">
        <v>500.0</v>
      </c>
      <c r="C9" s="48"/>
      <c r="D9" s="56"/>
      <c r="E9" s="56"/>
      <c r="F9" s="51" t="s">
        <v>20</v>
      </c>
      <c r="G9" s="52"/>
      <c r="H9" s="57">
        <f>VLOOKUP(F9,$A$8:$B$8,2,TRUE)</f>
        <v>3000</v>
      </c>
      <c r="I9" s="54">
        <f t="shared" si="1"/>
        <v>0</v>
      </c>
      <c r="J9" s="56"/>
      <c r="K9" s="23"/>
      <c r="L9" s="51" t="s">
        <v>20</v>
      </c>
      <c r="M9" s="47">
        <f>SUMIF(F9:F142,"Tutup galon",G9:G142)</f>
        <v>0</v>
      </c>
      <c r="N9" s="23"/>
    </row>
    <row r="10" ht="15.75" customHeight="1">
      <c r="A10" s="39" t="s">
        <v>22</v>
      </c>
      <c r="B10" s="40">
        <v>1800.0</v>
      </c>
      <c r="C10" s="48"/>
      <c r="D10" s="56"/>
      <c r="E10" s="56"/>
      <c r="F10" s="51" t="s">
        <v>21</v>
      </c>
      <c r="G10" s="52">
        <v>2.0</v>
      </c>
      <c r="H10" s="57">
        <f>VLOOKUP(F10,$A$9:$B$9,2,TRUE)</f>
        <v>500</v>
      </c>
      <c r="I10" s="54">
        <f t="shared" si="1"/>
        <v>1000</v>
      </c>
      <c r="J10" s="56"/>
      <c r="K10" s="23"/>
      <c r="L10" s="51" t="s">
        <v>21</v>
      </c>
      <c r="M10" s="47">
        <f>SUMIF(F10:F143,"Hitam",G10:G143)</f>
        <v>15</v>
      </c>
      <c r="N10" s="23"/>
    </row>
    <row r="11" ht="15.75" customHeight="1">
      <c r="A11" s="39" t="s">
        <v>23</v>
      </c>
      <c r="B11" s="40">
        <v>1500.0</v>
      </c>
      <c r="C11" s="48"/>
      <c r="D11" s="56"/>
      <c r="E11" s="56"/>
      <c r="F11" s="51" t="s">
        <v>22</v>
      </c>
      <c r="G11" s="52"/>
      <c r="H11" s="57">
        <f>VLOOKUP(F11,$A$10:$B$10,2,TRUE)</f>
        <v>1800</v>
      </c>
      <c r="I11" s="54">
        <f t="shared" si="1"/>
        <v>0</v>
      </c>
      <c r="J11" s="56"/>
      <c r="K11" s="23"/>
      <c r="L11" s="51" t="s">
        <v>22</v>
      </c>
      <c r="M11" s="47">
        <f>SUMIF(F11:F144,"Plastik Campur",G11:G144)</f>
        <v>1</v>
      </c>
      <c r="N11" s="23"/>
    </row>
    <row r="12" ht="15.75" customHeight="1">
      <c r="A12" s="39" t="s">
        <v>24</v>
      </c>
      <c r="B12" s="40">
        <v>1400.0</v>
      </c>
      <c r="C12" s="48"/>
      <c r="D12" s="56"/>
      <c r="E12" s="56"/>
      <c r="F12" s="51" t="s">
        <v>23</v>
      </c>
      <c r="G12" s="52">
        <v>2.5</v>
      </c>
      <c r="H12" s="57">
        <f>VLOOKUP(F12,$A$11:$B$11,2,TRUE)</f>
        <v>1500</v>
      </c>
      <c r="I12" s="54">
        <f t="shared" si="1"/>
        <v>3750</v>
      </c>
      <c r="J12" s="56"/>
      <c r="K12" s="23"/>
      <c r="L12" s="51" t="s">
        <v>23</v>
      </c>
      <c r="M12" s="47">
        <f>SUMIF(F12:F145,"Kardus",G12:G145)</f>
        <v>24</v>
      </c>
      <c r="N12" s="23"/>
    </row>
    <row r="13" ht="15.75" customHeight="1">
      <c r="A13" s="39" t="s">
        <v>25</v>
      </c>
      <c r="B13" s="40">
        <v>1000.0</v>
      </c>
      <c r="C13" s="48"/>
      <c r="D13" s="56"/>
      <c r="E13" s="56"/>
      <c r="F13" s="51" t="s">
        <v>24</v>
      </c>
      <c r="G13" s="52"/>
      <c r="H13" s="57">
        <f>VLOOKUP(F13,$A$12:$B$12,2,TRUE)</f>
        <v>1400</v>
      </c>
      <c r="I13" s="54">
        <f t="shared" si="1"/>
        <v>0</v>
      </c>
      <c r="J13" s="56"/>
      <c r="K13" s="23"/>
      <c r="L13" s="51" t="s">
        <v>24</v>
      </c>
      <c r="M13" s="47">
        <f>SUMIF(F13:F146,"Kertas Putihan/ HVS",G13:G146)</f>
        <v>0</v>
      </c>
      <c r="N13" s="23"/>
    </row>
    <row r="14" ht="15.75" customHeight="1">
      <c r="A14" s="39" t="s">
        <v>26</v>
      </c>
      <c r="B14" s="40">
        <v>500.0</v>
      </c>
      <c r="C14" s="48"/>
      <c r="D14" s="56"/>
      <c r="E14" s="56"/>
      <c r="F14" s="51" t="s">
        <v>25</v>
      </c>
      <c r="G14" s="52"/>
      <c r="H14" s="57">
        <f>VLOOKUP(F14,$A$13:$B$13,2,TRUE)</f>
        <v>1000</v>
      </c>
      <c r="I14" s="54">
        <f t="shared" si="1"/>
        <v>0</v>
      </c>
      <c r="J14" s="56"/>
      <c r="K14" s="23"/>
      <c r="L14" s="51" t="s">
        <v>25</v>
      </c>
      <c r="M14" s="47">
        <f>SUMIF(F14:F147,"Koran/Buku",G14:G147)</f>
        <v>0</v>
      </c>
      <c r="N14" s="23"/>
    </row>
    <row r="15" ht="15.75" customHeight="1">
      <c r="A15" s="39" t="s">
        <v>27</v>
      </c>
      <c r="B15" s="40">
        <v>7500.0</v>
      </c>
      <c r="C15" s="48"/>
      <c r="D15" s="56"/>
      <c r="E15" s="56"/>
      <c r="F15" s="51" t="s">
        <v>26</v>
      </c>
      <c r="G15" s="52"/>
      <c r="H15" s="57">
        <f>VLOOKUP(F15,$A$14:$B$14,2,TRUE)</f>
        <v>500</v>
      </c>
      <c r="I15" s="54">
        <f t="shared" si="1"/>
        <v>0</v>
      </c>
      <c r="J15" s="56"/>
      <c r="K15" s="23"/>
      <c r="L15" s="51" t="s">
        <v>26</v>
      </c>
      <c r="M15" s="47">
        <f>SUMIF(F15:F148,"Duplex",G15:G148)</f>
        <v>4</v>
      </c>
      <c r="N15" s="23"/>
    </row>
    <row r="16" ht="15.75" customHeight="1">
      <c r="A16" s="39" t="s">
        <v>28</v>
      </c>
      <c r="B16" s="40">
        <v>2000.0</v>
      </c>
      <c r="C16" s="48"/>
      <c r="D16" s="56"/>
      <c r="E16" s="56"/>
      <c r="F16" s="51" t="s">
        <v>27</v>
      </c>
      <c r="G16" s="52"/>
      <c r="H16" s="57">
        <f>VLOOKUP(F16,$A$15:$B$15,2,TRUE)</f>
        <v>7500</v>
      </c>
      <c r="I16" s="54">
        <f t="shared" si="1"/>
        <v>0</v>
      </c>
      <c r="J16" s="56"/>
      <c r="K16" s="23"/>
      <c r="L16" s="51" t="s">
        <v>27</v>
      </c>
      <c r="M16" s="47">
        <f>SUMIF(F16:F149,"Alumunium",G16:G149)</f>
        <v>0.5</v>
      </c>
      <c r="N16" s="23"/>
    </row>
    <row r="17" ht="15.75" customHeight="1">
      <c r="A17" s="39" t="s">
        <v>29</v>
      </c>
      <c r="B17" s="40">
        <v>1200.0</v>
      </c>
      <c r="C17" s="48"/>
      <c r="D17" s="56"/>
      <c r="E17" s="56"/>
      <c r="F17" s="51" t="s">
        <v>28</v>
      </c>
      <c r="G17" s="52"/>
      <c r="H17" s="57">
        <f>VLOOKUP(F17,$A$16:$B$16,2,TRUE)</f>
        <v>2000</v>
      </c>
      <c r="I17" s="54">
        <f t="shared" si="1"/>
        <v>0</v>
      </c>
      <c r="J17" s="56"/>
      <c r="K17" s="23"/>
      <c r="L17" s="51" t="s">
        <v>28</v>
      </c>
      <c r="M17" s="47">
        <f>SUMIF(F17:F150,"Besi",G17:G150)</f>
        <v>0</v>
      </c>
      <c r="N17" s="23"/>
    </row>
    <row r="18" ht="15.75" customHeight="1">
      <c r="A18" s="39" t="s">
        <v>30</v>
      </c>
      <c r="B18" s="40">
        <v>5000.0</v>
      </c>
      <c r="C18" s="48"/>
      <c r="D18" s="56"/>
      <c r="E18" s="56"/>
      <c r="F18" s="51" t="s">
        <v>29</v>
      </c>
      <c r="G18" s="52"/>
      <c r="H18" s="57">
        <f>VLOOKUP(F18,$A$17:$B$17,2,TRUE)</f>
        <v>1200</v>
      </c>
      <c r="I18" s="54">
        <f t="shared" si="1"/>
        <v>0</v>
      </c>
      <c r="J18" s="56"/>
      <c r="K18" s="23"/>
      <c r="L18" s="51" t="s">
        <v>29</v>
      </c>
      <c r="M18" s="47">
        <f>SUMIF(F18:F151,"Kaleng kue/susu",G18:G151)</f>
        <v>0</v>
      </c>
      <c r="N18" s="23"/>
    </row>
    <row r="19" ht="15.75" customHeight="1">
      <c r="A19" s="39" t="s">
        <v>31</v>
      </c>
      <c r="B19" s="40">
        <v>2700.0</v>
      </c>
      <c r="C19" s="48"/>
      <c r="D19" s="56"/>
      <c r="E19" s="56"/>
      <c r="F19" s="51" t="s">
        <v>30</v>
      </c>
      <c r="G19" s="52"/>
      <c r="H19" s="57">
        <f>VLOOKUP(F19,$A$18:$B$18,2,TRUE)</f>
        <v>5000</v>
      </c>
      <c r="I19" s="54">
        <f t="shared" si="1"/>
        <v>0</v>
      </c>
      <c r="J19" s="56"/>
      <c r="K19" s="23"/>
      <c r="L19" s="51" t="s">
        <v>30</v>
      </c>
      <c r="M19" s="47">
        <f>SUMIF(F19:F152,"Kaleng Minuman",G19:G152)</f>
        <v>0</v>
      </c>
      <c r="N19" s="23"/>
    </row>
    <row r="20" ht="15.75" customHeight="1">
      <c r="A20" s="39" t="s">
        <v>32</v>
      </c>
      <c r="B20" s="40">
        <v>50000.0</v>
      </c>
      <c r="C20" s="48"/>
      <c r="D20" s="56"/>
      <c r="E20" s="56"/>
      <c r="F20" s="51" t="s">
        <v>31</v>
      </c>
      <c r="G20" s="52"/>
      <c r="H20" s="57">
        <f>VLOOKUP(F20,$A$19:$B$19,2,TRUE)</f>
        <v>2700</v>
      </c>
      <c r="I20" s="54">
        <f t="shared" si="1"/>
        <v>0</v>
      </c>
      <c r="J20" s="56"/>
      <c r="K20" s="23"/>
      <c r="L20" s="51" t="s">
        <v>31</v>
      </c>
      <c r="M20" s="47">
        <f>SUMIF(F20:F153,"Stanless",G20:G153)</f>
        <v>0</v>
      </c>
      <c r="N20" s="23"/>
    </row>
    <row r="21" ht="15.75" customHeight="1">
      <c r="A21" s="39" t="s">
        <v>33</v>
      </c>
      <c r="B21" s="40">
        <v>10000.0</v>
      </c>
      <c r="C21" s="48"/>
      <c r="D21" s="56"/>
      <c r="E21" s="56"/>
      <c r="F21" s="51" t="s">
        <v>32</v>
      </c>
      <c r="G21" s="52"/>
      <c r="H21" s="57">
        <f>VLOOKUP(F21,$A$20:$B$20,2,TRUE)</f>
        <v>50000</v>
      </c>
      <c r="I21" s="54">
        <f t="shared" si="1"/>
        <v>0</v>
      </c>
      <c r="J21" s="56"/>
      <c r="K21" s="23"/>
      <c r="L21" s="51" t="s">
        <v>32</v>
      </c>
      <c r="M21" s="47">
        <f>SUMIF(F21:F154,"Tembaga",G21:G154)</f>
        <v>0</v>
      </c>
      <c r="N21" s="23"/>
    </row>
    <row r="22" ht="15.75" customHeight="1">
      <c r="A22" s="39" t="s">
        <v>34</v>
      </c>
      <c r="B22" s="40">
        <v>1000.0</v>
      </c>
      <c r="C22" s="48"/>
      <c r="D22" s="56"/>
      <c r="E22" s="56"/>
      <c r="F22" s="51" t="s">
        <v>33</v>
      </c>
      <c r="G22" s="52"/>
      <c r="H22" s="57">
        <f>VLOOKUP(F22,$A$21:$B$21,2,TRUE)</f>
        <v>10000</v>
      </c>
      <c r="I22" s="54">
        <f t="shared" si="1"/>
        <v>0</v>
      </c>
      <c r="J22" s="56"/>
      <c r="K22" s="23"/>
      <c r="L22" s="51" t="s">
        <v>33</v>
      </c>
      <c r="M22" s="47">
        <f>SUMIF(F22:F155,"Aki Motor",G22:G155)</f>
        <v>0</v>
      </c>
      <c r="N22" s="23"/>
    </row>
    <row r="23" ht="15.75" customHeight="1">
      <c r="A23" s="39" t="s">
        <v>35</v>
      </c>
      <c r="B23" s="40">
        <v>500.0</v>
      </c>
      <c r="C23" s="48"/>
      <c r="D23" s="56"/>
      <c r="E23" s="56"/>
      <c r="F23" s="51" t="s">
        <v>34</v>
      </c>
      <c r="G23" s="52"/>
      <c r="H23" s="57">
        <f>VLOOKUP(F23,$A$22:$B$22,2,TRUE)</f>
        <v>1000</v>
      </c>
      <c r="I23" s="54">
        <f t="shared" si="1"/>
        <v>0</v>
      </c>
      <c r="J23" s="56"/>
      <c r="K23" s="23"/>
      <c r="L23" s="51" t="s">
        <v>34</v>
      </c>
      <c r="M23" s="47">
        <f>SUMIF(F23:F156,"Paralon",G23:G156)</f>
        <v>0</v>
      </c>
      <c r="N23" s="23"/>
    </row>
    <row r="24" ht="15.75" customHeight="1">
      <c r="A24" s="39" t="s">
        <v>36</v>
      </c>
      <c r="B24" s="40">
        <v>200.0</v>
      </c>
      <c r="C24" s="48"/>
      <c r="D24" s="56"/>
      <c r="E24" s="56"/>
      <c r="F24" s="51" t="s">
        <v>35</v>
      </c>
      <c r="G24" s="52"/>
      <c r="H24" s="57">
        <f>VLOOKUP(F24,$A$23:$B$23,2,TRUE)</f>
        <v>500</v>
      </c>
      <c r="I24" s="54">
        <f t="shared" si="1"/>
        <v>0</v>
      </c>
      <c r="J24" s="56"/>
      <c r="K24" s="23"/>
      <c r="L24" s="51" t="s">
        <v>35</v>
      </c>
      <c r="M24" s="47">
        <f>SUMIF(F24:F157,"Plastik bening",G24:G157)</f>
        <v>1</v>
      </c>
      <c r="N24" s="23"/>
    </row>
    <row r="25" ht="15.75" customHeight="1">
      <c r="A25" s="39" t="s">
        <v>37</v>
      </c>
      <c r="B25" s="40">
        <v>1300.0</v>
      </c>
      <c r="C25" s="48"/>
      <c r="D25" s="56"/>
      <c r="E25" s="56"/>
      <c r="F25" s="51" t="s">
        <v>36</v>
      </c>
      <c r="G25" s="52"/>
      <c r="H25" s="57">
        <f>VLOOKUP(F25,$A$24:$B$24,2,TRUE)</f>
        <v>200</v>
      </c>
      <c r="I25" s="54">
        <f t="shared" si="1"/>
        <v>0</v>
      </c>
      <c r="J25" s="56"/>
      <c r="K25" s="23"/>
      <c r="L25" s="51" t="s">
        <v>36</v>
      </c>
      <c r="M25" s="47">
        <f>SUMIF(F25:F158,"Plastik Warna",G25:G158)</f>
        <v>0</v>
      </c>
      <c r="N25" s="23"/>
    </row>
    <row r="26" ht="15.75" customHeight="1">
      <c r="A26" s="39" t="s">
        <v>12</v>
      </c>
      <c r="B26" s="40">
        <v>300.0</v>
      </c>
      <c r="C26" s="48"/>
      <c r="D26" s="56"/>
      <c r="E26" s="56"/>
      <c r="F26" s="51" t="s">
        <v>37</v>
      </c>
      <c r="G26" s="52"/>
      <c r="H26" s="57">
        <f>VLOOKUP(F26,$A$25:$B$25,2,TRUE)</f>
        <v>1300</v>
      </c>
      <c r="I26" s="54">
        <f t="shared" si="1"/>
        <v>0</v>
      </c>
      <c r="J26" s="56"/>
      <c r="K26" s="23"/>
      <c r="L26" s="51" t="s">
        <v>37</v>
      </c>
      <c r="M26" s="47">
        <f>SUMIF(F26:F159,"Selang",G26:G159)</f>
        <v>0</v>
      </c>
      <c r="N26" s="23"/>
    </row>
    <row r="27" ht="15.75" customHeight="1">
      <c r="A27" s="39" t="s">
        <v>39</v>
      </c>
      <c r="B27" s="40">
        <v>0.0</v>
      </c>
      <c r="C27" s="48"/>
      <c r="D27" s="56"/>
      <c r="E27" s="56"/>
      <c r="F27" s="51" t="s">
        <v>12</v>
      </c>
      <c r="G27" s="52"/>
      <c r="H27" s="57">
        <f>VLOOKUP(F27,$A$26:$B$26,2,TRUE)</f>
        <v>300</v>
      </c>
      <c r="I27" s="54">
        <f t="shared" si="1"/>
        <v>0</v>
      </c>
      <c r="J27" s="56"/>
      <c r="K27" s="23"/>
      <c r="L27" s="51" t="s">
        <v>12</v>
      </c>
      <c r="M27" s="47">
        <f>SUMIF(F27:F160,"Beling",G27:G160)</f>
        <v>10.5</v>
      </c>
      <c r="N27" s="23"/>
    </row>
    <row r="28" ht="15.75" customHeight="1">
      <c r="A28" s="39" t="s">
        <v>40</v>
      </c>
      <c r="B28" s="40">
        <v>1700.0</v>
      </c>
      <c r="C28" s="48"/>
      <c r="D28" s="56"/>
      <c r="E28" s="56"/>
      <c r="F28" s="51" t="s">
        <v>39</v>
      </c>
      <c r="G28" s="52"/>
      <c r="H28" s="57">
        <f>VLOOKUP(F28,$A$27:$B$27,2,TRUE)</f>
        <v>0</v>
      </c>
      <c r="I28" s="54">
        <f t="shared" si="1"/>
        <v>0</v>
      </c>
      <c r="J28" s="56"/>
      <c r="K28" s="23"/>
      <c r="L28" s="51" t="s">
        <v>39</v>
      </c>
      <c r="M28" s="47">
        <f>SUMIF(F28:F161,"Pecahan",G28:G161)</f>
        <v>0</v>
      </c>
      <c r="N28" s="23"/>
    </row>
    <row r="29" ht="15.75" customHeight="1">
      <c r="A29" s="39" t="s">
        <v>14</v>
      </c>
      <c r="B29" s="58">
        <v>4500.0</v>
      </c>
      <c r="C29" s="48"/>
      <c r="D29" s="56"/>
      <c r="E29" s="56"/>
      <c r="F29" s="51" t="s">
        <v>40</v>
      </c>
      <c r="G29" s="52"/>
      <c r="H29" s="57">
        <f>VLOOKUP(F28,$A$28:$B$28,2,TRUE)</f>
        <v>1700</v>
      </c>
      <c r="I29" s="54">
        <f t="shared" si="1"/>
        <v>0</v>
      </c>
      <c r="J29" s="56"/>
      <c r="K29" s="23"/>
      <c r="L29" s="51" t="s">
        <v>40</v>
      </c>
      <c r="M29" s="47">
        <f>SUMIF(F29:F163,"Paku",G29:G163)</f>
        <v>0</v>
      </c>
      <c r="N29" s="23"/>
    </row>
    <row r="30" ht="15.75" customHeight="1">
      <c r="A30" s="39" t="s">
        <v>58</v>
      </c>
      <c r="B30" s="40">
        <v>0.0</v>
      </c>
      <c r="C30" s="48"/>
      <c r="D30" s="56"/>
      <c r="E30" s="56"/>
      <c r="F30" s="51" t="s">
        <v>14</v>
      </c>
      <c r="G30" s="52"/>
      <c r="H30" s="57">
        <f>VLOOKUP(F29,$A$29:$B$29,2,TRUE)</f>
        <v>4500</v>
      </c>
      <c r="I30" s="54">
        <f t="shared" si="1"/>
        <v>0</v>
      </c>
      <c r="J30" s="56"/>
      <c r="K30" s="23"/>
      <c r="L30" s="51" t="s">
        <v>14</v>
      </c>
      <c r="M30" s="47">
        <f>SUMIF(F30:F164,"Minyak Jelantah",G30:G164)</f>
        <v>0</v>
      </c>
      <c r="N30" s="23"/>
    </row>
    <row r="31" ht="15.75" customHeight="1">
      <c r="A31" s="48"/>
      <c r="B31" s="48"/>
      <c r="C31" s="48"/>
      <c r="D31" s="10"/>
      <c r="E31" s="10"/>
      <c r="F31" s="51" t="s">
        <v>58</v>
      </c>
      <c r="G31" s="52"/>
      <c r="H31" s="57">
        <f>VLOOKUP(F30,$A$30:$B$30,2,TRUE)</f>
        <v>0</v>
      </c>
      <c r="I31" s="54">
        <f t="shared" si="1"/>
        <v>0</v>
      </c>
      <c r="J31" s="10"/>
      <c r="K31" s="23"/>
      <c r="L31" s="51" t="s">
        <v>58</v>
      </c>
      <c r="M31" s="47">
        <f>SUMIF(F31:F165,"Lainnya",G31:G165)</f>
        <v>12</v>
      </c>
      <c r="N31" s="23"/>
    </row>
    <row r="32" ht="15.75" customHeight="1">
      <c r="A32" s="48"/>
      <c r="B32" s="48"/>
      <c r="C32" s="48"/>
      <c r="D32" s="49">
        <v>2.0</v>
      </c>
      <c r="E32" s="50" t="s">
        <v>71</v>
      </c>
      <c r="F32" s="51" t="s">
        <v>16</v>
      </c>
      <c r="G32" s="52">
        <v>0.5</v>
      </c>
      <c r="H32" s="53">
        <f>VLOOKUP(F32,$A$4:$B$4,2,TRUE)</f>
        <v>3000</v>
      </c>
      <c r="I32" s="54">
        <f t="shared" si="1"/>
        <v>1500</v>
      </c>
      <c r="J32" s="55">
        <f>SUM(I32:I58)</f>
        <v>17300</v>
      </c>
      <c r="K32" s="23"/>
      <c r="L32" s="23"/>
      <c r="M32" s="23"/>
      <c r="N32" s="23"/>
    </row>
    <row r="33" ht="15.75" customHeight="1">
      <c r="A33" s="48"/>
      <c r="B33" s="48"/>
      <c r="C33" s="48"/>
      <c r="D33" s="56"/>
      <c r="E33" s="56"/>
      <c r="F33" s="51" t="s">
        <v>55</v>
      </c>
      <c r="G33" s="52">
        <v>1.0</v>
      </c>
      <c r="H33" s="57">
        <f>VLOOKUP(F33,$A$5:$B$5,2,TRUE)</f>
        <v>2500</v>
      </c>
      <c r="I33" s="54">
        <f t="shared" si="1"/>
        <v>2500</v>
      </c>
      <c r="J33" s="56"/>
      <c r="K33" s="23"/>
      <c r="L33" s="23"/>
      <c r="M33" s="23"/>
      <c r="N33" s="23"/>
    </row>
    <row r="34" ht="15.75" customHeight="1">
      <c r="A34" s="48"/>
      <c r="B34" s="48"/>
      <c r="C34" s="48"/>
      <c r="D34" s="56"/>
      <c r="E34" s="56"/>
      <c r="F34" s="51" t="s">
        <v>57</v>
      </c>
      <c r="G34" s="52"/>
      <c r="H34" s="57">
        <f>VLOOKUP(F34,$A$6:$B$6,2,TRUE)</f>
        <v>1200</v>
      </c>
      <c r="I34" s="54">
        <f t="shared" si="1"/>
        <v>0</v>
      </c>
      <c r="J34" s="56"/>
      <c r="K34" s="23"/>
      <c r="L34" s="23"/>
      <c r="M34" s="23"/>
      <c r="N34" s="23"/>
    </row>
    <row r="35" ht="15.75" customHeight="1">
      <c r="A35" s="48"/>
      <c r="B35" s="48"/>
      <c r="C35" s="48"/>
      <c r="D35" s="56"/>
      <c r="E35" s="56"/>
      <c r="F35" s="51" t="s">
        <v>19</v>
      </c>
      <c r="G35" s="52">
        <v>0.5</v>
      </c>
      <c r="H35" s="57">
        <f>VLOOKUP(F35,$A$7:$B$7,2,TRUE)</f>
        <v>2100</v>
      </c>
      <c r="I35" s="54">
        <f t="shared" si="1"/>
        <v>1050</v>
      </c>
      <c r="J35" s="56"/>
      <c r="K35" s="23"/>
      <c r="L35" s="23"/>
      <c r="M35" s="23"/>
      <c r="N35" s="23"/>
    </row>
    <row r="36" ht="15.75" customHeight="1">
      <c r="A36" s="48"/>
      <c r="B36" s="48"/>
      <c r="C36" s="48"/>
      <c r="D36" s="56"/>
      <c r="E36" s="56"/>
      <c r="F36" s="51" t="s">
        <v>20</v>
      </c>
      <c r="G36" s="52"/>
      <c r="H36" s="57">
        <f>VLOOKUP(F36,$A$8:$B$8,2,TRUE)</f>
        <v>3000</v>
      </c>
      <c r="I36" s="54">
        <f t="shared" si="1"/>
        <v>0</v>
      </c>
      <c r="J36" s="56"/>
      <c r="K36" s="23"/>
      <c r="L36" s="23"/>
      <c r="M36" s="23"/>
      <c r="N36" s="23"/>
    </row>
    <row r="37" ht="15.75" customHeight="1">
      <c r="A37" s="48"/>
      <c r="B37" s="48"/>
      <c r="C37" s="48"/>
      <c r="D37" s="56"/>
      <c r="E37" s="56"/>
      <c r="F37" s="51" t="s">
        <v>21</v>
      </c>
      <c r="G37" s="52">
        <v>3.0</v>
      </c>
      <c r="H37" s="57">
        <f>VLOOKUP(F37,$A$9:$B$9,2,TRUE)</f>
        <v>500</v>
      </c>
      <c r="I37" s="54">
        <f t="shared" si="1"/>
        <v>1500</v>
      </c>
      <c r="J37" s="56"/>
      <c r="K37" s="23"/>
      <c r="L37" s="23"/>
      <c r="M37" s="23"/>
      <c r="N37" s="23"/>
    </row>
    <row r="38" ht="15.75" customHeight="1">
      <c r="A38" s="48"/>
      <c r="B38" s="48"/>
      <c r="C38" s="48"/>
      <c r="D38" s="56"/>
      <c r="E38" s="56"/>
      <c r="F38" s="51" t="s">
        <v>22</v>
      </c>
      <c r="G38" s="52"/>
      <c r="H38" s="57">
        <f>VLOOKUP(F38,$A$10:$B$10,2,TRUE)</f>
        <v>1800</v>
      </c>
      <c r="I38" s="54">
        <f t="shared" si="1"/>
        <v>0</v>
      </c>
      <c r="J38" s="56"/>
      <c r="K38" s="23"/>
      <c r="L38" s="23"/>
      <c r="M38" s="23"/>
      <c r="N38" s="23"/>
    </row>
    <row r="39" ht="15.75" customHeight="1">
      <c r="A39" s="48"/>
      <c r="B39" s="48"/>
      <c r="C39" s="48"/>
      <c r="D39" s="56"/>
      <c r="E39" s="56"/>
      <c r="F39" s="51" t="s">
        <v>23</v>
      </c>
      <c r="G39" s="52">
        <v>7.0</v>
      </c>
      <c r="H39" s="57">
        <f>VLOOKUP(F39,$A$11:$B$11,2,TRUE)</f>
        <v>1500</v>
      </c>
      <c r="I39" s="54">
        <f t="shared" si="1"/>
        <v>10500</v>
      </c>
      <c r="J39" s="56"/>
      <c r="K39" s="23"/>
      <c r="L39" s="23"/>
      <c r="M39" s="23"/>
      <c r="N39" s="23"/>
    </row>
    <row r="40" ht="15.75" customHeight="1">
      <c r="A40" s="48"/>
      <c r="B40" s="48"/>
      <c r="C40" s="48"/>
      <c r="D40" s="56"/>
      <c r="E40" s="56"/>
      <c r="F40" s="51" t="s">
        <v>24</v>
      </c>
      <c r="G40" s="52"/>
      <c r="H40" s="57">
        <f>VLOOKUP(F40,$A$12:$B$12,2,TRUE)</f>
        <v>1400</v>
      </c>
      <c r="I40" s="54">
        <f t="shared" si="1"/>
        <v>0</v>
      </c>
      <c r="J40" s="56"/>
      <c r="K40" s="23"/>
      <c r="L40" s="23"/>
      <c r="M40" s="23"/>
      <c r="N40" s="23"/>
    </row>
    <row r="41" ht="15.75" customHeight="1">
      <c r="A41" s="48"/>
      <c r="B41" s="48"/>
      <c r="C41" s="48"/>
      <c r="D41" s="56"/>
      <c r="E41" s="56"/>
      <c r="F41" s="51" t="s">
        <v>25</v>
      </c>
      <c r="G41" s="52"/>
      <c r="H41" s="57">
        <f>VLOOKUP(F41,$A$13:$B$13,2,TRUE)</f>
        <v>1000</v>
      </c>
      <c r="I41" s="54">
        <f t="shared" si="1"/>
        <v>0</v>
      </c>
      <c r="J41" s="56"/>
      <c r="K41" s="23"/>
      <c r="L41" s="23"/>
      <c r="M41" s="23"/>
      <c r="N41" s="23"/>
    </row>
    <row r="42" ht="15.75" customHeight="1">
      <c r="A42" s="48"/>
      <c r="B42" s="48"/>
      <c r="C42" s="48"/>
      <c r="D42" s="56"/>
      <c r="E42" s="56"/>
      <c r="F42" s="51" t="s">
        <v>26</v>
      </c>
      <c r="G42" s="52"/>
      <c r="H42" s="57">
        <f>VLOOKUP(F42,$A$14:$B$14,2,TRUE)</f>
        <v>500</v>
      </c>
      <c r="I42" s="54">
        <f t="shared" si="1"/>
        <v>0</v>
      </c>
      <c r="J42" s="56"/>
      <c r="K42" s="23"/>
      <c r="L42" s="23"/>
      <c r="M42" s="23"/>
      <c r="N42" s="23"/>
    </row>
    <row r="43" ht="15.75" customHeight="1">
      <c r="A43" s="48"/>
      <c r="B43" s="48"/>
      <c r="C43" s="48"/>
      <c r="D43" s="56"/>
      <c r="E43" s="56"/>
      <c r="F43" s="51" t="s">
        <v>27</v>
      </c>
      <c r="G43" s="52"/>
      <c r="H43" s="57">
        <f>VLOOKUP(F43,$A$15:$B$15,2,TRUE)</f>
        <v>7500</v>
      </c>
      <c r="I43" s="54">
        <f t="shared" si="1"/>
        <v>0</v>
      </c>
      <c r="J43" s="56"/>
      <c r="K43" s="23"/>
      <c r="L43" s="23"/>
      <c r="M43" s="23"/>
      <c r="N43" s="23"/>
    </row>
    <row r="44" ht="15.75" customHeight="1">
      <c r="A44" s="48"/>
      <c r="B44" s="48"/>
      <c r="C44" s="48"/>
      <c r="D44" s="56"/>
      <c r="E44" s="56"/>
      <c r="F44" s="51" t="s">
        <v>28</v>
      </c>
      <c r="G44" s="52"/>
      <c r="H44" s="57">
        <f>VLOOKUP(F44,$A$16:$B$16,2,TRUE)</f>
        <v>2000</v>
      </c>
      <c r="I44" s="54">
        <f t="shared" si="1"/>
        <v>0</v>
      </c>
      <c r="J44" s="56"/>
      <c r="K44" s="23"/>
      <c r="L44" s="23"/>
      <c r="M44" s="23"/>
      <c r="N44" s="23"/>
    </row>
    <row r="45" ht="15.75" customHeight="1">
      <c r="A45" s="48"/>
      <c r="B45" s="48"/>
      <c r="C45" s="48"/>
      <c r="D45" s="56"/>
      <c r="E45" s="56"/>
      <c r="F45" s="51" t="s">
        <v>29</v>
      </c>
      <c r="G45" s="52"/>
      <c r="H45" s="57">
        <f>VLOOKUP(F45,$A$17:$B$17,2,TRUE)</f>
        <v>1200</v>
      </c>
      <c r="I45" s="54">
        <f t="shared" si="1"/>
        <v>0</v>
      </c>
      <c r="J45" s="56"/>
      <c r="K45" s="23"/>
      <c r="L45" s="23"/>
      <c r="M45" s="23"/>
      <c r="N45" s="23"/>
    </row>
    <row r="46" ht="15.75" customHeight="1">
      <c r="A46" s="48"/>
      <c r="B46" s="48"/>
      <c r="C46" s="48"/>
      <c r="D46" s="56"/>
      <c r="E46" s="56"/>
      <c r="F46" s="51" t="s">
        <v>30</v>
      </c>
      <c r="G46" s="52"/>
      <c r="H46" s="57">
        <f>VLOOKUP(F46,$A$18:$B$18,2,TRUE)</f>
        <v>5000</v>
      </c>
      <c r="I46" s="54">
        <f t="shared" si="1"/>
        <v>0</v>
      </c>
      <c r="J46" s="56"/>
      <c r="K46" s="23"/>
      <c r="L46" s="23"/>
      <c r="M46" s="23"/>
      <c r="N46" s="23"/>
    </row>
    <row r="47" ht="15.75" customHeight="1">
      <c r="A47" s="48"/>
      <c r="B47" s="48"/>
      <c r="C47" s="48"/>
      <c r="D47" s="56"/>
      <c r="E47" s="56"/>
      <c r="F47" s="51" t="s">
        <v>31</v>
      </c>
      <c r="G47" s="52"/>
      <c r="H47" s="57">
        <f>VLOOKUP(F47,$A$19:$B$19,2,TRUE)</f>
        <v>2700</v>
      </c>
      <c r="I47" s="54">
        <f t="shared" si="1"/>
        <v>0</v>
      </c>
      <c r="J47" s="56"/>
      <c r="K47" s="23"/>
      <c r="L47" s="23"/>
      <c r="M47" s="23"/>
      <c r="N47" s="23"/>
    </row>
    <row r="48" ht="15.75" customHeight="1">
      <c r="A48" s="48"/>
      <c r="B48" s="48"/>
      <c r="C48" s="48"/>
      <c r="D48" s="56"/>
      <c r="E48" s="56"/>
      <c r="F48" s="51" t="s">
        <v>32</v>
      </c>
      <c r="G48" s="52"/>
      <c r="H48" s="57">
        <f>VLOOKUP(F48,$A$20:$B$20,2,TRUE)</f>
        <v>50000</v>
      </c>
      <c r="I48" s="54">
        <f t="shared" si="1"/>
        <v>0</v>
      </c>
      <c r="J48" s="56"/>
      <c r="K48" s="23"/>
      <c r="L48" s="23"/>
      <c r="M48" s="23"/>
      <c r="N48" s="23"/>
    </row>
    <row r="49" ht="15.75" customHeight="1">
      <c r="A49" s="48"/>
      <c r="B49" s="48"/>
      <c r="C49" s="48"/>
      <c r="D49" s="56"/>
      <c r="E49" s="56"/>
      <c r="F49" s="51" t="s">
        <v>33</v>
      </c>
      <c r="G49" s="52"/>
      <c r="H49" s="57">
        <f>VLOOKUP(F49,$A$21:$B$21,2,TRUE)</f>
        <v>10000</v>
      </c>
      <c r="I49" s="54">
        <f t="shared" si="1"/>
        <v>0</v>
      </c>
      <c r="J49" s="56"/>
      <c r="K49" s="23"/>
      <c r="L49" s="23"/>
      <c r="M49" s="23"/>
      <c r="N49" s="23"/>
    </row>
    <row r="50" ht="15.75" customHeight="1">
      <c r="A50" s="48"/>
      <c r="B50" s="48"/>
      <c r="C50" s="48"/>
      <c r="D50" s="56"/>
      <c r="E50" s="56"/>
      <c r="F50" s="51" t="s">
        <v>34</v>
      </c>
      <c r="G50" s="52"/>
      <c r="H50" s="57">
        <f>VLOOKUP(F50,$A$22:$B$22,2,TRUE)</f>
        <v>1000</v>
      </c>
      <c r="I50" s="54">
        <f t="shared" si="1"/>
        <v>0</v>
      </c>
      <c r="J50" s="56"/>
      <c r="K50" s="23"/>
      <c r="L50" s="23"/>
      <c r="M50" s="23"/>
      <c r="N50" s="23"/>
    </row>
    <row r="51" ht="15.75" customHeight="1">
      <c r="A51" s="48"/>
      <c r="B51" s="48"/>
      <c r="C51" s="48"/>
      <c r="D51" s="56"/>
      <c r="E51" s="56"/>
      <c r="F51" s="51" t="s">
        <v>35</v>
      </c>
      <c r="G51" s="52">
        <v>0.5</v>
      </c>
      <c r="H51" s="57">
        <f>VLOOKUP(F51,$A$23:$B$23,2,TRUE)</f>
        <v>500</v>
      </c>
      <c r="I51" s="54">
        <f t="shared" si="1"/>
        <v>250</v>
      </c>
      <c r="J51" s="56"/>
      <c r="K51" s="23"/>
      <c r="L51" s="23"/>
      <c r="M51" s="23"/>
      <c r="N51" s="23"/>
    </row>
    <row r="52" ht="15.75" customHeight="1">
      <c r="A52" s="48"/>
      <c r="B52" s="48"/>
      <c r="C52" s="48"/>
      <c r="D52" s="56"/>
      <c r="E52" s="56"/>
      <c r="F52" s="51" t="s">
        <v>36</v>
      </c>
      <c r="G52" s="52"/>
      <c r="H52" s="57">
        <f>VLOOKUP(F52,$A$24:$B$24,2,TRUE)</f>
        <v>200</v>
      </c>
      <c r="I52" s="54">
        <f t="shared" si="1"/>
        <v>0</v>
      </c>
      <c r="J52" s="56"/>
      <c r="K52" s="23"/>
      <c r="L52" s="23"/>
      <c r="M52" s="23"/>
      <c r="N52" s="23"/>
    </row>
    <row r="53" ht="15.75" customHeight="1">
      <c r="A53" s="48"/>
      <c r="B53" s="48"/>
      <c r="C53" s="48"/>
      <c r="D53" s="56"/>
      <c r="E53" s="56"/>
      <c r="F53" s="51" t="s">
        <v>37</v>
      </c>
      <c r="G53" s="52"/>
      <c r="H53" s="57">
        <f>VLOOKUP(F53,$A$25:$B$25,2,TRUE)</f>
        <v>1300</v>
      </c>
      <c r="I53" s="54">
        <f t="shared" si="1"/>
        <v>0</v>
      </c>
      <c r="J53" s="56"/>
      <c r="K53" s="23"/>
      <c r="L53" s="23"/>
      <c r="M53" s="23"/>
      <c r="N53" s="23"/>
    </row>
    <row r="54" ht="15.75" customHeight="1">
      <c r="A54" s="48"/>
      <c r="B54" s="48"/>
      <c r="C54" s="48"/>
      <c r="D54" s="56"/>
      <c r="E54" s="56"/>
      <c r="F54" s="51" t="s">
        <v>12</v>
      </c>
      <c r="G54" s="52"/>
      <c r="H54" s="57">
        <f>VLOOKUP(F54,$A$26:$B$26,2,TRUE)</f>
        <v>300</v>
      </c>
      <c r="I54" s="54">
        <f t="shared" si="1"/>
        <v>0</v>
      </c>
      <c r="J54" s="56"/>
      <c r="K54" s="23"/>
      <c r="L54" s="23"/>
      <c r="M54" s="23"/>
      <c r="N54" s="23"/>
    </row>
    <row r="55" ht="15.75" customHeight="1">
      <c r="A55" s="48"/>
      <c r="B55" s="48"/>
      <c r="C55" s="48"/>
      <c r="D55" s="56"/>
      <c r="E55" s="56"/>
      <c r="F55" s="51" t="s">
        <v>39</v>
      </c>
      <c r="G55" s="52"/>
      <c r="H55" s="57">
        <f>VLOOKUP(F55,$A$27:$B$27,2,TRUE)</f>
        <v>0</v>
      </c>
      <c r="I55" s="54">
        <f t="shared" si="1"/>
        <v>0</v>
      </c>
      <c r="J55" s="56"/>
      <c r="K55" s="23"/>
      <c r="L55" s="23"/>
      <c r="M55" s="23"/>
      <c r="N55" s="23"/>
    </row>
    <row r="56" ht="15.75" customHeight="1">
      <c r="A56" s="48"/>
      <c r="B56" s="48"/>
      <c r="C56" s="48"/>
      <c r="D56" s="56"/>
      <c r="E56" s="56"/>
      <c r="F56" s="51" t="s">
        <v>40</v>
      </c>
      <c r="G56" s="52"/>
      <c r="H56" s="57">
        <f>VLOOKUP(F55,$A$28:$B$28,2,TRUE)</f>
        <v>1700</v>
      </c>
      <c r="I56" s="54">
        <f t="shared" si="1"/>
        <v>0</v>
      </c>
      <c r="J56" s="56"/>
      <c r="K56" s="23"/>
      <c r="L56" s="23"/>
      <c r="M56" s="23"/>
      <c r="N56" s="23"/>
    </row>
    <row r="57" ht="15.75" customHeight="1">
      <c r="A57" s="48"/>
      <c r="B57" s="48"/>
      <c r="C57" s="48"/>
      <c r="D57" s="56"/>
      <c r="E57" s="56"/>
      <c r="F57" s="51" t="s">
        <v>14</v>
      </c>
      <c r="G57" s="52"/>
      <c r="H57" s="57">
        <f>VLOOKUP(F56,$A$29:$B$29,2,TRUE)</f>
        <v>4500</v>
      </c>
      <c r="I57" s="54">
        <f t="shared" si="1"/>
        <v>0</v>
      </c>
      <c r="J57" s="56"/>
      <c r="K57" s="23"/>
      <c r="L57" s="23"/>
      <c r="M57" s="23"/>
      <c r="N57" s="23"/>
    </row>
    <row r="58" ht="15.75" customHeight="1">
      <c r="A58" s="48"/>
      <c r="B58" s="48"/>
      <c r="C58" s="48"/>
      <c r="D58" s="10"/>
      <c r="E58" s="10"/>
      <c r="F58" s="51" t="s">
        <v>58</v>
      </c>
      <c r="G58" s="52">
        <v>0.5</v>
      </c>
      <c r="H58" s="57">
        <f>VLOOKUP(F57,$A$30:$B$30,2,TRUE)</f>
        <v>0</v>
      </c>
      <c r="I58" s="54">
        <f t="shared" si="1"/>
        <v>0</v>
      </c>
      <c r="J58" s="10"/>
      <c r="K58" s="23"/>
      <c r="L58" s="23"/>
      <c r="M58" s="23"/>
      <c r="N58" s="23"/>
    </row>
    <row r="59" ht="15.75" customHeight="1">
      <c r="A59" s="48"/>
      <c r="B59" s="48"/>
      <c r="C59" s="48"/>
      <c r="D59" s="49">
        <v>3.0</v>
      </c>
      <c r="E59" s="63" t="s">
        <v>72</v>
      </c>
      <c r="F59" s="51" t="s">
        <v>16</v>
      </c>
      <c r="G59" s="52"/>
      <c r="H59" s="53">
        <f>VLOOKUP(F59,$A$4:$B$4,2,TRUE)</f>
        <v>3000</v>
      </c>
      <c r="I59" s="54">
        <f t="shared" si="1"/>
        <v>0</v>
      </c>
      <c r="J59" s="55">
        <f>SUM(I59:I85)</f>
        <v>30150</v>
      </c>
      <c r="K59" s="23"/>
      <c r="L59" s="23"/>
      <c r="M59" s="23"/>
      <c r="N59" s="23"/>
    </row>
    <row r="60" ht="15.75" customHeight="1">
      <c r="A60" s="48"/>
      <c r="B60" s="48"/>
      <c r="C60" s="48"/>
      <c r="D60" s="56"/>
      <c r="E60" s="56"/>
      <c r="F60" s="51" t="s">
        <v>55</v>
      </c>
      <c r="G60" s="52">
        <v>1.5</v>
      </c>
      <c r="H60" s="57">
        <f>VLOOKUP(F60,$A$5:$B$5,2,TRUE)</f>
        <v>2500</v>
      </c>
      <c r="I60" s="54">
        <f t="shared" si="1"/>
        <v>3750</v>
      </c>
      <c r="J60" s="56"/>
      <c r="K60" s="23"/>
      <c r="L60" s="23"/>
      <c r="M60" s="23"/>
      <c r="N60" s="23"/>
    </row>
    <row r="61" ht="15.75" customHeight="1">
      <c r="A61" s="48"/>
      <c r="B61" s="48"/>
      <c r="C61" s="48"/>
      <c r="D61" s="56"/>
      <c r="E61" s="56"/>
      <c r="F61" s="51" t="s">
        <v>57</v>
      </c>
      <c r="G61" s="52"/>
      <c r="H61" s="57">
        <f>VLOOKUP(F61,$A$6:$B$6,2,TRUE)</f>
        <v>1200</v>
      </c>
      <c r="I61" s="54">
        <f t="shared" si="1"/>
        <v>0</v>
      </c>
      <c r="J61" s="56"/>
      <c r="K61" s="23"/>
      <c r="L61" s="23"/>
      <c r="M61" s="23"/>
      <c r="N61" s="23"/>
    </row>
    <row r="62" ht="15.75" customHeight="1">
      <c r="A62" s="48"/>
      <c r="B62" s="48"/>
      <c r="C62" s="48"/>
      <c r="D62" s="56"/>
      <c r="E62" s="56"/>
      <c r="F62" s="51" t="s">
        <v>19</v>
      </c>
      <c r="G62" s="52"/>
      <c r="H62" s="57">
        <f>VLOOKUP(F62,$A$7:$B$7,2,TRUE)</f>
        <v>2100</v>
      </c>
      <c r="I62" s="54">
        <f t="shared" si="1"/>
        <v>0</v>
      </c>
      <c r="J62" s="56"/>
      <c r="K62" s="23"/>
      <c r="L62" s="23"/>
      <c r="M62" s="23"/>
      <c r="N62" s="23"/>
    </row>
    <row r="63" ht="15.75" customHeight="1">
      <c r="A63" s="48"/>
      <c r="B63" s="48"/>
      <c r="C63" s="48"/>
      <c r="D63" s="56"/>
      <c r="E63" s="56"/>
      <c r="F63" s="51" t="s">
        <v>20</v>
      </c>
      <c r="G63" s="52"/>
      <c r="H63" s="57">
        <f>VLOOKUP(F63,$A$8:$B$8,2,TRUE)</f>
        <v>3000</v>
      </c>
      <c r="I63" s="54">
        <f t="shared" si="1"/>
        <v>0</v>
      </c>
      <c r="J63" s="56"/>
      <c r="K63" s="23"/>
      <c r="L63" s="23"/>
      <c r="M63" s="23"/>
      <c r="N63" s="23"/>
    </row>
    <row r="64" ht="15.75" customHeight="1">
      <c r="A64" s="48"/>
      <c r="B64" s="48"/>
      <c r="C64" s="48"/>
      <c r="D64" s="56"/>
      <c r="E64" s="56"/>
      <c r="F64" s="51" t="s">
        <v>21</v>
      </c>
      <c r="G64" s="52">
        <v>4.5</v>
      </c>
      <c r="H64" s="57">
        <f>VLOOKUP(F64,$A$9:$B$9,2,TRUE)</f>
        <v>500</v>
      </c>
      <c r="I64" s="54">
        <f t="shared" si="1"/>
        <v>2250</v>
      </c>
      <c r="J64" s="56"/>
      <c r="K64" s="23"/>
      <c r="L64" s="23"/>
      <c r="M64" s="23"/>
      <c r="N64" s="23"/>
    </row>
    <row r="65" ht="15.75" customHeight="1">
      <c r="A65" s="48"/>
      <c r="B65" s="48"/>
      <c r="C65" s="48"/>
      <c r="D65" s="56"/>
      <c r="E65" s="56"/>
      <c r="F65" s="51" t="s">
        <v>22</v>
      </c>
      <c r="G65" s="52"/>
      <c r="H65" s="57">
        <f>VLOOKUP(F65,$A$10:$B$10,2,TRUE)</f>
        <v>1800</v>
      </c>
      <c r="I65" s="54">
        <f t="shared" si="1"/>
        <v>0</v>
      </c>
      <c r="J65" s="56"/>
      <c r="K65" s="23"/>
      <c r="L65" s="23"/>
      <c r="M65" s="23"/>
      <c r="N65" s="23"/>
    </row>
    <row r="66" ht="15.75" customHeight="1">
      <c r="A66" s="48"/>
      <c r="B66" s="48"/>
      <c r="C66" s="48"/>
      <c r="D66" s="56"/>
      <c r="E66" s="56"/>
      <c r="F66" s="51" t="s">
        <v>23</v>
      </c>
      <c r="G66" s="52">
        <v>12.0</v>
      </c>
      <c r="H66" s="57">
        <f>VLOOKUP(F66,$A$11:$B$11,2,TRUE)</f>
        <v>1500</v>
      </c>
      <c r="I66" s="54">
        <f t="shared" si="1"/>
        <v>18000</v>
      </c>
      <c r="J66" s="56"/>
      <c r="K66" s="23"/>
      <c r="L66" s="23"/>
      <c r="M66" s="23"/>
      <c r="N66" s="23"/>
    </row>
    <row r="67" ht="15.75" customHeight="1">
      <c r="A67" s="48"/>
      <c r="B67" s="48"/>
      <c r="C67" s="48"/>
      <c r="D67" s="56"/>
      <c r="E67" s="56"/>
      <c r="F67" s="51" t="s">
        <v>24</v>
      </c>
      <c r="G67" s="52"/>
      <c r="H67" s="57">
        <f>VLOOKUP(F67,$A$12:$B$12,2,TRUE)</f>
        <v>1400</v>
      </c>
      <c r="I67" s="54">
        <f t="shared" si="1"/>
        <v>0</v>
      </c>
      <c r="J67" s="56"/>
      <c r="K67" s="23"/>
      <c r="L67" s="23"/>
      <c r="M67" s="23"/>
      <c r="N67" s="23"/>
    </row>
    <row r="68" ht="15.75" customHeight="1">
      <c r="A68" s="48"/>
      <c r="B68" s="48"/>
      <c r="C68" s="48"/>
      <c r="D68" s="56"/>
      <c r="E68" s="56"/>
      <c r="F68" s="51" t="s">
        <v>25</v>
      </c>
      <c r="G68" s="52"/>
      <c r="H68" s="57">
        <f>VLOOKUP(F68,$A$13:$B$13,2,TRUE)</f>
        <v>1000</v>
      </c>
      <c r="I68" s="54">
        <f t="shared" si="1"/>
        <v>0</v>
      </c>
      <c r="J68" s="56"/>
      <c r="K68" s="23"/>
      <c r="L68" s="23"/>
      <c r="M68" s="23"/>
      <c r="N68" s="23"/>
    </row>
    <row r="69" ht="15.75" customHeight="1">
      <c r="A69" s="48"/>
      <c r="B69" s="48"/>
      <c r="C69" s="48"/>
      <c r="D69" s="56"/>
      <c r="E69" s="56"/>
      <c r="F69" s="51" t="s">
        <v>26</v>
      </c>
      <c r="G69" s="52"/>
      <c r="H69" s="57">
        <f>VLOOKUP(F69,$A$14:$B$14,2,TRUE)</f>
        <v>500</v>
      </c>
      <c r="I69" s="54">
        <f t="shared" si="1"/>
        <v>0</v>
      </c>
      <c r="J69" s="56"/>
      <c r="K69" s="23"/>
      <c r="L69" s="23"/>
      <c r="M69" s="23"/>
      <c r="N69" s="23"/>
    </row>
    <row r="70" ht="15.75" customHeight="1">
      <c r="A70" s="48"/>
      <c r="B70" s="48"/>
      <c r="C70" s="48"/>
      <c r="D70" s="56"/>
      <c r="E70" s="56"/>
      <c r="F70" s="51" t="s">
        <v>27</v>
      </c>
      <c r="G70" s="52">
        <v>0.5</v>
      </c>
      <c r="H70" s="57">
        <f>VLOOKUP(F70,$A$15:$B$15,2,TRUE)</f>
        <v>7500</v>
      </c>
      <c r="I70" s="54">
        <f t="shared" si="1"/>
        <v>3750</v>
      </c>
      <c r="J70" s="56"/>
      <c r="K70" s="23"/>
      <c r="L70" s="23"/>
      <c r="M70" s="23"/>
      <c r="N70" s="23"/>
    </row>
    <row r="71" ht="15.75" customHeight="1">
      <c r="A71" s="48"/>
      <c r="B71" s="48"/>
      <c r="C71" s="48"/>
      <c r="D71" s="56"/>
      <c r="E71" s="56"/>
      <c r="F71" s="51" t="s">
        <v>28</v>
      </c>
      <c r="G71" s="52"/>
      <c r="H71" s="57">
        <f>VLOOKUP(F71,$A$16:$B$16,2,TRUE)</f>
        <v>2000</v>
      </c>
      <c r="I71" s="54">
        <f t="shared" si="1"/>
        <v>0</v>
      </c>
      <c r="J71" s="56"/>
      <c r="K71" s="23"/>
      <c r="L71" s="23"/>
      <c r="M71" s="23"/>
      <c r="N71" s="23"/>
    </row>
    <row r="72" ht="15.75" customHeight="1">
      <c r="A72" s="48"/>
      <c r="B72" s="48"/>
      <c r="C72" s="48"/>
      <c r="D72" s="56"/>
      <c r="E72" s="56"/>
      <c r="F72" s="51" t="s">
        <v>29</v>
      </c>
      <c r="G72" s="52"/>
      <c r="H72" s="57">
        <f>VLOOKUP(F72,$A$17:$B$17,2,TRUE)</f>
        <v>1200</v>
      </c>
      <c r="I72" s="54">
        <f t="shared" si="1"/>
        <v>0</v>
      </c>
      <c r="J72" s="56"/>
      <c r="K72" s="23"/>
      <c r="L72" s="23"/>
      <c r="M72" s="23"/>
      <c r="N72" s="23"/>
    </row>
    <row r="73" ht="15.75" customHeight="1">
      <c r="A73" s="48"/>
      <c r="B73" s="48"/>
      <c r="C73" s="48"/>
      <c r="D73" s="56"/>
      <c r="E73" s="56"/>
      <c r="F73" s="51" t="s">
        <v>30</v>
      </c>
      <c r="G73" s="52"/>
      <c r="H73" s="57">
        <f>VLOOKUP(F73,$A$18:$B$18,2,TRUE)</f>
        <v>5000</v>
      </c>
      <c r="I73" s="54">
        <f t="shared" si="1"/>
        <v>0</v>
      </c>
      <c r="J73" s="56"/>
      <c r="K73" s="23"/>
      <c r="L73" s="23"/>
      <c r="M73" s="23"/>
      <c r="N73" s="23"/>
    </row>
    <row r="74" ht="15.75" customHeight="1">
      <c r="A74" s="48"/>
      <c r="B74" s="48"/>
      <c r="C74" s="48"/>
      <c r="D74" s="56"/>
      <c r="E74" s="56"/>
      <c r="F74" s="51" t="s">
        <v>31</v>
      </c>
      <c r="G74" s="52"/>
      <c r="H74" s="57">
        <f>VLOOKUP(F74,$A$19:$B$19,2,TRUE)</f>
        <v>2700</v>
      </c>
      <c r="I74" s="54">
        <f t="shared" si="1"/>
        <v>0</v>
      </c>
      <c r="J74" s="56"/>
      <c r="K74" s="23"/>
      <c r="L74" s="23"/>
      <c r="M74" s="23"/>
      <c r="N74" s="23"/>
    </row>
    <row r="75" ht="15.75" customHeight="1">
      <c r="A75" s="48"/>
      <c r="B75" s="48"/>
      <c r="C75" s="48"/>
      <c r="D75" s="56"/>
      <c r="E75" s="56"/>
      <c r="F75" s="51" t="s">
        <v>32</v>
      </c>
      <c r="G75" s="52"/>
      <c r="H75" s="57">
        <f>VLOOKUP(F75,$A$20:$B$20,2,TRUE)</f>
        <v>50000</v>
      </c>
      <c r="I75" s="54">
        <f t="shared" si="1"/>
        <v>0</v>
      </c>
      <c r="J75" s="56"/>
      <c r="K75" s="23"/>
      <c r="L75" s="23"/>
      <c r="M75" s="23"/>
      <c r="N75" s="23"/>
    </row>
    <row r="76" ht="15.75" customHeight="1">
      <c r="A76" s="48"/>
      <c r="B76" s="48"/>
      <c r="C76" s="48"/>
      <c r="D76" s="56"/>
      <c r="E76" s="56"/>
      <c r="F76" s="51" t="s">
        <v>33</v>
      </c>
      <c r="G76" s="52"/>
      <c r="H76" s="57">
        <f>VLOOKUP(F76,$A$21:$B$21,2,TRUE)</f>
        <v>10000</v>
      </c>
      <c r="I76" s="54">
        <f t="shared" si="1"/>
        <v>0</v>
      </c>
      <c r="J76" s="56"/>
      <c r="K76" s="23"/>
      <c r="L76" s="23"/>
      <c r="M76" s="23"/>
      <c r="N76" s="23"/>
    </row>
    <row r="77" ht="15.75" customHeight="1">
      <c r="A77" s="48"/>
      <c r="B77" s="48"/>
      <c r="C77" s="48"/>
      <c r="D77" s="56"/>
      <c r="E77" s="56"/>
      <c r="F77" s="51" t="s">
        <v>34</v>
      </c>
      <c r="G77" s="52"/>
      <c r="H77" s="57">
        <f>VLOOKUP(F77,$A$22:$B$22,2,TRUE)</f>
        <v>1000</v>
      </c>
      <c r="I77" s="54">
        <f t="shared" si="1"/>
        <v>0</v>
      </c>
      <c r="J77" s="56"/>
      <c r="K77" s="23"/>
      <c r="L77" s="23"/>
      <c r="M77" s="23"/>
      <c r="N77" s="23"/>
    </row>
    <row r="78" ht="15.75" customHeight="1">
      <c r="A78" s="48"/>
      <c r="B78" s="48"/>
      <c r="C78" s="48"/>
      <c r="D78" s="56"/>
      <c r="E78" s="56"/>
      <c r="F78" s="51" t="s">
        <v>35</v>
      </c>
      <c r="G78" s="52"/>
      <c r="H78" s="57">
        <f>VLOOKUP(F78,$A$23:$B$23,2,TRUE)</f>
        <v>500</v>
      </c>
      <c r="I78" s="54">
        <f t="shared" si="1"/>
        <v>0</v>
      </c>
      <c r="J78" s="56"/>
      <c r="K78" s="23"/>
      <c r="L78" s="23"/>
      <c r="M78" s="23"/>
      <c r="N78" s="23"/>
    </row>
    <row r="79" ht="15.75" customHeight="1">
      <c r="A79" s="48"/>
      <c r="B79" s="48"/>
      <c r="C79" s="48"/>
      <c r="D79" s="56"/>
      <c r="E79" s="56"/>
      <c r="F79" s="51" t="s">
        <v>36</v>
      </c>
      <c r="G79" s="52"/>
      <c r="H79" s="57">
        <f>VLOOKUP(F79,$A$24:$B$24,2,TRUE)</f>
        <v>200</v>
      </c>
      <c r="I79" s="54">
        <f t="shared" si="1"/>
        <v>0</v>
      </c>
      <c r="J79" s="56"/>
      <c r="K79" s="23"/>
      <c r="L79" s="23"/>
      <c r="M79" s="23"/>
      <c r="N79" s="23"/>
    </row>
    <row r="80" ht="15.75" customHeight="1">
      <c r="A80" s="48"/>
      <c r="B80" s="48"/>
      <c r="C80" s="48"/>
      <c r="D80" s="56"/>
      <c r="E80" s="56"/>
      <c r="F80" s="51" t="s">
        <v>37</v>
      </c>
      <c r="G80" s="52"/>
      <c r="H80" s="57">
        <f>VLOOKUP(F80,$A$25:$B$25,2,TRUE)</f>
        <v>1300</v>
      </c>
      <c r="I80" s="54">
        <f t="shared" si="1"/>
        <v>0</v>
      </c>
      <c r="J80" s="56"/>
      <c r="K80" s="23"/>
      <c r="L80" s="23"/>
      <c r="M80" s="23"/>
      <c r="N80" s="23"/>
    </row>
    <row r="81" ht="15.75" customHeight="1">
      <c r="A81" s="48"/>
      <c r="B81" s="48"/>
      <c r="C81" s="48"/>
      <c r="D81" s="56"/>
      <c r="E81" s="56"/>
      <c r="F81" s="51" t="s">
        <v>12</v>
      </c>
      <c r="G81" s="52">
        <v>8.0</v>
      </c>
      <c r="H81" s="57">
        <f>VLOOKUP(F81,$A$26:$B$26,2,TRUE)</f>
        <v>300</v>
      </c>
      <c r="I81" s="54">
        <f t="shared" si="1"/>
        <v>2400</v>
      </c>
      <c r="J81" s="56"/>
      <c r="K81" s="23"/>
      <c r="L81" s="23"/>
      <c r="M81" s="23"/>
      <c r="N81" s="23"/>
    </row>
    <row r="82" ht="15.75" customHeight="1">
      <c r="A82" s="48"/>
      <c r="B82" s="48"/>
      <c r="C82" s="48"/>
      <c r="D82" s="56"/>
      <c r="E82" s="56"/>
      <c r="F82" s="51" t="s">
        <v>39</v>
      </c>
      <c r="G82" s="52"/>
      <c r="H82" s="57">
        <f>VLOOKUP(F82,$A$27:$B$27,2,TRUE)</f>
        <v>0</v>
      </c>
      <c r="I82" s="54">
        <f t="shared" si="1"/>
        <v>0</v>
      </c>
      <c r="J82" s="56"/>
      <c r="K82" s="23"/>
      <c r="L82" s="23"/>
      <c r="M82" s="23"/>
      <c r="N82" s="23"/>
    </row>
    <row r="83" ht="15.75" customHeight="1">
      <c r="A83" s="48"/>
      <c r="B83" s="48"/>
      <c r="C83" s="48"/>
      <c r="D83" s="56"/>
      <c r="E83" s="56"/>
      <c r="F83" s="51" t="s">
        <v>40</v>
      </c>
      <c r="G83" s="52"/>
      <c r="H83" s="57">
        <f>VLOOKUP(F82,$A$28:$B$28,2,TRUE)</f>
        <v>1700</v>
      </c>
      <c r="I83" s="54">
        <f t="shared" si="1"/>
        <v>0</v>
      </c>
      <c r="J83" s="56"/>
      <c r="K83" s="23"/>
      <c r="L83" s="23"/>
      <c r="M83" s="23"/>
      <c r="N83" s="23"/>
    </row>
    <row r="84" ht="15.75" customHeight="1">
      <c r="A84" s="48"/>
      <c r="B84" s="48"/>
      <c r="C84" s="48"/>
      <c r="D84" s="56"/>
      <c r="E84" s="56"/>
      <c r="F84" s="51" t="s">
        <v>14</v>
      </c>
      <c r="G84" s="52"/>
      <c r="H84" s="57">
        <f>VLOOKUP(F83,$A$29:$B$29,2,TRUE)</f>
        <v>4500</v>
      </c>
      <c r="I84" s="54">
        <f t="shared" si="1"/>
        <v>0</v>
      </c>
      <c r="J84" s="56"/>
      <c r="K84" s="23"/>
      <c r="L84" s="23"/>
      <c r="M84" s="23"/>
      <c r="N84" s="23"/>
    </row>
    <row r="85" ht="15.75" customHeight="1">
      <c r="A85" s="48"/>
      <c r="B85" s="48"/>
      <c r="C85" s="48"/>
      <c r="D85" s="10"/>
      <c r="E85" s="10"/>
      <c r="F85" s="51" t="s">
        <v>58</v>
      </c>
      <c r="G85" s="52">
        <v>4.0</v>
      </c>
      <c r="H85" s="57">
        <f>VLOOKUP(F84,$A$30:$B$30,2,TRUE)</f>
        <v>0</v>
      </c>
      <c r="I85" s="54">
        <f t="shared" si="1"/>
        <v>0</v>
      </c>
      <c r="J85" s="10"/>
      <c r="K85" s="23"/>
      <c r="L85" s="23"/>
      <c r="M85" s="23"/>
      <c r="N85" s="23"/>
    </row>
    <row r="86" ht="15.75" customHeight="1">
      <c r="A86" s="48"/>
      <c r="B86" s="48"/>
      <c r="C86" s="48"/>
      <c r="D86" s="49">
        <v>4.0</v>
      </c>
      <c r="E86" s="50" t="s">
        <v>73</v>
      </c>
      <c r="F86" s="51" t="s">
        <v>16</v>
      </c>
      <c r="G86" s="52">
        <v>1.0</v>
      </c>
      <c r="H86" s="53">
        <f>VLOOKUP(F86,$A$4:$B$4,2,TRUE)</f>
        <v>3000</v>
      </c>
      <c r="I86" s="54">
        <f t="shared" si="1"/>
        <v>3000</v>
      </c>
      <c r="J86" s="55">
        <f>SUM(I86:I112)</f>
        <v>11750</v>
      </c>
      <c r="K86" s="23"/>
      <c r="L86" s="23"/>
      <c r="M86" s="23"/>
      <c r="N86" s="23"/>
    </row>
    <row r="87" ht="15.75" customHeight="1">
      <c r="A87" s="48"/>
      <c r="B87" s="48"/>
      <c r="C87" s="48"/>
      <c r="D87" s="56"/>
      <c r="E87" s="56"/>
      <c r="F87" s="51" t="s">
        <v>55</v>
      </c>
      <c r="G87" s="52">
        <v>2.0</v>
      </c>
      <c r="H87" s="57">
        <f>VLOOKUP(F87,$A$5:$B$5,2,TRUE)</f>
        <v>2500</v>
      </c>
      <c r="I87" s="54">
        <f t="shared" si="1"/>
        <v>5000</v>
      </c>
      <c r="J87" s="56"/>
      <c r="K87" s="23"/>
      <c r="L87" s="23"/>
      <c r="M87" s="23"/>
      <c r="N87" s="23"/>
    </row>
    <row r="88" ht="15.75" customHeight="1">
      <c r="A88" s="48"/>
      <c r="B88" s="48"/>
      <c r="C88" s="48"/>
      <c r="D88" s="56"/>
      <c r="E88" s="56"/>
      <c r="F88" s="51" t="s">
        <v>57</v>
      </c>
      <c r="G88" s="52"/>
      <c r="H88" s="57">
        <f>VLOOKUP(F88,$A$6:$B$6,2,TRUE)</f>
        <v>1200</v>
      </c>
      <c r="I88" s="54">
        <f t="shared" si="1"/>
        <v>0</v>
      </c>
      <c r="J88" s="56"/>
      <c r="K88" s="23"/>
      <c r="L88" s="23"/>
      <c r="M88" s="23"/>
      <c r="N88" s="23"/>
    </row>
    <row r="89" ht="15.75" customHeight="1">
      <c r="A89" s="48"/>
      <c r="B89" s="48"/>
      <c r="C89" s="48"/>
      <c r="D89" s="56"/>
      <c r="E89" s="56"/>
      <c r="F89" s="51" t="s">
        <v>19</v>
      </c>
      <c r="G89" s="52"/>
      <c r="H89" s="57">
        <f>VLOOKUP(F89,$A$7:$B$7,2,TRUE)</f>
        <v>2100</v>
      </c>
      <c r="I89" s="54">
        <f t="shared" si="1"/>
        <v>0</v>
      </c>
      <c r="J89" s="56"/>
      <c r="K89" s="23"/>
      <c r="L89" s="23"/>
      <c r="M89" s="23"/>
      <c r="N89" s="23"/>
    </row>
    <row r="90" ht="15.75" customHeight="1">
      <c r="A90" s="48"/>
      <c r="B90" s="48"/>
      <c r="C90" s="48"/>
      <c r="D90" s="56"/>
      <c r="E90" s="56"/>
      <c r="F90" s="51" t="s">
        <v>20</v>
      </c>
      <c r="G90" s="52"/>
      <c r="H90" s="57">
        <f>VLOOKUP(F90,$A$8:$B$8,2,TRUE)</f>
        <v>3000</v>
      </c>
      <c r="I90" s="54">
        <f t="shared" si="1"/>
        <v>0</v>
      </c>
      <c r="J90" s="56"/>
      <c r="K90" s="23"/>
      <c r="L90" s="23"/>
      <c r="M90" s="23"/>
      <c r="N90" s="23"/>
    </row>
    <row r="91" ht="15.75" customHeight="1">
      <c r="A91" s="48"/>
      <c r="B91" s="48"/>
      <c r="C91" s="48"/>
      <c r="D91" s="56"/>
      <c r="E91" s="56"/>
      <c r="F91" s="51" t="s">
        <v>21</v>
      </c>
      <c r="G91" s="52">
        <v>3.0</v>
      </c>
      <c r="H91" s="57">
        <f>VLOOKUP(F91,$A$9:$B$9,2,TRUE)</f>
        <v>500</v>
      </c>
      <c r="I91" s="54">
        <f t="shared" si="1"/>
        <v>1500</v>
      </c>
      <c r="J91" s="56"/>
      <c r="K91" s="23"/>
      <c r="L91" s="23"/>
      <c r="M91" s="23"/>
      <c r="N91" s="23"/>
    </row>
    <row r="92" ht="15.75" customHeight="1">
      <c r="A92" s="48"/>
      <c r="B92" s="48"/>
      <c r="C92" s="48"/>
      <c r="D92" s="56"/>
      <c r="E92" s="56"/>
      <c r="F92" s="51" t="s">
        <v>22</v>
      </c>
      <c r="G92" s="52"/>
      <c r="H92" s="57">
        <f>VLOOKUP(F92,$A$10:$B$10,2,TRUE)</f>
        <v>1800</v>
      </c>
      <c r="I92" s="54">
        <f t="shared" si="1"/>
        <v>0</v>
      </c>
      <c r="J92" s="56"/>
      <c r="K92" s="23"/>
      <c r="L92" s="23"/>
      <c r="M92" s="23"/>
      <c r="N92" s="23"/>
    </row>
    <row r="93" ht="15.75" customHeight="1">
      <c r="A93" s="48"/>
      <c r="B93" s="48"/>
      <c r="C93" s="48"/>
      <c r="D93" s="56"/>
      <c r="E93" s="56"/>
      <c r="F93" s="51" t="s">
        <v>23</v>
      </c>
      <c r="G93" s="52"/>
      <c r="H93" s="57">
        <f>VLOOKUP(F93,$A$11:$B$11,2,TRUE)</f>
        <v>1500</v>
      </c>
      <c r="I93" s="54">
        <f t="shared" si="1"/>
        <v>0</v>
      </c>
      <c r="J93" s="56"/>
      <c r="K93" s="23"/>
      <c r="L93" s="23"/>
      <c r="M93" s="23"/>
      <c r="N93" s="23"/>
    </row>
    <row r="94" ht="15.75" customHeight="1">
      <c r="A94" s="48"/>
      <c r="B94" s="48"/>
      <c r="C94" s="48"/>
      <c r="D94" s="56"/>
      <c r="E94" s="56"/>
      <c r="F94" s="51" t="s">
        <v>24</v>
      </c>
      <c r="G94" s="52"/>
      <c r="H94" s="57">
        <f>VLOOKUP(F94,$A$12:$B$12,2,TRUE)</f>
        <v>1400</v>
      </c>
      <c r="I94" s="54">
        <f t="shared" si="1"/>
        <v>0</v>
      </c>
      <c r="J94" s="56"/>
      <c r="K94" s="23"/>
      <c r="L94" s="23"/>
      <c r="M94" s="23"/>
      <c r="N94" s="23"/>
    </row>
    <row r="95" ht="15.75" customHeight="1">
      <c r="A95" s="48"/>
      <c r="B95" s="48"/>
      <c r="C95" s="48"/>
      <c r="D95" s="56"/>
      <c r="E95" s="56"/>
      <c r="F95" s="51" t="s">
        <v>25</v>
      </c>
      <c r="G95" s="52"/>
      <c r="H95" s="57">
        <f>VLOOKUP(F95,$A$13:$B$13,2,TRUE)</f>
        <v>1000</v>
      </c>
      <c r="I95" s="54">
        <f t="shared" si="1"/>
        <v>0</v>
      </c>
      <c r="J95" s="56"/>
      <c r="K95" s="23"/>
      <c r="L95" s="23"/>
      <c r="M95" s="23"/>
      <c r="N95" s="23"/>
    </row>
    <row r="96" ht="15.75" customHeight="1">
      <c r="A96" s="48"/>
      <c r="B96" s="48"/>
      <c r="C96" s="48"/>
      <c r="D96" s="56"/>
      <c r="E96" s="56"/>
      <c r="F96" s="51" t="s">
        <v>26</v>
      </c>
      <c r="G96" s="52">
        <v>2.5</v>
      </c>
      <c r="H96" s="57">
        <f>VLOOKUP(F96,$A$14:$B$14,2,TRUE)</f>
        <v>500</v>
      </c>
      <c r="I96" s="54">
        <f t="shared" si="1"/>
        <v>1250</v>
      </c>
      <c r="J96" s="56"/>
      <c r="K96" s="23"/>
      <c r="L96" s="23"/>
      <c r="M96" s="23"/>
      <c r="N96" s="23"/>
    </row>
    <row r="97" ht="15.75" customHeight="1">
      <c r="A97" s="48"/>
      <c r="B97" s="48"/>
      <c r="C97" s="48"/>
      <c r="D97" s="56"/>
      <c r="E97" s="56"/>
      <c r="F97" s="51" t="s">
        <v>27</v>
      </c>
      <c r="G97" s="52"/>
      <c r="H97" s="57">
        <f>VLOOKUP(F97,$A$15:$B$15,2,TRUE)</f>
        <v>7500</v>
      </c>
      <c r="I97" s="54">
        <f t="shared" si="1"/>
        <v>0</v>
      </c>
      <c r="J97" s="56"/>
      <c r="K97" s="23"/>
      <c r="L97" s="23"/>
      <c r="M97" s="23"/>
      <c r="N97" s="23"/>
    </row>
    <row r="98" ht="15.75" customHeight="1">
      <c r="A98" s="48"/>
      <c r="B98" s="48"/>
      <c r="C98" s="48"/>
      <c r="D98" s="56"/>
      <c r="E98" s="56"/>
      <c r="F98" s="51" t="s">
        <v>28</v>
      </c>
      <c r="G98" s="52"/>
      <c r="H98" s="57">
        <f>VLOOKUP(F98,$A$16:$B$16,2,TRUE)</f>
        <v>2000</v>
      </c>
      <c r="I98" s="54">
        <f t="shared" si="1"/>
        <v>0</v>
      </c>
      <c r="J98" s="56"/>
      <c r="K98" s="23"/>
      <c r="L98" s="23"/>
      <c r="M98" s="23"/>
      <c r="N98" s="23"/>
    </row>
    <row r="99" ht="15.75" customHeight="1">
      <c r="A99" s="48"/>
      <c r="B99" s="48"/>
      <c r="C99" s="48"/>
      <c r="D99" s="56"/>
      <c r="E99" s="56"/>
      <c r="F99" s="51" t="s">
        <v>29</v>
      </c>
      <c r="G99" s="52"/>
      <c r="H99" s="57">
        <f>VLOOKUP(F99,$A$17:$B$17,2,TRUE)</f>
        <v>1200</v>
      </c>
      <c r="I99" s="54">
        <f t="shared" si="1"/>
        <v>0</v>
      </c>
      <c r="J99" s="56"/>
      <c r="K99" s="23"/>
      <c r="L99" s="23"/>
      <c r="M99" s="23"/>
      <c r="N99" s="23"/>
    </row>
    <row r="100" ht="15.75" customHeight="1">
      <c r="A100" s="48"/>
      <c r="B100" s="48"/>
      <c r="C100" s="48"/>
      <c r="D100" s="56"/>
      <c r="E100" s="56"/>
      <c r="F100" s="51" t="s">
        <v>30</v>
      </c>
      <c r="G100" s="52"/>
      <c r="H100" s="57">
        <f>VLOOKUP(F100,$A$18:$B$18,2,TRUE)</f>
        <v>5000</v>
      </c>
      <c r="I100" s="54">
        <f t="shared" si="1"/>
        <v>0</v>
      </c>
      <c r="J100" s="56"/>
      <c r="K100" s="23"/>
      <c r="L100" s="23"/>
      <c r="M100" s="23"/>
      <c r="N100" s="23"/>
    </row>
    <row r="101" ht="15.75" customHeight="1">
      <c r="A101" s="48"/>
      <c r="B101" s="48"/>
      <c r="C101" s="48"/>
      <c r="D101" s="56"/>
      <c r="E101" s="56"/>
      <c r="F101" s="51" t="s">
        <v>31</v>
      </c>
      <c r="G101" s="52"/>
      <c r="H101" s="57">
        <f>VLOOKUP(F101,$A$19:$B$19,2,TRUE)</f>
        <v>2700</v>
      </c>
      <c r="I101" s="54">
        <f t="shared" si="1"/>
        <v>0</v>
      </c>
      <c r="J101" s="56"/>
      <c r="K101" s="23"/>
      <c r="L101" s="23"/>
      <c r="M101" s="23"/>
      <c r="N101" s="23"/>
    </row>
    <row r="102" ht="15.75" customHeight="1">
      <c r="A102" s="48"/>
      <c r="B102" s="48"/>
      <c r="C102" s="48"/>
      <c r="D102" s="56"/>
      <c r="E102" s="56"/>
      <c r="F102" s="51" t="s">
        <v>32</v>
      </c>
      <c r="G102" s="52"/>
      <c r="H102" s="57">
        <f>VLOOKUP(F102,$A$20:$B$20,2,TRUE)</f>
        <v>50000</v>
      </c>
      <c r="I102" s="54">
        <f t="shared" si="1"/>
        <v>0</v>
      </c>
      <c r="J102" s="56"/>
      <c r="K102" s="23"/>
      <c r="L102" s="23"/>
      <c r="M102" s="23"/>
      <c r="N102" s="23"/>
    </row>
    <row r="103" ht="15.75" customHeight="1">
      <c r="A103" s="48"/>
      <c r="B103" s="48"/>
      <c r="C103" s="48"/>
      <c r="D103" s="56"/>
      <c r="E103" s="56"/>
      <c r="F103" s="51" t="s">
        <v>33</v>
      </c>
      <c r="G103" s="52"/>
      <c r="H103" s="57">
        <f>VLOOKUP(F103,$A$21:$B$21,2,TRUE)</f>
        <v>10000</v>
      </c>
      <c r="I103" s="54">
        <f t="shared" si="1"/>
        <v>0</v>
      </c>
      <c r="J103" s="56"/>
      <c r="K103" s="23"/>
      <c r="L103" s="23"/>
      <c r="M103" s="23"/>
      <c r="N103" s="23"/>
    </row>
    <row r="104" ht="15.75" customHeight="1">
      <c r="A104" s="48"/>
      <c r="B104" s="48"/>
      <c r="C104" s="48"/>
      <c r="D104" s="56"/>
      <c r="E104" s="56"/>
      <c r="F104" s="51" t="s">
        <v>34</v>
      </c>
      <c r="G104" s="52"/>
      <c r="H104" s="57">
        <f>VLOOKUP(F104,$A$22:$B$22,2,TRUE)</f>
        <v>1000</v>
      </c>
      <c r="I104" s="54">
        <f t="shared" si="1"/>
        <v>0</v>
      </c>
      <c r="J104" s="56"/>
      <c r="K104" s="23"/>
      <c r="L104" s="23"/>
      <c r="M104" s="23"/>
      <c r="N104" s="23"/>
    </row>
    <row r="105" ht="15.75" customHeight="1">
      <c r="A105" s="48"/>
      <c r="B105" s="48"/>
      <c r="C105" s="48"/>
      <c r="D105" s="56"/>
      <c r="E105" s="56"/>
      <c r="F105" s="51" t="s">
        <v>35</v>
      </c>
      <c r="G105" s="52">
        <v>0.5</v>
      </c>
      <c r="H105" s="57">
        <f>VLOOKUP(F105,$A$23:$B$23,2,TRUE)</f>
        <v>500</v>
      </c>
      <c r="I105" s="54">
        <f t="shared" si="1"/>
        <v>250</v>
      </c>
      <c r="J105" s="56"/>
      <c r="K105" s="23"/>
      <c r="L105" s="23"/>
      <c r="M105" s="23"/>
      <c r="N105" s="23"/>
    </row>
    <row r="106" ht="15.75" customHeight="1">
      <c r="A106" s="48"/>
      <c r="B106" s="48"/>
      <c r="C106" s="48"/>
      <c r="D106" s="56"/>
      <c r="E106" s="56"/>
      <c r="F106" s="51" t="s">
        <v>36</v>
      </c>
      <c r="G106" s="52"/>
      <c r="H106" s="57">
        <f>VLOOKUP(F106,$A$24:$B$24,2,TRUE)</f>
        <v>200</v>
      </c>
      <c r="I106" s="54">
        <f t="shared" si="1"/>
        <v>0</v>
      </c>
      <c r="J106" s="56"/>
      <c r="K106" s="23"/>
      <c r="L106" s="23"/>
      <c r="M106" s="23"/>
      <c r="N106" s="23"/>
    </row>
    <row r="107" ht="15.75" customHeight="1">
      <c r="A107" s="48"/>
      <c r="B107" s="48"/>
      <c r="C107" s="48"/>
      <c r="D107" s="56"/>
      <c r="E107" s="56"/>
      <c r="F107" s="51" t="s">
        <v>37</v>
      </c>
      <c r="G107" s="52"/>
      <c r="H107" s="57">
        <f>VLOOKUP(F107,$A$25:$B$25,2,TRUE)</f>
        <v>1300</v>
      </c>
      <c r="I107" s="54">
        <f t="shared" si="1"/>
        <v>0</v>
      </c>
      <c r="J107" s="56"/>
      <c r="K107" s="23"/>
      <c r="L107" s="23"/>
      <c r="M107" s="23"/>
      <c r="N107" s="23"/>
    </row>
    <row r="108" ht="15.75" customHeight="1">
      <c r="A108" s="48"/>
      <c r="B108" s="48"/>
      <c r="C108" s="48"/>
      <c r="D108" s="56"/>
      <c r="E108" s="56"/>
      <c r="F108" s="51" t="s">
        <v>12</v>
      </c>
      <c r="G108" s="52">
        <v>2.5</v>
      </c>
      <c r="H108" s="57">
        <f>VLOOKUP(F108,$A$26:$B$26,2,TRUE)</f>
        <v>300</v>
      </c>
      <c r="I108" s="54">
        <f t="shared" si="1"/>
        <v>750</v>
      </c>
      <c r="J108" s="56"/>
      <c r="K108" s="23"/>
      <c r="L108" s="23"/>
      <c r="M108" s="23"/>
      <c r="N108" s="23"/>
    </row>
    <row r="109" ht="15.75" customHeight="1">
      <c r="A109" s="48"/>
      <c r="B109" s="48"/>
      <c r="C109" s="48"/>
      <c r="D109" s="56"/>
      <c r="E109" s="56"/>
      <c r="F109" s="51" t="s">
        <v>39</v>
      </c>
      <c r="G109" s="52"/>
      <c r="H109" s="57">
        <f>VLOOKUP(F109,$A$27:$B$27,2,TRUE)</f>
        <v>0</v>
      </c>
      <c r="I109" s="54">
        <f t="shared" si="1"/>
        <v>0</v>
      </c>
      <c r="J109" s="56"/>
      <c r="K109" s="23"/>
      <c r="L109" s="23"/>
      <c r="M109" s="23"/>
      <c r="N109" s="23"/>
    </row>
    <row r="110" ht="15.75" customHeight="1">
      <c r="A110" s="48"/>
      <c r="B110" s="48"/>
      <c r="C110" s="48"/>
      <c r="D110" s="56"/>
      <c r="E110" s="56"/>
      <c r="F110" s="51" t="s">
        <v>40</v>
      </c>
      <c r="G110" s="52"/>
      <c r="H110" s="57">
        <f>VLOOKUP(F109,$A$28:$B$28,2,TRUE)</f>
        <v>1700</v>
      </c>
      <c r="I110" s="54">
        <f t="shared" si="1"/>
        <v>0</v>
      </c>
      <c r="J110" s="56"/>
      <c r="K110" s="23"/>
      <c r="L110" s="23"/>
      <c r="M110" s="23"/>
      <c r="N110" s="23"/>
    </row>
    <row r="111" ht="15.75" customHeight="1">
      <c r="A111" s="48"/>
      <c r="B111" s="48"/>
      <c r="C111" s="48"/>
      <c r="D111" s="56"/>
      <c r="E111" s="56"/>
      <c r="F111" s="51" t="s">
        <v>14</v>
      </c>
      <c r="G111" s="52"/>
      <c r="H111" s="57">
        <f>VLOOKUP(F110,$A$29:$B$29,2,TRUE)</f>
        <v>4500</v>
      </c>
      <c r="I111" s="54">
        <f t="shared" si="1"/>
        <v>0</v>
      </c>
      <c r="J111" s="56"/>
      <c r="K111" s="23"/>
      <c r="L111" s="23"/>
      <c r="M111" s="23"/>
      <c r="N111" s="23"/>
    </row>
    <row r="112" ht="15.75" customHeight="1">
      <c r="A112" s="48"/>
      <c r="B112" s="48"/>
      <c r="C112" s="48"/>
      <c r="D112" s="10"/>
      <c r="E112" s="10"/>
      <c r="F112" s="51" t="s">
        <v>58</v>
      </c>
      <c r="G112" s="52">
        <v>1.5</v>
      </c>
      <c r="H112" s="57">
        <f>VLOOKUP(F111,$A$30:$B$30,2,TRUE)</f>
        <v>0</v>
      </c>
      <c r="I112" s="54">
        <f t="shared" si="1"/>
        <v>0</v>
      </c>
      <c r="J112" s="10"/>
      <c r="K112" s="23"/>
      <c r="L112" s="23"/>
      <c r="M112" s="23"/>
      <c r="N112" s="23"/>
    </row>
    <row r="113" ht="15.75" customHeight="1">
      <c r="A113" s="48"/>
      <c r="B113" s="48"/>
      <c r="C113" s="48"/>
      <c r="D113" s="49">
        <v>5.0</v>
      </c>
      <c r="E113" s="50" t="s">
        <v>74</v>
      </c>
      <c r="F113" s="51" t="s">
        <v>16</v>
      </c>
      <c r="G113" s="52"/>
      <c r="H113" s="53">
        <f>VLOOKUP(F113,$A$4:$B$4,2,TRUE)</f>
        <v>3000</v>
      </c>
      <c r="I113" s="54">
        <f t="shared" si="1"/>
        <v>0</v>
      </c>
      <c r="J113" s="55">
        <f>SUM(I113:I139)</f>
        <v>7550</v>
      </c>
      <c r="K113" s="23"/>
      <c r="L113" s="23"/>
      <c r="M113" s="23"/>
      <c r="N113" s="23"/>
    </row>
    <row r="114" ht="15.75" customHeight="1">
      <c r="A114" s="48"/>
      <c r="B114" s="48"/>
      <c r="C114" s="48"/>
      <c r="D114" s="56"/>
      <c r="E114" s="56"/>
      <c r="F114" s="51" t="s">
        <v>55</v>
      </c>
      <c r="G114" s="52"/>
      <c r="H114" s="57">
        <f>VLOOKUP(F114,$A$5:$B$5,2,TRUE)</f>
        <v>2500</v>
      </c>
      <c r="I114" s="54">
        <f t="shared" si="1"/>
        <v>0</v>
      </c>
      <c r="J114" s="56"/>
      <c r="K114" s="23"/>
      <c r="L114" s="23"/>
      <c r="M114" s="23"/>
      <c r="N114" s="23"/>
    </row>
    <row r="115" ht="15.75" customHeight="1">
      <c r="A115" s="48"/>
      <c r="B115" s="48"/>
      <c r="C115" s="48"/>
      <c r="D115" s="56"/>
      <c r="E115" s="56"/>
      <c r="F115" s="51" t="s">
        <v>57</v>
      </c>
      <c r="G115" s="52"/>
      <c r="H115" s="57">
        <f>VLOOKUP(F115,$A$6:$B$6,2,TRUE)</f>
        <v>1200</v>
      </c>
      <c r="I115" s="54">
        <f t="shared" si="1"/>
        <v>0</v>
      </c>
      <c r="J115" s="56"/>
      <c r="K115" s="23"/>
      <c r="L115" s="23"/>
      <c r="M115" s="23"/>
      <c r="N115" s="23"/>
    </row>
    <row r="116" ht="15.75" customHeight="1">
      <c r="A116" s="48"/>
      <c r="B116" s="48"/>
      <c r="C116" s="48"/>
      <c r="D116" s="56"/>
      <c r="E116" s="56"/>
      <c r="F116" s="51" t="s">
        <v>19</v>
      </c>
      <c r="G116" s="52"/>
      <c r="H116" s="57">
        <f>VLOOKUP(F116,$A$7:$B$7,2,TRUE)</f>
        <v>2100</v>
      </c>
      <c r="I116" s="54">
        <f t="shared" si="1"/>
        <v>0</v>
      </c>
      <c r="J116" s="56"/>
      <c r="K116" s="23"/>
      <c r="L116" s="23"/>
      <c r="M116" s="23"/>
      <c r="N116" s="23"/>
    </row>
    <row r="117" ht="15.75" customHeight="1">
      <c r="A117" s="48"/>
      <c r="B117" s="48"/>
      <c r="C117" s="48"/>
      <c r="D117" s="56"/>
      <c r="E117" s="56"/>
      <c r="F117" s="51" t="s">
        <v>20</v>
      </c>
      <c r="G117" s="52"/>
      <c r="H117" s="57">
        <f>VLOOKUP(F117,$A$8:$B$8,2,TRUE)</f>
        <v>3000</v>
      </c>
      <c r="I117" s="54">
        <f t="shared" si="1"/>
        <v>0</v>
      </c>
      <c r="J117" s="56"/>
      <c r="K117" s="23"/>
      <c r="L117" s="23"/>
      <c r="M117" s="23"/>
      <c r="N117" s="23"/>
    </row>
    <row r="118" ht="15.75" customHeight="1">
      <c r="A118" s="48"/>
      <c r="B118" s="48"/>
      <c r="C118" s="48"/>
      <c r="D118" s="56"/>
      <c r="E118" s="56"/>
      <c r="F118" s="51" t="s">
        <v>21</v>
      </c>
      <c r="G118" s="52">
        <v>2.5</v>
      </c>
      <c r="H118" s="57">
        <f>VLOOKUP(F118,$A$9:$B$9,2,TRUE)</f>
        <v>500</v>
      </c>
      <c r="I118" s="54">
        <f t="shared" si="1"/>
        <v>1250</v>
      </c>
      <c r="J118" s="56"/>
      <c r="K118" s="23"/>
      <c r="L118" s="23"/>
      <c r="M118" s="23"/>
      <c r="N118" s="23"/>
    </row>
    <row r="119" ht="15.75" customHeight="1">
      <c r="A119" s="48"/>
      <c r="B119" s="48"/>
      <c r="C119" s="48"/>
      <c r="D119" s="56"/>
      <c r="E119" s="56"/>
      <c r="F119" s="51" t="s">
        <v>22</v>
      </c>
      <c r="G119" s="52">
        <v>1.0</v>
      </c>
      <c r="H119" s="57">
        <f>VLOOKUP(F119,$A$10:$B$10,2,TRUE)</f>
        <v>1800</v>
      </c>
      <c r="I119" s="54">
        <f t="shared" si="1"/>
        <v>1800</v>
      </c>
      <c r="J119" s="56"/>
      <c r="K119" s="23"/>
      <c r="L119" s="23"/>
      <c r="M119" s="23"/>
      <c r="N119" s="23"/>
    </row>
    <row r="120" ht="15.75" customHeight="1">
      <c r="A120" s="48"/>
      <c r="B120" s="48"/>
      <c r="C120" s="48"/>
      <c r="D120" s="56"/>
      <c r="E120" s="56"/>
      <c r="F120" s="51" t="s">
        <v>23</v>
      </c>
      <c r="G120" s="52">
        <v>2.5</v>
      </c>
      <c r="H120" s="57">
        <f>VLOOKUP(F120,$A$11:$B$11,2,TRUE)</f>
        <v>1500</v>
      </c>
      <c r="I120" s="54">
        <f t="shared" si="1"/>
        <v>3750</v>
      </c>
      <c r="J120" s="56"/>
      <c r="K120" s="23"/>
      <c r="L120" s="23"/>
      <c r="M120" s="23"/>
      <c r="N120" s="23"/>
    </row>
    <row r="121" ht="15.75" customHeight="1">
      <c r="A121" s="48"/>
      <c r="B121" s="48"/>
      <c r="C121" s="48"/>
      <c r="D121" s="56"/>
      <c r="E121" s="56"/>
      <c r="F121" s="51" t="s">
        <v>24</v>
      </c>
      <c r="G121" s="52"/>
      <c r="H121" s="57">
        <f>VLOOKUP(F121,$A$12:$B$12,2,TRUE)</f>
        <v>1400</v>
      </c>
      <c r="I121" s="54">
        <f t="shared" si="1"/>
        <v>0</v>
      </c>
      <c r="J121" s="56"/>
      <c r="K121" s="23"/>
      <c r="L121" s="23"/>
      <c r="M121" s="23"/>
      <c r="N121" s="23"/>
    </row>
    <row r="122" ht="15.75" customHeight="1">
      <c r="A122" s="48"/>
      <c r="B122" s="48"/>
      <c r="C122" s="48"/>
      <c r="D122" s="56"/>
      <c r="E122" s="56"/>
      <c r="F122" s="51" t="s">
        <v>25</v>
      </c>
      <c r="G122" s="52"/>
      <c r="H122" s="57">
        <f>VLOOKUP(F122,$A$13:$B$13,2,TRUE)</f>
        <v>1000</v>
      </c>
      <c r="I122" s="54">
        <f t="shared" si="1"/>
        <v>0</v>
      </c>
      <c r="J122" s="56"/>
      <c r="K122" s="23"/>
      <c r="L122" s="23"/>
      <c r="M122" s="23"/>
      <c r="N122" s="23"/>
    </row>
    <row r="123" ht="15.75" customHeight="1">
      <c r="A123" s="48"/>
      <c r="B123" s="48"/>
      <c r="C123" s="48"/>
      <c r="D123" s="56"/>
      <c r="E123" s="56"/>
      <c r="F123" s="51" t="s">
        <v>26</v>
      </c>
      <c r="G123" s="52">
        <v>1.5</v>
      </c>
      <c r="H123" s="57">
        <f>VLOOKUP(F123,$A$14:$B$14,2,TRUE)</f>
        <v>500</v>
      </c>
      <c r="I123" s="54">
        <f t="shared" si="1"/>
        <v>750</v>
      </c>
      <c r="J123" s="56"/>
      <c r="K123" s="23"/>
      <c r="L123" s="23"/>
      <c r="M123" s="23"/>
      <c r="N123" s="23"/>
    </row>
    <row r="124" ht="15.75" customHeight="1">
      <c r="A124" s="48"/>
      <c r="B124" s="48"/>
      <c r="C124" s="48"/>
      <c r="D124" s="56"/>
      <c r="E124" s="56"/>
      <c r="F124" s="51" t="s">
        <v>27</v>
      </c>
      <c r="G124" s="52"/>
      <c r="H124" s="57">
        <f>VLOOKUP(F124,$A$15:$B$15,2,TRUE)</f>
        <v>7500</v>
      </c>
      <c r="I124" s="54">
        <f t="shared" si="1"/>
        <v>0</v>
      </c>
      <c r="J124" s="56"/>
      <c r="K124" s="23"/>
      <c r="L124" s="23"/>
      <c r="M124" s="23"/>
      <c r="N124" s="23"/>
    </row>
    <row r="125" ht="15.75" customHeight="1">
      <c r="A125" s="48"/>
      <c r="B125" s="48"/>
      <c r="C125" s="48"/>
      <c r="D125" s="56"/>
      <c r="E125" s="56"/>
      <c r="F125" s="51" t="s">
        <v>28</v>
      </c>
      <c r="G125" s="52"/>
      <c r="H125" s="57">
        <f>VLOOKUP(F125,$A$16:$B$16,2,TRUE)</f>
        <v>2000</v>
      </c>
      <c r="I125" s="54">
        <f t="shared" si="1"/>
        <v>0</v>
      </c>
      <c r="J125" s="56"/>
      <c r="K125" s="23"/>
      <c r="L125" s="23"/>
      <c r="M125" s="23"/>
      <c r="N125" s="23"/>
    </row>
    <row r="126" ht="15.75" customHeight="1">
      <c r="A126" s="48"/>
      <c r="B126" s="48"/>
      <c r="C126" s="48"/>
      <c r="D126" s="56"/>
      <c r="E126" s="56"/>
      <c r="F126" s="51" t="s">
        <v>29</v>
      </c>
      <c r="G126" s="52"/>
      <c r="H126" s="57">
        <f>VLOOKUP(F126,$A$17:$B$17,2,TRUE)</f>
        <v>1200</v>
      </c>
      <c r="I126" s="54">
        <f t="shared" si="1"/>
        <v>0</v>
      </c>
      <c r="J126" s="56"/>
      <c r="K126" s="23"/>
      <c r="L126" s="23"/>
      <c r="M126" s="23"/>
      <c r="N126" s="23"/>
    </row>
    <row r="127" ht="15.75" customHeight="1">
      <c r="A127" s="48"/>
      <c r="B127" s="48"/>
      <c r="C127" s="48"/>
      <c r="D127" s="56"/>
      <c r="E127" s="56"/>
      <c r="F127" s="51" t="s">
        <v>30</v>
      </c>
      <c r="G127" s="52"/>
      <c r="H127" s="57">
        <f>VLOOKUP(F127,$A$18:$B$18,2,TRUE)</f>
        <v>5000</v>
      </c>
      <c r="I127" s="54">
        <f t="shared" si="1"/>
        <v>0</v>
      </c>
      <c r="J127" s="56"/>
      <c r="K127" s="23"/>
      <c r="L127" s="23"/>
      <c r="M127" s="23"/>
      <c r="N127" s="23"/>
    </row>
    <row r="128" ht="15.75" customHeight="1">
      <c r="A128" s="48"/>
      <c r="B128" s="48"/>
      <c r="C128" s="48"/>
      <c r="D128" s="56"/>
      <c r="E128" s="56"/>
      <c r="F128" s="51" t="s">
        <v>31</v>
      </c>
      <c r="G128" s="52"/>
      <c r="H128" s="57">
        <f>VLOOKUP(F128,$A$19:$B$19,2,TRUE)</f>
        <v>2700</v>
      </c>
      <c r="I128" s="54">
        <f t="shared" si="1"/>
        <v>0</v>
      </c>
      <c r="J128" s="56"/>
      <c r="K128" s="23"/>
      <c r="L128" s="23"/>
      <c r="M128" s="23"/>
      <c r="N128" s="23"/>
    </row>
    <row r="129" ht="15.75" customHeight="1">
      <c r="A129" s="48"/>
      <c r="B129" s="48"/>
      <c r="C129" s="48"/>
      <c r="D129" s="56"/>
      <c r="E129" s="56"/>
      <c r="F129" s="51" t="s">
        <v>32</v>
      </c>
      <c r="G129" s="52"/>
      <c r="H129" s="57">
        <f>VLOOKUP(F129,$A$20:$B$20,2,TRUE)</f>
        <v>50000</v>
      </c>
      <c r="I129" s="54">
        <f t="shared" si="1"/>
        <v>0</v>
      </c>
      <c r="J129" s="56"/>
      <c r="K129" s="23"/>
      <c r="L129" s="23"/>
      <c r="M129" s="23"/>
      <c r="N129" s="23"/>
    </row>
    <row r="130" ht="15.75" customHeight="1">
      <c r="A130" s="48"/>
      <c r="B130" s="48"/>
      <c r="C130" s="48"/>
      <c r="D130" s="56"/>
      <c r="E130" s="56"/>
      <c r="F130" s="51" t="s">
        <v>33</v>
      </c>
      <c r="G130" s="52"/>
      <c r="H130" s="57">
        <f>VLOOKUP(F130,$A$21:$B$21,2,TRUE)</f>
        <v>10000</v>
      </c>
      <c r="I130" s="54">
        <f t="shared" si="1"/>
        <v>0</v>
      </c>
      <c r="J130" s="56"/>
      <c r="K130" s="23"/>
      <c r="L130" s="23"/>
      <c r="M130" s="23"/>
      <c r="N130" s="23"/>
    </row>
    <row r="131" ht="15.75" customHeight="1">
      <c r="A131" s="48"/>
      <c r="B131" s="48"/>
      <c r="C131" s="48"/>
      <c r="D131" s="56"/>
      <c r="E131" s="56"/>
      <c r="F131" s="51" t="s">
        <v>34</v>
      </c>
      <c r="G131" s="52"/>
      <c r="H131" s="57">
        <f>VLOOKUP(F131,$A$22:$B$22,2,TRUE)</f>
        <v>1000</v>
      </c>
      <c r="I131" s="54">
        <f t="shared" si="1"/>
        <v>0</v>
      </c>
      <c r="J131" s="56"/>
      <c r="K131" s="23"/>
      <c r="L131" s="23"/>
      <c r="M131" s="23"/>
      <c r="N131" s="23"/>
    </row>
    <row r="132" ht="15.75" customHeight="1">
      <c r="A132" s="48"/>
      <c r="B132" s="48"/>
      <c r="C132" s="48"/>
      <c r="D132" s="56"/>
      <c r="E132" s="56"/>
      <c r="F132" s="51" t="s">
        <v>35</v>
      </c>
      <c r="G132" s="52"/>
      <c r="H132" s="57">
        <f>VLOOKUP(F132,$A$23:$B$23,2,TRUE)</f>
        <v>500</v>
      </c>
      <c r="I132" s="54">
        <f t="shared" si="1"/>
        <v>0</v>
      </c>
      <c r="J132" s="56"/>
      <c r="K132" s="23"/>
      <c r="L132" s="23"/>
      <c r="M132" s="23"/>
      <c r="N132" s="23"/>
    </row>
    <row r="133" ht="15.75" customHeight="1">
      <c r="A133" s="48"/>
      <c r="B133" s="48"/>
      <c r="C133" s="48"/>
      <c r="D133" s="56"/>
      <c r="E133" s="56"/>
      <c r="F133" s="51" t="s">
        <v>36</v>
      </c>
      <c r="G133" s="52"/>
      <c r="H133" s="57">
        <f>VLOOKUP(F133,$A$24:$B$24,2,TRUE)</f>
        <v>200</v>
      </c>
      <c r="I133" s="54">
        <f t="shared" si="1"/>
        <v>0</v>
      </c>
      <c r="J133" s="56"/>
      <c r="K133" s="23"/>
      <c r="L133" s="23"/>
      <c r="M133" s="23"/>
      <c r="N133" s="23"/>
    </row>
    <row r="134" ht="15.75" customHeight="1">
      <c r="A134" s="48"/>
      <c r="B134" s="48"/>
      <c r="C134" s="48"/>
      <c r="D134" s="56"/>
      <c r="E134" s="56"/>
      <c r="F134" s="51" t="s">
        <v>37</v>
      </c>
      <c r="G134" s="52"/>
      <c r="H134" s="57">
        <f>VLOOKUP(F134,$A$25:$B$25,2,TRUE)</f>
        <v>1300</v>
      </c>
      <c r="I134" s="54">
        <f t="shared" si="1"/>
        <v>0</v>
      </c>
      <c r="J134" s="56"/>
      <c r="K134" s="23"/>
      <c r="L134" s="23"/>
      <c r="M134" s="23"/>
      <c r="N134" s="23"/>
    </row>
    <row r="135" ht="15.75" customHeight="1">
      <c r="A135" s="48"/>
      <c r="B135" s="48"/>
      <c r="C135" s="48"/>
      <c r="D135" s="56"/>
      <c r="E135" s="56"/>
      <c r="F135" s="51" t="s">
        <v>12</v>
      </c>
      <c r="G135" s="52"/>
      <c r="H135" s="57">
        <f>VLOOKUP(F135,$A$26:$B$26,2,TRUE)</f>
        <v>300</v>
      </c>
      <c r="I135" s="54">
        <f t="shared" si="1"/>
        <v>0</v>
      </c>
      <c r="J135" s="56"/>
      <c r="K135" s="23"/>
      <c r="L135" s="23"/>
      <c r="M135" s="23"/>
      <c r="N135" s="23"/>
    </row>
    <row r="136" ht="15.75" customHeight="1">
      <c r="A136" s="48"/>
      <c r="B136" s="48"/>
      <c r="C136" s="48"/>
      <c r="D136" s="56"/>
      <c r="E136" s="56"/>
      <c r="F136" s="51" t="s">
        <v>39</v>
      </c>
      <c r="G136" s="52"/>
      <c r="H136" s="57">
        <f>VLOOKUP(F136,$A$27:$B$27,2,TRUE)</f>
        <v>0</v>
      </c>
      <c r="I136" s="54">
        <f t="shared" si="1"/>
        <v>0</v>
      </c>
      <c r="J136" s="56"/>
      <c r="K136" s="23"/>
      <c r="L136" s="23"/>
      <c r="M136" s="23"/>
      <c r="N136" s="23"/>
    </row>
    <row r="137" ht="15.75" customHeight="1">
      <c r="A137" s="48"/>
      <c r="B137" s="48"/>
      <c r="C137" s="48"/>
      <c r="D137" s="56"/>
      <c r="E137" s="56"/>
      <c r="F137" s="51" t="s">
        <v>40</v>
      </c>
      <c r="G137" s="52"/>
      <c r="H137" s="57">
        <f>VLOOKUP(F136,$A$28:$B$28,2,TRUE)</f>
        <v>1700</v>
      </c>
      <c r="I137" s="54">
        <f t="shared" si="1"/>
        <v>0</v>
      </c>
      <c r="J137" s="56"/>
      <c r="K137" s="23"/>
      <c r="L137" s="23"/>
      <c r="M137" s="23"/>
      <c r="N137" s="23"/>
    </row>
    <row r="138" ht="15.75" customHeight="1">
      <c r="A138" s="48"/>
      <c r="B138" s="48"/>
      <c r="C138" s="48"/>
      <c r="D138" s="56"/>
      <c r="E138" s="56"/>
      <c r="F138" s="51" t="s">
        <v>14</v>
      </c>
      <c r="G138" s="52"/>
      <c r="H138" s="57">
        <f>VLOOKUP(F137,$A$29:$B$29,2,TRUE)</f>
        <v>4500</v>
      </c>
      <c r="I138" s="54">
        <f t="shared" si="1"/>
        <v>0</v>
      </c>
      <c r="J138" s="56"/>
      <c r="K138" s="23"/>
      <c r="L138" s="23"/>
      <c r="M138" s="23"/>
      <c r="N138" s="23"/>
    </row>
    <row r="139" ht="15.75" customHeight="1">
      <c r="A139" s="48"/>
      <c r="B139" s="48"/>
      <c r="C139" s="48"/>
      <c r="D139" s="10"/>
      <c r="E139" s="10"/>
      <c r="F139" s="51" t="s">
        <v>58</v>
      </c>
      <c r="G139" s="52">
        <v>6.0</v>
      </c>
      <c r="H139" s="57">
        <f>VLOOKUP(F138,$A$30:$B$30,2,TRUE)</f>
        <v>0</v>
      </c>
      <c r="I139" s="54">
        <f t="shared" si="1"/>
        <v>0</v>
      </c>
      <c r="J139" s="10"/>
      <c r="K139" s="23"/>
      <c r="L139" s="23"/>
      <c r="M139" s="23"/>
      <c r="N139" s="23"/>
    </row>
    <row r="140" ht="15.75" customHeight="1">
      <c r="A140" s="48"/>
      <c r="B140" s="48"/>
      <c r="C140" s="48"/>
      <c r="D140" s="59" t="s">
        <v>60</v>
      </c>
      <c r="E140" s="60"/>
      <c r="F140" s="60"/>
      <c r="G140" s="60"/>
      <c r="H140" s="60"/>
      <c r="I140" s="61"/>
      <c r="J140" s="62">
        <f>SUM(J5:J139)</f>
        <v>71500</v>
      </c>
      <c r="K140" s="23"/>
      <c r="L140" s="23"/>
      <c r="M140" s="23"/>
      <c r="N140" s="23"/>
    </row>
    <row r="141" ht="15.75" customHeight="1">
      <c r="A141" s="22"/>
      <c r="B141" s="22"/>
      <c r="C141" s="22"/>
      <c r="D141" s="22"/>
      <c r="E141" s="22"/>
      <c r="F141" s="23"/>
      <c r="G141" s="23"/>
      <c r="H141" s="23"/>
      <c r="I141" s="23"/>
      <c r="J141" s="24"/>
      <c r="K141" s="23"/>
      <c r="L141" s="23"/>
      <c r="M141" s="23"/>
      <c r="N141" s="23"/>
    </row>
    <row r="142" ht="15.75" customHeight="1">
      <c r="A142" s="22"/>
      <c r="B142" s="22"/>
      <c r="C142" s="22"/>
      <c r="D142" s="22"/>
      <c r="E142" s="22"/>
      <c r="F142" s="23"/>
      <c r="G142" s="23"/>
      <c r="H142" s="23"/>
      <c r="I142" s="23"/>
      <c r="J142" s="24"/>
      <c r="K142" s="23"/>
      <c r="L142" s="23"/>
      <c r="M142" s="23"/>
      <c r="N142" s="23"/>
    </row>
    <row r="143" ht="15.75" customHeight="1">
      <c r="A143" s="22"/>
      <c r="B143" s="22"/>
      <c r="C143" s="22"/>
      <c r="D143" s="22"/>
      <c r="E143" s="22"/>
      <c r="F143" s="23"/>
      <c r="G143" s="23"/>
      <c r="H143" s="23"/>
      <c r="I143" s="23"/>
      <c r="J143" s="24"/>
      <c r="K143" s="23"/>
      <c r="L143" s="23"/>
      <c r="M143" s="23"/>
      <c r="N143" s="23"/>
    </row>
    <row r="144" ht="15.75" customHeight="1">
      <c r="A144" s="22"/>
      <c r="B144" s="22"/>
      <c r="C144" s="22"/>
      <c r="D144" s="22"/>
      <c r="E144" s="22"/>
      <c r="F144" s="23"/>
      <c r="G144" s="23"/>
      <c r="H144" s="23"/>
      <c r="I144" s="23"/>
      <c r="J144" s="24"/>
      <c r="K144" s="23"/>
      <c r="L144" s="23"/>
      <c r="M144" s="23"/>
      <c r="N144" s="23"/>
    </row>
    <row r="145" ht="15.75" customHeight="1">
      <c r="A145" s="22"/>
      <c r="B145" s="22"/>
      <c r="C145" s="22"/>
      <c r="D145" s="22"/>
      <c r="E145" s="22"/>
      <c r="F145" s="23"/>
      <c r="G145" s="23"/>
      <c r="H145" s="23"/>
      <c r="I145" s="23"/>
      <c r="J145" s="24"/>
      <c r="K145" s="23"/>
      <c r="L145" s="23"/>
      <c r="M145" s="23"/>
      <c r="N145" s="23"/>
    </row>
    <row r="146" ht="15.75" customHeight="1">
      <c r="A146" s="22"/>
      <c r="B146" s="22"/>
      <c r="C146" s="22"/>
      <c r="D146" s="22"/>
      <c r="E146" s="22"/>
      <c r="F146" s="23"/>
      <c r="G146" s="23"/>
      <c r="H146" s="23"/>
      <c r="I146" s="23"/>
      <c r="J146" s="24"/>
      <c r="K146" s="23"/>
      <c r="L146" s="23"/>
      <c r="M146" s="23"/>
      <c r="N146" s="23"/>
    </row>
    <row r="147" ht="15.75" customHeight="1">
      <c r="A147" s="22"/>
      <c r="B147" s="22"/>
      <c r="C147" s="22"/>
      <c r="D147" s="22"/>
      <c r="E147" s="22"/>
      <c r="F147" s="23"/>
      <c r="G147" s="23"/>
      <c r="H147" s="23"/>
      <c r="I147" s="23"/>
      <c r="J147" s="24"/>
      <c r="K147" s="23"/>
      <c r="L147" s="23"/>
      <c r="M147" s="23"/>
      <c r="N147" s="23"/>
    </row>
    <row r="148" ht="15.75" customHeight="1">
      <c r="A148" s="22"/>
      <c r="B148" s="22"/>
      <c r="C148" s="22"/>
      <c r="D148" s="22"/>
      <c r="E148" s="22"/>
      <c r="F148" s="23"/>
      <c r="G148" s="23"/>
      <c r="H148" s="23"/>
      <c r="I148" s="23"/>
      <c r="J148" s="24"/>
      <c r="K148" s="23"/>
      <c r="L148" s="23"/>
      <c r="M148" s="23"/>
      <c r="N148" s="23"/>
    </row>
    <row r="149" ht="15.75" customHeight="1">
      <c r="A149" s="22"/>
      <c r="B149" s="22"/>
      <c r="C149" s="22"/>
      <c r="D149" s="22"/>
      <c r="E149" s="22"/>
      <c r="J149" s="24"/>
    </row>
    <row r="150" ht="15.75" customHeight="1">
      <c r="A150" s="22"/>
      <c r="B150" s="22"/>
      <c r="C150" s="22"/>
      <c r="D150" s="22"/>
      <c r="E150" s="22"/>
      <c r="J150" s="24"/>
    </row>
    <row r="151" ht="15.75" customHeight="1">
      <c r="A151" s="22"/>
      <c r="B151" s="22"/>
      <c r="C151" s="22"/>
      <c r="D151" s="22"/>
      <c r="E151" s="22"/>
      <c r="J151" s="24"/>
    </row>
    <row r="152" ht="15.75" customHeight="1">
      <c r="A152" s="22"/>
      <c r="B152" s="22"/>
      <c r="C152" s="22"/>
      <c r="D152" s="22"/>
      <c r="E152" s="22"/>
      <c r="J152" s="24"/>
    </row>
    <row r="153" ht="15.75" customHeight="1">
      <c r="A153" s="22"/>
      <c r="B153" s="22"/>
      <c r="C153" s="22"/>
      <c r="D153" s="22"/>
      <c r="E153" s="22"/>
      <c r="J153" s="24"/>
    </row>
    <row r="154" ht="15.75" customHeight="1">
      <c r="A154" s="22"/>
      <c r="B154" s="22"/>
      <c r="C154" s="22"/>
      <c r="D154" s="22"/>
      <c r="E154" s="22"/>
      <c r="J154" s="24"/>
    </row>
    <row r="155" ht="15.75" customHeight="1">
      <c r="A155" s="22"/>
      <c r="B155" s="22"/>
      <c r="C155" s="22"/>
      <c r="D155" s="22"/>
      <c r="E155" s="22"/>
      <c r="J155" s="24"/>
    </row>
    <row r="156" ht="15.75" customHeight="1">
      <c r="A156" s="22"/>
      <c r="B156" s="22"/>
      <c r="C156" s="22"/>
      <c r="D156" s="22"/>
      <c r="E156" s="22"/>
      <c r="J156" s="24"/>
    </row>
    <row r="157" ht="15.75" customHeight="1">
      <c r="A157" s="22"/>
      <c r="B157" s="22"/>
      <c r="C157" s="22"/>
      <c r="D157" s="22"/>
      <c r="E157" s="22"/>
      <c r="J157" s="24"/>
    </row>
    <row r="158" ht="15.75" customHeight="1">
      <c r="A158" s="22"/>
      <c r="B158" s="22"/>
      <c r="C158" s="22"/>
      <c r="D158" s="22"/>
      <c r="E158" s="22"/>
      <c r="J158" s="24"/>
    </row>
    <row r="159" ht="15.75" customHeight="1">
      <c r="A159" s="22"/>
      <c r="B159" s="22"/>
      <c r="C159" s="22"/>
      <c r="D159" s="22"/>
      <c r="E159" s="22"/>
      <c r="J159" s="24"/>
    </row>
    <row r="160" ht="15.75" customHeight="1">
      <c r="A160" s="22"/>
      <c r="B160" s="22"/>
      <c r="C160" s="22"/>
      <c r="D160" s="22"/>
      <c r="E160" s="22"/>
      <c r="J160" s="24"/>
    </row>
    <row r="161" ht="15.75" customHeight="1">
      <c r="A161" s="22"/>
      <c r="B161" s="22"/>
      <c r="C161" s="22"/>
      <c r="D161" s="22"/>
      <c r="E161" s="22"/>
      <c r="J161" s="24"/>
    </row>
    <row r="162" ht="15.75" customHeight="1">
      <c r="A162" s="22"/>
      <c r="B162" s="22"/>
      <c r="C162" s="22"/>
      <c r="D162" s="22"/>
      <c r="E162" s="22"/>
      <c r="J162" s="24"/>
    </row>
    <row r="163" ht="15.75" customHeight="1">
      <c r="A163" s="22"/>
      <c r="B163" s="22"/>
      <c r="C163" s="22"/>
      <c r="D163" s="22"/>
      <c r="E163" s="22"/>
      <c r="J163" s="24"/>
    </row>
    <row r="164" ht="15.75" customHeight="1">
      <c r="A164" s="22"/>
      <c r="B164" s="22"/>
      <c r="C164" s="22"/>
      <c r="D164" s="22"/>
      <c r="E164" s="22"/>
      <c r="J164" s="24"/>
    </row>
    <row r="165" ht="15.75" customHeight="1">
      <c r="A165" s="22"/>
      <c r="B165" s="22"/>
      <c r="C165" s="22"/>
      <c r="D165" s="22"/>
      <c r="E165" s="22"/>
      <c r="J165" s="24"/>
    </row>
    <row r="166" ht="15.75" customHeight="1">
      <c r="A166" s="22"/>
      <c r="B166" s="22"/>
      <c r="C166" s="22"/>
      <c r="D166" s="22"/>
      <c r="E166" s="22"/>
      <c r="J166" s="24"/>
    </row>
    <row r="167" ht="15.75" customHeight="1">
      <c r="A167" s="22"/>
      <c r="B167" s="22"/>
      <c r="C167" s="22"/>
      <c r="D167" s="22"/>
      <c r="E167" s="22"/>
      <c r="J167" s="24"/>
    </row>
    <row r="168" ht="15.75" customHeight="1">
      <c r="A168" s="22"/>
      <c r="B168" s="22"/>
      <c r="C168" s="22"/>
      <c r="D168" s="22"/>
      <c r="E168" s="22"/>
      <c r="J168" s="24"/>
    </row>
    <row r="169" ht="15.75" customHeight="1">
      <c r="A169" s="22"/>
      <c r="B169" s="22"/>
      <c r="C169" s="22"/>
      <c r="D169" s="22"/>
      <c r="E169" s="22"/>
      <c r="J169" s="24"/>
    </row>
    <row r="170" ht="15.75" customHeight="1">
      <c r="A170" s="22"/>
      <c r="B170" s="22"/>
      <c r="C170" s="22"/>
      <c r="D170" s="22"/>
      <c r="E170" s="22"/>
      <c r="J170" s="24"/>
    </row>
    <row r="171" ht="15.75" customHeight="1">
      <c r="A171" s="22"/>
      <c r="B171" s="22"/>
      <c r="C171" s="22"/>
      <c r="D171" s="22"/>
      <c r="E171" s="22"/>
      <c r="J171" s="24"/>
    </row>
    <row r="172" ht="15.75" customHeight="1">
      <c r="A172" s="22"/>
      <c r="B172" s="22"/>
      <c r="C172" s="22"/>
      <c r="D172" s="22"/>
      <c r="E172" s="22"/>
      <c r="J172" s="24"/>
    </row>
    <row r="173" ht="15.75" customHeight="1">
      <c r="A173" s="22"/>
      <c r="B173" s="22"/>
      <c r="C173" s="22"/>
      <c r="D173" s="22"/>
      <c r="E173" s="22"/>
      <c r="J173" s="24"/>
    </row>
    <row r="174" ht="15.75" customHeight="1">
      <c r="A174" s="22"/>
      <c r="B174" s="22"/>
      <c r="C174" s="22"/>
      <c r="D174" s="22"/>
      <c r="E174" s="22"/>
      <c r="J174" s="24"/>
    </row>
    <row r="175" ht="15.75" customHeight="1">
      <c r="A175" s="22"/>
      <c r="B175" s="22"/>
      <c r="C175" s="22"/>
      <c r="D175" s="22"/>
      <c r="E175" s="22"/>
      <c r="J175" s="24"/>
    </row>
    <row r="176" ht="15.75" customHeight="1">
      <c r="A176" s="22"/>
      <c r="B176" s="22"/>
      <c r="C176" s="22"/>
      <c r="D176" s="22"/>
      <c r="E176" s="22"/>
      <c r="J176" s="24"/>
    </row>
    <row r="177" ht="15.75" customHeight="1">
      <c r="A177" s="22"/>
      <c r="B177" s="22"/>
      <c r="C177" s="22"/>
      <c r="D177" s="22"/>
      <c r="E177" s="22"/>
      <c r="J177" s="24"/>
    </row>
    <row r="178" ht="15.75" customHeight="1">
      <c r="A178" s="22"/>
      <c r="B178" s="22"/>
      <c r="C178" s="22"/>
      <c r="D178" s="22"/>
      <c r="E178" s="22"/>
      <c r="J178" s="24"/>
    </row>
    <row r="179" ht="15.75" customHeight="1">
      <c r="A179" s="22"/>
      <c r="B179" s="22"/>
      <c r="C179" s="22"/>
      <c r="D179" s="22"/>
      <c r="E179" s="22"/>
      <c r="J179" s="24"/>
    </row>
    <row r="180" ht="15.75" customHeight="1">
      <c r="A180" s="22"/>
      <c r="B180" s="22"/>
      <c r="C180" s="22"/>
      <c r="D180" s="22"/>
      <c r="E180" s="22"/>
      <c r="J180" s="24"/>
    </row>
    <row r="181" ht="15.75" customHeight="1">
      <c r="A181" s="22"/>
      <c r="B181" s="22"/>
      <c r="C181" s="22"/>
      <c r="D181" s="22"/>
      <c r="E181" s="22"/>
      <c r="J181" s="24"/>
    </row>
    <row r="182" ht="15.75" customHeight="1">
      <c r="A182" s="22"/>
      <c r="B182" s="22"/>
      <c r="C182" s="22"/>
      <c r="D182" s="22"/>
      <c r="E182" s="22"/>
      <c r="J182" s="24"/>
    </row>
    <row r="183" ht="15.75" customHeight="1">
      <c r="A183" s="22"/>
      <c r="B183" s="22"/>
      <c r="C183" s="22"/>
      <c r="D183" s="22"/>
      <c r="E183" s="22"/>
      <c r="J183" s="24"/>
    </row>
    <row r="184" ht="15.75" customHeight="1">
      <c r="A184" s="22"/>
      <c r="B184" s="22"/>
      <c r="C184" s="22"/>
      <c r="D184" s="22"/>
      <c r="E184" s="22"/>
      <c r="J184" s="24"/>
    </row>
    <row r="185" ht="15.75" customHeight="1">
      <c r="A185" s="22"/>
      <c r="B185" s="22"/>
      <c r="C185" s="22"/>
      <c r="D185" s="22"/>
      <c r="E185" s="22"/>
      <c r="J185" s="24"/>
    </row>
    <row r="186" ht="15.75" customHeight="1">
      <c r="A186" s="22"/>
      <c r="B186" s="22"/>
      <c r="C186" s="22"/>
      <c r="D186" s="22"/>
      <c r="E186" s="22"/>
      <c r="J186" s="24"/>
    </row>
    <row r="187" ht="15.75" customHeight="1">
      <c r="A187" s="22"/>
      <c r="B187" s="22"/>
      <c r="C187" s="22"/>
      <c r="D187" s="22"/>
      <c r="E187" s="22"/>
      <c r="J187" s="24"/>
    </row>
    <row r="188" ht="15.75" customHeight="1">
      <c r="A188" s="22"/>
      <c r="B188" s="22"/>
      <c r="C188" s="22"/>
      <c r="D188" s="22"/>
      <c r="E188" s="22"/>
      <c r="J188" s="24"/>
    </row>
    <row r="189" ht="15.75" customHeight="1">
      <c r="A189" s="22"/>
      <c r="B189" s="22"/>
      <c r="C189" s="22"/>
      <c r="D189" s="22"/>
      <c r="E189" s="22"/>
      <c r="J189" s="24"/>
    </row>
    <row r="190" ht="15.75" customHeight="1">
      <c r="A190" s="22"/>
      <c r="B190" s="22"/>
      <c r="C190" s="22"/>
      <c r="D190" s="22"/>
      <c r="E190" s="22"/>
      <c r="J190" s="24"/>
    </row>
    <row r="191" ht="15.75" customHeight="1">
      <c r="A191" s="22"/>
      <c r="B191" s="22"/>
      <c r="C191" s="22"/>
      <c r="D191" s="22"/>
      <c r="E191" s="22"/>
      <c r="J191" s="24"/>
    </row>
    <row r="192" ht="15.75" customHeight="1">
      <c r="A192" s="22"/>
      <c r="B192" s="22"/>
      <c r="C192" s="22"/>
      <c r="D192" s="22"/>
      <c r="E192" s="22"/>
      <c r="J192" s="24"/>
    </row>
    <row r="193" ht="15.75" customHeight="1">
      <c r="A193" s="22"/>
      <c r="B193" s="22"/>
      <c r="C193" s="22"/>
      <c r="D193" s="22"/>
      <c r="E193" s="22"/>
      <c r="J193" s="24"/>
    </row>
    <row r="194" ht="15.75" customHeight="1">
      <c r="A194" s="22"/>
      <c r="B194" s="22"/>
      <c r="C194" s="22"/>
      <c r="D194" s="22"/>
      <c r="E194" s="22"/>
      <c r="J194" s="24"/>
    </row>
    <row r="195" ht="15.75" customHeight="1">
      <c r="A195" s="22"/>
      <c r="B195" s="22"/>
      <c r="C195" s="22"/>
      <c r="D195" s="22"/>
      <c r="E195" s="22"/>
      <c r="J195" s="24"/>
    </row>
    <row r="196" ht="15.75" customHeight="1">
      <c r="A196" s="22"/>
      <c r="B196" s="22"/>
      <c r="C196" s="22"/>
      <c r="D196" s="22"/>
      <c r="E196" s="22"/>
      <c r="J196" s="24"/>
    </row>
    <row r="197" ht="15.75" customHeight="1">
      <c r="A197" s="22"/>
      <c r="B197" s="22"/>
      <c r="C197" s="22"/>
      <c r="D197" s="22"/>
      <c r="E197" s="22"/>
      <c r="J197" s="24"/>
    </row>
    <row r="198" ht="15.75" customHeight="1">
      <c r="A198" s="22"/>
      <c r="B198" s="22"/>
      <c r="C198" s="22"/>
      <c r="D198" s="22"/>
      <c r="E198" s="22"/>
      <c r="J198" s="24"/>
    </row>
    <row r="199" ht="15.75" customHeight="1">
      <c r="A199" s="22"/>
      <c r="B199" s="22"/>
      <c r="C199" s="22"/>
      <c r="D199" s="22"/>
      <c r="E199" s="22"/>
      <c r="J199" s="24"/>
    </row>
    <row r="200" ht="15.75" customHeight="1">
      <c r="A200" s="22"/>
      <c r="B200" s="22"/>
      <c r="C200" s="22"/>
      <c r="D200" s="22"/>
      <c r="E200" s="22"/>
      <c r="J200" s="24"/>
    </row>
    <row r="201" ht="15.75" customHeight="1">
      <c r="A201" s="22"/>
      <c r="B201" s="22"/>
      <c r="C201" s="22"/>
      <c r="D201" s="22"/>
      <c r="E201" s="22"/>
      <c r="J201" s="24"/>
    </row>
    <row r="202" ht="15.75" customHeight="1">
      <c r="A202" s="22"/>
      <c r="B202" s="22"/>
      <c r="C202" s="22"/>
      <c r="D202" s="22"/>
      <c r="E202" s="22"/>
      <c r="J202" s="24"/>
    </row>
    <row r="203" ht="15.75" customHeight="1">
      <c r="A203" s="22"/>
      <c r="B203" s="22"/>
      <c r="C203" s="22"/>
      <c r="D203" s="22"/>
      <c r="E203" s="22"/>
      <c r="J203" s="24"/>
    </row>
    <row r="204" ht="15.75" customHeight="1">
      <c r="A204" s="22"/>
      <c r="B204" s="22"/>
      <c r="C204" s="22"/>
      <c r="D204" s="22"/>
      <c r="E204" s="22"/>
      <c r="J204" s="24"/>
    </row>
    <row r="205" ht="15.75" customHeight="1">
      <c r="A205" s="22"/>
      <c r="B205" s="22"/>
      <c r="C205" s="22"/>
      <c r="D205" s="22"/>
      <c r="E205" s="22"/>
      <c r="J205" s="24"/>
    </row>
    <row r="206" ht="15.75" customHeight="1">
      <c r="A206" s="22"/>
      <c r="B206" s="22"/>
      <c r="C206" s="22"/>
      <c r="D206" s="22"/>
      <c r="E206" s="22"/>
      <c r="J206" s="24"/>
    </row>
    <row r="207" ht="15.75" customHeight="1">
      <c r="A207" s="22"/>
      <c r="B207" s="22"/>
      <c r="C207" s="22"/>
      <c r="D207" s="22"/>
      <c r="E207" s="22"/>
      <c r="J207" s="24"/>
    </row>
    <row r="208" ht="15.75" customHeight="1">
      <c r="A208" s="22"/>
      <c r="B208" s="22"/>
      <c r="C208" s="22"/>
      <c r="D208" s="22"/>
      <c r="E208" s="22"/>
      <c r="J208" s="24"/>
    </row>
    <row r="209" ht="15.75" customHeight="1">
      <c r="A209" s="22"/>
      <c r="B209" s="22"/>
      <c r="C209" s="22"/>
      <c r="D209" s="22"/>
      <c r="E209" s="22"/>
      <c r="J209" s="24"/>
    </row>
    <row r="210" ht="15.75" customHeight="1">
      <c r="A210" s="22"/>
      <c r="B210" s="22"/>
      <c r="C210" s="22"/>
      <c r="D210" s="22"/>
      <c r="E210" s="22"/>
      <c r="J210" s="24"/>
    </row>
    <row r="211" ht="15.75" customHeight="1">
      <c r="A211" s="22"/>
      <c r="B211" s="22"/>
      <c r="C211" s="22"/>
      <c r="D211" s="22"/>
      <c r="E211" s="22"/>
      <c r="J211" s="24"/>
    </row>
    <row r="212" ht="15.75" customHeight="1">
      <c r="A212" s="22"/>
      <c r="B212" s="22"/>
      <c r="C212" s="22"/>
      <c r="D212" s="22"/>
      <c r="E212" s="22"/>
      <c r="J212" s="24"/>
    </row>
    <row r="213" ht="15.75" customHeight="1">
      <c r="A213" s="22"/>
      <c r="B213" s="22"/>
      <c r="C213" s="22"/>
      <c r="D213" s="22"/>
      <c r="E213" s="22"/>
      <c r="J213" s="24"/>
    </row>
    <row r="214" ht="15.75" customHeight="1">
      <c r="A214" s="22"/>
      <c r="B214" s="22"/>
      <c r="C214" s="22"/>
      <c r="D214" s="22"/>
      <c r="E214" s="22"/>
      <c r="J214" s="24"/>
    </row>
    <row r="215" ht="15.75" customHeight="1">
      <c r="A215" s="22"/>
      <c r="B215" s="22"/>
      <c r="C215" s="22"/>
      <c r="D215" s="22"/>
      <c r="E215" s="22"/>
      <c r="J215" s="24"/>
    </row>
    <row r="216" ht="15.75" customHeight="1">
      <c r="A216" s="22"/>
      <c r="B216" s="22"/>
      <c r="C216" s="22"/>
      <c r="D216" s="22"/>
      <c r="E216" s="22"/>
      <c r="J216" s="24"/>
    </row>
    <row r="217" ht="15.75" customHeight="1">
      <c r="A217" s="22"/>
      <c r="B217" s="22"/>
      <c r="C217" s="22"/>
      <c r="D217" s="22"/>
      <c r="E217" s="22"/>
      <c r="J217" s="24"/>
    </row>
    <row r="218" ht="15.75" customHeight="1">
      <c r="A218" s="22"/>
      <c r="B218" s="22"/>
      <c r="C218" s="22"/>
      <c r="D218" s="22"/>
      <c r="E218" s="22"/>
      <c r="J218" s="24"/>
    </row>
    <row r="219" ht="15.75" customHeight="1">
      <c r="A219" s="22"/>
      <c r="B219" s="22"/>
      <c r="C219" s="22"/>
      <c r="D219" s="22"/>
      <c r="E219" s="22"/>
      <c r="J219" s="24"/>
    </row>
    <row r="220" ht="15.75" customHeight="1">
      <c r="A220" s="22"/>
      <c r="B220" s="22"/>
      <c r="C220" s="22"/>
      <c r="D220" s="22"/>
      <c r="E220" s="22"/>
      <c r="J220" s="24"/>
    </row>
    <row r="221" ht="15.75" customHeight="1">
      <c r="A221" s="22"/>
      <c r="B221" s="22"/>
      <c r="C221" s="22"/>
      <c r="D221" s="22"/>
      <c r="E221" s="22"/>
      <c r="J221" s="24"/>
    </row>
    <row r="222" ht="15.75" customHeight="1">
      <c r="A222" s="22"/>
      <c r="B222" s="22"/>
      <c r="C222" s="22"/>
      <c r="D222" s="22"/>
      <c r="E222" s="22"/>
      <c r="J222" s="24"/>
    </row>
    <row r="223" ht="15.75" customHeight="1">
      <c r="A223" s="22"/>
      <c r="B223" s="22"/>
      <c r="C223" s="22"/>
      <c r="D223" s="22"/>
      <c r="E223" s="22"/>
      <c r="J223" s="24"/>
    </row>
    <row r="224" ht="15.75" customHeight="1">
      <c r="A224" s="22"/>
      <c r="B224" s="22"/>
      <c r="C224" s="22"/>
      <c r="D224" s="22"/>
      <c r="E224" s="22"/>
      <c r="J224" s="24"/>
    </row>
    <row r="225" ht="15.75" customHeight="1">
      <c r="A225" s="22"/>
      <c r="B225" s="22"/>
      <c r="C225" s="22"/>
      <c r="D225" s="22"/>
      <c r="E225" s="22"/>
      <c r="J225" s="24"/>
    </row>
    <row r="226" ht="15.75" customHeight="1">
      <c r="A226" s="22"/>
      <c r="B226" s="22"/>
      <c r="C226" s="22"/>
      <c r="D226" s="22"/>
      <c r="E226" s="22"/>
      <c r="J226" s="24"/>
    </row>
    <row r="227" ht="15.75" customHeight="1">
      <c r="A227" s="22"/>
      <c r="B227" s="22"/>
      <c r="C227" s="22"/>
      <c r="D227" s="22"/>
      <c r="E227" s="22"/>
      <c r="J227" s="24"/>
    </row>
    <row r="228" ht="15.75" customHeight="1">
      <c r="A228" s="22"/>
      <c r="B228" s="22"/>
      <c r="C228" s="22"/>
      <c r="D228" s="22"/>
      <c r="E228" s="22"/>
      <c r="J228" s="24"/>
    </row>
    <row r="229" ht="15.75" customHeight="1">
      <c r="A229" s="22"/>
      <c r="B229" s="22"/>
      <c r="C229" s="22"/>
      <c r="D229" s="22"/>
      <c r="E229" s="22"/>
      <c r="J229" s="24"/>
    </row>
    <row r="230" ht="15.75" customHeight="1">
      <c r="A230" s="22"/>
      <c r="B230" s="22"/>
      <c r="C230" s="22"/>
      <c r="D230" s="22"/>
      <c r="E230" s="22"/>
      <c r="J230" s="24"/>
    </row>
    <row r="231" ht="15.75" customHeight="1">
      <c r="A231" s="22"/>
      <c r="B231" s="22"/>
      <c r="C231" s="22"/>
      <c r="D231" s="22"/>
      <c r="E231" s="22"/>
      <c r="J231" s="24"/>
    </row>
    <row r="232" ht="15.75" customHeight="1">
      <c r="A232" s="22"/>
      <c r="B232" s="22"/>
      <c r="C232" s="22"/>
      <c r="D232" s="22"/>
      <c r="E232" s="22"/>
      <c r="J232" s="24"/>
    </row>
    <row r="233" ht="15.75" customHeight="1">
      <c r="A233" s="22"/>
      <c r="B233" s="22"/>
      <c r="C233" s="22"/>
      <c r="D233" s="22"/>
      <c r="E233" s="22"/>
      <c r="J233" s="24"/>
    </row>
    <row r="234" ht="15.75" customHeight="1">
      <c r="A234" s="22"/>
      <c r="B234" s="22"/>
      <c r="C234" s="22"/>
      <c r="D234" s="22"/>
      <c r="E234" s="22"/>
      <c r="J234" s="24"/>
    </row>
    <row r="235" ht="15.75" customHeight="1">
      <c r="A235" s="22"/>
      <c r="B235" s="22"/>
      <c r="C235" s="22"/>
      <c r="D235" s="22"/>
      <c r="E235" s="22"/>
      <c r="J235" s="24"/>
    </row>
    <row r="236" ht="15.75" customHeight="1">
      <c r="A236" s="22"/>
      <c r="B236" s="22"/>
      <c r="C236" s="22"/>
      <c r="D236" s="22"/>
      <c r="E236" s="22"/>
      <c r="J236" s="24"/>
    </row>
    <row r="237" ht="15.75" customHeight="1">
      <c r="A237" s="22"/>
      <c r="B237" s="22"/>
      <c r="C237" s="22"/>
      <c r="D237" s="22"/>
      <c r="E237" s="22"/>
      <c r="J237" s="24"/>
    </row>
    <row r="238" ht="15.75" customHeight="1">
      <c r="A238" s="22"/>
      <c r="B238" s="22"/>
      <c r="C238" s="22"/>
      <c r="D238" s="22"/>
      <c r="E238" s="22"/>
      <c r="J238" s="24"/>
    </row>
    <row r="239" ht="15.75" customHeight="1">
      <c r="A239" s="22"/>
      <c r="B239" s="22"/>
      <c r="C239" s="22"/>
      <c r="D239" s="22"/>
      <c r="E239" s="22"/>
      <c r="J239" s="24"/>
    </row>
    <row r="240" ht="15.75" customHeight="1">
      <c r="A240" s="22"/>
      <c r="B240" s="22"/>
      <c r="C240" s="22"/>
      <c r="D240" s="22"/>
      <c r="E240" s="22"/>
      <c r="J240" s="24"/>
    </row>
    <row r="241" ht="15.75" customHeight="1">
      <c r="A241" s="22"/>
      <c r="B241" s="22"/>
      <c r="C241" s="22"/>
      <c r="D241" s="22"/>
      <c r="E241" s="22"/>
      <c r="J241" s="24"/>
    </row>
    <row r="242" ht="15.75" customHeight="1">
      <c r="A242" s="22"/>
      <c r="B242" s="22"/>
      <c r="C242" s="22"/>
      <c r="D242" s="22"/>
      <c r="E242" s="22"/>
      <c r="J242" s="24"/>
    </row>
    <row r="243" ht="15.75" customHeight="1">
      <c r="A243" s="22"/>
      <c r="B243" s="22"/>
      <c r="C243" s="22"/>
      <c r="D243" s="22"/>
      <c r="E243" s="22"/>
      <c r="J243" s="24"/>
    </row>
    <row r="244" ht="15.75" customHeight="1">
      <c r="A244" s="22"/>
      <c r="B244" s="22"/>
      <c r="C244" s="22"/>
      <c r="D244" s="22"/>
      <c r="E244" s="22"/>
      <c r="J244" s="24"/>
    </row>
    <row r="245" ht="15.75" customHeight="1">
      <c r="A245" s="22"/>
      <c r="B245" s="22"/>
      <c r="C245" s="22"/>
      <c r="D245" s="22"/>
      <c r="E245" s="22"/>
      <c r="J245" s="24"/>
    </row>
    <row r="246" ht="15.75" customHeight="1">
      <c r="A246" s="22"/>
      <c r="B246" s="22"/>
      <c r="C246" s="22"/>
      <c r="D246" s="22"/>
      <c r="E246" s="22"/>
      <c r="J246" s="24"/>
    </row>
    <row r="247" ht="15.75" customHeight="1">
      <c r="A247" s="22"/>
      <c r="B247" s="22"/>
      <c r="C247" s="22"/>
      <c r="D247" s="22"/>
      <c r="E247" s="22"/>
      <c r="J247" s="24"/>
    </row>
    <row r="248" ht="15.75" customHeight="1">
      <c r="A248" s="22"/>
      <c r="B248" s="22"/>
      <c r="C248" s="22"/>
      <c r="D248" s="22"/>
      <c r="E248" s="22"/>
      <c r="J248" s="24"/>
    </row>
    <row r="249" ht="15.75" customHeight="1">
      <c r="A249" s="22"/>
      <c r="B249" s="22"/>
      <c r="C249" s="22"/>
      <c r="D249" s="22"/>
      <c r="E249" s="22"/>
      <c r="J249" s="24"/>
    </row>
    <row r="250" ht="15.75" customHeight="1">
      <c r="A250" s="22"/>
      <c r="B250" s="22"/>
      <c r="C250" s="22"/>
      <c r="D250" s="22"/>
      <c r="E250" s="22"/>
      <c r="J250" s="24"/>
    </row>
    <row r="251" ht="15.75" customHeight="1">
      <c r="A251" s="22"/>
      <c r="B251" s="22"/>
      <c r="C251" s="22"/>
      <c r="D251" s="22"/>
      <c r="E251" s="22"/>
      <c r="J251" s="24"/>
    </row>
    <row r="252" ht="15.75" customHeight="1">
      <c r="A252" s="22"/>
      <c r="B252" s="22"/>
      <c r="C252" s="22"/>
      <c r="D252" s="22"/>
      <c r="E252" s="22"/>
      <c r="J252" s="24"/>
    </row>
    <row r="253" ht="15.75" customHeight="1">
      <c r="A253" s="22"/>
      <c r="B253" s="22"/>
      <c r="C253" s="22"/>
      <c r="D253" s="22"/>
      <c r="E253" s="22"/>
      <c r="J253" s="24"/>
    </row>
    <row r="254" ht="15.75" customHeight="1">
      <c r="A254" s="22"/>
      <c r="B254" s="22"/>
      <c r="C254" s="22"/>
      <c r="D254" s="22"/>
      <c r="E254" s="22"/>
      <c r="J254" s="24"/>
    </row>
    <row r="255" ht="15.75" customHeight="1">
      <c r="A255" s="22"/>
      <c r="B255" s="22"/>
      <c r="C255" s="22"/>
      <c r="D255" s="22"/>
      <c r="E255" s="22"/>
      <c r="J255" s="24"/>
    </row>
    <row r="256" ht="15.75" customHeight="1">
      <c r="A256" s="22"/>
      <c r="B256" s="22"/>
      <c r="C256" s="22"/>
      <c r="D256" s="22"/>
      <c r="E256" s="22"/>
      <c r="J256" s="24"/>
    </row>
    <row r="257" ht="15.75" customHeight="1">
      <c r="A257" s="22"/>
      <c r="B257" s="22"/>
      <c r="C257" s="22"/>
      <c r="D257" s="22"/>
      <c r="E257" s="22"/>
      <c r="J257" s="24"/>
    </row>
    <row r="258" ht="15.75" customHeight="1">
      <c r="A258" s="22"/>
      <c r="B258" s="22"/>
      <c r="C258" s="22"/>
      <c r="D258" s="22"/>
      <c r="E258" s="22"/>
      <c r="J258" s="24"/>
    </row>
    <row r="259" ht="15.75" customHeight="1">
      <c r="A259" s="22"/>
      <c r="B259" s="22"/>
      <c r="C259" s="22"/>
      <c r="D259" s="22"/>
      <c r="E259" s="22"/>
      <c r="J259" s="24"/>
    </row>
    <row r="260" ht="15.75" customHeight="1">
      <c r="A260" s="22"/>
      <c r="B260" s="22"/>
      <c r="C260" s="22"/>
      <c r="D260" s="22"/>
      <c r="E260" s="22"/>
      <c r="J260" s="24"/>
    </row>
    <row r="261" ht="15.75" customHeight="1">
      <c r="A261" s="22"/>
      <c r="B261" s="22"/>
      <c r="C261" s="22"/>
      <c r="D261" s="22"/>
      <c r="E261" s="22"/>
      <c r="J261" s="24"/>
    </row>
    <row r="262" ht="15.75" customHeight="1">
      <c r="A262" s="22"/>
      <c r="B262" s="22"/>
      <c r="C262" s="22"/>
      <c r="D262" s="22"/>
      <c r="E262" s="22"/>
      <c r="J262" s="24"/>
    </row>
    <row r="263" ht="15.75" customHeight="1">
      <c r="A263" s="22"/>
      <c r="B263" s="22"/>
      <c r="C263" s="22"/>
      <c r="D263" s="22"/>
      <c r="E263" s="22"/>
      <c r="J263" s="24"/>
    </row>
    <row r="264" ht="15.75" customHeight="1">
      <c r="A264" s="22"/>
      <c r="B264" s="22"/>
      <c r="C264" s="22"/>
      <c r="D264" s="22"/>
      <c r="E264" s="22"/>
      <c r="J264" s="24"/>
    </row>
    <row r="265" ht="15.75" customHeight="1">
      <c r="A265" s="22"/>
      <c r="B265" s="22"/>
      <c r="C265" s="22"/>
      <c r="D265" s="22"/>
      <c r="E265" s="22"/>
      <c r="J265" s="24"/>
    </row>
    <row r="266" ht="15.75" customHeight="1">
      <c r="A266" s="22"/>
      <c r="B266" s="22"/>
      <c r="C266" s="22"/>
      <c r="D266" s="22"/>
      <c r="E266" s="22"/>
      <c r="J266" s="24"/>
    </row>
    <row r="267" ht="15.75" customHeight="1">
      <c r="A267" s="22"/>
      <c r="B267" s="22"/>
      <c r="C267" s="22"/>
      <c r="D267" s="22"/>
      <c r="E267" s="22"/>
      <c r="J267" s="24"/>
    </row>
    <row r="268" ht="15.75" customHeight="1">
      <c r="A268" s="22"/>
      <c r="B268" s="22"/>
      <c r="C268" s="22"/>
      <c r="D268" s="22"/>
      <c r="E268" s="22"/>
      <c r="J268" s="24"/>
    </row>
    <row r="269" ht="15.75" customHeight="1">
      <c r="A269" s="22"/>
      <c r="B269" s="22"/>
      <c r="C269" s="22"/>
      <c r="D269" s="22"/>
      <c r="E269" s="22"/>
      <c r="J269" s="24"/>
    </row>
    <row r="270" ht="15.75" customHeight="1">
      <c r="A270" s="22"/>
      <c r="B270" s="22"/>
      <c r="C270" s="22"/>
      <c r="D270" s="22"/>
      <c r="E270" s="22"/>
      <c r="J270" s="24"/>
    </row>
    <row r="271" ht="15.75" customHeight="1">
      <c r="A271" s="22"/>
      <c r="B271" s="22"/>
      <c r="C271" s="22"/>
      <c r="D271" s="22"/>
      <c r="E271" s="22"/>
      <c r="J271" s="24"/>
    </row>
    <row r="272" ht="15.75" customHeight="1">
      <c r="A272" s="22"/>
      <c r="B272" s="22"/>
      <c r="C272" s="22"/>
      <c r="D272" s="22"/>
      <c r="E272" s="22"/>
      <c r="J272" s="24"/>
    </row>
    <row r="273" ht="15.75" customHeight="1">
      <c r="A273" s="22"/>
      <c r="B273" s="22"/>
      <c r="C273" s="22"/>
      <c r="D273" s="22"/>
      <c r="E273" s="22"/>
      <c r="J273" s="24"/>
    </row>
    <row r="274" ht="15.75" customHeight="1">
      <c r="A274" s="22"/>
      <c r="B274" s="22"/>
      <c r="C274" s="22"/>
      <c r="D274" s="22"/>
      <c r="E274" s="22"/>
      <c r="J274" s="24"/>
    </row>
    <row r="275" ht="15.75" customHeight="1">
      <c r="A275" s="22"/>
      <c r="B275" s="22"/>
      <c r="C275" s="22"/>
      <c r="D275" s="22"/>
      <c r="E275" s="22"/>
      <c r="J275" s="24"/>
    </row>
    <row r="276" ht="15.75" customHeight="1">
      <c r="A276" s="22"/>
      <c r="B276" s="22"/>
      <c r="C276" s="22"/>
      <c r="D276" s="22"/>
      <c r="E276" s="22"/>
      <c r="J276" s="24"/>
    </row>
    <row r="277" ht="15.75" customHeight="1">
      <c r="A277" s="22"/>
      <c r="B277" s="22"/>
      <c r="C277" s="22"/>
      <c r="D277" s="22"/>
      <c r="E277" s="22"/>
      <c r="J277" s="24"/>
    </row>
    <row r="278" ht="15.75" customHeight="1">
      <c r="A278" s="22"/>
      <c r="B278" s="22"/>
      <c r="C278" s="22"/>
      <c r="D278" s="22"/>
      <c r="E278" s="22"/>
      <c r="J278" s="24"/>
    </row>
    <row r="279" ht="15.75" customHeight="1">
      <c r="A279" s="22"/>
      <c r="B279" s="22"/>
      <c r="C279" s="22"/>
      <c r="D279" s="22"/>
      <c r="E279" s="22"/>
      <c r="J279" s="24"/>
    </row>
    <row r="280" ht="15.75" customHeight="1">
      <c r="A280" s="22"/>
      <c r="B280" s="22"/>
      <c r="C280" s="22"/>
      <c r="D280" s="22"/>
      <c r="E280" s="22"/>
      <c r="J280" s="24"/>
    </row>
    <row r="281" ht="15.75" customHeight="1">
      <c r="A281" s="22"/>
      <c r="B281" s="22"/>
      <c r="C281" s="22"/>
      <c r="D281" s="22"/>
      <c r="E281" s="22"/>
      <c r="J281" s="24"/>
    </row>
    <row r="282" ht="15.75" customHeight="1">
      <c r="A282" s="22"/>
      <c r="B282" s="22"/>
      <c r="C282" s="22"/>
      <c r="D282" s="22"/>
      <c r="E282" s="22"/>
      <c r="J282" s="24"/>
    </row>
    <row r="283" ht="15.75" customHeight="1">
      <c r="A283" s="22"/>
      <c r="B283" s="22"/>
      <c r="C283" s="22"/>
      <c r="D283" s="22"/>
      <c r="E283" s="22"/>
      <c r="J283" s="24"/>
    </row>
    <row r="284" ht="15.75" customHeight="1">
      <c r="A284" s="22"/>
      <c r="B284" s="22"/>
      <c r="C284" s="22"/>
      <c r="D284" s="22"/>
      <c r="E284" s="22"/>
      <c r="J284" s="24"/>
    </row>
    <row r="285" ht="15.75" customHeight="1">
      <c r="A285" s="22"/>
      <c r="B285" s="22"/>
      <c r="C285" s="22"/>
      <c r="D285" s="22"/>
      <c r="E285" s="22"/>
      <c r="J285" s="24"/>
    </row>
    <row r="286" ht="15.75" customHeight="1">
      <c r="A286" s="22"/>
      <c r="B286" s="22"/>
      <c r="C286" s="22"/>
      <c r="D286" s="22"/>
      <c r="E286" s="22"/>
      <c r="J286" s="24"/>
    </row>
    <row r="287" ht="15.75" customHeight="1">
      <c r="A287" s="22"/>
      <c r="B287" s="22"/>
      <c r="C287" s="22"/>
      <c r="D287" s="22"/>
      <c r="E287" s="22"/>
      <c r="J287" s="24"/>
    </row>
    <row r="288" ht="15.75" customHeight="1">
      <c r="A288" s="22"/>
      <c r="B288" s="22"/>
      <c r="C288" s="22"/>
      <c r="D288" s="22"/>
      <c r="E288" s="22"/>
      <c r="J288" s="24"/>
    </row>
    <row r="289" ht="15.75" customHeight="1">
      <c r="A289" s="22"/>
      <c r="B289" s="22"/>
      <c r="C289" s="22"/>
      <c r="D289" s="22"/>
      <c r="E289" s="22"/>
      <c r="J289" s="24"/>
    </row>
    <row r="290" ht="15.75" customHeight="1">
      <c r="A290" s="22"/>
      <c r="B290" s="22"/>
      <c r="C290" s="22"/>
      <c r="D290" s="22"/>
      <c r="E290" s="22"/>
      <c r="J290" s="24"/>
    </row>
    <row r="291" ht="15.75" customHeight="1">
      <c r="A291" s="22"/>
      <c r="B291" s="22"/>
      <c r="C291" s="22"/>
      <c r="D291" s="22"/>
      <c r="E291" s="22"/>
      <c r="J291" s="24"/>
    </row>
    <row r="292" ht="15.75" customHeight="1">
      <c r="J292" s="24"/>
    </row>
    <row r="293" ht="15.75" customHeight="1">
      <c r="J293" s="24"/>
    </row>
    <row r="294" ht="15.75" customHeight="1">
      <c r="J294" s="24"/>
    </row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J5:J31"/>
    <mergeCell ref="J32:J58"/>
    <mergeCell ref="J59:J85"/>
    <mergeCell ref="J86:J112"/>
    <mergeCell ref="J113:J139"/>
    <mergeCell ref="D59:D85"/>
    <mergeCell ref="E59:E85"/>
    <mergeCell ref="D86:D112"/>
    <mergeCell ref="E86:E112"/>
    <mergeCell ref="D113:D139"/>
    <mergeCell ref="E113:E139"/>
    <mergeCell ref="D140:I140"/>
    <mergeCell ref="A2:B2"/>
    <mergeCell ref="D2:J2"/>
    <mergeCell ref="L2:M3"/>
    <mergeCell ref="D5:D31"/>
    <mergeCell ref="E5:E31"/>
    <mergeCell ref="D32:D58"/>
    <mergeCell ref="E32:E5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21"/>
      <c r="B1" s="22"/>
      <c r="C1" s="22"/>
      <c r="D1" s="22"/>
      <c r="E1" s="22"/>
      <c r="F1" s="23"/>
      <c r="G1" s="23"/>
      <c r="H1" s="23"/>
      <c r="I1" s="23"/>
      <c r="J1" s="24"/>
      <c r="K1" s="23"/>
      <c r="L1" s="23"/>
      <c r="M1" s="23"/>
      <c r="N1" s="23"/>
    </row>
    <row r="2" ht="15.75" customHeight="1">
      <c r="A2" s="25" t="s">
        <v>41</v>
      </c>
      <c r="B2" s="26"/>
      <c r="C2" s="27"/>
      <c r="D2" s="27" t="s">
        <v>42</v>
      </c>
      <c r="K2" s="23"/>
      <c r="L2" s="28" t="s">
        <v>43</v>
      </c>
      <c r="M2" s="29"/>
      <c r="N2" s="23"/>
    </row>
    <row r="3">
      <c r="A3" s="30" t="s">
        <v>44</v>
      </c>
      <c r="B3" s="31" t="s">
        <v>45</v>
      </c>
      <c r="C3" s="22"/>
      <c r="D3" s="32"/>
      <c r="E3" s="33" t="s">
        <v>46</v>
      </c>
      <c r="F3" s="34"/>
      <c r="G3" s="35"/>
      <c r="H3" s="36"/>
      <c r="I3" s="36"/>
      <c r="J3" s="37" t="s">
        <v>47</v>
      </c>
      <c r="K3" s="23"/>
      <c r="L3" s="38"/>
      <c r="M3" s="6"/>
      <c r="N3" s="23"/>
    </row>
    <row r="4" ht="15.75" customHeight="1">
      <c r="A4" s="39" t="s">
        <v>16</v>
      </c>
      <c r="B4" s="40">
        <v>3000.0</v>
      </c>
      <c r="C4" s="41"/>
      <c r="D4" s="42" t="s">
        <v>0</v>
      </c>
      <c r="E4" s="43" t="s">
        <v>48</v>
      </c>
      <c r="F4" s="44" t="s">
        <v>49</v>
      </c>
      <c r="G4" s="45" t="s">
        <v>50</v>
      </c>
      <c r="H4" s="45" t="s">
        <v>51</v>
      </c>
      <c r="I4" s="45" t="s">
        <v>52</v>
      </c>
      <c r="J4" s="46" t="s">
        <v>53</v>
      </c>
      <c r="K4" s="23"/>
      <c r="L4" s="47" t="s">
        <v>54</v>
      </c>
      <c r="M4" s="47" t="s">
        <v>50</v>
      </c>
      <c r="N4" s="23"/>
    </row>
    <row r="5" ht="15.75" customHeight="1">
      <c r="A5" s="39" t="s">
        <v>55</v>
      </c>
      <c r="B5" s="40">
        <v>2500.0</v>
      </c>
      <c r="C5" s="48"/>
      <c r="D5" s="49">
        <v>1.0</v>
      </c>
      <c r="E5" s="50" t="s">
        <v>75</v>
      </c>
      <c r="F5" s="51" t="s">
        <v>16</v>
      </c>
      <c r="G5" s="52">
        <v>0.5</v>
      </c>
      <c r="H5" s="53">
        <f>VLOOKUP(F5,$A$4:$B$4,2,TRUE)</f>
        <v>3000</v>
      </c>
      <c r="I5" s="54">
        <f t="shared" ref="I5:I111" si="1">G5*H5</f>
        <v>1500</v>
      </c>
      <c r="J5" s="55">
        <f>SUM(I5:I31)</f>
        <v>36925</v>
      </c>
      <c r="K5" s="23"/>
      <c r="L5" s="51" t="s">
        <v>16</v>
      </c>
      <c r="M5" s="47">
        <f>SUMIF(F5:F139,"Gelas bersih",G5:G139)</f>
        <v>0.5</v>
      </c>
      <c r="N5" s="23"/>
    </row>
    <row r="6" ht="15.75" customHeight="1">
      <c r="A6" s="39" t="s">
        <v>57</v>
      </c>
      <c r="B6" s="40">
        <v>1200.0</v>
      </c>
      <c r="C6" s="48"/>
      <c r="D6" s="56"/>
      <c r="E6" s="56"/>
      <c r="F6" s="51" t="s">
        <v>55</v>
      </c>
      <c r="G6" s="52">
        <f>1+2.5</f>
        <v>3.5</v>
      </c>
      <c r="H6" s="57">
        <f>VLOOKUP(F6,$A$5:$B$5,2,TRUE)</f>
        <v>2500</v>
      </c>
      <c r="I6" s="54">
        <f t="shared" si="1"/>
        <v>8750</v>
      </c>
      <c r="J6" s="56"/>
      <c r="K6" s="23"/>
      <c r="L6" s="51" t="s">
        <v>55</v>
      </c>
      <c r="M6" s="47">
        <f>SUMIF(F6:F140,"Botol bersih",G6:G140)</f>
        <v>3.5</v>
      </c>
      <c r="N6" s="23"/>
    </row>
    <row r="7" ht="15.75" customHeight="1">
      <c r="A7" s="39" t="s">
        <v>19</v>
      </c>
      <c r="B7" s="40">
        <v>2100.0</v>
      </c>
      <c r="C7" s="48"/>
      <c r="D7" s="56"/>
      <c r="E7" s="56"/>
      <c r="F7" s="51" t="s">
        <v>57</v>
      </c>
      <c r="G7" s="52"/>
      <c r="H7" s="57">
        <f>VLOOKUP(F7,$A$6:$B$6,2,TRUE)</f>
        <v>1200</v>
      </c>
      <c r="I7" s="54">
        <f t="shared" si="1"/>
        <v>0</v>
      </c>
      <c r="J7" s="56"/>
      <c r="K7" s="23"/>
      <c r="L7" s="51" t="s">
        <v>57</v>
      </c>
      <c r="M7" s="47">
        <f>SUMIF(F7:F140,"Botol Warna",G7:G140)</f>
        <v>0</v>
      </c>
      <c r="N7" s="23"/>
    </row>
    <row r="8" ht="15.75" customHeight="1">
      <c r="A8" s="39" t="s">
        <v>20</v>
      </c>
      <c r="B8" s="40">
        <v>3000.0</v>
      </c>
      <c r="C8" s="48"/>
      <c r="D8" s="56"/>
      <c r="E8" s="56"/>
      <c r="F8" s="51" t="s">
        <v>19</v>
      </c>
      <c r="G8" s="52">
        <v>0.25</v>
      </c>
      <c r="H8" s="57">
        <f>VLOOKUP(F8,$A$7:$B$7,2,TRUE)</f>
        <v>2100</v>
      </c>
      <c r="I8" s="54">
        <f t="shared" si="1"/>
        <v>525</v>
      </c>
      <c r="J8" s="56"/>
      <c r="K8" s="23"/>
      <c r="L8" s="51" t="s">
        <v>19</v>
      </c>
      <c r="M8" s="47">
        <f>SUMIF(F8:F141,"Tutup botol",G8:G141)</f>
        <v>1.25</v>
      </c>
      <c r="N8" s="23"/>
    </row>
    <row r="9" ht="15.75" customHeight="1">
      <c r="A9" s="39" t="s">
        <v>21</v>
      </c>
      <c r="B9" s="40">
        <v>500.0</v>
      </c>
      <c r="C9" s="48"/>
      <c r="D9" s="56"/>
      <c r="E9" s="56"/>
      <c r="F9" s="51" t="s">
        <v>20</v>
      </c>
      <c r="G9" s="52"/>
      <c r="H9" s="57">
        <f>VLOOKUP(F9,$A$8:$B$8,2,TRUE)</f>
        <v>3000</v>
      </c>
      <c r="I9" s="54">
        <f t="shared" si="1"/>
        <v>0</v>
      </c>
      <c r="J9" s="56"/>
      <c r="K9" s="23"/>
      <c r="L9" s="51" t="s">
        <v>20</v>
      </c>
      <c r="M9" s="47">
        <f>SUMIF(F9:F142,"Tutup galon",G9:G142)</f>
        <v>0</v>
      </c>
      <c r="N9" s="23"/>
    </row>
    <row r="10" ht="15.75" customHeight="1">
      <c r="A10" s="39" t="s">
        <v>22</v>
      </c>
      <c r="B10" s="40">
        <v>1800.0</v>
      </c>
      <c r="C10" s="48"/>
      <c r="D10" s="56"/>
      <c r="E10" s="56"/>
      <c r="F10" s="51" t="s">
        <v>21</v>
      </c>
      <c r="G10" s="52">
        <v>4.0</v>
      </c>
      <c r="H10" s="57">
        <f>VLOOKUP(F10,$A$9:$B$9,2,TRUE)</f>
        <v>500</v>
      </c>
      <c r="I10" s="54">
        <f t="shared" si="1"/>
        <v>2000</v>
      </c>
      <c r="J10" s="56"/>
      <c r="K10" s="23"/>
      <c r="L10" s="51" t="s">
        <v>21</v>
      </c>
      <c r="M10" s="47">
        <f>SUMIF(F10:F143,"Hitam",G10:G143)</f>
        <v>18</v>
      </c>
      <c r="N10" s="23"/>
    </row>
    <row r="11" ht="15.75" customHeight="1">
      <c r="A11" s="39" t="s">
        <v>23</v>
      </c>
      <c r="B11" s="40">
        <v>1500.0</v>
      </c>
      <c r="C11" s="48"/>
      <c r="D11" s="56"/>
      <c r="E11" s="56"/>
      <c r="F11" s="51" t="s">
        <v>22</v>
      </c>
      <c r="G11" s="52">
        <v>1.0</v>
      </c>
      <c r="H11" s="57">
        <f>VLOOKUP(F11,$A$10:$B$10,2,TRUE)</f>
        <v>1800</v>
      </c>
      <c r="I11" s="54">
        <f t="shared" si="1"/>
        <v>1800</v>
      </c>
      <c r="J11" s="56"/>
      <c r="K11" s="23"/>
      <c r="L11" s="51" t="s">
        <v>22</v>
      </c>
      <c r="M11" s="47">
        <f>SUMIF(F11:F144,"Plastik Campur",G11:G144)</f>
        <v>3.5</v>
      </c>
      <c r="N11" s="23"/>
    </row>
    <row r="12" ht="15.75" customHeight="1">
      <c r="A12" s="39" t="s">
        <v>24</v>
      </c>
      <c r="B12" s="40">
        <v>1400.0</v>
      </c>
      <c r="C12" s="48"/>
      <c r="D12" s="56"/>
      <c r="E12" s="56"/>
      <c r="F12" s="51" t="s">
        <v>23</v>
      </c>
      <c r="G12" s="52">
        <v>5.0</v>
      </c>
      <c r="H12" s="57">
        <f>VLOOKUP(F12,$A$11:$B$11,2,TRUE)</f>
        <v>1500</v>
      </c>
      <c r="I12" s="54">
        <f t="shared" si="1"/>
        <v>7500</v>
      </c>
      <c r="J12" s="56"/>
      <c r="K12" s="23"/>
      <c r="L12" s="51" t="s">
        <v>23</v>
      </c>
      <c r="M12" s="47">
        <f>SUMIF(F12:F145,"Kardus",G12:G145)</f>
        <v>14</v>
      </c>
      <c r="N12" s="23"/>
    </row>
    <row r="13" ht="15.75" customHeight="1">
      <c r="A13" s="39" t="s">
        <v>25</v>
      </c>
      <c r="B13" s="40">
        <v>1000.0</v>
      </c>
      <c r="C13" s="48"/>
      <c r="D13" s="56"/>
      <c r="E13" s="56"/>
      <c r="F13" s="51" t="s">
        <v>24</v>
      </c>
      <c r="G13" s="52"/>
      <c r="H13" s="57">
        <f>VLOOKUP(F13,$A$12:$B$12,2,TRUE)</f>
        <v>1400</v>
      </c>
      <c r="I13" s="54">
        <f t="shared" si="1"/>
        <v>0</v>
      </c>
      <c r="J13" s="56"/>
      <c r="K13" s="23"/>
      <c r="L13" s="51" t="s">
        <v>24</v>
      </c>
      <c r="M13" s="47">
        <f>SUMIF(F13:F146,"Kertas Putihan/ HVS",G13:G146)</f>
        <v>0</v>
      </c>
      <c r="N13" s="23"/>
    </row>
    <row r="14" ht="15.75" customHeight="1">
      <c r="A14" s="39" t="s">
        <v>26</v>
      </c>
      <c r="B14" s="40">
        <v>500.0</v>
      </c>
      <c r="C14" s="48"/>
      <c r="D14" s="56"/>
      <c r="E14" s="56"/>
      <c r="F14" s="51" t="s">
        <v>25</v>
      </c>
      <c r="G14" s="52"/>
      <c r="H14" s="57">
        <f>VLOOKUP(F14,$A$13:$B$13,2,TRUE)</f>
        <v>1000</v>
      </c>
      <c r="I14" s="54">
        <f t="shared" si="1"/>
        <v>0</v>
      </c>
      <c r="J14" s="56"/>
      <c r="K14" s="23"/>
      <c r="L14" s="51" t="s">
        <v>25</v>
      </c>
      <c r="M14" s="47">
        <f>SUMIF(F14:F147,"Koran/Buku",G14:G147)</f>
        <v>0</v>
      </c>
      <c r="N14" s="23"/>
    </row>
    <row r="15" ht="15.75" customHeight="1">
      <c r="A15" s="39" t="s">
        <v>27</v>
      </c>
      <c r="B15" s="40">
        <v>7500.0</v>
      </c>
      <c r="C15" s="48"/>
      <c r="D15" s="56"/>
      <c r="E15" s="56"/>
      <c r="F15" s="51" t="s">
        <v>26</v>
      </c>
      <c r="G15" s="52">
        <f>3</f>
        <v>3</v>
      </c>
      <c r="H15" s="57">
        <f>VLOOKUP(F15,$A$14:$B$14,2,TRUE)</f>
        <v>500</v>
      </c>
      <c r="I15" s="54">
        <f t="shared" si="1"/>
        <v>1500</v>
      </c>
      <c r="J15" s="56"/>
      <c r="K15" s="23"/>
      <c r="L15" s="51" t="s">
        <v>26</v>
      </c>
      <c r="M15" s="47">
        <f>SUMIF(F15:F148,"Duplex",G15:G148)</f>
        <v>8.5</v>
      </c>
      <c r="N15" s="23"/>
    </row>
    <row r="16" ht="15.75" customHeight="1">
      <c r="A16" s="39" t="s">
        <v>28</v>
      </c>
      <c r="B16" s="40">
        <v>2000.0</v>
      </c>
      <c r="C16" s="48"/>
      <c r="D16" s="56"/>
      <c r="E16" s="56"/>
      <c r="F16" s="51" t="s">
        <v>27</v>
      </c>
      <c r="G16" s="52"/>
      <c r="H16" s="57">
        <f>VLOOKUP(F16,$A$15:$B$15,2,TRUE)</f>
        <v>7500</v>
      </c>
      <c r="I16" s="54">
        <f t="shared" si="1"/>
        <v>0</v>
      </c>
      <c r="J16" s="56"/>
      <c r="K16" s="23"/>
      <c r="L16" s="51" t="s">
        <v>27</v>
      </c>
      <c r="M16" s="47">
        <f>SUMIF(F16:F149,"Alumunium",G16:G149)</f>
        <v>0.5</v>
      </c>
      <c r="N16" s="23"/>
    </row>
    <row r="17" ht="15.75" customHeight="1">
      <c r="A17" s="39" t="s">
        <v>29</v>
      </c>
      <c r="B17" s="40">
        <v>1200.0</v>
      </c>
      <c r="C17" s="48"/>
      <c r="D17" s="56"/>
      <c r="E17" s="56"/>
      <c r="F17" s="51" t="s">
        <v>28</v>
      </c>
      <c r="G17" s="52"/>
      <c r="H17" s="57">
        <f>VLOOKUP(F17,$A$16:$B$16,2,TRUE)</f>
        <v>2000</v>
      </c>
      <c r="I17" s="54">
        <f t="shared" si="1"/>
        <v>0</v>
      </c>
      <c r="J17" s="56"/>
      <c r="K17" s="23"/>
      <c r="L17" s="51" t="s">
        <v>28</v>
      </c>
      <c r="M17" s="47">
        <f>SUMIF(F17:F150,"Besi",G17:G150)</f>
        <v>4.5</v>
      </c>
      <c r="N17" s="23"/>
    </row>
    <row r="18" ht="15.75" customHeight="1">
      <c r="A18" s="39" t="s">
        <v>30</v>
      </c>
      <c r="B18" s="40">
        <v>5000.0</v>
      </c>
      <c r="C18" s="48"/>
      <c r="D18" s="56"/>
      <c r="E18" s="56"/>
      <c r="F18" s="51" t="s">
        <v>29</v>
      </c>
      <c r="G18" s="52">
        <v>3.0</v>
      </c>
      <c r="H18" s="57">
        <f>VLOOKUP(F18,$A$17:$B$17,2,TRUE)</f>
        <v>1200</v>
      </c>
      <c r="I18" s="54">
        <f t="shared" si="1"/>
        <v>3600</v>
      </c>
      <c r="J18" s="56"/>
      <c r="K18" s="23"/>
      <c r="L18" s="51" t="s">
        <v>29</v>
      </c>
      <c r="M18" s="47">
        <f>SUMIF(F18:F151,"Kaleng kue/susu",G18:G151)</f>
        <v>3</v>
      </c>
      <c r="N18" s="23"/>
    </row>
    <row r="19" ht="15.75" customHeight="1">
      <c r="A19" s="39" t="s">
        <v>31</v>
      </c>
      <c r="B19" s="40">
        <v>2700.0</v>
      </c>
      <c r="C19" s="48"/>
      <c r="D19" s="56"/>
      <c r="E19" s="56"/>
      <c r="F19" s="51" t="s">
        <v>30</v>
      </c>
      <c r="G19" s="52">
        <v>0.5</v>
      </c>
      <c r="H19" s="57">
        <f>VLOOKUP(F19,$A$18:$B$18,2,TRUE)</f>
        <v>5000</v>
      </c>
      <c r="I19" s="54">
        <f t="shared" si="1"/>
        <v>2500</v>
      </c>
      <c r="J19" s="56"/>
      <c r="K19" s="23"/>
      <c r="L19" s="51" t="s">
        <v>30</v>
      </c>
      <c r="M19" s="47">
        <f>SUMIF(F19:F152,"Kaleng Minuman",G19:G152)</f>
        <v>0.5</v>
      </c>
      <c r="N19" s="23"/>
    </row>
    <row r="20" ht="15.75" customHeight="1">
      <c r="A20" s="39" t="s">
        <v>32</v>
      </c>
      <c r="B20" s="40">
        <v>50000.0</v>
      </c>
      <c r="C20" s="48"/>
      <c r="D20" s="56"/>
      <c r="E20" s="56"/>
      <c r="F20" s="51" t="s">
        <v>31</v>
      </c>
      <c r="G20" s="52"/>
      <c r="H20" s="57">
        <f>VLOOKUP(F20,$A$19:$B$19,2,TRUE)</f>
        <v>2700</v>
      </c>
      <c r="I20" s="54">
        <f t="shared" si="1"/>
        <v>0</v>
      </c>
      <c r="J20" s="56"/>
      <c r="K20" s="23"/>
      <c r="L20" s="51" t="s">
        <v>31</v>
      </c>
      <c r="M20" s="47">
        <f>SUMIF(F20:F153,"Stanless",G20:G153)</f>
        <v>0</v>
      </c>
      <c r="N20" s="23"/>
    </row>
    <row r="21" ht="15.75" customHeight="1">
      <c r="A21" s="39" t="s">
        <v>33</v>
      </c>
      <c r="B21" s="40">
        <v>10000.0</v>
      </c>
      <c r="C21" s="48"/>
      <c r="D21" s="56"/>
      <c r="E21" s="56"/>
      <c r="F21" s="51" t="s">
        <v>32</v>
      </c>
      <c r="G21" s="52"/>
      <c r="H21" s="57">
        <f>VLOOKUP(F21,$A$20:$B$20,2,TRUE)</f>
        <v>50000</v>
      </c>
      <c r="I21" s="54">
        <f t="shared" si="1"/>
        <v>0</v>
      </c>
      <c r="J21" s="56"/>
      <c r="K21" s="23"/>
      <c r="L21" s="51" t="s">
        <v>32</v>
      </c>
      <c r="M21" s="47">
        <f>SUMIF(F21:F154,"Tembaga",G21:G154)</f>
        <v>0</v>
      </c>
      <c r="N21" s="23"/>
    </row>
    <row r="22" ht="15.75" customHeight="1">
      <c r="A22" s="39" t="s">
        <v>34</v>
      </c>
      <c r="B22" s="40">
        <v>1000.0</v>
      </c>
      <c r="C22" s="48"/>
      <c r="D22" s="56"/>
      <c r="E22" s="56"/>
      <c r="F22" s="51" t="s">
        <v>33</v>
      </c>
      <c r="G22" s="52"/>
      <c r="H22" s="57">
        <f>VLOOKUP(F22,$A$21:$B$21,2,TRUE)</f>
        <v>10000</v>
      </c>
      <c r="I22" s="54">
        <f t="shared" si="1"/>
        <v>0</v>
      </c>
      <c r="J22" s="56"/>
      <c r="K22" s="23"/>
      <c r="L22" s="51" t="s">
        <v>33</v>
      </c>
      <c r="M22" s="47">
        <f>SUMIF(F22:F155,"Aki Motor",G22:G155)</f>
        <v>0</v>
      </c>
      <c r="N22" s="23"/>
    </row>
    <row r="23" ht="15.75" customHeight="1">
      <c r="A23" s="39" t="s">
        <v>35</v>
      </c>
      <c r="B23" s="40">
        <v>500.0</v>
      </c>
      <c r="C23" s="48"/>
      <c r="D23" s="56"/>
      <c r="E23" s="56"/>
      <c r="F23" s="51" t="s">
        <v>34</v>
      </c>
      <c r="G23" s="52"/>
      <c r="H23" s="57">
        <f>VLOOKUP(F23,$A$22:$B$22,2,TRUE)</f>
        <v>1000</v>
      </c>
      <c r="I23" s="54">
        <f t="shared" si="1"/>
        <v>0</v>
      </c>
      <c r="J23" s="56"/>
      <c r="K23" s="23"/>
      <c r="L23" s="51" t="s">
        <v>34</v>
      </c>
      <c r="M23" s="47">
        <f>SUMIF(F23:F156,"Paralon",G23:G156)</f>
        <v>0</v>
      </c>
      <c r="N23" s="23"/>
    </row>
    <row r="24" ht="15.75" customHeight="1">
      <c r="A24" s="39" t="s">
        <v>36</v>
      </c>
      <c r="B24" s="40">
        <v>200.0</v>
      </c>
      <c r="C24" s="48"/>
      <c r="D24" s="56"/>
      <c r="E24" s="56"/>
      <c r="F24" s="51" t="s">
        <v>35</v>
      </c>
      <c r="G24" s="52">
        <f>0.5+2</f>
        <v>2.5</v>
      </c>
      <c r="H24" s="57">
        <f>VLOOKUP(F24,$A$23:$B$23,2,TRUE)</f>
        <v>500</v>
      </c>
      <c r="I24" s="54">
        <f t="shared" si="1"/>
        <v>1250</v>
      </c>
      <c r="J24" s="56"/>
      <c r="K24" s="23"/>
      <c r="L24" s="51" t="s">
        <v>35</v>
      </c>
      <c r="M24" s="47">
        <f>SUMIF(F24:F157,"Plastik bening",G24:G157)</f>
        <v>2.5</v>
      </c>
      <c r="N24" s="23"/>
    </row>
    <row r="25" ht="15.75" customHeight="1">
      <c r="A25" s="39" t="s">
        <v>37</v>
      </c>
      <c r="B25" s="40">
        <v>1300.0</v>
      </c>
      <c r="C25" s="48"/>
      <c r="D25" s="56"/>
      <c r="E25" s="56"/>
      <c r="F25" s="51" t="s">
        <v>36</v>
      </c>
      <c r="G25" s="52"/>
      <c r="H25" s="57">
        <f>VLOOKUP(F25,$A$24:$B$24,2,TRUE)</f>
        <v>200</v>
      </c>
      <c r="I25" s="54">
        <f t="shared" si="1"/>
        <v>0</v>
      </c>
      <c r="J25" s="56"/>
      <c r="K25" s="23"/>
      <c r="L25" s="51" t="s">
        <v>36</v>
      </c>
      <c r="M25" s="47">
        <f>SUMIF(F25:F158,"Plastik Warna",G25:G158)</f>
        <v>1</v>
      </c>
      <c r="N25" s="23"/>
    </row>
    <row r="26" ht="15.75" customHeight="1">
      <c r="A26" s="39" t="s">
        <v>12</v>
      </c>
      <c r="B26" s="40">
        <v>300.0</v>
      </c>
      <c r="C26" s="48"/>
      <c r="D26" s="56"/>
      <c r="E26" s="56"/>
      <c r="F26" s="51" t="s">
        <v>37</v>
      </c>
      <c r="G26" s="52"/>
      <c r="H26" s="57">
        <f>VLOOKUP(F26,$A$25:$B$25,2,TRUE)</f>
        <v>1300</v>
      </c>
      <c r="I26" s="54">
        <f t="shared" si="1"/>
        <v>0</v>
      </c>
      <c r="J26" s="56"/>
      <c r="K26" s="23"/>
      <c r="L26" s="51" t="s">
        <v>37</v>
      </c>
      <c r="M26" s="47">
        <f>SUMIF(F26:F159,"Selang",G26:G159)</f>
        <v>0</v>
      </c>
      <c r="N26" s="23"/>
    </row>
    <row r="27" ht="15.75" customHeight="1">
      <c r="A27" s="39" t="s">
        <v>39</v>
      </c>
      <c r="B27" s="40">
        <v>0.0</v>
      </c>
      <c r="C27" s="48"/>
      <c r="D27" s="56"/>
      <c r="E27" s="56"/>
      <c r="F27" s="51" t="s">
        <v>12</v>
      </c>
      <c r="G27" s="52">
        <v>3.0</v>
      </c>
      <c r="H27" s="57">
        <f>VLOOKUP(F27,$A$26:$B$26,2,TRUE)</f>
        <v>300</v>
      </c>
      <c r="I27" s="54">
        <f t="shared" si="1"/>
        <v>900</v>
      </c>
      <c r="J27" s="56"/>
      <c r="K27" s="23"/>
      <c r="L27" s="51" t="s">
        <v>12</v>
      </c>
      <c r="M27" s="47">
        <f>SUMIF(F27:F160,"Beling",G27:G160)</f>
        <v>5</v>
      </c>
      <c r="N27" s="23"/>
    </row>
    <row r="28" ht="15.75" customHeight="1">
      <c r="A28" s="39" t="s">
        <v>40</v>
      </c>
      <c r="B28" s="40">
        <v>1700.0</v>
      </c>
      <c r="C28" s="48"/>
      <c r="D28" s="56"/>
      <c r="E28" s="56"/>
      <c r="F28" s="51" t="s">
        <v>39</v>
      </c>
      <c r="G28" s="52"/>
      <c r="H28" s="57">
        <f>VLOOKUP(F28,$A$27:$B$27,2,TRUE)</f>
        <v>0</v>
      </c>
      <c r="I28" s="54">
        <f t="shared" si="1"/>
        <v>0</v>
      </c>
      <c r="J28" s="56"/>
      <c r="K28" s="23"/>
      <c r="L28" s="51" t="s">
        <v>39</v>
      </c>
      <c r="M28" s="47">
        <f>SUMIF(F28:F161,"Pecahan",G28:G161)</f>
        <v>0</v>
      </c>
      <c r="N28" s="23"/>
    </row>
    <row r="29" ht="15.75" customHeight="1">
      <c r="A29" s="39" t="s">
        <v>14</v>
      </c>
      <c r="B29" s="58">
        <v>4500.0</v>
      </c>
      <c r="C29" s="48"/>
      <c r="D29" s="56"/>
      <c r="E29" s="56"/>
      <c r="F29" s="51" t="s">
        <v>40</v>
      </c>
      <c r="G29" s="52">
        <v>3.0</v>
      </c>
      <c r="H29" s="57">
        <f>VLOOKUP(F28,$A$28:$B$28,2,TRUE)</f>
        <v>1700</v>
      </c>
      <c r="I29" s="54">
        <f t="shared" si="1"/>
        <v>5100</v>
      </c>
      <c r="J29" s="56"/>
      <c r="K29" s="23"/>
      <c r="L29" s="51" t="s">
        <v>40</v>
      </c>
      <c r="M29" s="47">
        <f>SUMIF(F29:F163,"Paku",G29:G163)</f>
        <v>3</v>
      </c>
      <c r="N29" s="23"/>
    </row>
    <row r="30" ht="15.75" customHeight="1">
      <c r="A30" s="39" t="s">
        <v>58</v>
      </c>
      <c r="B30" s="40">
        <v>0.0</v>
      </c>
      <c r="C30" s="48"/>
      <c r="D30" s="56"/>
      <c r="E30" s="56"/>
      <c r="F30" s="51" t="s">
        <v>14</v>
      </c>
      <c r="G30" s="52"/>
      <c r="H30" s="57">
        <f>VLOOKUP(F29,$A$29:$B$29,2,TRUE)</f>
        <v>4500</v>
      </c>
      <c r="I30" s="54">
        <f t="shared" si="1"/>
        <v>0</v>
      </c>
      <c r="J30" s="56"/>
      <c r="K30" s="23"/>
      <c r="L30" s="51" t="s">
        <v>14</v>
      </c>
      <c r="M30" s="47">
        <f>SUMIF(F30:F164,"Minyak Jelantah",G30:G164)</f>
        <v>26.5</v>
      </c>
      <c r="N30" s="23"/>
    </row>
    <row r="31" ht="15.75" customHeight="1">
      <c r="A31" s="48"/>
      <c r="B31" s="48"/>
      <c r="C31" s="48"/>
      <c r="D31" s="10"/>
      <c r="E31" s="10"/>
      <c r="F31" s="51" t="s">
        <v>58</v>
      </c>
      <c r="G31" s="52">
        <v>6.5</v>
      </c>
      <c r="H31" s="57"/>
      <c r="I31" s="54">
        <f t="shared" si="1"/>
        <v>0</v>
      </c>
      <c r="J31" s="10"/>
      <c r="K31" s="23" t="s">
        <v>76</v>
      </c>
      <c r="L31" s="51" t="s">
        <v>58</v>
      </c>
      <c r="M31" s="47">
        <f>SUMIF(F31:F165,"Lainnya",G31:G165)</f>
        <v>14.5</v>
      </c>
      <c r="N31" s="23"/>
    </row>
    <row r="32" ht="15.75" customHeight="1">
      <c r="A32" s="48"/>
      <c r="B32" s="48"/>
      <c r="C32" s="48"/>
      <c r="D32" s="49">
        <v>2.0</v>
      </c>
      <c r="E32" s="50" t="s">
        <v>77</v>
      </c>
      <c r="F32" s="51" t="s">
        <v>16</v>
      </c>
      <c r="G32" s="52"/>
      <c r="H32" s="53">
        <f>VLOOKUP(F32,$A$4:$B$4,2,TRUE)</f>
        <v>3000</v>
      </c>
      <c r="I32" s="54">
        <f t="shared" si="1"/>
        <v>0</v>
      </c>
      <c r="J32" s="55">
        <f>SUM(I32:I58)</f>
        <v>26400</v>
      </c>
      <c r="K32" s="23"/>
      <c r="L32" s="23"/>
      <c r="M32" s="23"/>
      <c r="N32" s="23"/>
    </row>
    <row r="33" ht="15.75" customHeight="1">
      <c r="A33" s="48"/>
      <c r="B33" s="48"/>
      <c r="C33" s="48"/>
      <c r="D33" s="56"/>
      <c r="E33" s="56"/>
      <c r="F33" s="51" t="s">
        <v>55</v>
      </c>
      <c r="G33" s="52"/>
      <c r="H33" s="57">
        <f>VLOOKUP(F33,$A$5:$B$5,2,TRUE)</f>
        <v>2500</v>
      </c>
      <c r="I33" s="54">
        <f t="shared" si="1"/>
        <v>0</v>
      </c>
      <c r="J33" s="56"/>
      <c r="K33" s="23"/>
      <c r="L33" s="23"/>
      <c r="M33" s="23"/>
      <c r="N33" s="23"/>
    </row>
    <row r="34" ht="15.75" customHeight="1">
      <c r="A34" s="48"/>
      <c r="B34" s="48"/>
      <c r="C34" s="48"/>
      <c r="D34" s="56"/>
      <c r="E34" s="56"/>
      <c r="F34" s="51" t="s">
        <v>57</v>
      </c>
      <c r="G34" s="52"/>
      <c r="H34" s="57">
        <f>VLOOKUP(F34,$A$6:$B$6,2,TRUE)</f>
        <v>1200</v>
      </c>
      <c r="I34" s="54">
        <f t="shared" si="1"/>
        <v>0</v>
      </c>
      <c r="J34" s="56"/>
      <c r="K34" s="23"/>
      <c r="L34" s="23"/>
      <c r="M34" s="23"/>
      <c r="N34" s="23"/>
    </row>
    <row r="35" ht="15.75" customHeight="1">
      <c r="A35" s="48"/>
      <c r="B35" s="48"/>
      <c r="C35" s="48"/>
      <c r="D35" s="56"/>
      <c r="E35" s="56"/>
      <c r="F35" s="51" t="s">
        <v>19</v>
      </c>
      <c r="G35" s="52"/>
      <c r="H35" s="57">
        <f>VLOOKUP(F35,$A$7:$B$7,2,TRUE)</f>
        <v>2100</v>
      </c>
      <c r="I35" s="54">
        <f t="shared" si="1"/>
        <v>0</v>
      </c>
      <c r="J35" s="56"/>
      <c r="K35" s="23"/>
      <c r="L35" s="23"/>
      <c r="M35" s="23"/>
      <c r="N35" s="23"/>
    </row>
    <row r="36" ht="15.75" customHeight="1">
      <c r="A36" s="48"/>
      <c r="B36" s="48"/>
      <c r="C36" s="48"/>
      <c r="D36" s="56"/>
      <c r="E36" s="56"/>
      <c r="F36" s="51" t="s">
        <v>20</v>
      </c>
      <c r="G36" s="52"/>
      <c r="H36" s="57">
        <f>VLOOKUP(F36,$A$8:$B$8,2,TRUE)</f>
        <v>3000</v>
      </c>
      <c r="I36" s="54">
        <f t="shared" si="1"/>
        <v>0</v>
      </c>
      <c r="J36" s="56"/>
      <c r="K36" s="23"/>
      <c r="L36" s="23"/>
      <c r="M36" s="23"/>
      <c r="N36" s="23"/>
    </row>
    <row r="37" ht="15.75" customHeight="1">
      <c r="A37" s="48"/>
      <c r="B37" s="48"/>
      <c r="C37" s="48"/>
      <c r="D37" s="56"/>
      <c r="E37" s="56"/>
      <c r="F37" s="51" t="s">
        <v>21</v>
      </c>
      <c r="G37" s="52">
        <f>7.5+1</f>
        <v>8.5</v>
      </c>
      <c r="H37" s="57">
        <f>VLOOKUP(F37,$A$9:$B$9,2,TRUE)</f>
        <v>500</v>
      </c>
      <c r="I37" s="54">
        <f t="shared" si="1"/>
        <v>4250</v>
      </c>
      <c r="J37" s="56"/>
      <c r="K37" s="23"/>
      <c r="L37" s="23"/>
      <c r="M37" s="23"/>
      <c r="N37" s="23"/>
    </row>
    <row r="38" ht="15.75" customHeight="1">
      <c r="A38" s="48"/>
      <c r="B38" s="48"/>
      <c r="C38" s="48"/>
      <c r="D38" s="56"/>
      <c r="E38" s="56"/>
      <c r="F38" s="51" t="s">
        <v>22</v>
      </c>
      <c r="G38" s="52">
        <v>1.0</v>
      </c>
      <c r="H38" s="57">
        <f>VLOOKUP(F38,$A$10:$B$10,2,TRUE)</f>
        <v>1800</v>
      </c>
      <c r="I38" s="54">
        <f t="shared" si="1"/>
        <v>1800</v>
      </c>
      <c r="J38" s="56"/>
      <c r="K38" s="23"/>
      <c r="L38" s="23"/>
      <c r="M38" s="23"/>
      <c r="N38" s="23"/>
    </row>
    <row r="39" ht="15.75" customHeight="1">
      <c r="A39" s="48"/>
      <c r="B39" s="48"/>
      <c r="C39" s="48"/>
      <c r="D39" s="56"/>
      <c r="E39" s="56"/>
      <c r="F39" s="51" t="s">
        <v>23</v>
      </c>
      <c r="G39" s="52">
        <v>9.0</v>
      </c>
      <c r="H39" s="57">
        <f>VLOOKUP(F39,$A$11:$B$11,2,TRUE)</f>
        <v>1500</v>
      </c>
      <c r="I39" s="54">
        <f t="shared" si="1"/>
        <v>13500</v>
      </c>
      <c r="J39" s="56"/>
      <c r="K39" s="23"/>
      <c r="L39" s="23"/>
      <c r="M39" s="23"/>
      <c r="N39" s="23"/>
    </row>
    <row r="40" ht="15.75" customHeight="1">
      <c r="A40" s="48"/>
      <c r="B40" s="48"/>
      <c r="C40" s="48"/>
      <c r="D40" s="56"/>
      <c r="E40" s="56"/>
      <c r="F40" s="51" t="s">
        <v>24</v>
      </c>
      <c r="G40" s="52"/>
      <c r="H40" s="57">
        <f>VLOOKUP(F40,$A$12:$B$12,2,TRUE)</f>
        <v>1400</v>
      </c>
      <c r="I40" s="54">
        <f t="shared" si="1"/>
        <v>0</v>
      </c>
      <c r="J40" s="56"/>
      <c r="K40" s="23"/>
      <c r="L40" s="23"/>
      <c r="M40" s="23"/>
      <c r="N40" s="23"/>
    </row>
    <row r="41" ht="15.75" customHeight="1">
      <c r="A41" s="48"/>
      <c r="B41" s="48"/>
      <c r="C41" s="48"/>
      <c r="D41" s="56"/>
      <c r="E41" s="56"/>
      <c r="F41" s="51" t="s">
        <v>25</v>
      </c>
      <c r="G41" s="52"/>
      <c r="H41" s="57">
        <f>VLOOKUP(F41,$A$13:$B$13,2,TRUE)</f>
        <v>1000</v>
      </c>
      <c r="I41" s="54">
        <f t="shared" si="1"/>
        <v>0</v>
      </c>
      <c r="J41" s="56"/>
      <c r="K41" s="23"/>
      <c r="L41" s="23"/>
      <c r="M41" s="23"/>
      <c r="N41" s="23"/>
    </row>
    <row r="42" ht="15.75" customHeight="1">
      <c r="A42" s="48"/>
      <c r="B42" s="48"/>
      <c r="C42" s="48"/>
      <c r="D42" s="56"/>
      <c r="E42" s="56"/>
      <c r="F42" s="51" t="s">
        <v>26</v>
      </c>
      <c r="G42" s="52">
        <v>5.0</v>
      </c>
      <c r="H42" s="57">
        <f>VLOOKUP(F42,$A$14:$B$14,2,TRUE)</f>
        <v>500</v>
      </c>
      <c r="I42" s="54">
        <f t="shared" si="1"/>
        <v>2500</v>
      </c>
      <c r="J42" s="56"/>
      <c r="K42" s="23"/>
      <c r="L42" s="23"/>
      <c r="M42" s="23"/>
      <c r="N42" s="23"/>
    </row>
    <row r="43" ht="15.75" customHeight="1">
      <c r="A43" s="48"/>
      <c r="B43" s="48"/>
      <c r="C43" s="48"/>
      <c r="D43" s="56"/>
      <c r="E43" s="56"/>
      <c r="F43" s="51" t="s">
        <v>27</v>
      </c>
      <c r="G43" s="52">
        <v>0.5</v>
      </c>
      <c r="H43" s="57">
        <f>VLOOKUP(F43,$A$15:$B$15,2,TRUE)</f>
        <v>7500</v>
      </c>
      <c r="I43" s="54">
        <f t="shared" si="1"/>
        <v>3750</v>
      </c>
      <c r="J43" s="56"/>
      <c r="K43" s="23"/>
      <c r="L43" s="23"/>
      <c r="M43" s="23"/>
      <c r="N43" s="23"/>
    </row>
    <row r="44" ht="15.75" customHeight="1">
      <c r="A44" s="48"/>
      <c r="B44" s="48"/>
      <c r="C44" s="48"/>
      <c r="D44" s="56"/>
      <c r="E44" s="56"/>
      <c r="F44" s="51" t="s">
        <v>28</v>
      </c>
      <c r="G44" s="52"/>
      <c r="H44" s="57">
        <f>VLOOKUP(F44,$A$16:$B$16,2,TRUE)</f>
        <v>2000</v>
      </c>
      <c r="I44" s="54">
        <f t="shared" si="1"/>
        <v>0</v>
      </c>
      <c r="J44" s="56"/>
      <c r="K44" s="23"/>
      <c r="L44" s="23"/>
      <c r="M44" s="23"/>
      <c r="N44" s="23"/>
    </row>
    <row r="45" ht="15.75" customHeight="1">
      <c r="A45" s="48"/>
      <c r="B45" s="48"/>
      <c r="C45" s="48"/>
      <c r="D45" s="56"/>
      <c r="E45" s="56"/>
      <c r="F45" s="51" t="s">
        <v>29</v>
      </c>
      <c r="G45" s="52"/>
      <c r="H45" s="57">
        <f>VLOOKUP(F45,$A$17:$B$17,2,TRUE)</f>
        <v>1200</v>
      </c>
      <c r="I45" s="54">
        <f t="shared" si="1"/>
        <v>0</v>
      </c>
      <c r="J45" s="56"/>
      <c r="K45" s="23"/>
      <c r="L45" s="23"/>
      <c r="M45" s="23"/>
      <c r="N45" s="23"/>
    </row>
    <row r="46" ht="15.75" customHeight="1">
      <c r="A46" s="48"/>
      <c r="B46" s="48"/>
      <c r="C46" s="48"/>
      <c r="D46" s="56"/>
      <c r="E46" s="56"/>
      <c r="F46" s="51" t="s">
        <v>30</v>
      </c>
      <c r="G46" s="52"/>
      <c r="H46" s="57">
        <f>VLOOKUP(F46,$A$18:$B$18,2,TRUE)</f>
        <v>5000</v>
      </c>
      <c r="I46" s="54">
        <f t="shared" si="1"/>
        <v>0</v>
      </c>
      <c r="J46" s="56"/>
      <c r="K46" s="23"/>
      <c r="L46" s="23"/>
      <c r="M46" s="23"/>
      <c r="N46" s="23"/>
    </row>
    <row r="47" ht="15.75" customHeight="1">
      <c r="A47" s="48"/>
      <c r="B47" s="48"/>
      <c r="C47" s="48"/>
      <c r="D47" s="56"/>
      <c r="E47" s="56"/>
      <c r="F47" s="51" t="s">
        <v>31</v>
      </c>
      <c r="G47" s="52"/>
      <c r="H47" s="57">
        <f>VLOOKUP(F47,$A$19:$B$19,2,TRUE)</f>
        <v>2700</v>
      </c>
      <c r="I47" s="54">
        <f t="shared" si="1"/>
        <v>0</v>
      </c>
      <c r="J47" s="56"/>
      <c r="K47" s="23"/>
      <c r="L47" s="23"/>
      <c r="M47" s="23"/>
      <c r="N47" s="23"/>
    </row>
    <row r="48" ht="15.75" customHeight="1">
      <c r="A48" s="48"/>
      <c r="B48" s="48"/>
      <c r="C48" s="48"/>
      <c r="D48" s="56"/>
      <c r="E48" s="56"/>
      <c r="F48" s="51" t="s">
        <v>32</v>
      </c>
      <c r="G48" s="52"/>
      <c r="H48" s="57">
        <f>VLOOKUP(F48,$A$20:$B$20,2,TRUE)</f>
        <v>50000</v>
      </c>
      <c r="I48" s="54">
        <f t="shared" si="1"/>
        <v>0</v>
      </c>
      <c r="J48" s="56"/>
      <c r="K48" s="23"/>
      <c r="L48" s="23"/>
      <c r="M48" s="23"/>
      <c r="N48" s="23"/>
    </row>
    <row r="49" ht="15.75" customHeight="1">
      <c r="A49" s="48"/>
      <c r="B49" s="48"/>
      <c r="C49" s="48"/>
      <c r="D49" s="56"/>
      <c r="E49" s="56"/>
      <c r="F49" s="51" t="s">
        <v>33</v>
      </c>
      <c r="G49" s="52"/>
      <c r="H49" s="57">
        <f>VLOOKUP(F49,$A$21:$B$21,2,TRUE)</f>
        <v>10000</v>
      </c>
      <c r="I49" s="54">
        <f t="shared" si="1"/>
        <v>0</v>
      </c>
      <c r="J49" s="56"/>
      <c r="K49" s="23"/>
      <c r="L49" s="23"/>
      <c r="M49" s="23"/>
      <c r="N49" s="23"/>
    </row>
    <row r="50" ht="15.75" customHeight="1">
      <c r="A50" s="48"/>
      <c r="B50" s="48"/>
      <c r="C50" s="48"/>
      <c r="D50" s="56"/>
      <c r="E50" s="56"/>
      <c r="F50" s="51" t="s">
        <v>34</v>
      </c>
      <c r="G50" s="52"/>
      <c r="H50" s="57">
        <f>VLOOKUP(F50,$A$22:$B$22,2,TRUE)</f>
        <v>1000</v>
      </c>
      <c r="I50" s="54">
        <f t="shared" si="1"/>
        <v>0</v>
      </c>
      <c r="J50" s="56"/>
      <c r="K50" s="23"/>
      <c r="L50" s="23"/>
      <c r="M50" s="23"/>
      <c r="N50" s="23"/>
    </row>
    <row r="51" ht="15.75" customHeight="1">
      <c r="A51" s="48"/>
      <c r="B51" s="48"/>
      <c r="C51" s="48"/>
      <c r="D51" s="56"/>
      <c r="E51" s="56"/>
      <c r="F51" s="51" t="s">
        <v>35</v>
      </c>
      <c r="G51" s="52"/>
      <c r="H51" s="57">
        <f>VLOOKUP(F51,$A$23:$B$23,2,TRUE)</f>
        <v>500</v>
      </c>
      <c r="I51" s="54">
        <f t="shared" si="1"/>
        <v>0</v>
      </c>
      <c r="J51" s="56"/>
      <c r="K51" s="23"/>
      <c r="L51" s="23"/>
      <c r="M51" s="23"/>
      <c r="N51" s="23"/>
    </row>
    <row r="52" ht="15.75" customHeight="1">
      <c r="A52" s="48"/>
      <c r="B52" s="48"/>
      <c r="C52" s="48"/>
      <c r="D52" s="56"/>
      <c r="E52" s="56"/>
      <c r="F52" s="51" t="s">
        <v>36</v>
      </c>
      <c r="G52" s="52"/>
      <c r="H52" s="57">
        <f>VLOOKUP(F52,$A$24:$B$24,2,TRUE)</f>
        <v>200</v>
      </c>
      <c r="I52" s="54">
        <f t="shared" si="1"/>
        <v>0</v>
      </c>
      <c r="J52" s="56"/>
      <c r="K52" s="23"/>
      <c r="L52" s="23"/>
      <c r="M52" s="23"/>
      <c r="N52" s="23"/>
    </row>
    <row r="53" ht="15.75" customHeight="1">
      <c r="A53" s="48"/>
      <c r="B53" s="48"/>
      <c r="C53" s="48"/>
      <c r="D53" s="56"/>
      <c r="E53" s="56"/>
      <c r="F53" s="51" t="s">
        <v>37</v>
      </c>
      <c r="G53" s="52"/>
      <c r="H53" s="57">
        <f>VLOOKUP(F53,$A$25:$B$25,2,TRUE)</f>
        <v>1300</v>
      </c>
      <c r="I53" s="54">
        <f t="shared" si="1"/>
        <v>0</v>
      </c>
      <c r="J53" s="56"/>
      <c r="K53" s="23"/>
      <c r="L53" s="23"/>
      <c r="M53" s="23"/>
      <c r="N53" s="23"/>
    </row>
    <row r="54" ht="15.75" customHeight="1">
      <c r="A54" s="48"/>
      <c r="B54" s="48"/>
      <c r="C54" s="48"/>
      <c r="D54" s="56"/>
      <c r="E54" s="56"/>
      <c r="F54" s="51" t="s">
        <v>12</v>
      </c>
      <c r="G54" s="52">
        <v>2.0</v>
      </c>
      <c r="H54" s="57">
        <f>VLOOKUP(F54,$A$26:$B$26,2,TRUE)</f>
        <v>300</v>
      </c>
      <c r="I54" s="54">
        <f t="shared" si="1"/>
        <v>600</v>
      </c>
      <c r="J54" s="56"/>
      <c r="K54" s="23"/>
      <c r="L54" s="23"/>
      <c r="M54" s="23"/>
      <c r="N54" s="23"/>
    </row>
    <row r="55" ht="15.75" customHeight="1">
      <c r="A55" s="48"/>
      <c r="B55" s="48"/>
      <c r="C55" s="48"/>
      <c r="D55" s="56"/>
      <c r="E55" s="56"/>
      <c r="F55" s="51" t="s">
        <v>39</v>
      </c>
      <c r="G55" s="52"/>
      <c r="H55" s="57">
        <f>VLOOKUP(F55,$A$27:$B$27,2,TRUE)</f>
        <v>0</v>
      </c>
      <c r="I55" s="54">
        <f t="shared" si="1"/>
        <v>0</v>
      </c>
      <c r="J55" s="56"/>
      <c r="K55" s="23"/>
      <c r="L55" s="23"/>
      <c r="M55" s="23"/>
      <c r="N55" s="23"/>
    </row>
    <row r="56" ht="15.75" customHeight="1">
      <c r="A56" s="48"/>
      <c r="B56" s="48"/>
      <c r="C56" s="48"/>
      <c r="D56" s="56"/>
      <c r="E56" s="56"/>
      <c r="F56" s="51" t="s">
        <v>40</v>
      </c>
      <c r="G56" s="52"/>
      <c r="H56" s="57">
        <f>VLOOKUP(F55,$A$28:$B$28,2,TRUE)</f>
        <v>1700</v>
      </c>
      <c r="I56" s="54">
        <f t="shared" si="1"/>
        <v>0</v>
      </c>
      <c r="J56" s="56"/>
      <c r="K56" s="23"/>
      <c r="L56" s="23"/>
      <c r="M56" s="23"/>
      <c r="N56" s="23"/>
    </row>
    <row r="57" ht="15.75" customHeight="1">
      <c r="A57" s="48"/>
      <c r="B57" s="48"/>
      <c r="C57" s="48"/>
      <c r="D57" s="56"/>
      <c r="E57" s="56"/>
      <c r="F57" s="51" t="s">
        <v>14</v>
      </c>
      <c r="G57" s="52"/>
      <c r="H57" s="57">
        <f>VLOOKUP(F56,$A$29:$B$29,2,TRUE)</f>
        <v>4500</v>
      </c>
      <c r="I57" s="54">
        <f t="shared" si="1"/>
        <v>0</v>
      </c>
      <c r="J57" s="56"/>
      <c r="K57" s="23"/>
      <c r="L57" s="23"/>
      <c r="M57" s="23"/>
      <c r="N57" s="23"/>
    </row>
    <row r="58" ht="15.75" customHeight="1">
      <c r="A58" s="48"/>
      <c r="B58" s="48"/>
      <c r="C58" s="48"/>
      <c r="D58" s="10"/>
      <c r="E58" s="10"/>
      <c r="F58" s="51" t="s">
        <v>58</v>
      </c>
      <c r="G58" s="52">
        <v>7.5</v>
      </c>
      <c r="H58" s="57"/>
      <c r="I58" s="54">
        <f t="shared" si="1"/>
        <v>0</v>
      </c>
      <c r="J58" s="10"/>
      <c r="K58" s="23" t="s">
        <v>76</v>
      </c>
      <c r="L58" s="23"/>
      <c r="M58" s="23"/>
      <c r="N58" s="23"/>
    </row>
    <row r="59" ht="15.75" customHeight="1">
      <c r="A59" s="48"/>
      <c r="B59" s="48"/>
      <c r="C59" s="48"/>
      <c r="D59" s="49">
        <v>3.0</v>
      </c>
      <c r="E59" s="63" t="s">
        <v>78</v>
      </c>
      <c r="F59" s="51" t="s">
        <v>16</v>
      </c>
      <c r="G59" s="52"/>
      <c r="H59" s="53">
        <f>VLOOKUP(F59,$A$4:$B$4,2,TRUE)</f>
        <v>3000</v>
      </c>
      <c r="I59" s="54">
        <f t="shared" si="1"/>
        <v>0</v>
      </c>
      <c r="J59" s="55">
        <f>SUM(I59:I85)</f>
        <v>1800</v>
      </c>
      <c r="K59" s="23"/>
      <c r="L59" s="23"/>
      <c r="M59" s="23"/>
      <c r="N59" s="23"/>
    </row>
    <row r="60" ht="15.75" customHeight="1">
      <c r="A60" s="48"/>
      <c r="B60" s="48"/>
      <c r="C60" s="48"/>
      <c r="D60" s="56"/>
      <c r="E60" s="56"/>
      <c r="F60" s="51" t="s">
        <v>55</v>
      </c>
      <c r="G60" s="52"/>
      <c r="H60" s="57">
        <f>VLOOKUP(F60,$A$5:$B$5,2,TRUE)</f>
        <v>2500</v>
      </c>
      <c r="I60" s="54">
        <f t="shared" si="1"/>
        <v>0</v>
      </c>
      <c r="J60" s="56"/>
      <c r="K60" s="23"/>
      <c r="L60" s="23"/>
      <c r="M60" s="23"/>
      <c r="N60" s="23"/>
    </row>
    <row r="61" ht="15.75" customHeight="1">
      <c r="A61" s="48"/>
      <c r="B61" s="48"/>
      <c r="C61" s="48"/>
      <c r="D61" s="56"/>
      <c r="E61" s="56"/>
      <c r="F61" s="51" t="s">
        <v>57</v>
      </c>
      <c r="G61" s="52"/>
      <c r="H61" s="57">
        <f>VLOOKUP(F61,$A$6:$B$6,2,TRUE)</f>
        <v>1200</v>
      </c>
      <c r="I61" s="54">
        <f t="shared" si="1"/>
        <v>0</v>
      </c>
      <c r="J61" s="56"/>
      <c r="K61" s="23"/>
      <c r="L61" s="23"/>
      <c r="M61" s="23"/>
      <c r="N61" s="23"/>
    </row>
    <row r="62" ht="15.75" customHeight="1">
      <c r="A62" s="48"/>
      <c r="B62" s="48"/>
      <c r="C62" s="48"/>
      <c r="D62" s="56"/>
      <c r="E62" s="56"/>
      <c r="F62" s="51" t="s">
        <v>19</v>
      </c>
      <c r="G62" s="52"/>
      <c r="H62" s="57">
        <f>VLOOKUP(F62,$A$7:$B$7,2,TRUE)</f>
        <v>2100</v>
      </c>
      <c r="I62" s="54">
        <f t="shared" si="1"/>
        <v>0</v>
      </c>
      <c r="J62" s="56"/>
      <c r="K62" s="23"/>
      <c r="L62" s="23"/>
      <c r="M62" s="23"/>
      <c r="N62" s="23"/>
    </row>
    <row r="63" ht="15.75" customHeight="1">
      <c r="A63" s="48"/>
      <c r="B63" s="48"/>
      <c r="C63" s="48"/>
      <c r="D63" s="56"/>
      <c r="E63" s="56"/>
      <c r="F63" s="51" t="s">
        <v>20</v>
      </c>
      <c r="G63" s="52"/>
      <c r="H63" s="57">
        <f>VLOOKUP(F63,$A$8:$B$8,2,TRUE)</f>
        <v>3000</v>
      </c>
      <c r="I63" s="54">
        <f t="shared" si="1"/>
        <v>0</v>
      </c>
      <c r="J63" s="56"/>
      <c r="K63" s="23"/>
      <c r="L63" s="23"/>
      <c r="M63" s="23"/>
      <c r="N63" s="23"/>
    </row>
    <row r="64" ht="15.75" customHeight="1">
      <c r="A64" s="48"/>
      <c r="B64" s="48"/>
      <c r="C64" s="48"/>
      <c r="D64" s="56"/>
      <c r="E64" s="56"/>
      <c r="F64" s="51" t="s">
        <v>21</v>
      </c>
      <c r="G64" s="52"/>
      <c r="H64" s="57">
        <f>VLOOKUP(F64,$A$9:$B$9,2,TRUE)</f>
        <v>500</v>
      </c>
      <c r="I64" s="54">
        <f t="shared" si="1"/>
        <v>0</v>
      </c>
      <c r="J64" s="56"/>
      <c r="K64" s="23"/>
      <c r="L64" s="23"/>
      <c r="M64" s="23"/>
      <c r="N64" s="23"/>
    </row>
    <row r="65" ht="15.75" customHeight="1">
      <c r="A65" s="48"/>
      <c r="B65" s="48"/>
      <c r="C65" s="48"/>
      <c r="D65" s="56"/>
      <c r="E65" s="56"/>
      <c r="F65" s="51" t="s">
        <v>22</v>
      </c>
      <c r="G65" s="52">
        <v>1.0</v>
      </c>
      <c r="H65" s="57">
        <f>VLOOKUP(F65,$A$10:$B$10,2,TRUE)</f>
        <v>1800</v>
      </c>
      <c r="I65" s="54">
        <f t="shared" si="1"/>
        <v>1800</v>
      </c>
      <c r="J65" s="56"/>
      <c r="K65" s="23"/>
      <c r="L65" s="23"/>
      <c r="M65" s="23"/>
      <c r="N65" s="23"/>
    </row>
    <row r="66" ht="15.75" customHeight="1">
      <c r="A66" s="48"/>
      <c r="B66" s="48"/>
      <c r="C66" s="48"/>
      <c r="D66" s="56"/>
      <c r="E66" s="56"/>
      <c r="F66" s="51" t="s">
        <v>23</v>
      </c>
      <c r="G66" s="52"/>
      <c r="H66" s="57">
        <f>VLOOKUP(F66,$A$11:$B$11,2,TRUE)</f>
        <v>1500</v>
      </c>
      <c r="I66" s="54">
        <f t="shared" si="1"/>
        <v>0</v>
      </c>
      <c r="J66" s="56"/>
      <c r="K66" s="23"/>
      <c r="L66" s="23"/>
      <c r="M66" s="23"/>
      <c r="N66" s="23"/>
    </row>
    <row r="67" ht="15.75" customHeight="1">
      <c r="A67" s="48"/>
      <c r="B67" s="48"/>
      <c r="C67" s="48"/>
      <c r="D67" s="56"/>
      <c r="E67" s="56"/>
      <c r="F67" s="51" t="s">
        <v>24</v>
      </c>
      <c r="G67" s="52"/>
      <c r="H67" s="57">
        <f>VLOOKUP(F67,$A$12:$B$12,2,TRUE)</f>
        <v>1400</v>
      </c>
      <c r="I67" s="54">
        <f t="shared" si="1"/>
        <v>0</v>
      </c>
      <c r="J67" s="56"/>
      <c r="K67" s="23"/>
      <c r="L67" s="23"/>
      <c r="M67" s="23"/>
      <c r="N67" s="23"/>
    </row>
    <row r="68" ht="15.75" customHeight="1">
      <c r="A68" s="48"/>
      <c r="B68" s="48"/>
      <c r="C68" s="48"/>
      <c r="D68" s="56"/>
      <c r="E68" s="56"/>
      <c r="F68" s="51" t="s">
        <v>25</v>
      </c>
      <c r="G68" s="52"/>
      <c r="H68" s="57">
        <f>VLOOKUP(F68,$A$13:$B$13,2,TRUE)</f>
        <v>1000</v>
      </c>
      <c r="I68" s="54">
        <f t="shared" si="1"/>
        <v>0</v>
      </c>
      <c r="J68" s="56"/>
      <c r="K68" s="23"/>
      <c r="L68" s="23"/>
      <c r="M68" s="23"/>
      <c r="N68" s="23"/>
    </row>
    <row r="69" ht="15.75" customHeight="1">
      <c r="A69" s="48"/>
      <c r="B69" s="48"/>
      <c r="C69" s="48"/>
      <c r="D69" s="56"/>
      <c r="E69" s="56"/>
      <c r="F69" s="51" t="s">
        <v>26</v>
      </c>
      <c r="G69" s="52"/>
      <c r="H69" s="57">
        <f>VLOOKUP(F69,$A$14:$B$14,2,TRUE)</f>
        <v>500</v>
      </c>
      <c r="I69" s="54">
        <f t="shared" si="1"/>
        <v>0</v>
      </c>
      <c r="J69" s="56"/>
      <c r="K69" s="23"/>
      <c r="L69" s="23"/>
      <c r="M69" s="23"/>
      <c r="N69" s="23"/>
    </row>
    <row r="70" ht="15.75" customHeight="1">
      <c r="A70" s="48"/>
      <c r="B70" s="48"/>
      <c r="C70" s="48"/>
      <c r="D70" s="56"/>
      <c r="E70" s="56"/>
      <c r="F70" s="51" t="s">
        <v>27</v>
      </c>
      <c r="G70" s="52"/>
      <c r="H70" s="57">
        <f>VLOOKUP(F70,$A$15:$B$15,2,TRUE)</f>
        <v>7500</v>
      </c>
      <c r="I70" s="54">
        <f t="shared" si="1"/>
        <v>0</v>
      </c>
      <c r="J70" s="56"/>
      <c r="K70" s="23"/>
      <c r="L70" s="23"/>
      <c r="M70" s="23"/>
      <c r="N70" s="23"/>
    </row>
    <row r="71" ht="15.75" customHeight="1">
      <c r="A71" s="48"/>
      <c r="B71" s="48"/>
      <c r="C71" s="48"/>
      <c r="D71" s="56"/>
      <c r="E71" s="56"/>
      <c r="F71" s="51" t="s">
        <v>28</v>
      </c>
      <c r="G71" s="52"/>
      <c r="H71" s="57">
        <f>VLOOKUP(F71,$A$16:$B$16,2,TRUE)</f>
        <v>2000</v>
      </c>
      <c r="I71" s="54">
        <f t="shared" si="1"/>
        <v>0</v>
      </c>
      <c r="J71" s="56"/>
      <c r="K71" s="23"/>
      <c r="L71" s="23"/>
      <c r="M71" s="23"/>
      <c r="N71" s="23"/>
    </row>
    <row r="72" ht="15.75" customHeight="1">
      <c r="A72" s="48"/>
      <c r="B72" s="48"/>
      <c r="C72" s="48"/>
      <c r="D72" s="56"/>
      <c r="E72" s="56"/>
      <c r="F72" s="51" t="s">
        <v>29</v>
      </c>
      <c r="G72" s="52"/>
      <c r="H72" s="57">
        <f>VLOOKUP(F72,$A$17:$B$17,2,TRUE)</f>
        <v>1200</v>
      </c>
      <c r="I72" s="54">
        <f t="shared" si="1"/>
        <v>0</v>
      </c>
      <c r="J72" s="56"/>
      <c r="K72" s="23"/>
      <c r="L72" s="23"/>
      <c r="M72" s="23"/>
      <c r="N72" s="23"/>
    </row>
    <row r="73" ht="15.75" customHeight="1">
      <c r="A73" s="48"/>
      <c r="B73" s="48"/>
      <c r="C73" s="48"/>
      <c r="D73" s="56"/>
      <c r="E73" s="56"/>
      <c r="F73" s="51" t="s">
        <v>30</v>
      </c>
      <c r="G73" s="52"/>
      <c r="H73" s="57">
        <f>VLOOKUP(F73,$A$18:$B$18,2,TRUE)</f>
        <v>5000</v>
      </c>
      <c r="I73" s="54">
        <f t="shared" si="1"/>
        <v>0</v>
      </c>
      <c r="J73" s="56"/>
      <c r="K73" s="23"/>
      <c r="L73" s="23"/>
      <c r="M73" s="23"/>
      <c r="N73" s="23"/>
    </row>
    <row r="74" ht="15.75" customHeight="1">
      <c r="A74" s="48"/>
      <c r="B74" s="48"/>
      <c r="C74" s="48"/>
      <c r="D74" s="56"/>
      <c r="E74" s="56"/>
      <c r="F74" s="51" t="s">
        <v>31</v>
      </c>
      <c r="G74" s="52"/>
      <c r="H74" s="57">
        <f>VLOOKUP(F74,$A$19:$B$19,2,TRUE)</f>
        <v>2700</v>
      </c>
      <c r="I74" s="54">
        <f t="shared" si="1"/>
        <v>0</v>
      </c>
      <c r="J74" s="56"/>
      <c r="K74" s="23"/>
      <c r="L74" s="23"/>
      <c r="M74" s="23"/>
      <c r="N74" s="23"/>
    </row>
    <row r="75" ht="15.75" customHeight="1">
      <c r="A75" s="48"/>
      <c r="B75" s="48"/>
      <c r="C75" s="48"/>
      <c r="D75" s="56"/>
      <c r="E75" s="56"/>
      <c r="F75" s="51" t="s">
        <v>32</v>
      </c>
      <c r="G75" s="52"/>
      <c r="H75" s="57">
        <f>VLOOKUP(F75,$A$20:$B$20,2,TRUE)</f>
        <v>50000</v>
      </c>
      <c r="I75" s="54">
        <f t="shared" si="1"/>
        <v>0</v>
      </c>
      <c r="J75" s="56"/>
      <c r="K75" s="23"/>
      <c r="L75" s="23"/>
      <c r="M75" s="23"/>
      <c r="N75" s="23"/>
    </row>
    <row r="76" ht="15.75" customHeight="1">
      <c r="A76" s="48"/>
      <c r="B76" s="48"/>
      <c r="C76" s="48"/>
      <c r="D76" s="56"/>
      <c r="E76" s="56"/>
      <c r="F76" s="51" t="s">
        <v>33</v>
      </c>
      <c r="G76" s="52"/>
      <c r="H76" s="57">
        <f>VLOOKUP(F76,$A$21:$B$21,2,TRUE)</f>
        <v>10000</v>
      </c>
      <c r="I76" s="54">
        <f t="shared" si="1"/>
        <v>0</v>
      </c>
      <c r="J76" s="56"/>
      <c r="K76" s="23"/>
      <c r="L76" s="23"/>
      <c r="M76" s="23"/>
      <c r="N76" s="23"/>
    </row>
    <row r="77" ht="15.75" customHeight="1">
      <c r="A77" s="48"/>
      <c r="B77" s="48"/>
      <c r="C77" s="48"/>
      <c r="D77" s="56"/>
      <c r="E77" s="56"/>
      <c r="F77" s="51" t="s">
        <v>34</v>
      </c>
      <c r="G77" s="52"/>
      <c r="H77" s="57">
        <f>VLOOKUP(F77,$A$22:$B$22,2,TRUE)</f>
        <v>1000</v>
      </c>
      <c r="I77" s="54">
        <f t="shared" si="1"/>
        <v>0</v>
      </c>
      <c r="J77" s="56"/>
      <c r="K77" s="23"/>
      <c r="L77" s="23"/>
      <c r="M77" s="23"/>
      <c r="N77" s="23"/>
    </row>
    <row r="78" ht="15.75" customHeight="1">
      <c r="A78" s="48"/>
      <c r="B78" s="48"/>
      <c r="C78" s="48"/>
      <c r="D78" s="56"/>
      <c r="E78" s="56"/>
      <c r="F78" s="51" t="s">
        <v>35</v>
      </c>
      <c r="G78" s="52"/>
      <c r="H78" s="57">
        <f>VLOOKUP(F78,$A$23:$B$23,2,TRUE)</f>
        <v>500</v>
      </c>
      <c r="I78" s="54">
        <f t="shared" si="1"/>
        <v>0</v>
      </c>
      <c r="J78" s="56"/>
      <c r="K78" s="23"/>
      <c r="L78" s="23"/>
      <c r="M78" s="23"/>
      <c r="N78" s="23"/>
    </row>
    <row r="79" ht="15.75" customHeight="1">
      <c r="A79" s="48"/>
      <c r="B79" s="48"/>
      <c r="C79" s="48"/>
      <c r="D79" s="56"/>
      <c r="E79" s="56"/>
      <c r="F79" s="51" t="s">
        <v>36</v>
      </c>
      <c r="G79" s="52"/>
      <c r="H79" s="57">
        <f>VLOOKUP(F79,$A$24:$B$24,2,TRUE)</f>
        <v>200</v>
      </c>
      <c r="I79" s="54">
        <f t="shared" si="1"/>
        <v>0</v>
      </c>
      <c r="J79" s="56"/>
      <c r="K79" s="23"/>
      <c r="L79" s="23"/>
      <c r="M79" s="23"/>
      <c r="N79" s="23"/>
    </row>
    <row r="80" ht="15.75" customHeight="1">
      <c r="A80" s="48"/>
      <c r="B80" s="48"/>
      <c r="C80" s="48"/>
      <c r="D80" s="56"/>
      <c r="E80" s="56"/>
      <c r="F80" s="51" t="s">
        <v>37</v>
      </c>
      <c r="G80" s="52"/>
      <c r="H80" s="57">
        <f>VLOOKUP(F80,$A$25:$B$25,2,TRUE)</f>
        <v>1300</v>
      </c>
      <c r="I80" s="54">
        <f t="shared" si="1"/>
        <v>0</v>
      </c>
      <c r="J80" s="56"/>
      <c r="K80" s="23"/>
      <c r="L80" s="23"/>
      <c r="M80" s="23"/>
      <c r="N80" s="23"/>
    </row>
    <row r="81" ht="15.75" customHeight="1">
      <c r="A81" s="48"/>
      <c r="B81" s="48"/>
      <c r="C81" s="48"/>
      <c r="D81" s="56"/>
      <c r="E81" s="56"/>
      <c r="F81" s="51" t="s">
        <v>12</v>
      </c>
      <c r="G81" s="52"/>
      <c r="H81" s="57">
        <f>VLOOKUP(F81,$A$26:$B$26,2,TRUE)</f>
        <v>300</v>
      </c>
      <c r="I81" s="54">
        <f t="shared" si="1"/>
        <v>0</v>
      </c>
      <c r="J81" s="56"/>
      <c r="K81" s="23"/>
      <c r="L81" s="23"/>
      <c r="M81" s="23"/>
      <c r="N81" s="23"/>
    </row>
    <row r="82" ht="15.75" customHeight="1">
      <c r="A82" s="48"/>
      <c r="B82" s="48"/>
      <c r="C82" s="48"/>
      <c r="D82" s="56"/>
      <c r="E82" s="56"/>
      <c r="F82" s="51" t="s">
        <v>39</v>
      </c>
      <c r="G82" s="52"/>
      <c r="H82" s="57">
        <f>VLOOKUP(F82,$A$27:$B$27,2,TRUE)</f>
        <v>0</v>
      </c>
      <c r="I82" s="54">
        <f t="shared" si="1"/>
        <v>0</v>
      </c>
      <c r="J82" s="56"/>
      <c r="K82" s="23"/>
      <c r="L82" s="23"/>
      <c r="M82" s="23"/>
      <c r="N82" s="23"/>
    </row>
    <row r="83" ht="15.75" customHeight="1">
      <c r="A83" s="48"/>
      <c r="B83" s="48"/>
      <c r="C83" s="48"/>
      <c r="D83" s="56"/>
      <c r="E83" s="56"/>
      <c r="F83" s="51" t="s">
        <v>40</v>
      </c>
      <c r="G83" s="52"/>
      <c r="H83" s="57">
        <f>VLOOKUP(F82,$A$28:$B$28,2,TRUE)</f>
        <v>1700</v>
      </c>
      <c r="I83" s="54">
        <f t="shared" si="1"/>
        <v>0</v>
      </c>
      <c r="J83" s="56"/>
      <c r="K83" s="23"/>
      <c r="L83" s="23"/>
      <c r="M83" s="23"/>
      <c r="N83" s="23"/>
    </row>
    <row r="84" ht="15.75" customHeight="1">
      <c r="A84" s="48"/>
      <c r="B84" s="48"/>
      <c r="C84" s="48"/>
      <c r="D84" s="56"/>
      <c r="E84" s="56"/>
      <c r="F84" s="51" t="s">
        <v>14</v>
      </c>
      <c r="G84" s="52"/>
      <c r="H84" s="57">
        <f>VLOOKUP(F83,$A$29:$B$29,2,TRUE)</f>
        <v>4500</v>
      </c>
      <c r="I84" s="54">
        <f t="shared" si="1"/>
        <v>0</v>
      </c>
      <c r="J84" s="56"/>
      <c r="K84" s="23"/>
      <c r="L84" s="23"/>
      <c r="M84" s="23"/>
      <c r="N84" s="23"/>
    </row>
    <row r="85" ht="15.75" customHeight="1">
      <c r="A85" s="48"/>
      <c r="B85" s="48"/>
      <c r="C85" s="48"/>
      <c r="D85" s="10"/>
      <c r="E85" s="10"/>
      <c r="F85" s="51" t="s">
        <v>58</v>
      </c>
      <c r="G85" s="52">
        <v>0.5</v>
      </c>
      <c r="H85" s="57"/>
      <c r="I85" s="54">
        <f t="shared" si="1"/>
        <v>0</v>
      </c>
      <c r="J85" s="10"/>
      <c r="K85" s="23" t="s">
        <v>67</v>
      </c>
      <c r="L85" s="23"/>
      <c r="M85" s="23"/>
      <c r="N85" s="23"/>
    </row>
    <row r="86" ht="15.75" customHeight="1">
      <c r="A86" s="48"/>
      <c r="B86" s="48"/>
      <c r="C86" s="48"/>
      <c r="D86" s="49">
        <v>4.0</v>
      </c>
      <c r="E86" s="50" t="s">
        <v>79</v>
      </c>
      <c r="F86" s="51" t="s">
        <v>16</v>
      </c>
      <c r="G86" s="52"/>
      <c r="H86" s="53">
        <f>VLOOKUP(F86,$A$4:$B$4,2,TRUE)</f>
        <v>3000</v>
      </c>
      <c r="I86" s="54">
        <f t="shared" si="1"/>
        <v>0</v>
      </c>
      <c r="J86" s="55">
        <f>SUM(I86:I112)</f>
        <v>15200</v>
      </c>
      <c r="K86" s="23"/>
      <c r="L86" s="23"/>
      <c r="M86" s="23"/>
      <c r="N86" s="23"/>
    </row>
    <row r="87" ht="15.75" customHeight="1">
      <c r="A87" s="48"/>
      <c r="B87" s="48"/>
      <c r="C87" s="48"/>
      <c r="D87" s="56"/>
      <c r="E87" s="56"/>
      <c r="F87" s="51" t="s">
        <v>55</v>
      </c>
      <c r="G87" s="52"/>
      <c r="H87" s="57">
        <f>VLOOKUP(F87,$A$5:$B$5,2,TRUE)</f>
        <v>2500</v>
      </c>
      <c r="I87" s="54">
        <f t="shared" si="1"/>
        <v>0</v>
      </c>
      <c r="J87" s="56"/>
      <c r="K87" s="23"/>
      <c r="L87" s="23"/>
      <c r="M87" s="23"/>
      <c r="N87" s="23"/>
    </row>
    <row r="88" ht="15.75" customHeight="1">
      <c r="A88" s="48"/>
      <c r="B88" s="48"/>
      <c r="C88" s="48"/>
      <c r="D88" s="56"/>
      <c r="E88" s="56"/>
      <c r="F88" s="51" t="s">
        <v>57</v>
      </c>
      <c r="G88" s="52"/>
      <c r="H88" s="57">
        <f>VLOOKUP(F88,$A$6:$B$6,2,TRUE)</f>
        <v>1200</v>
      </c>
      <c r="I88" s="54">
        <f t="shared" si="1"/>
        <v>0</v>
      </c>
      <c r="J88" s="56"/>
      <c r="K88" s="23"/>
      <c r="L88" s="23"/>
      <c r="M88" s="23"/>
      <c r="N88" s="23"/>
    </row>
    <row r="89" ht="15.75" customHeight="1">
      <c r="A89" s="48"/>
      <c r="B89" s="48"/>
      <c r="C89" s="48"/>
      <c r="D89" s="56"/>
      <c r="E89" s="56"/>
      <c r="F89" s="51" t="s">
        <v>19</v>
      </c>
      <c r="G89" s="52">
        <v>1.0</v>
      </c>
      <c r="H89" s="57">
        <f>VLOOKUP(F89,$A$7:$B$7,2,TRUE)</f>
        <v>2100</v>
      </c>
      <c r="I89" s="54">
        <f t="shared" si="1"/>
        <v>2100</v>
      </c>
      <c r="J89" s="56"/>
      <c r="K89" s="23"/>
      <c r="L89" s="23"/>
      <c r="M89" s="23"/>
      <c r="N89" s="23"/>
    </row>
    <row r="90" ht="15.75" customHeight="1">
      <c r="A90" s="48"/>
      <c r="B90" s="48"/>
      <c r="C90" s="48"/>
      <c r="D90" s="56"/>
      <c r="E90" s="56"/>
      <c r="F90" s="51" t="s">
        <v>20</v>
      </c>
      <c r="G90" s="52"/>
      <c r="H90" s="57">
        <f>VLOOKUP(F90,$A$8:$B$8,2,TRUE)</f>
        <v>3000</v>
      </c>
      <c r="I90" s="54">
        <f t="shared" si="1"/>
        <v>0</v>
      </c>
      <c r="J90" s="56"/>
      <c r="K90" s="23"/>
      <c r="L90" s="23"/>
      <c r="M90" s="23"/>
      <c r="N90" s="23"/>
    </row>
    <row r="91" ht="15.75" customHeight="1">
      <c r="A91" s="48"/>
      <c r="B91" s="48"/>
      <c r="C91" s="48"/>
      <c r="D91" s="56"/>
      <c r="E91" s="56"/>
      <c r="F91" s="51" t="s">
        <v>21</v>
      </c>
      <c r="G91" s="52">
        <v>5.5</v>
      </c>
      <c r="H91" s="57">
        <f>VLOOKUP(F91,$A$9:$B$9,2,TRUE)</f>
        <v>500</v>
      </c>
      <c r="I91" s="54">
        <f t="shared" si="1"/>
        <v>2750</v>
      </c>
      <c r="J91" s="56"/>
      <c r="K91" s="23"/>
      <c r="L91" s="23"/>
      <c r="M91" s="23"/>
      <c r="N91" s="23"/>
    </row>
    <row r="92" ht="15.75" customHeight="1">
      <c r="A92" s="48"/>
      <c r="B92" s="48"/>
      <c r="C92" s="48"/>
      <c r="D92" s="56"/>
      <c r="E92" s="56"/>
      <c r="F92" s="51" t="s">
        <v>22</v>
      </c>
      <c r="G92" s="52">
        <v>0.5</v>
      </c>
      <c r="H92" s="57">
        <f>VLOOKUP(F92,$A$10:$B$10,2,TRUE)</f>
        <v>1800</v>
      </c>
      <c r="I92" s="54">
        <f t="shared" si="1"/>
        <v>900</v>
      </c>
      <c r="J92" s="56"/>
      <c r="K92" s="23"/>
      <c r="L92" s="23"/>
      <c r="M92" s="23"/>
      <c r="N92" s="23"/>
    </row>
    <row r="93" ht="15.75" customHeight="1">
      <c r="A93" s="48"/>
      <c r="B93" s="48"/>
      <c r="C93" s="48"/>
      <c r="D93" s="56"/>
      <c r="E93" s="56"/>
      <c r="F93" s="51" t="s">
        <v>23</v>
      </c>
      <c r="G93" s="52"/>
      <c r="H93" s="57">
        <f>VLOOKUP(F93,$A$11:$B$11,2,TRUE)</f>
        <v>1500</v>
      </c>
      <c r="I93" s="54">
        <f t="shared" si="1"/>
        <v>0</v>
      </c>
      <c r="J93" s="56"/>
      <c r="K93" s="23"/>
      <c r="L93" s="23"/>
      <c r="M93" s="23"/>
      <c r="N93" s="23"/>
    </row>
    <row r="94" ht="15.75" customHeight="1">
      <c r="A94" s="48"/>
      <c r="B94" s="48"/>
      <c r="C94" s="48"/>
      <c r="D94" s="56"/>
      <c r="E94" s="56"/>
      <c r="F94" s="51" t="s">
        <v>24</v>
      </c>
      <c r="G94" s="52"/>
      <c r="H94" s="57">
        <f>VLOOKUP(F94,$A$12:$B$12,2,TRUE)</f>
        <v>1400</v>
      </c>
      <c r="I94" s="54">
        <f t="shared" si="1"/>
        <v>0</v>
      </c>
      <c r="J94" s="56"/>
      <c r="K94" s="23"/>
      <c r="L94" s="23"/>
      <c r="M94" s="23"/>
      <c r="N94" s="23"/>
    </row>
    <row r="95" ht="15.75" customHeight="1">
      <c r="A95" s="48"/>
      <c r="B95" s="48"/>
      <c r="C95" s="48"/>
      <c r="D95" s="56"/>
      <c r="E95" s="56"/>
      <c r="F95" s="51" t="s">
        <v>25</v>
      </c>
      <c r="G95" s="52"/>
      <c r="H95" s="57">
        <f>VLOOKUP(F95,$A$13:$B$13,2,TRUE)</f>
        <v>1000</v>
      </c>
      <c r="I95" s="54">
        <f t="shared" si="1"/>
        <v>0</v>
      </c>
      <c r="J95" s="56"/>
      <c r="K95" s="23"/>
      <c r="L95" s="23"/>
      <c r="M95" s="23"/>
      <c r="N95" s="23"/>
    </row>
    <row r="96" ht="15.75" customHeight="1">
      <c r="A96" s="48"/>
      <c r="B96" s="48"/>
      <c r="C96" s="48"/>
      <c r="D96" s="56"/>
      <c r="E96" s="56"/>
      <c r="F96" s="51" t="s">
        <v>26</v>
      </c>
      <c r="G96" s="52">
        <v>0.5</v>
      </c>
      <c r="H96" s="57">
        <f>VLOOKUP(F96,$A$14:$B$14,2,TRUE)</f>
        <v>500</v>
      </c>
      <c r="I96" s="54">
        <f t="shared" si="1"/>
        <v>250</v>
      </c>
      <c r="J96" s="56"/>
      <c r="K96" s="23"/>
      <c r="L96" s="23"/>
      <c r="M96" s="23"/>
      <c r="N96" s="23"/>
    </row>
    <row r="97" ht="15.75" customHeight="1">
      <c r="A97" s="48"/>
      <c r="B97" s="48"/>
      <c r="C97" s="48"/>
      <c r="D97" s="56"/>
      <c r="E97" s="56"/>
      <c r="F97" s="51" t="s">
        <v>27</v>
      </c>
      <c r="G97" s="52"/>
      <c r="H97" s="57">
        <f>VLOOKUP(F97,$A$15:$B$15,2,TRUE)</f>
        <v>7500</v>
      </c>
      <c r="I97" s="54">
        <f t="shared" si="1"/>
        <v>0</v>
      </c>
      <c r="J97" s="56"/>
      <c r="K97" s="23"/>
      <c r="L97" s="23"/>
      <c r="M97" s="23"/>
      <c r="N97" s="23"/>
    </row>
    <row r="98" ht="15.75" customHeight="1">
      <c r="A98" s="48"/>
      <c r="B98" s="48"/>
      <c r="C98" s="48"/>
      <c r="D98" s="56"/>
      <c r="E98" s="56"/>
      <c r="F98" s="51" t="s">
        <v>28</v>
      </c>
      <c r="G98" s="52">
        <v>4.5</v>
      </c>
      <c r="H98" s="57">
        <f>VLOOKUP(F98,$A$16:$B$16,2,TRUE)</f>
        <v>2000</v>
      </c>
      <c r="I98" s="54">
        <f t="shared" si="1"/>
        <v>9000</v>
      </c>
      <c r="J98" s="56"/>
      <c r="K98" s="23"/>
      <c r="L98" s="23"/>
      <c r="M98" s="23"/>
      <c r="N98" s="23"/>
    </row>
    <row r="99" ht="15.75" customHeight="1">
      <c r="A99" s="48"/>
      <c r="B99" s="48"/>
      <c r="C99" s="48"/>
      <c r="D99" s="56"/>
      <c r="E99" s="56"/>
      <c r="F99" s="51" t="s">
        <v>29</v>
      </c>
      <c r="G99" s="52"/>
      <c r="H99" s="57">
        <f>VLOOKUP(F99,$A$17:$B$17,2,TRUE)</f>
        <v>1200</v>
      </c>
      <c r="I99" s="54">
        <f t="shared" si="1"/>
        <v>0</v>
      </c>
      <c r="J99" s="56"/>
      <c r="K99" s="23"/>
      <c r="L99" s="23"/>
      <c r="M99" s="23"/>
      <c r="N99" s="23"/>
    </row>
    <row r="100" ht="15.75" customHeight="1">
      <c r="A100" s="48"/>
      <c r="B100" s="48"/>
      <c r="C100" s="48"/>
      <c r="D100" s="56"/>
      <c r="E100" s="56"/>
      <c r="F100" s="51" t="s">
        <v>30</v>
      </c>
      <c r="G100" s="52"/>
      <c r="H100" s="57">
        <f>VLOOKUP(F100,$A$18:$B$18,2,TRUE)</f>
        <v>5000</v>
      </c>
      <c r="I100" s="54">
        <f t="shared" si="1"/>
        <v>0</v>
      </c>
      <c r="J100" s="56"/>
      <c r="K100" s="23"/>
      <c r="L100" s="23"/>
      <c r="M100" s="23"/>
      <c r="N100" s="23"/>
    </row>
    <row r="101" ht="15.75" customHeight="1">
      <c r="A101" s="48"/>
      <c r="B101" s="48"/>
      <c r="C101" s="48"/>
      <c r="D101" s="56"/>
      <c r="E101" s="56"/>
      <c r="F101" s="51" t="s">
        <v>31</v>
      </c>
      <c r="G101" s="52"/>
      <c r="H101" s="57">
        <f>VLOOKUP(F101,$A$19:$B$19,2,TRUE)</f>
        <v>2700</v>
      </c>
      <c r="I101" s="54">
        <f t="shared" si="1"/>
        <v>0</v>
      </c>
      <c r="J101" s="56"/>
      <c r="K101" s="23"/>
      <c r="L101" s="23"/>
      <c r="M101" s="23"/>
      <c r="N101" s="23"/>
    </row>
    <row r="102" ht="15.75" customHeight="1">
      <c r="A102" s="48"/>
      <c r="B102" s="48"/>
      <c r="C102" s="48"/>
      <c r="D102" s="56"/>
      <c r="E102" s="56"/>
      <c r="F102" s="51" t="s">
        <v>32</v>
      </c>
      <c r="G102" s="52"/>
      <c r="H102" s="57">
        <f>VLOOKUP(F102,$A$20:$B$20,2,TRUE)</f>
        <v>50000</v>
      </c>
      <c r="I102" s="54">
        <f t="shared" si="1"/>
        <v>0</v>
      </c>
      <c r="J102" s="56"/>
      <c r="K102" s="23"/>
      <c r="L102" s="23"/>
      <c r="M102" s="23"/>
      <c r="N102" s="23"/>
    </row>
    <row r="103" ht="15.75" customHeight="1">
      <c r="A103" s="48"/>
      <c r="B103" s="48"/>
      <c r="C103" s="48"/>
      <c r="D103" s="56"/>
      <c r="E103" s="56"/>
      <c r="F103" s="51" t="s">
        <v>33</v>
      </c>
      <c r="G103" s="52"/>
      <c r="H103" s="57">
        <f>VLOOKUP(F103,$A$21:$B$21,2,TRUE)</f>
        <v>10000</v>
      </c>
      <c r="I103" s="54">
        <f t="shared" si="1"/>
        <v>0</v>
      </c>
      <c r="J103" s="56"/>
      <c r="K103" s="23"/>
      <c r="L103" s="23"/>
      <c r="M103" s="23"/>
      <c r="N103" s="23"/>
    </row>
    <row r="104" ht="15.75" customHeight="1">
      <c r="A104" s="48"/>
      <c r="B104" s="48"/>
      <c r="C104" s="48"/>
      <c r="D104" s="56"/>
      <c r="E104" s="56"/>
      <c r="F104" s="51" t="s">
        <v>34</v>
      </c>
      <c r="G104" s="52"/>
      <c r="H104" s="57">
        <f>VLOOKUP(F104,$A$22:$B$22,2,TRUE)</f>
        <v>1000</v>
      </c>
      <c r="I104" s="54">
        <f t="shared" si="1"/>
        <v>0</v>
      </c>
      <c r="J104" s="56"/>
      <c r="K104" s="23"/>
      <c r="L104" s="23"/>
      <c r="M104" s="23"/>
      <c r="N104" s="23"/>
    </row>
    <row r="105" ht="15.75" customHeight="1">
      <c r="A105" s="48"/>
      <c r="B105" s="48"/>
      <c r="C105" s="48"/>
      <c r="D105" s="56"/>
      <c r="E105" s="56"/>
      <c r="F105" s="51" t="s">
        <v>35</v>
      </c>
      <c r="G105" s="52"/>
      <c r="H105" s="57">
        <f>VLOOKUP(F105,$A$23:$B$23,2,TRUE)</f>
        <v>500</v>
      </c>
      <c r="I105" s="54">
        <f t="shared" si="1"/>
        <v>0</v>
      </c>
      <c r="J105" s="56"/>
      <c r="K105" s="23"/>
      <c r="L105" s="23"/>
      <c r="M105" s="23"/>
      <c r="N105" s="23"/>
    </row>
    <row r="106" ht="15.75" customHeight="1">
      <c r="A106" s="48"/>
      <c r="B106" s="48"/>
      <c r="C106" s="48"/>
      <c r="D106" s="56"/>
      <c r="E106" s="56"/>
      <c r="F106" s="51" t="s">
        <v>36</v>
      </c>
      <c r="G106" s="52">
        <v>1.0</v>
      </c>
      <c r="H106" s="57">
        <f>VLOOKUP(F106,$A$24:$B$24,2,TRUE)</f>
        <v>200</v>
      </c>
      <c r="I106" s="54">
        <f t="shared" si="1"/>
        <v>200</v>
      </c>
      <c r="J106" s="56"/>
      <c r="K106" s="23"/>
      <c r="L106" s="23"/>
      <c r="M106" s="23"/>
      <c r="N106" s="23"/>
    </row>
    <row r="107" ht="15.75" customHeight="1">
      <c r="A107" s="48"/>
      <c r="B107" s="48"/>
      <c r="C107" s="48"/>
      <c r="D107" s="56"/>
      <c r="E107" s="56"/>
      <c r="F107" s="51" t="s">
        <v>37</v>
      </c>
      <c r="G107" s="52"/>
      <c r="H107" s="57">
        <f>VLOOKUP(F107,$A$25:$B$25,2,TRUE)</f>
        <v>1300</v>
      </c>
      <c r="I107" s="54">
        <f t="shared" si="1"/>
        <v>0</v>
      </c>
      <c r="J107" s="56"/>
      <c r="K107" s="23"/>
      <c r="L107" s="23"/>
      <c r="M107" s="23"/>
      <c r="N107" s="23"/>
    </row>
    <row r="108" ht="15.75" customHeight="1">
      <c r="A108" s="48"/>
      <c r="B108" s="48"/>
      <c r="C108" s="48"/>
      <c r="D108" s="56"/>
      <c r="E108" s="56"/>
      <c r="F108" s="51" t="s">
        <v>12</v>
      </c>
      <c r="G108" s="52"/>
      <c r="H108" s="57">
        <f>VLOOKUP(F108,$A$26:$B$26,2,TRUE)</f>
        <v>300</v>
      </c>
      <c r="I108" s="54">
        <f t="shared" si="1"/>
        <v>0</v>
      </c>
      <c r="J108" s="56"/>
      <c r="K108" s="23"/>
      <c r="L108" s="23"/>
      <c r="M108" s="23"/>
      <c r="N108" s="23"/>
    </row>
    <row r="109" ht="15.75" customHeight="1">
      <c r="A109" s="48"/>
      <c r="B109" s="48"/>
      <c r="C109" s="48"/>
      <c r="D109" s="56"/>
      <c r="E109" s="56"/>
      <c r="F109" s="51" t="s">
        <v>39</v>
      </c>
      <c r="G109" s="52"/>
      <c r="H109" s="57">
        <f>VLOOKUP(F109,$A$27:$B$27,2,TRUE)</f>
        <v>0</v>
      </c>
      <c r="I109" s="54">
        <f t="shared" si="1"/>
        <v>0</v>
      </c>
      <c r="J109" s="56"/>
      <c r="K109" s="23"/>
      <c r="L109" s="23"/>
      <c r="M109" s="23"/>
      <c r="N109" s="23"/>
    </row>
    <row r="110" ht="15.75" customHeight="1">
      <c r="A110" s="48"/>
      <c r="B110" s="48"/>
      <c r="C110" s="48"/>
      <c r="D110" s="56"/>
      <c r="E110" s="56"/>
      <c r="F110" s="51" t="s">
        <v>40</v>
      </c>
      <c r="G110" s="52"/>
      <c r="H110" s="57">
        <f>VLOOKUP(F109,$A$28:$B$28,2,TRUE)</f>
        <v>1700</v>
      </c>
      <c r="I110" s="54">
        <f t="shared" si="1"/>
        <v>0</v>
      </c>
      <c r="J110" s="56"/>
      <c r="K110" s="23"/>
      <c r="L110" s="23"/>
      <c r="M110" s="23"/>
      <c r="N110" s="23"/>
    </row>
    <row r="111" ht="15.75" customHeight="1">
      <c r="A111" s="48"/>
      <c r="B111" s="48"/>
      <c r="C111" s="48"/>
      <c r="D111" s="56"/>
      <c r="E111" s="56"/>
      <c r="F111" s="51" t="s">
        <v>14</v>
      </c>
      <c r="G111" s="52"/>
      <c r="H111" s="57">
        <f>VLOOKUP(F110,$A$29:$B$29,2,TRUE)</f>
        <v>4500</v>
      </c>
      <c r="I111" s="54">
        <f t="shared" si="1"/>
        <v>0</v>
      </c>
      <c r="J111" s="56"/>
      <c r="K111" s="23"/>
      <c r="L111" s="23"/>
      <c r="M111" s="23"/>
      <c r="N111" s="23"/>
    </row>
    <row r="112" ht="15.75" customHeight="1">
      <c r="A112" s="48"/>
      <c r="B112" s="48"/>
      <c r="C112" s="48"/>
      <c r="D112" s="10"/>
      <c r="E112" s="10"/>
      <c r="F112" s="51" t="s">
        <v>58</v>
      </c>
      <c r="G112" s="52" t="s">
        <v>80</v>
      </c>
      <c r="H112" s="57">
        <f>VLOOKUP(F111,$A$30:$B$30,2,TRUE)</f>
        <v>0</v>
      </c>
      <c r="I112" s="54"/>
      <c r="J112" s="10"/>
      <c r="K112" s="23" t="s">
        <v>67</v>
      </c>
      <c r="L112" s="23"/>
      <c r="M112" s="23"/>
      <c r="N112" s="23"/>
    </row>
    <row r="113" ht="15.75" customHeight="1">
      <c r="A113" s="48"/>
      <c r="B113" s="48"/>
      <c r="C113" s="48"/>
      <c r="D113" s="49">
        <v>5.0</v>
      </c>
      <c r="E113" s="65" t="s">
        <v>81</v>
      </c>
      <c r="F113" s="51" t="s">
        <v>16</v>
      </c>
      <c r="G113" s="52"/>
      <c r="H113" s="53">
        <f>VLOOKUP(F113,$A$4:$B$4,2,TRUE)</f>
        <v>3000</v>
      </c>
      <c r="I113" s="54">
        <f t="shared" ref="I113:I139" si="2">G113*H113</f>
        <v>0</v>
      </c>
      <c r="J113" s="55">
        <f>SUM(I113:I139)</f>
        <v>119250</v>
      </c>
      <c r="K113" s="23"/>
      <c r="L113" s="23"/>
      <c r="M113" s="23"/>
      <c r="N113" s="23"/>
    </row>
    <row r="114" ht="15.75" customHeight="1">
      <c r="A114" s="48"/>
      <c r="B114" s="48"/>
      <c r="C114" s="48"/>
      <c r="D114" s="56"/>
      <c r="E114" s="56"/>
      <c r="F114" s="51" t="s">
        <v>55</v>
      </c>
      <c r="G114" s="52"/>
      <c r="H114" s="57">
        <f>VLOOKUP(F114,$A$5:$B$5,2,TRUE)</f>
        <v>2500</v>
      </c>
      <c r="I114" s="54">
        <f t="shared" si="2"/>
        <v>0</v>
      </c>
      <c r="J114" s="56"/>
      <c r="K114" s="23"/>
      <c r="L114" s="23"/>
      <c r="M114" s="23"/>
      <c r="N114" s="23"/>
    </row>
    <row r="115" ht="15.75" customHeight="1">
      <c r="A115" s="48"/>
      <c r="B115" s="48"/>
      <c r="C115" s="48"/>
      <c r="D115" s="56"/>
      <c r="E115" s="56"/>
      <c r="F115" s="51" t="s">
        <v>57</v>
      </c>
      <c r="G115" s="52"/>
      <c r="H115" s="57">
        <f>VLOOKUP(F115,$A$6:$B$6,2,TRUE)</f>
        <v>1200</v>
      </c>
      <c r="I115" s="54">
        <f t="shared" si="2"/>
        <v>0</v>
      </c>
      <c r="J115" s="56"/>
      <c r="K115" s="23"/>
      <c r="L115" s="23"/>
      <c r="M115" s="23"/>
      <c r="N115" s="23"/>
    </row>
    <row r="116" ht="15.75" customHeight="1">
      <c r="A116" s="48"/>
      <c r="B116" s="48"/>
      <c r="C116" s="48"/>
      <c r="D116" s="56"/>
      <c r="E116" s="56"/>
      <c r="F116" s="51" t="s">
        <v>19</v>
      </c>
      <c r="G116" s="52"/>
      <c r="H116" s="57">
        <f>VLOOKUP(F116,$A$7:$B$7,2,TRUE)</f>
        <v>2100</v>
      </c>
      <c r="I116" s="54">
        <f t="shared" si="2"/>
        <v>0</v>
      </c>
      <c r="J116" s="56"/>
      <c r="K116" s="23"/>
      <c r="L116" s="23"/>
      <c r="M116" s="23"/>
      <c r="N116" s="23"/>
    </row>
    <row r="117" ht="15.75" customHeight="1">
      <c r="A117" s="48"/>
      <c r="B117" s="48"/>
      <c r="C117" s="48"/>
      <c r="D117" s="56"/>
      <c r="E117" s="56"/>
      <c r="F117" s="51" t="s">
        <v>20</v>
      </c>
      <c r="G117" s="52"/>
      <c r="H117" s="57">
        <f>VLOOKUP(F117,$A$8:$B$8,2,TRUE)</f>
        <v>3000</v>
      </c>
      <c r="I117" s="54">
        <f t="shared" si="2"/>
        <v>0</v>
      </c>
      <c r="J117" s="56"/>
      <c r="K117" s="23"/>
      <c r="L117" s="23"/>
      <c r="M117" s="23"/>
      <c r="N117" s="23"/>
    </row>
    <row r="118" ht="15.75" customHeight="1">
      <c r="A118" s="48"/>
      <c r="B118" s="48"/>
      <c r="C118" s="48"/>
      <c r="D118" s="56"/>
      <c r="E118" s="56"/>
      <c r="F118" s="51" t="s">
        <v>21</v>
      </c>
      <c r="G118" s="52"/>
      <c r="H118" s="57">
        <f>VLOOKUP(F118,$A$9:$B$9,2,TRUE)</f>
        <v>500</v>
      </c>
      <c r="I118" s="54">
        <f t="shared" si="2"/>
        <v>0</v>
      </c>
      <c r="J118" s="56"/>
      <c r="K118" s="23"/>
      <c r="L118" s="23"/>
      <c r="M118" s="23"/>
      <c r="N118" s="23"/>
    </row>
    <row r="119" ht="15.75" customHeight="1">
      <c r="A119" s="48"/>
      <c r="B119" s="48"/>
      <c r="C119" s="48"/>
      <c r="D119" s="56"/>
      <c r="E119" s="56"/>
      <c r="F119" s="51" t="s">
        <v>22</v>
      </c>
      <c r="G119" s="52"/>
      <c r="H119" s="57">
        <f>VLOOKUP(F119,$A$10:$B$10,2,TRUE)</f>
        <v>1800</v>
      </c>
      <c r="I119" s="54">
        <f t="shared" si="2"/>
        <v>0</v>
      </c>
      <c r="J119" s="56"/>
      <c r="K119" s="23"/>
      <c r="L119" s="23"/>
      <c r="M119" s="23"/>
      <c r="N119" s="23"/>
    </row>
    <row r="120" ht="15.75" customHeight="1">
      <c r="A120" s="48"/>
      <c r="B120" s="48"/>
      <c r="C120" s="48"/>
      <c r="D120" s="56"/>
      <c r="E120" s="56"/>
      <c r="F120" s="51" t="s">
        <v>23</v>
      </c>
      <c r="G120" s="52"/>
      <c r="H120" s="57">
        <f>VLOOKUP(F120,$A$11:$B$11,2,TRUE)</f>
        <v>1500</v>
      </c>
      <c r="I120" s="54">
        <f t="shared" si="2"/>
        <v>0</v>
      </c>
      <c r="J120" s="56"/>
      <c r="K120" s="23"/>
      <c r="L120" s="23"/>
      <c r="M120" s="23"/>
      <c r="N120" s="23"/>
    </row>
    <row r="121" ht="15.75" customHeight="1">
      <c r="A121" s="48"/>
      <c r="B121" s="48"/>
      <c r="C121" s="48"/>
      <c r="D121" s="56"/>
      <c r="E121" s="56"/>
      <c r="F121" s="51" t="s">
        <v>24</v>
      </c>
      <c r="G121" s="52"/>
      <c r="H121" s="57">
        <f>VLOOKUP(F121,$A$12:$B$12,2,TRUE)</f>
        <v>1400</v>
      </c>
      <c r="I121" s="54">
        <f t="shared" si="2"/>
        <v>0</v>
      </c>
      <c r="J121" s="56"/>
      <c r="K121" s="23"/>
      <c r="L121" s="23"/>
      <c r="M121" s="23"/>
      <c r="N121" s="23"/>
    </row>
    <row r="122" ht="15.75" customHeight="1">
      <c r="A122" s="48"/>
      <c r="B122" s="48"/>
      <c r="C122" s="48"/>
      <c r="D122" s="56"/>
      <c r="E122" s="56"/>
      <c r="F122" s="51" t="s">
        <v>25</v>
      </c>
      <c r="G122" s="52"/>
      <c r="H122" s="57">
        <f>VLOOKUP(F122,$A$13:$B$13,2,TRUE)</f>
        <v>1000</v>
      </c>
      <c r="I122" s="54">
        <f t="shared" si="2"/>
        <v>0</v>
      </c>
      <c r="J122" s="56"/>
      <c r="K122" s="23"/>
      <c r="L122" s="23"/>
      <c r="M122" s="23"/>
      <c r="N122" s="23"/>
    </row>
    <row r="123" ht="15.75" customHeight="1">
      <c r="A123" s="48"/>
      <c r="B123" s="48"/>
      <c r="C123" s="48"/>
      <c r="D123" s="56"/>
      <c r="E123" s="56"/>
      <c r="F123" s="51" t="s">
        <v>26</v>
      </c>
      <c r="G123" s="52"/>
      <c r="H123" s="57">
        <f>VLOOKUP(F123,$A$14:$B$14,2,TRUE)</f>
        <v>500</v>
      </c>
      <c r="I123" s="54">
        <f t="shared" si="2"/>
        <v>0</v>
      </c>
      <c r="J123" s="56"/>
      <c r="K123" s="23"/>
      <c r="L123" s="23"/>
      <c r="M123" s="23"/>
      <c r="N123" s="23"/>
    </row>
    <row r="124" ht="15.75" customHeight="1">
      <c r="A124" s="48"/>
      <c r="B124" s="48"/>
      <c r="C124" s="48"/>
      <c r="D124" s="56"/>
      <c r="E124" s="56"/>
      <c r="F124" s="51" t="s">
        <v>27</v>
      </c>
      <c r="G124" s="52"/>
      <c r="H124" s="57">
        <f>VLOOKUP(F124,$A$15:$B$15,2,TRUE)</f>
        <v>7500</v>
      </c>
      <c r="I124" s="54">
        <f t="shared" si="2"/>
        <v>0</v>
      </c>
      <c r="J124" s="56"/>
      <c r="K124" s="23"/>
      <c r="L124" s="23"/>
      <c r="M124" s="23"/>
      <c r="N124" s="23"/>
    </row>
    <row r="125" ht="15.75" customHeight="1">
      <c r="A125" s="48"/>
      <c r="B125" s="48"/>
      <c r="C125" s="48"/>
      <c r="D125" s="56"/>
      <c r="E125" s="56"/>
      <c r="F125" s="51" t="s">
        <v>28</v>
      </c>
      <c r="G125" s="52"/>
      <c r="H125" s="57">
        <f>VLOOKUP(F125,$A$16:$B$16,2,TRUE)</f>
        <v>2000</v>
      </c>
      <c r="I125" s="54">
        <f t="shared" si="2"/>
        <v>0</v>
      </c>
      <c r="J125" s="56"/>
      <c r="K125" s="23"/>
      <c r="L125" s="23"/>
      <c r="M125" s="23"/>
      <c r="N125" s="23"/>
    </row>
    <row r="126" ht="15.75" customHeight="1">
      <c r="A126" s="48"/>
      <c r="B126" s="48"/>
      <c r="C126" s="48"/>
      <c r="D126" s="56"/>
      <c r="E126" s="56"/>
      <c r="F126" s="51" t="s">
        <v>29</v>
      </c>
      <c r="G126" s="52"/>
      <c r="H126" s="57">
        <f>VLOOKUP(F126,$A$17:$B$17,2,TRUE)</f>
        <v>1200</v>
      </c>
      <c r="I126" s="54">
        <f t="shared" si="2"/>
        <v>0</v>
      </c>
      <c r="J126" s="56"/>
      <c r="K126" s="23"/>
      <c r="L126" s="23"/>
      <c r="M126" s="23"/>
      <c r="N126" s="23"/>
    </row>
    <row r="127" ht="15.75" customHeight="1">
      <c r="A127" s="48"/>
      <c r="B127" s="48"/>
      <c r="C127" s="48"/>
      <c r="D127" s="56"/>
      <c r="E127" s="56"/>
      <c r="F127" s="51" t="s">
        <v>30</v>
      </c>
      <c r="G127" s="52"/>
      <c r="H127" s="57">
        <f>VLOOKUP(F127,$A$18:$B$18,2,TRUE)</f>
        <v>5000</v>
      </c>
      <c r="I127" s="54">
        <f t="shared" si="2"/>
        <v>0</v>
      </c>
      <c r="J127" s="56"/>
      <c r="K127" s="23"/>
      <c r="L127" s="23"/>
      <c r="M127" s="23"/>
      <c r="N127" s="23"/>
    </row>
    <row r="128" ht="15.75" customHeight="1">
      <c r="A128" s="48"/>
      <c r="B128" s="48"/>
      <c r="C128" s="48"/>
      <c r="D128" s="56"/>
      <c r="E128" s="56"/>
      <c r="F128" s="51" t="s">
        <v>31</v>
      </c>
      <c r="G128" s="52"/>
      <c r="H128" s="57">
        <f>VLOOKUP(F128,$A$19:$B$19,2,TRUE)</f>
        <v>2700</v>
      </c>
      <c r="I128" s="54">
        <f t="shared" si="2"/>
        <v>0</v>
      </c>
      <c r="J128" s="56"/>
      <c r="K128" s="23"/>
      <c r="L128" s="23"/>
      <c r="M128" s="23"/>
      <c r="N128" s="23"/>
    </row>
    <row r="129" ht="15.75" customHeight="1">
      <c r="A129" s="48"/>
      <c r="B129" s="48"/>
      <c r="C129" s="48"/>
      <c r="D129" s="56"/>
      <c r="E129" s="56"/>
      <c r="F129" s="51" t="s">
        <v>32</v>
      </c>
      <c r="G129" s="52"/>
      <c r="H129" s="57">
        <f>VLOOKUP(F129,$A$20:$B$20,2,TRUE)</f>
        <v>50000</v>
      </c>
      <c r="I129" s="54">
        <f t="shared" si="2"/>
        <v>0</v>
      </c>
      <c r="J129" s="56"/>
      <c r="K129" s="23"/>
      <c r="L129" s="23"/>
      <c r="M129" s="23"/>
      <c r="N129" s="23"/>
    </row>
    <row r="130" ht="15.75" customHeight="1">
      <c r="A130" s="48"/>
      <c r="B130" s="48"/>
      <c r="C130" s="48"/>
      <c r="D130" s="56"/>
      <c r="E130" s="56"/>
      <c r="F130" s="51" t="s">
        <v>33</v>
      </c>
      <c r="G130" s="52"/>
      <c r="H130" s="57">
        <f>VLOOKUP(F130,$A$21:$B$21,2,TRUE)</f>
        <v>10000</v>
      </c>
      <c r="I130" s="54">
        <f t="shared" si="2"/>
        <v>0</v>
      </c>
      <c r="J130" s="56"/>
      <c r="K130" s="23"/>
      <c r="L130" s="23"/>
      <c r="M130" s="23"/>
      <c r="N130" s="23"/>
    </row>
    <row r="131" ht="15.75" customHeight="1">
      <c r="A131" s="48"/>
      <c r="B131" s="48"/>
      <c r="C131" s="48"/>
      <c r="D131" s="56"/>
      <c r="E131" s="56"/>
      <c r="F131" s="51" t="s">
        <v>34</v>
      </c>
      <c r="G131" s="52"/>
      <c r="H131" s="57">
        <f>VLOOKUP(F131,$A$22:$B$22,2,TRUE)</f>
        <v>1000</v>
      </c>
      <c r="I131" s="54">
        <f t="shared" si="2"/>
        <v>0</v>
      </c>
      <c r="J131" s="56"/>
      <c r="K131" s="23"/>
      <c r="L131" s="23"/>
      <c r="M131" s="23"/>
      <c r="N131" s="23"/>
    </row>
    <row r="132" ht="15.75" customHeight="1">
      <c r="A132" s="48"/>
      <c r="B132" s="48"/>
      <c r="C132" s="48"/>
      <c r="D132" s="56"/>
      <c r="E132" s="56"/>
      <c r="F132" s="51" t="s">
        <v>35</v>
      </c>
      <c r="G132" s="52"/>
      <c r="H132" s="57">
        <f>VLOOKUP(F132,$A$23:$B$23,2,TRUE)</f>
        <v>500</v>
      </c>
      <c r="I132" s="54">
        <f t="shared" si="2"/>
        <v>0</v>
      </c>
      <c r="J132" s="56"/>
      <c r="K132" s="23"/>
      <c r="L132" s="23"/>
      <c r="M132" s="23"/>
      <c r="N132" s="23"/>
    </row>
    <row r="133" ht="15.75" customHeight="1">
      <c r="A133" s="48"/>
      <c r="B133" s="48"/>
      <c r="C133" s="48"/>
      <c r="D133" s="56"/>
      <c r="E133" s="56"/>
      <c r="F133" s="51" t="s">
        <v>36</v>
      </c>
      <c r="G133" s="52"/>
      <c r="H133" s="57">
        <f>VLOOKUP(F133,$A$24:$B$24,2,TRUE)</f>
        <v>200</v>
      </c>
      <c r="I133" s="54">
        <f t="shared" si="2"/>
        <v>0</v>
      </c>
      <c r="J133" s="56"/>
      <c r="K133" s="23"/>
      <c r="L133" s="23"/>
      <c r="M133" s="23"/>
      <c r="N133" s="23"/>
    </row>
    <row r="134" ht="15.75" customHeight="1">
      <c r="A134" s="48"/>
      <c r="B134" s="48"/>
      <c r="C134" s="48"/>
      <c r="D134" s="56"/>
      <c r="E134" s="56"/>
      <c r="F134" s="51" t="s">
        <v>37</v>
      </c>
      <c r="G134" s="52"/>
      <c r="H134" s="57">
        <f>VLOOKUP(F134,$A$25:$B$25,2,TRUE)</f>
        <v>1300</v>
      </c>
      <c r="I134" s="54">
        <f t="shared" si="2"/>
        <v>0</v>
      </c>
      <c r="J134" s="56"/>
      <c r="K134" s="23"/>
      <c r="L134" s="23"/>
      <c r="M134" s="23"/>
      <c r="N134" s="23"/>
    </row>
    <row r="135" ht="15.75" customHeight="1">
      <c r="A135" s="48"/>
      <c r="B135" s="48"/>
      <c r="C135" s="48"/>
      <c r="D135" s="56"/>
      <c r="E135" s="56"/>
      <c r="F135" s="51" t="s">
        <v>12</v>
      </c>
      <c r="G135" s="52"/>
      <c r="H135" s="57">
        <f>VLOOKUP(F135,$A$26:$B$26,2,TRUE)</f>
        <v>300</v>
      </c>
      <c r="I135" s="54">
        <f t="shared" si="2"/>
        <v>0</v>
      </c>
      <c r="J135" s="56"/>
      <c r="K135" s="23"/>
      <c r="L135" s="23"/>
      <c r="M135" s="23"/>
      <c r="N135" s="23"/>
    </row>
    <row r="136" ht="15.75" customHeight="1">
      <c r="A136" s="48"/>
      <c r="B136" s="48"/>
      <c r="C136" s="48"/>
      <c r="D136" s="56"/>
      <c r="E136" s="56"/>
      <c r="F136" s="51" t="s">
        <v>39</v>
      </c>
      <c r="G136" s="52"/>
      <c r="H136" s="57">
        <f>VLOOKUP(F136,$A$27:$B$27,2,TRUE)</f>
        <v>0</v>
      </c>
      <c r="I136" s="54">
        <f t="shared" si="2"/>
        <v>0</v>
      </c>
      <c r="J136" s="56"/>
      <c r="K136" s="23"/>
      <c r="L136" s="23"/>
      <c r="M136" s="23"/>
      <c r="N136" s="23"/>
    </row>
    <row r="137" ht="15.75" customHeight="1">
      <c r="A137" s="48"/>
      <c r="B137" s="48"/>
      <c r="C137" s="48"/>
      <c r="D137" s="56"/>
      <c r="E137" s="56"/>
      <c r="F137" s="51" t="s">
        <v>40</v>
      </c>
      <c r="G137" s="52"/>
      <c r="H137" s="57">
        <f>VLOOKUP(F136,$A$28:$B$28,2,TRUE)</f>
        <v>1700</v>
      </c>
      <c r="I137" s="54">
        <f t="shared" si="2"/>
        <v>0</v>
      </c>
      <c r="J137" s="56"/>
      <c r="K137" s="23"/>
      <c r="L137" s="23"/>
      <c r="M137" s="23"/>
      <c r="N137" s="23"/>
    </row>
    <row r="138" ht="15.75" customHeight="1">
      <c r="A138" s="48"/>
      <c r="B138" s="48"/>
      <c r="C138" s="48"/>
      <c r="D138" s="56"/>
      <c r="E138" s="56"/>
      <c r="F138" s="51" t="s">
        <v>14</v>
      </c>
      <c r="G138" s="52">
        <v>26.5</v>
      </c>
      <c r="H138" s="57">
        <f>VLOOKUP(F137,$A$29:$B$29,2,TRUE)</f>
        <v>4500</v>
      </c>
      <c r="I138" s="54">
        <f t="shared" si="2"/>
        <v>119250</v>
      </c>
      <c r="J138" s="56"/>
      <c r="K138" s="23"/>
      <c r="L138" s="23"/>
      <c r="M138" s="23"/>
      <c r="N138" s="23"/>
    </row>
    <row r="139" ht="15.75" customHeight="1">
      <c r="A139" s="48"/>
      <c r="B139" s="48"/>
      <c r="C139" s="48"/>
      <c r="D139" s="10"/>
      <c r="E139" s="10"/>
      <c r="F139" s="51" t="s">
        <v>58</v>
      </c>
      <c r="G139" s="52"/>
      <c r="H139" s="57">
        <f>VLOOKUP(F138,$A$30:$B$30,2,TRUE)</f>
        <v>0</v>
      </c>
      <c r="I139" s="54">
        <f t="shared" si="2"/>
        <v>0</v>
      </c>
      <c r="J139" s="10"/>
      <c r="K139" s="23"/>
      <c r="L139" s="23"/>
      <c r="M139" s="23"/>
      <c r="N139" s="23"/>
    </row>
    <row r="140" ht="15.75" customHeight="1">
      <c r="A140" s="48"/>
      <c r="B140" s="48"/>
      <c r="C140" s="48"/>
      <c r="D140" s="59" t="s">
        <v>60</v>
      </c>
      <c r="E140" s="60"/>
      <c r="F140" s="60"/>
      <c r="G140" s="60"/>
      <c r="H140" s="60"/>
      <c r="I140" s="61"/>
      <c r="J140" s="62">
        <f>SUM(J5:J139)</f>
        <v>199575</v>
      </c>
      <c r="K140" s="23"/>
      <c r="L140" s="23"/>
      <c r="M140" s="23"/>
      <c r="N140" s="23"/>
    </row>
    <row r="141" ht="15.75" customHeight="1">
      <c r="A141" s="22"/>
      <c r="B141" s="22"/>
      <c r="C141" s="22"/>
      <c r="D141" s="22"/>
      <c r="E141" s="22"/>
      <c r="F141" s="23"/>
      <c r="G141" s="23"/>
      <c r="H141" s="23"/>
      <c r="I141" s="23"/>
      <c r="J141" s="24"/>
      <c r="K141" s="23"/>
      <c r="L141" s="23"/>
      <c r="M141" s="23"/>
      <c r="N141" s="23"/>
    </row>
    <row r="142" ht="15.75" customHeight="1">
      <c r="A142" s="22"/>
      <c r="B142" s="22"/>
      <c r="C142" s="22"/>
      <c r="D142" s="22"/>
      <c r="E142" s="22"/>
      <c r="F142" s="23"/>
      <c r="G142" s="23"/>
      <c r="H142" s="23"/>
      <c r="I142" s="23"/>
      <c r="J142" s="24"/>
      <c r="K142" s="23"/>
      <c r="L142" s="23"/>
      <c r="M142" s="23"/>
      <c r="N142" s="23"/>
    </row>
    <row r="143" ht="15.75" customHeight="1">
      <c r="A143" s="22"/>
      <c r="B143" s="22"/>
      <c r="C143" s="22"/>
      <c r="D143" s="22"/>
      <c r="E143" s="22"/>
      <c r="F143" s="23"/>
      <c r="G143" s="23"/>
      <c r="H143" s="23"/>
      <c r="I143" s="23"/>
      <c r="J143" s="24"/>
      <c r="K143" s="23"/>
      <c r="L143" s="23"/>
      <c r="M143" s="23"/>
      <c r="N143" s="23"/>
    </row>
    <row r="144" ht="15.75" customHeight="1">
      <c r="A144" s="22"/>
      <c r="B144" s="22"/>
      <c r="C144" s="22"/>
      <c r="D144" s="22"/>
      <c r="E144" s="22"/>
      <c r="F144" s="23"/>
      <c r="G144" s="23"/>
      <c r="H144" s="23"/>
      <c r="I144" s="23"/>
      <c r="J144" s="24"/>
      <c r="K144" s="23"/>
      <c r="L144" s="23"/>
      <c r="M144" s="23"/>
      <c r="N144" s="23"/>
    </row>
    <row r="145" ht="15.75" customHeight="1">
      <c r="A145" s="22"/>
      <c r="B145" s="22"/>
      <c r="C145" s="22"/>
      <c r="D145" s="22"/>
      <c r="E145" s="22"/>
      <c r="F145" s="23"/>
      <c r="G145" s="23"/>
      <c r="H145" s="23"/>
      <c r="I145" s="23"/>
      <c r="J145" s="24"/>
      <c r="K145" s="23"/>
      <c r="L145" s="23"/>
      <c r="M145" s="23"/>
      <c r="N145" s="23"/>
    </row>
    <row r="146" ht="15.75" customHeight="1">
      <c r="A146" s="22"/>
      <c r="B146" s="22"/>
      <c r="C146" s="22"/>
      <c r="D146" s="22"/>
      <c r="E146" s="22"/>
      <c r="F146" s="23"/>
      <c r="G146" s="23"/>
      <c r="H146" s="23"/>
      <c r="I146" s="23"/>
      <c r="J146" s="24"/>
      <c r="K146" s="23"/>
      <c r="L146" s="23"/>
      <c r="M146" s="23"/>
      <c r="N146" s="23"/>
    </row>
    <row r="147" ht="15.75" customHeight="1">
      <c r="A147" s="22"/>
      <c r="B147" s="22"/>
      <c r="C147" s="22"/>
      <c r="D147" s="22"/>
      <c r="E147" s="22"/>
      <c r="F147" s="23"/>
      <c r="G147" s="23"/>
      <c r="H147" s="23"/>
      <c r="I147" s="23"/>
      <c r="J147" s="24"/>
      <c r="K147" s="23"/>
      <c r="L147" s="23"/>
      <c r="M147" s="23"/>
      <c r="N147" s="23"/>
    </row>
    <row r="148" ht="15.75" customHeight="1">
      <c r="A148" s="22"/>
      <c r="B148" s="22"/>
      <c r="C148" s="22"/>
      <c r="D148" s="22"/>
      <c r="E148" s="22"/>
      <c r="F148" s="23"/>
      <c r="G148" s="23"/>
      <c r="H148" s="23"/>
      <c r="I148" s="23"/>
      <c r="J148" s="24"/>
      <c r="K148" s="23"/>
      <c r="L148" s="23"/>
      <c r="M148" s="23"/>
      <c r="N148" s="23"/>
    </row>
    <row r="149" ht="15.75" customHeight="1">
      <c r="A149" s="22"/>
      <c r="B149" s="22"/>
      <c r="C149" s="22"/>
      <c r="D149" s="22"/>
      <c r="E149" s="22"/>
      <c r="J149" s="24"/>
    </row>
    <row r="150" ht="15.75" customHeight="1">
      <c r="A150" s="22"/>
      <c r="B150" s="22"/>
      <c r="C150" s="22"/>
      <c r="D150" s="22"/>
      <c r="E150" s="22"/>
      <c r="J150" s="24"/>
    </row>
    <row r="151" ht="15.75" customHeight="1">
      <c r="A151" s="22"/>
      <c r="B151" s="22"/>
      <c r="C151" s="22"/>
      <c r="D151" s="22"/>
      <c r="E151" s="22"/>
      <c r="J151" s="24"/>
    </row>
    <row r="152" ht="15.75" customHeight="1">
      <c r="A152" s="22"/>
      <c r="B152" s="22"/>
      <c r="C152" s="22"/>
      <c r="D152" s="22"/>
      <c r="E152" s="22"/>
      <c r="J152" s="24"/>
    </row>
    <row r="153" ht="15.75" customHeight="1">
      <c r="A153" s="22"/>
      <c r="B153" s="22"/>
      <c r="C153" s="22"/>
      <c r="D153" s="22"/>
      <c r="E153" s="22"/>
      <c r="J153" s="24"/>
    </row>
    <row r="154" ht="15.75" customHeight="1">
      <c r="A154" s="22"/>
      <c r="B154" s="22"/>
      <c r="C154" s="22"/>
      <c r="D154" s="22"/>
      <c r="E154" s="22"/>
      <c r="J154" s="24"/>
    </row>
    <row r="155" ht="15.75" customHeight="1">
      <c r="A155" s="22"/>
      <c r="B155" s="22"/>
      <c r="C155" s="22"/>
      <c r="D155" s="22"/>
      <c r="E155" s="22"/>
      <c r="J155" s="24"/>
    </row>
    <row r="156" ht="15.75" customHeight="1">
      <c r="A156" s="22"/>
      <c r="B156" s="22"/>
      <c r="C156" s="22"/>
      <c r="D156" s="22"/>
      <c r="E156" s="22"/>
      <c r="J156" s="24"/>
    </row>
    <row r="157" ht="15.75" customHeight="1">
      <c r="A157" s="22"/>
      <c r="B157" s="22"/>
      <c r="C157" s="22"/>
      <c r="D157" s="22"/>
      <c r="E157" s="22"/>
      <c r="J157" s="24"/>
    </row>
    <row r="158" ht="15.75" customHeight="1">
      <c r="A158" s="22"/>
      <c r="B158" s="22"/>
      <c r="C158" s="22"/>
      <c r="D158" s="22"/>
      <c r="E158" s="22"/>
      <c r="J158" s="24"/>
    </row>
    <row r="159" ht="15.75" customHeight="1">
      <c r="A159" s="22"/>
      <c r="B159" s="22"/>
      <c r="C159" s="22"/>
      <c r="D159" s="22"/>
      <c r="E159" s="22"/>
      <c r="J159" s="24"/>
    </row>
    <row r="160" ht="15.75" customHeight="1">
      <c r="A160" s="22"/>
      <c r="B160" s="22"/>
      <c r="C160" s="22"/>
      <c r="D160" s="22"/>
      <c r="E160" s="22"/>
      <c r="J160" s="24"/>
    </row>
    <row r="161" ht="15.75" customHeight="1">
      <c r="A161" s="22"/>
      <c r="B161" s="22"/>
      <c r="C161" s="22"/>
      <c r="D161" s="22"/>
      <c r="E161" s="22"/>
      <c r="J161" s="24"/>
    </row>
    <row r="162" ht="15.75" customHeight="1">
      <c r="A162" s="22"/>
      <c r="B162" s="22"/>
      <c r="C162" s="22"/>
      <c r="D162" s="22"/>
      <c r="E162" s="22"/>
      <c r="J162" s="24"/>
    </row>
    <row r="163" ht="15.75" customHeight="1">
      <c r="A163" s="22"/>
      <c r="B163" s="22"/>
      <c r="C163" s="22"/>
      <c r="D163" s="22"/>
      <c r="E163" s="22"/>
      <c r="J163" s="24"/>
    </row>
    <row r="164" ht="15.75" customHeight="1">
      <c r="A164" s="22"/>
      <c r="B164" s="22"/>
      <c r="C164" s="22"/>
      <c r="D164" s="22"/>
      <c r="E164" s="22"/>
      <c r="J164" s="24"/>
    </row>
    <row r="165" ht="15.75" customHeight="1">
      <c r="A165" s="22"/>
      <c r="B165" s="22"/>
      <c r="C165" s="22"/>
      <c r="D165" s="22"/>
      <c r="E165" s="22"/>
      <c r="J165" s="24"/>
    </row>
    <row r="166" ht="15.75" customHeight="1">
      <c r="A166" s="22"/>
      <c r="B166" s="22"/>
      <c r="C166" s="22"/>
      <c r="D166" s="22"/>
      <c r="E166" s="22"/>
      <c r="J166" s="24"/>
    </row>
    <row r="167" ht="15.75" customHeight="1">
      <c r="A167" s="22"/>
      <c r="B167" s="22"/>
      <c r="C167" s="22"/>
      <c r="D167" s="22"/>
      <c r="E167" s="22"/>
      <c r="J167" s="24"/>
    </row>
    <row r="168" ht="15.75" customHeight="1">
      <c r="A168" s="22"/>
      <c r="B168" s="22"/>
      <c r="C168" s="22"/>
      <c r="D168" s="22"/>
      <c r="E168" s="22"/>
      <c r="J168" s="24"/>
    </row>
    <row r="169" ht="15.75" customHeight="1">
      <c r="A169" s="22"/>
      <c r="B169" s="22"/>
      <c r="C169" s="22"/>
      <c r="D169" s="22"/>
      <c r="E169" s="22"/>
      <c r="J169" s="24"/>
    </row>
    <row r="170" ht="15.75" customHeight="1">
      <c r="A170" s="22"/>
      <c r="B170" s="22"/>
      <c r="C170" s="22"/>
      <c r="D170" s="22"/>
      <c r="E170" s="22"/>
      <c r="J170" s="24"/>
    </row>
    <row r="171" ht="15.75" customHeight="1">
      <c r="A171" s="22"/>
      <c r="B171" s="22"/>
      <c r="C171" s="22"/>
      <c r="D171" s="22"/>
      <c r="E171" s="22"/>
      <c r="J171" s="24"/>
    </row>
    <row r="172" ht="15.75" customHeight="1">
      <c r="A172" s="22"/>
      <c r="B172" s="22"/>
      <c r="C172" s="22"/>
      <c r="D172" s="22"/>
      <c r="E172" s="22"/>
      <c r="J172" s="24"/>
    </row>
    <row r="173" ht="15.75" customHeight="1">
      <c r="A173" s="22"/>
      <c r="B173" s="22"/>
      <c r="C173" s="22"/>
      <c r="D173" s="22"/>
      <c r="E173" s="22"/>
      <c r="J173" s="24"/>
    </row>
    <row r="174" ht="15.75" customHeight="1">
      <c r="A174" s="22"/>
      <c r="B174" s="22"/>
      <c r="C174" s="22"/>
      <c r="D174" s="22"/>
      <c r="E174" s="22"/>
      <c r="J174" s="24"/>
    </row>
    <row r="175" ht="15.75" customHeight="1">
      <c r="A175" s="22"/>
      <c r="B175" s="22"/>
      <c r="C175" s="22"/>
      <c r="D175" s="22"/>
      <c r="E175" s="22"/>
      <c r="J175" s="24"/>
    </row>
    <row r="176" ht="15.75" customHeight="1">
      <c r="A176" s="22"/>
      <c r="B176" s="22"/>
      <c r="C176" s="22"/>
      <c r="D176" s="22"/>
      <c r="E176" s="22"/>
      <c r="J176" s="24"/>
    </row>
    <row r="177" ht="15.75" customHeight="1">
      <c r="A177" s="22"/>
      <c r="B177" s="22"/>
      <c r="C177" s="22"/>
      <c r="D177" s="22"/>
      <c r="E177" s="22"/>
      <c r="J177" s="24"/>
    </row>
    <row r="178" ht="15.75" customHeight="1">
      <c r="A178" s="22"/>
      <c r="B178" s="22"/>
      <c r="C178" s="22"/>
      <c r="D178" s="22"/>
      <c r="E178" s="22"/>
      <c r="J178" s="24"/>
    </row>
    <row r="179" ht="15.75" customHeight="1">
      <c r="A179" s="22"/>
      <c r="B179" s="22"/>
      <c r="C179" s="22"/>
      <c r="D179" s="22"/>
      <c r="E179" s="22"/>
      <c r="J179" s="24"/>
    </row>
    <row r="180" ht="15.75" customHeight="1">
      <c r="A180" s="22"/>
      <c r="B180" s="22"/>
      <c r="C180" s="22"/>
      <c r="D180" s="22"/>
      <c r="E180" s="22"/>
      <c r="J180" s="24"/>
    </row>
    <row r="181" ht="15.75" customHeight="1">
      <c r="A181" s="22"/>
      <c r="B181" s="22"/>
      <c r="C181" s="22"/>
      <c r="D181" s="22"/>
      <c r="E181" s="22"/>
      <c r="J181" s="24"/>
    </row>
    <row r="182" ht="15.75" customHeight="1">
      <c r="A182" s="22"/>
      <c r="B182" s="22"/>
      <c r="C182" s="22"/>
      <c r="D182" s="22"/>
      <c r="E182" s="22"/>
      <c r="J182" s="24"/>
    </row>
    <row r="183" ht="15.75" customHeight="1">
      <c r="A183" s="22"/>
      <c r="B183" s="22"/>
      <c r="C183" s="22"/>
      <c r="D183" s="22"/>
      <c r="E183" s="22"/>
      <c r="J183" s="24"/>
    </row>
    <row r="184" ht="15.75" customHeight="1">
      <c r="A184" s="22"/>
      <c r="B184" s="22"/>
      <c r="C184" s="22"/>
      <c r="D184" s="22"/>
      <c r="E184" s="22"/>
      <c r="J184" s="24"/>
    </row>
    <row r="185" ht="15.75" customHeight="1">
      <c r="A185" s="22"/>
      <c r="B185" s="22"/>
      <c r="C185" s="22"/>
      <c r="D185" s="22"/>
      <c r="E185" s="22"/>
      <c r="J185" s="24"/>
    </row>
    <row r="186" ht="15.75" customHeight="1">
      <c r="A186" s="22"/>
      <c r="B186" s="22"/>
      <c r="C186" s="22"/>
      <c r="D186" s="22"/>
      <c r="E186" s="22"/>
      <c r="J186" s="24"/>
    </row>
    <row r="187" ht="15.75" customHeight="1">
      <c r="A187" s="22"/>
      <c r="B187" s="22"/>
      <c r="C187" s="22"/>
      <c r="D187" s="22"/>
      <c r="E187" s="22"/>
      <c r="J187" s="24"/>
    </row>
    <row r="188" ht="15.75" customHeight="1">
      <c r="A188" s="22"/>
      <c r="B188" s="22"/>
      <c r="C188" s="22"/>
      <c r="D188" s="22"/>
      <c r="E188" s="22"/>
      <c r="J188" s="24"/>
    </row>
    <row r="189" ht="15.75" customHeight="1">
      <c r="A189" s="22"/>
      <c r="B189" s="22"/>
      <c r="C189" s="22"/>
      <c r="D189" s="22"/>
      <c r="E189" s="22"/>
      <c r="J189" s="24"/>
    </row>
    <row r="190" ht="15.75" customHeight="1">
      <c r="A190" s="22"/>
      <c r="B190" s="22"/>
      <c r="C190" s="22"/>
      <c r="D190" s="22"/>
      <c r="E190" s="22"/>
      <c r="J190" s="24"/>
    </row>
    <row r="191" ht="15.75" customHeight="1">
      <c r="A191" s="22"/>
      <c r="B191" s="22"/>
      <c r="C191" s="22"/>
      <c r="D191" s="22"/>
      <c r="E191" s="22"/>
      <c r="J191" s="24"/>
    </row>
    <row r="192" ht="15.75" customHeight="1">
      <c r="A192" s="22"/>
      <c r="B192" s="22"/>
      <c r="C192" s="22"/>
      <c r="D192" s="22"/>
      <c r="E192" s="22"/>
      <c r="J192" s="24"/>
    </row>
    <row r="193" ht="15.75" customHeight="1">
      <c r="A193" s="22"/>
      <c r="B193" s="22"/>
      <c r="C193" s="22"/>
      <c r="D193" s="22"/>
      <c r="E193" s="22"/>
      <c r="J193" s="24"/>
    </row>
    <row r="194" ht="15.75" customHeight="1">
      <c r="A194" s="22"/>
      <c r="B194" s="22"/>
      <c r="C194" s="22"/>
      <c r="D194" s="22"/>
      <c r="E194" s="22"/>
      <c r="J194" s="24"/>
    </row>
    <row r="195" ht="15.75" customHeight="1">
      <c r="A195" s="22"/>
      <c r="B195" s="22"/>
      <c r="C195" s="22"/>
      <c r="D195" s="22"/>
      <c r="E195" s="22"/>
      <c r="J195" s="24"/>
    </row>
    <row r="196" ht="15.75" customHeight="1">
      <c r="A196" s="22"/>
      <c r="B196" s="22"/>
      <c r="C196" s="22"/>
      <c r="D196" s="22"/>
      <c r="E196" s="22"/>
      <c r="J196" s="24"/>
    </row>
    <row r="197" ht="15.75" customHeight="1">
      <c r="A197" s="22"/>
      <c r="B197" s="22"/>
      <c r="C197" s="22"/>
      <c r="D197" s="22"/>
      <c r="E197" s="22"/>
      <c r="J197" s="24"/>
    </row>
    <row r="198" ht="15.75" customHeight="1">
      <c r="A198" s="22"/>
      <c r="B198" s="22"/>
      <c r="C198" s="22"/>
      <c r="D198" s="22"/>
      <c r="E198" s="22"/>
      <c r="J198" s="24"/>
    </row>
    <row r="199" ht="15.75" customHeight="1">
      <c r="A199" s="22"/>
      <c r="B199" s="22"/>
      <c r="C199" s="22"/>
      <c r="D199" s="22"/>
      <c r="E199" s="22"/>
      <c r="J199" s="24"/>
    </row>
    <row r="200" ht="15.75" customHeight="1">
      <c r="A200" s="22"/>
      <c r="B200" s="22"/>
      <c r="C200" s="22"/>
      <c r="D200" s="22"/>
      <c r="E200" s="22"/>
      <c r="J200" s="24"/>
    </row>
    <row r="201" ht="15.75" customHeight="1">
      <c r="A201" s="22"/>
      <c r="B201" s="22"/>
      <c r="C201" s="22"/>
      <c r="D201" s="22"/>
      <c r="E201" s="22"/>
      <c r="J201" s="24"/>
    </row>
    <row r="202" ht="15.75" customHeight="1">
      <c r="A202" s="22"/>
      <c r="B202" s="22"/>
      <c r="C202" s="22"/>
      <c r="D202" s="22"/>
      <c r="E202" s="22"/>
      <c r="J202" s="24"/>
    </row>
    <row r="203" ht="15.75" customHeight="1">
      <c r="A203" s="22"/>
      <c r="B203" s="22"/>
      <c r="C203" s="22"/>
      <c r="D203" s="22"/>
      <c r="E203" s="22"/>
      <c r="J203" s="24"/>
    </row>
    <row r="204" ht="15.75" customHeight="1">
      <c r="A204" s="22"/>
      <c r="B204" s="22"/>
      <c r="C204" s="22"/>
      <c r="D204" s="22"/>
      <c r="E204" s="22"/>
      <c r="J204" s="24"/>
    </row>
    <row r="205" ht="15.75" customHeight="1">
      <c r="A205" s="22"/>
      <c r="B205" s="22"/>
      <c r="C205" s="22"/>
      <c r="D205" s="22"/>
      <c r="E205" s="22"/>
      <c r="J205" s="24"/>
    </row>
    <row r="206" ht="15.75" customHeight="1">
      <c r="A206" s="22"/>
      <c r="B206" s="22"/>
      <c r="C206" s="22"/>
      <c r="D206" s="22"/>
      <c r="E206" s="22"/>
      <c r="J206" s="24"/>
    </row>
    <row r="207" ht="15.75" customHeight="1">
      <c r="A207" s="22"/>
      <c r="B207" s="22"/>
      <c r="C207" s="22"/>
      <c r="D207" s="22"/>
      <c r="E207" s="22"/>
      <c r="J207" s="24"/>
    </row>
    <row r="208" ht="15.75" customHeight="1">
      <c r="A208" s="22"/>
      <c r="B208" s="22"/>
      <c r="C208" s="22"/>
      <c r="D208" s="22"/>
      <c r="E208" s="22"/>
      <c r="J208" s="24"/>
    </row>
    <row r="209" ht="15.75" customHeight="1">
      <c r="A209" s="22"/>
      <c r="B209" s="22"/>
      <c r="C209" s="22"/>
      <c r="D209" s="22"/>
      <c r="E209" s="22"/>
      <c r="J209" s="24"/>
    </row>
    <row r="210" ht="15.75" customHeight="1">
      <c r="A210" s="22"/>
      <c r="B210" s="22"/>
      <c r="C210" s="22"/>
      <c r="D210" s="22"/>
      <c r="E210" s="22"/>
      <c r="J210" s="24"/>
    </row>
    <row r="211" ht="15.75" customHeight="1">
      <c r="A211" s="22"/>
      <c r="B211" s="22"/>
      <c r="C211" s="22"/>
      <c r="D211" s="22"/>
      <c r="E211" s="22"/>
      <c r="J211" s="24"/>
    </row>
    <row r="212" ht="15.75" customHeight="1">
      <c r="A212" s="22"/>
      <c r="B212" s="22"/>
      <c r="C212" s="22"/>
      <c r="D212" s="22"/>
      <c r="E212" s="22"/>
      <c r="J212" s="24"/>
    </row>
    <row r="213" ht="15.75" customHeight="1">
      <c r="A213" s="22"/>
      <c r="B213" s="22"/>
      <c r="C213" s="22"/>
      <c r="D213" s="22"/>
      <c r="E213" s="22"/>
      <c r="J213" s="24"/>
    </row>
    <row r="214" ht="15.75" customHeight="1">
      <c r="A214" s="22"/>
      <c r="B214" s="22"/>
      <c r="C214" s="22"/>
      <c r="D214" s="22"/>
      <c r="E214" s="22"/>
      <c r="J214" s="24"/>
    </row>
    <row r="215" ht="15.75" customHeight="1">
      <c r="A215" s="22"/>
      <c r="B215" s="22"/>
      <c r="C215" s="22"/>
      <c r="D215" s="22"/>
      <c r="E215" s="22"/>
      <c r="J215" s="24"/>
    </row>
    <row r="216" ht="15.75" customHeight="1">
      <c r="A216" s="22"/>
      <c r="B216" s="22"/>
      <c r="C216" s="22"/>
      <c r="D216" s="22"/>
      <c r="E216" s="22"/>
      <c r="J216" s="24"/>
    </row>
    <row r="217" ht="15.75" customHeight="1">
      <c r="A217" s="22"/>
      <c r="B217" s="22"/>
      <c r="C217" s="22"/>
      <c r="D217" s="22"/>
      <c r="E217" s="22"/>
      <c r="J217" s="24"/>
    </row>
    <row r="218" ht="15.75" customHeight="1">
      <c r="A218" s="22"/>
      <c r="B218" s="22"/>
      <c r="C218" s="22"/>
      <c r="D218" s="22"/>
      <c r="E218" s="22"/>
      <c r="J218" s="24"/>
    </row>
    <row r="219" ht="15.75" customHeight="1">
      <c r="A219" s="22"/>
      <c r="B219" s="22"/>
      <c r="C219" s="22"/>
      <c r="D219" s="22"/>
      <c r="E219" s="22"/>
      <c r="J219" s="24"/>
    </row>
    <row r="220" ht="15.75" customHeight="1">
      <c r="A220" s="22"/>
      <c r="B220" s="22"/>
      <c r="C220" s="22"/>
      <c r="D220" s="22"/>
      <c r="E220" s="22"/>
      <c r="J220" s="24"/>
    </row>
    <row r="221" ht="15.75" customHeight="1">
      <c r="A221" s="22"/>
      <c r="B221" s="22"/>
      <c r="C221" s="22"/>
      <c r="D221" s="22"/>
      <c r="E221" s="22"/>
      <c r="J221" s="24"/>
    </row>
    <row r="222" ht="15.75" customHeight="1">
      <c r="A222" s="22"/>
      <c r="B222" s="22"/>
      <c r="C222" s="22"/>
      <c r="D222" s="22"/>
      <c r="E222" s="22"/>
      <c r="J222" s="24"/>
    </row>
    <row r="223" ht="15.75" customHeight="1">
      <c r="A223" s="22"/>
      <c r="B223" s="22"/>
      <c r="C223" s="22"/>
      <c r="D223" s="22"/>
      <c r="E223" s="22"/>
      <c r="J223" s="24"/>
    </row>
    <row r="224" ht="15.75" customHeight="1">
      <c r="A224" s="22"/>
      <c r="B224" s="22"/>
      <c r="C224" s="22"/>
      <c r="D224" s="22"/>
      <c r="E224" s="22"/>
      <c r="J224" s="24"/>
    </row>
    <row r="225" ht="15.75" customHeight="1">
      <c r="A225" s="22"/>
      <c r="B225" s="22"/>
      <c r="C225" s="22"/>
      <c r="D225" s="22"/>
      <c r="E225" s="22"/>
      <c r="J225" s="24"/>
    </row>
    <row r="226" ht="15.75" customHeight="1">
      <c r="A226" s="22"/>
      <c r="B226" s="22"/>
      <c r="C226" s="22"/>
      <c r="D226" s="22"/>
      <c r="E226" s="22"/>
      <c r="J226" s="24"/>
    </row>
    <row r="227" ht="15.75" customHeight="1">
      <c r="A227" s="22"/>
      <c r="B227" s="22"/>
      <c r="C227" s="22"/>
      <c r="D227" s="22"/>
      <c r="E227" s="22"/>
      <c r="J227" s="24"/>
    </row>
    <row r="228" ht="15.75" customHeight="1">
      <c r="A228" s="22"/>
      <c r="B228" s="22"/>
      <c r="C228" s="22"/>
      <c r="D228" s="22"/>
      <c r="E228" s="22"/>
      <c r="J228" s="24"/>
    </row>
    <row r="229" ht="15.75" customHeight="1">
      <c r="A229" s="22"/>
      <c r="B229" s="22"/>
      <c r="C229" s="22"/>
      <c r="D229" s="22"/>
      <c r="E229" s="22"/>
      <c r="J229" s="24"/>
    </row>
    <row r="230" ht="15.75" customHeight="1">
      <c r="A230" s="22"/>
      <c r="B230" s="22"/>
      <c r="C230" s="22"/>
      <c r="D230" s="22"/>
      <c r="E230" s="22"/>
      <c r="J230" s="24"/>
    </row>
    <row r="231" ht="15.75" customHeight="1">
      <c r="A231" s="22"/>
      <c r="B231" s="22"/>
      <c r="C231" s="22"/>
      <c r="D231" s="22"/>
      <c r="E231" s="22"/>
      <c r="J231" s="24"/>
    </row>
    <row r="232" ht="15.75" customHeight="1">
      <c r="A232" s="22"/>
      <c r="B232" s="22"/>
      <c r="C232" s="22"/>
      <c r="D232" s="22"/>
      <c r="E232" s="22"/>
      <c r="J232" s="24"/>
    </row>
    <row r="233" ht="15.75" customHeight="1">
      <c r="A233" s="22"/>
      <c r="B233" s="22"/>
      <c r="C233" s="22"/>
      <c r="D233" s="22"/>
      <c r="E233" s="22"/>
      <c r="J233" s="24"/>
    </row>
    <row r="234" ht="15.75" customHeight="1">
      <c r="A234" s="22"/>
      <c r="B234" s="22"/>
      <c r="C234" s="22"/>
      <c r="D234" s="22"/>
      <c r="E234" s="22"/>
      <c r="J234" s="24"/>
    </row>
    <row r="235" ht="15.75" customHeight="1">
      <c r="A235" s="22"/>
      <c r="B235" s="22"/>
      <c r="C235" s="22"/>
      <c r="D235" s="22"/>
      <c r="E235" s="22"/>
      <c r="J235" s="24"/>
    </row>
    <row r="236" ht="15.75" customHeight="1">
      <c r="A236" s="22"/>
      <c r="B236" s="22"/>
      <c r="C236" s="22"/>
      <c r="D236" s="22"/>
      <c r="E236" s="22"/>
      <c r="J236" s="24"/>
    </row>
    <row r="237" ht="15.75" customHeight="1">
      <c r="A237" s="22"/>
      <c r="B237" s="22"/>
      <c r="C237" s="22"/>
      <c r="D237" s="22"/>
      <c r="E237" s="22"/>
      <c r="J237" s="24"/>
    </row>
    <row r="238" ht="15.75" customHeight="1">
      <c r="A238" s="22"/>
      <c r="B238" s="22"/>
      <c r="C238" s="22"/>
      <c r="D238" s="22"/>
      <c r="E238" s="22"/>
      <c r="J238" s="24"/>
    </row>
    <row r="239" ht="15.75" customHeight="1">
      <c r="A239" s="22"/>
      <c r="B239" s="22"/>
      <c r="C239" s="22"/>
      <c r="D239" s="22"/>
      <c r="E239" s="22"/>
      <c r="J239" s="24"/>
    </row>
    <row r="240" ht="15.75" customHeight="1">
      <c r="A240" s="22"/>
      <c r="B240" s="22"/>
      <c r="C240" s="22"/>
      <c r="D240" s="22"/>
      <c r="E240" s="22"/>
      <c r="J240" s="24"/>
    </row>
    <row r="241" ht="15.75" customHeight="1">
      <c r="A241" s="22"/>
      <c r="B241" s="22"/>
      <c r="C241" s="22"/>
      <c r="D241" s="22"/>
      <c r="E241" s="22"/>
      <c r="J241" s="24"/>
    </row>
    <row r="242" ht="15.75" customHeight="1">
      <c r="A242" s="22"/>
      <c r="B242" s="22"/>
      <c r="C242" s="22"/>
      <c r="D242" s="22"/>
      <c r="E242" s="22"/>
      <c r="J242" s="24"/>
    </row>
    <row r="243" ht="15.75" customHeight="1">
      <c r="A243" s="22"/>
      <c r="B243" s="22"/>
      <c r="C243" s="22"/>
      <c r="D243" s="22"/>
      <c r="E243" s="22"/>
      <c r="J243" s="24"/>
    </row>
    <row r="244" ht="15.75" customHeight="1">
      <c r="A244" s="22"/>
      <c r="B244" s="22"/>
      <c r="C244" s="22"/>
      <c r="D244" s="22"/>
      <c r="E244" s="22"/>
      <c r="J244" s="24"/>
    </row>
    <row r="245" ht="15.75" customHeight="1">
      <c r="A245" s="22"/>
      <c r="B245" s="22"/>
      <c r="C245" s="22"/>
      <c r="D245" s="22"/>
      <c r="E245" s="22"/>
      <c r="J245" s="24"/>
    </row>
    <row r="246" ht="15.75" customHeight="1">
      <c r="A246" s="22"/>
      <c r="B246" s="22"/>
      <c r="C246" s="22"/>
      <c r="D246" s="22"/>
      <c r="E246" s="22"/>
      <c r="J246" s="24"/>
    </row>
    <row r="247" ht="15.75" customHeight="1">
      <c r="A247" s="22"/>
      <c r="B247" s="22"/>
      <c r="C247" s="22"/>
      <c r="D247" s="22"/>
      <c r="E247" s="22"/>
      <c r="J247" s="24"/>
    </row>
    <row r="248" ht="15.75" customHeight="1">
      <c r="A248" s="22"/>
      <c r="B248" s="22"/>
      <c r="C248" s="22"/>
      <c r="D248" s="22"/>
      <c r="E248" s="22"/>
      <c r="J248" s="24"/>
    </row>
    <row r="249" ht="15.75" customHeight="1">
      <c r="A249" s="22"/>
      <c r="B249" s="22"/>
      <c r="C249" s="22"/>
      <c r="D249" s="22"/>
      <c r="E249" s="22"/>
      <c r="J249" s="24"/>
    </row>
    <row r="250" ht="15.75" customHeight="1">
      <c r="A250" s="22"/>
      <c r="B250" s="22"/>
      <c r="C250" s="22"/>
      <c r="D250" s="22"/>
      <c r="E250" s="22"/>
      <c r="J250" s="24"/>
    </row>
    <row r="251" ht="15.75" customHeight="1">
      <c r="A251" s="22"/>
      <c r="B251" s="22"/>
      <c r="C251" s="22"/>
      <c r="D251" s="22"/>
      <c r="E251" s="22"/>
      <c r="J251" s="24"/>
    </row>
    <row r="252" ht="15.75" customHeight="1">
      <c r="A252" s="22"/>
      <c r="B252" s="22"/>
      <c r="C252" s="22"/>
      <c r="D252" s="22"/>
      <c r="E252" s="22"/>
      <c r="J252" s="24"/>
    </row>
    <row r="253" ht="15.75" customHeight="1">
      <c r="A253" s="22"/>
      <c r="B253" s="22"/>
      <c r="C253" s="22"/>
      <c r="D253" s="22"/>
      <c r="E253" s="22"/>
      <c r="J253" s="24"/>
    </row>
    <row r="254" ht="15.75" customHeight="1">
      <c r="A254" s="22"/>
      <c r="B254" s="22"/>
      <c r="C254" s="22"/>
      <c r="D254" s="22"/>
      <c r="E254" s="22"/>
      <c r="J254" s="24"/>
    </row>
    <row r="255" ht="15.75" customHeight="1">
      <c r="A255" s="22"/>
      <c r="B255" s="22"/>
      <c r="C255" s="22"/>
      <c r="D255" s="22"/>
      <c r="E255" s="22"/>
      <c r="J255" s="24"/>
    </row>
    <row r="256" ht="15.75" customHeight="1">
      <c r="A256" s="22"/>
      <c r="B256" s="22"/>
      <c r="C256" s="22"/>
      <c r="D256" s="22"/>
      <c r="E256" s="22"/>
      <c r="J256" s="24"/>
    </row>
    <row r="257" ht="15.75" customHeight="1">
      <c r="A257" s="22"/>
      <c r="B257" s="22"/>
      <c r="C257" s="22"/>
      <c r="D257" s="22"/>
      <c r="E257" s="22"/>
      <c r="J257" s="24"/>
    </row>
    <row r="258" ht="15.75" customHeight="1">
      <c r="A258" s="22"/>
      <c r="B258" s="22"/>
      <c r="C258" s="22"/>
      <c r="D258" s="22"/>
      <c r="E258" s="22"/>
      <c r="J258" s="24"/>
    </row>
    <row r="259" ht="15.75" customHeight="1">
      <c r="A259" s="22"/>
      <c r="B259" s="22"/>
      <c r="C259" s="22"/>
      <c r="D259" s="22"/>
      <c r="E259" s="22"/>
      <c r="J259" s="24"/>
    </row>
    <row r="260" ht="15.75" customHeight="1">
      <c r="A260" s="22"/>
      <c r="B260" s="22"/>
      <c r="C260" s="22"/>
      <c r="D260" s="22"/>
      <c r="E260" s="22"/>
      <c r="J260" s="24"/>
    </row>
    <row r="261" ht="15.75" customHeight="1">
      <c r="A261" s="22"/>
      <c r="B261" s="22"/>
      <c r="C261" s="22"/>
      <c r="D261" s="22"/>
      <c r="E261" s="22"/>
      <c r="J261" s="24"/>
    </row>
    <row r="262" ht="15.75" customHeight="1">
      <c r="A262" s="22"/>
      <c r="B262" s="22"/>
      <c r="C262" s="22"/>
      <c r="D262" s="22"/>
      <c r="E262" s="22"/>
      <c r="J262" s="24"/>
    </row>
    <row r="263" ht="15.75" customHeight="1">
      <c r="A263" s="22"/>
      <c r="B263" s="22"/>
      <c r="C263" s="22"/>
      <c r="D263" s="22"/>
      <c r="E263" s="22"/>
      <c r="J263" s="24"/>
    </row>
    <row r="264" ht="15.75" customHeight="1">
      <c r="A264" s="22"/>
      <c r="B264" s="22"/>
      <c r="C264" s="22"/>
      <c r="D264" s="22"/>
      <c r="E264" s="22"/>
      <c r="J264" s="24"/>
    </row>
    <row r="265" ht="15.75" customHeight="1">
      <c r="A265" s="22"/>
      <c r="B265" s="22"/>
      <c r="C265" s="22"/>
      <c r="D265" s="22"/>
      <c r="E265" s="22"/>
      <c r="J265" s="24"/>
    </row>
    <row r="266" ht="15.75" customHeight="1">
      <c r="A266" s="22"/>
      <c r="B266" s="22"/>
      <c r="C266" s="22"/>
      <c r="D266" s="22"/>
      <c r="E266" s="22"/>
      <c r="J266" s="24"/>
    </row>
    <row r="267" ht="15.75" customHeight="1">
      <c r="A267" s="22"/>
      <c r="B267" s="22"/>
      <c r="C267" s="22"/>
      <c r="D267" s="22"/>
      <c r="E267" s="22"/>
      <c r="J267" s="24"/>
    </row>
    <row r="268" ht="15.75" customHeight="1">
      <c r="A268" s="22"/>
      <c r="B268" s="22"/>
      <c r="C268" s="22"/>
      <c r="D268" s="22"/>
      <c r="E268" s="22"/>
      <c r="J268" s="24"/>
    </row>
    <row r="269" ht="15.75" customHeight="1">
      <c r="A269" s="22"/>
      <c r="B269" s="22"/>
      <c r="C269" s="22"/>
      <c r="D269" s="22"/>
      <c r="E269" s="22"/>
      <c r="J269" s="24"/>
    </row>
    <row r="270" ht="15.75" customHeight="1">
      <c r="A270" s="22"/>
      <c r="B270" s="22"/>
      <c r="C270" s="22"/>
      <c r="D270" s="22"/>
      <c r="E270" s="22"/>
      <c r="J270" s="24"/>
    </row>
    <row r="271" ht="15.75" customHeight="1">
      <c r="A271" s="22"/>
      <c r="B271" s="22"/>
      <c r="C271" s="22"/>
      <c r="D271" s="22"/>
      <c r="E271" s="22"/>
      <c r="J271" s="24"/>
    </row>
    <row r="272" ht="15.75" customHeight="1">
      <c r="A272" s="22"/>
      <c r="B272" s="22"/>
      <c r="C272" s="22"/>
      <c r="D272" s="22"/>
      <c r="E272" s="22"/>
      <c r="J272" s="24"/>
    </row>
    <row r="273" ht="15.75" customHeight="1">
      <c r="A273" s="22"/>
      <c r="B273" s="22"/>
      <c r="C273" s="22"/>
      <c r="D273" s="22"/>
      <c r="E273" s="22"/>
      <c r="J273" s="24"/>
    </row>
    <row r="274" ht="15.75" customHeight="1">
      <c r="A274" s="22"/>
      <c r="B274" s="22"/>
      <c r="C274" s="22"/>
      <c r="D274" s="22"/>
      <c r="E274" s="22"/>
      <c r="J274" s="24"/>
    </row>
    <row r="275" ht="15.75" customHeight="1">
      <c r="A275" s="22"/>
      <c r="B275" s="22"/>
      <c r="C275" s="22"/>
      <c r="D275" s="22"/>
      <c r="E275" s="22"/>
      <c r="J275" s="24"/>
    </row>
    <row r="276" ht="15.75" customHeight="1">
      <c r="A276" s="22"/>
      <c r="B276" s="22"/>
      <c r="C276" s="22"/>
      <c r="D276" s="22"/>
      <c r="E276" s="22"/>
      <c r="J276" s="24"/>
    </row>
    <row r="277" ht="15.75" customHeight="1">
      <c r="A277" s="22"/>
      <c r="B277" s="22"/>
      <c r="C277" s="22"/>
      <c r="D277" s="22"/>
      <c r="E277" s="22"/>
      <c r="J277" s="24"/>
    </row>
    <row r="278" ht="15.75" customHeight="1">
      <c r="A278" s="22"/>
      <c r="B278" s="22"/>
      <c r="C278" s="22"/>
      <c r="D278" s="22"/>
      <c r="E278" s="22"/>
      <c r="J278" s="24"/>
    </row>
    <row r="279" ht="15.75" customHeight="1">
      <c r="A279" s="22"/>
      <c r="B279" s="22"/>
      <c r="C279" s="22"/>
      <c r="D279" s="22"/>
      <c r="E279" s="22"/>
      <c r="J279" s="24"/>
    </row>
    <row r="280" ht="15.75" customHeight="1">
      <c r="A280" s="22"/>
      <c r="B280" s="22"/>
      <c r="C280" s="22"/>
      <c r="D280" s="22"/>
      <c r="E280" s="22"/>
      <c r="J280" s="24"/>
    </row>
    <row r="281" ht="15.75" customHeight="1">
      <c r="A281" s="22"/>
      <c r="B281" s="22"/>
      <c r="C281" s="22"/>
      <c r="D281" s="22"/>
      <c r="E281" s="22"/>
      <c r="J281" s="24"/>
    </row>
    <row r="282" ht="15.75" customHeight="1">
      <c r="A282" s="22"/>
      <c r="B282" s="22"/>
      <c r="C282" s="22"/>
      <c r="D282" s="22"/>
      <c r="E282" s="22"/>
      <c r="J282" s="24"/>
    </row>
    <row r="283" ht="15.75" customHeight="1">
      <c r="A283" s="22"/>
      <c r="B283" s="22"/>
      <c r="C283" s="22"/>
      <c r="D283" s="22"/>
      <c r="E283" s="22"/>
      <c r="J283" s="24"/>
    </row>
    <row r="284" ht="15.75" customHeight="1">
      <c r="A284" s="22"/>
      <c r="B284" s="22"/>
      <c r="C284" s="22"/>
      <c r="D284" s="22"/>
      <c r="E284" s="22"/>
      <c r="J284" s="24"/>
    </row>
    <row r="285" ht="15.75" customHeight="1">
      <c r="A285" s="22"/>
      <c r="B285" s="22"/>
      <c r="C285" s="22"/>
      <c r="D285" s="22"/>
      <c r="E285" s="22"/>
      <c r="J285" s="24"/>
    </row>
    <row r="286" ht="15.75" customHeight="1">
      <c r="A286" s="22"/>
      <c r="B286" s="22"/>
      <c r="C286" s="22"/>
      <c r="D286" s="22"/>
      <c r="E286" s="22"/>
      <c r="J286" s="24"/>
    </row>
    <row r="287" ht="15.75" customHeight="1">
      <c r="A287" s="22"/>
      <c r="B287" s="22"/>
      <c r="C287" s="22"/>
      <c r="D287" s="22"/>
      <c r="E287" s="22"/>
      <c r="J287" s="24"/>
    </row>
    <row r="288" ht="15.75" customHeight="1">
      <c r="A288" s="22"/>
      <c r="B288" s="22"/>
      <c r="C288" s="22"/>
      <c r="D288" s="22"/>
      <c r="E288" s="22"/>
      <c r="J288" s="24"/>
    </row>
    <row r="289" ht="15.75" customHeight="1">
      <c r="A289" s="22"/>
      <c r="B289" s="22"/>
      <c r="C289" s="22"/>
      <c r="D289" s="22"/>
      <c r="E289" s="22"/>
      <c r="J289" s="24"/>
    </row>
    <row r="290" ht="15.75" customHeight="1">
      <c r="A290" s="22"/>
      <c r="B290" s="22"/>
      <c r="C290" s="22"/>
      <c r="D290" s="22"/>
      <c r="E290" s="22"/>
      <c r="J290" s="24"/>
    </row>
    <row r="291" ht="15.75" customHeight="1">
      <c r="A291" s="22"/>
      <c r="B291" s="22"/>
      <c r="C291" s="22"/>
      <c r="D291" s="22"/>
      <c r="E291" s="22"/>
      <c r="J291" s="24"/>
    </row>
    <row r="292" ht="15.75" customHeight="1">
      <c r="J292" s="24"/>
    </row>
    <row r="293" ht="15.75" customHeight="1">
      <c r="J293" s="24"/>
    </row>
    <row r="294" ht="15.75" customHeight="1">
      <c r="J294" s="24"/>
    </row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J5:J31"/>
    <mergeCell ref="J32:J58"/>
    <mergeCell ref="J59:J85"/>
    <mergeCell ref="J86:J112"/>
    <mergeCell ref="J113:J139"/>
    <mergeCell ref="D59:D85"/>
    <mergeCell ref="E59:E85"/>
    <mergeCell ref="D86:D112"/>
    <mergeCell ref="E86:E112"/>
    <mergeCell ref="D113:D139"/>
    <mergeCell ref="E113:E139"/>
    <mergeCell ref="D140:I140"/>
    <mergeCell ref="A2:B2"/>
    <mergeCell ref="D2:J2"/>
    <mergeCell ref="L2:M3"/>
    <mergeCell ref="D5:D31"/>
    <mergeCell ref="E5:E31"/>
    <mergeCell ref="D32:D58"/>
    <mergeCell ref="E32:E5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